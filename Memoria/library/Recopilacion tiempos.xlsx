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Google Drive\Uni\TFG\Memoria\library\"/>
    </mc:Choice>
  </mc:AlternateContent>
  <xr:revisionPtr revIDLastSave="0" documentId="13_ncr:1_{5824F0DB-A8D5-4657-AB48-8EACEC609937}" xr6:coauthVersionLast="47" xr6:coauthVersionMax="47" xr10:uidLastSave="{00000000-0000-0000-0000-000000000000}"/>
  <bookViews>
    <workbookView xWindow="-120" yWindow="-120" windowWidth="29040" windowHeight="15720" activeTab="3" xr2:uid="{56EB3B85-1326-422B-B675-B183A5440612}"/>
  </bookViews>
  <sheets>
    <sheet name="RungeKutta" sheetId="11" r:id="rId1"/>
    <sheet name="Bashford" sheetId="12" r:id="rId2"/>
    <sheet name="Moulton" sheetId="13" r:id="rId3"/>
    <sheet name="Completo" sheetId="10" r:id="rId4"/>
    <sheet name="Auxiliares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2" i="12" l="1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Y172" i="12"/>
  <c r="Z172" i="12" s="1" a="1"/>
  <c r="Z172" i="12" s="1"/>
  <c r="Y173" i="12"/>
  <c r="Y174" i="12"/>
  <c r="Y175" i="12"/>
  <c r="Z175" i="12" s="1" a="1"/>
  <c r="Z175" i="12" s="1"/>
  <c r="Y176" i="12"/>
  <c r="Z176" i="12" s="1" a="1"/>
  <c r="Z176" i="12" s="1"/>
  <c r="Y177" i="12"/>
  <c r="Y178" i="12"/>
  <c r="AA178" i="12" s="1" a="1"/>
  <c r="AA178" i="12" s="1"/>
  <c r="Y179" i="12"/>
  <c r="AA179" i="12" s="1" a="1"/>
  <c r="AA179" i="12" s="1"/>
  <c r="Y180" i="12"/>
  <c r="AA180" i="12" s="1" a="1"/>
  <c r="AA180" i="12" s="1"/>
  <c r="Y181" i="12"/>
  <c r="AA181" i="12" s="1" a="1"/>
  <c r="AA181" i="12" s="1"/>
  <c r="Y182" i="12"/>
  <c r="Y183" i="12"/>
  <c r="Y184" i="12"/>
  <c r="Z184" i="12" s="1" a="1"/>
  <c r="Z184" i="12" s="1"/>
  <c r="Y185" i="12"/>
  <c r="Y186" i="12"/>
  <c r="Y187" i="12"/>
  <c r="AA187" i="12" s="1" a="1"/>
  <c r="AA187" i="12" s="1"/>
  <c r="Y188" i="12"/>
  <c r="Z188" i="12" s="1" a="1"/>
  <c r="Z188" i="12" s="1"/>
  <c r="Y189" i="12"/>
  <c r="Y190" i="12"/>
  <c r="Y191" i="12"/>
  <c r="Z191" i="12" s="1" a="1"/>
  <c r="Z191" i="12" s="1"/>
  <c r="Y192" i="12"/>
  <c r="Z192" i="12" s="1" a="1"/>
  <c r="Z192" i="12" s="1"/>
  <c r="Y193" i="12"/>
  <c r="Y194" i="12"/>
  <c r="Z194" i="12" s="1" a="1"/>
  <c r="Z194" i="12" s="1"/>
  <c r="Y195" i="12"/>
  <c r="AA195" i="12" s="1" a="1"/>
  <c r="AA195" i="12" s="1"/>
  <c r="Y196" i="12"/>
  <c r="Z196" i="12" s="1" a="1"/>
  <c r="Z196" i="12" s="1"/>
  <c r="Y197" i="12"/>
  <c r="AA197" i="12" s="1" a="1"/>
  <c r="AA197" i="12" s="1"/>
  <c r="Y198" i="12"/>
  <c r="Y199" i="12"/>
  <c r="Y200" i="12"/>
  <c r="Z200" i="12" s="1" a="1"/>
  <c r="Z200" i="12" s="1"/>
  <c r="Y201" i="12"/>
  <c r="Y202" i="12"/>
  <c r="Y203" i="12"/>
  <c r="AA203" i="12" s="1" a="1"/>
  <c r="AA203" i="12" s="1"/>
  <c r="Y204" i="12"/>
  <c r="Z204" i="12" s="1" a="1"/>
  <c r="Z204" i="12" s="1"/>
  <c r="Y205" i="12"/>
  <c r="Y206" i="12"/>
  <c r="Y207" i="12"/>
  <c r="Z207" i="12" s="1" a="1"/>
  <c r="Z207" i="12" s="1"/>
  <c r="Y208" i="12"/>
  <c r="Z208" i="12" s="1" a="1"/>
  <c r="Z208" i="12" s="1"/>
  <c r="Z173" i="12" a="1"/>
  <c r="Z173" i="12"/>
  <c r="Z174" i="12" a="1"/>
  <c r="Z174" i="12" s="1"/>
  <c r="Z177" i="12" a="1"/>
  <c r="Z177" i="12" s="1"/>
  <c r="Z182" i="12" a="1"/>
  <c r="Z182" i="12" s="1"/>
  <c r="Z183" i="12" a="1"/>
  <c r="Z183" i="12" s="1"/>
  <c r="Z185" i="12" a="1"/>
  <c r="Z185" i="12" s="1"/>
  <c r="Z186" i="12" a="1"/>
  <c r="Z186" i="12" s="1"/>
  <c r="Z187" i="12" a="1"/>
  <c r="Z187" i="12" s="1"/>
  <c r="Z189" i="12" a="1"/>
  <c r="Z189" i="12"/>
  <c r="Z190" i="12" a="1"/>
  <c r="Z190" i="12" s="1"/>
  <c r="Z193" i="12" a="1"/>
  <c r="Z193" i="12" s="1"/>
  <c r="Z195" i="12" a="1"/>
  <c r="Z195" i="12" s="1"/>
  <c r="Z198" i="12" a="1"/>
  <c r="Z198" i="12" s="1"/>
  <c r="Z199" i="12" a="1"/>
  <c r="Z199" i="12" s="1"/>
  <c r="Z201" i="12" a="1"/>
  <c r="Z201" i="12" s="1"/>
  <c r="Z202" i="12" a="1"/>
  <c r="Z202" i="12" s="1"/>
  <c r="Z203" i="12" a="1"/>
  <c r="Z203" i="12" s="1"/>
  <c r="Z205" i="12" a="1"/>
  <c r="Z205" i="12"/>
  <c r="Z206" i="12" a="1"/>
  <c r="Z206" i="12" s="1"/>
  <c r="AA172" i="12" a="1"/>
  <c r="AA172" i="12" s="1"/>
  <c r="AA173" i="12" a="1"/>
  <c r="AA173" i="12" s="1"/>
  <c r="AA174" i="12" a="1"/>
  <c r="AA174" i="12" s="1"/>
  <c r="AA176" i="12" a="1"/>
  <c r="AA176" i="12"/>
  <c r="AA177" i="12" a="1"/>
  <c r="AA177" i="12" s="1"/>
  <c r="AA182" i="12" a="1"/>
  <c r="AA182" i="12" s="1"/>
  <c r="AA183" i="12" a="1"/>
  <c r="AA183" i="12"/>
  <c r="AA184" i="12" a="1"/>
  <c r="AA184" i="12"/>
  <c r="AA185" i="12" a="1"/>
  <c r="AA185" i="12" s="1"/>
  <c r="AA186" i="12" a="1"/>
  <c r="AA186" i="12" s="1"/>
  <c r="AA188" i="12" a="1"/>
  <c r="AA188" i="12" s="1"/>
  <c r="AA189" i="12" a="1"/>
  <c r="AA189" i="12" s="1"/>
  <c r="AA190" i="12" a="1"/>
  <c r="AA190" i="12" s="1"/>
  <c r="AA191" i="12" a="1"/>
  <c r="AA191" i="12"/>
  <c r="AA192" i="12" a="1"/>
  <c r="AA192" i="12"/>
  <c r="AA193" i="12" a="1"/>
  <c r="AA193" i="12" s="1"/>
  <c r="AA194" i="12" a="1"/>
  <c r="AA194" i="12" s="1"/>
  <c r="AA196" i="12" a="1"/>
  <c r="AA196" i="12" s="1"/>
  <c r="AA198" i="12" a="1"/>
  <c r="AA198" i="12" s="1"/>
  <c r="AA199" i="12" a="1"/>
  <c r="AA199" i="12" s="1"/>
  <c r="AA200" i="12" a="1"/>
  <c r="AA200" i="12"/>
  <c r="AA201" i="12" a="1"/>
  <c r="AA201" i="12" s="1"/>
  <c r="AA202" i="12" a="1"/>
  <c r="AA202" i="12" s="1"/>
  <c r="AA204" i="12" a="1"/>
  <c r="AA204" i="12" s="1"/>
  <c r="AA205" i="12" a="1"/>
  <c r="AA205" i="12" s="1"/>
  <c r="AA206" i="12" a="1"/>
  <c r="AA206" i="12" s="1"/>
  <c r="AA207" i="12" a="1"/>
  <c r="AA207" i="12" s="1"/>
  <c r="AA208" i="12" a="1"/>
  <c r="AA208" i="12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C1637" i="10"/>
  <c r="C1638" i="10"/>
  <c r="C1639" i="10"/>
  <c r="C1640" i="10"/>
  <c r="D1640" i="10" s="1" a="1"/>
  <c r="D1640" i="10" s="1"/>
  <c r="C1641" i="10"/>
  <c r="C1642" i="10"/>
  <c r="C1643" i="10"/>
  <c r="C1644" i="10"/>
  <c r="E1644" i="10" s="1" a="1"/>
  <c r="E1644" i="10" s="1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E1660" i="10" s="1" a="1"/>
  <c r="E1660" i="10" s="1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D1637" i="10" a="1"/>
  <c r="D1637" i="10" s="1"/>
  <c r="D1638" i="10" a="1"/>
  <c r="D1638" i="10" s="1"/>
  <c r="D1639" i="10" a="1"/>
  <c r="D1639" i="10" s="1"/>
  <c r="D1641" i="10" a="1"/>
  <c r="D1641" i="10" s="1"/>
  <c r="D1642" i="10" a="1"/>
  <c r="D1642" i="10" s="1"/>
  <c r="D1643" i="10" a="1"/>
  <c r="D1643" i="10" s="1"/>
  <c r="D1645" i="10" a="1"/>
  <c r="D1645" i="10" s="1"/>
  <c r="D1646" i="10" a="1"/>
  <c r="D1646" i="10" s="1"/>
  <c r="D1647" i="10" a="1"/>
  <c r="D1647" i="10" s="1"/>
  <c r="D1648" i="10" a="1"/>
  <c r="D1648" i="10" s="1"/>
  <c r="D1649" i="10" a="1"/>
  <c r="D1649" i="10" s="1"/>
  <c r="D1650" i="10" a="1"/>
  <c r="D1650" i="10" s="1"/>
  <c r="D1651" i="10" a="1"/>
  <c r="D1651" i="10" s="1"/>
  <c r="D1652" i="10" a="1"/>
  <c r="D1652" i="10" s="1"/>
  <c r="D1653" i="10" a="1"/>
  <c r="D1653" i="10" s="1"/>
  <c r="D1654" i="10" a="1"/>
  <c r="D1654" i="10" s="1"/>
  <c r="D1655" i="10" a="1"/>
  <c r="D1655" i="10" s="1"/>
  <c r="D1656" i="10" a="1"/>
  <c r="D1656" i="10" s="1"/>
  <c r="D1657" i="10" a="1"/>
  <c r="D1657" i="10" s="1"/>
  <c r="D1658" i="10" a="1"/>
  <c r="D1658" i="10" s="1"/>
  <c r="D1659" i="10" a="1"/>
  <c r="D1659" i="10" s="1"/>
  <c r="D1661" i="10" a="1"/>
  <c r="D1661" i="10" s="1"/>
  <c r="D1662" i="10" a="1"/>
  <c r="D1662" i="10" s="1"/>
  <c r="D1663" i="10" a="1"/>
  <c r="D1663" i="10" s="1"/>
  <c r="D1664" i="10" a="1"/>
  <c r="D1664" i="10" s="1"/>
  <c r="D1665" i="10" a="1"/>
  <c r="D1665" i="10" s="1"/>
  <c r="D1666" i="10" a="1"/>
  <c r="D1666" i="10" s="1"/>
  <c r="D1667" i="10" a="1"/>
  <c r="D1667" i="10" s="1"/>
  <c r="D1668" i="10" a="1"/>
  <c r="D1668" i="10" s="1"/>
  <c r="D1669" i="10" a="1"/>
  <c r="D1669" i="10" s="1"/>
  <c r="D1670" i="10" a="1"/>
  <c r="D1670" i="10" s="1"/>
  <c r="D1671" i="10" a="1"/>
  <c r="D1671" i="10" s="1"/>
  <c r="D1672" i="10" a="1"/>
  <c r="D1672" i="10" s="1"/>
  <c r="D1673" i="10" a="1"/>
  <c r="D1673" i="10" s="1"/>
  <c r="E1637" i="10" a="1"/>
  <c r="E1637" i="10" s="1"/>
  <c r="E1638" i="10" a="1"/>
  <c r="E1638" i="10" s="1"/>
  <c r="E1639" i="10" a="1"/>
  <c r="E1639" i="10" s="1"/>
  <c r="E1640" i="10" a="1"/>
  <c r="E1640" i="10" s="1"/>
  <c r="E1641" i="10" a="1"/>
  <c r="E1641" i="10" s="1"/>
  <c r="E1642" i="10" a="1"/>
  <c r="E1642" i="10" s="1"/>
  <c r="E1643" i="10" a="1"/>
  <c r="E1643" i="10" s="1"/>
  <c r="E1645" i="10" a="1"/>
  <c r="E1645" i="10" s="1"/>
  <c r="E1646" i="10" a="1"/>
  <c r="E1646" i="10" s="1"/>
  <c r="E1647" i="10" a="1"/>
  <c r="E1647" i="10" s="1"/>
  <c r="E1648" i="10" a="1"/>
  <c r="E1648" i="10" s="1"/>
  <c r="E1649" i="10" a="1"/>
  <c r="E1649" i="10" s="1"/>
  <c r="E1650" i="10" a="1"/>
  <c r="E1650" i="10" s="1"/>
  <c r="E1651" i="10" a="1"/>
  <c r="E1651" i="10" s="1"/>
  <c r="E1652" i="10" a="1"/>
  <c r="E1652" i="10" s="1"/>
  <c r="E1653" i="10" a="1"/>
  <c r="E1653" i="10" s="1"/>
  <c r="E1654" i="10" a="1"/>
  <c r="E1654" i="10" s="1"/>
  <c r="E1655" i="10" a="1"/>
  <c r="E1655" i="10" s="1"/>
  <c r="E1656" i="10" a="1"/>
  <c r="E1656" i="10" s="1"/>
  <c r="E1657" i="10" a="1"/>
  <c r="E1657" i="10" s="1"/>
  <c r="E1658" i="10" a="1"/>
  <c r="E1658" i="10" s="1"/>
  <c r="E1659" i="10" a="1"/>
  <c r="E1659" i="10" s="1"/>
  <c r="E1661" i="10" a="1"/>
  <c r="E1661" i="10" s="1"/>
  <c r="E1662" i="10" a="1"/>
  <c r="E1662" i="10" s="1"/>
  <c r="E1663" i="10" a="1"/>
  <c r="E1663" i="10" s="1"/>
  <c r="E1664" i="10" a="1"/>
  <c r="E1664" i="10" s="1"/>
  <c r="E1665" i="10" a="1"/>
  <c r="E1665" i="10" s="1"/>
  <c r="E1666" i="10" a="1"/>
  <c r="E1666" i="10" s="1"/>
  <c r="E1667" i="10" a="1"/>
  <c r="E1667" i="10" s="1"/>
  <c r="E1668" i="10" a="1"/>
  <c r="E1668" i="10" s="1"/>
  <c r="E1669" i="10" a="1"/>
  <c r="E1669" i="10" s="1"/>
  <c r="E1670" i="10" a="1"/>
  <c r="E1670" i="10" s="1"/>
  <c r="E1671" i="10" a="1"/>
  <c r="E1671" i="10" s="1"/>
  <c r="E1672" i="10" a="1"/>
  <c r="E1672" i="10" s="1"/>
  <c r="E1673" i="10" a="1"/>
  <c r="E1673" i="10" s="1"/>
  <c r="X150" i="13"/>
  <c r="X151" i="13"/>
  <c r="X152" i="13"/>
  <c r="X153" i="13"/>
  <c r="X154" i="13"/>
  <c r="X155" i="13"/>
  <c r="X156" i="13"/>
  <c r="Y150" i="13"/>
  <c r="Y151" i="13"/>
  <c r="Z151" i="13" s="1" a="1"/>
  <c r="Z151" i="13" s="1"/>
  <c r="Y152" i="13"/>
  <c r="AA152" i="13" s="1" a="1"/>
  <c r="AA152" i="13" s="1"/>
  <c r="Y153" i="13"/>
  <c r="AA153" i="13" s="1" a="1"/>
  <c r="AA153" i="13" s="1"/>
  <c r="Y154" i="13"/>
  <c r="Z154" i="13" s="1" a="1"/>
  <c r="Z154" i="13" s="1"/>
  <c r="Y155" i="13"/>
  <c r="AA155" i="13" s="1" a="1"/>
  <c r="AA155" i="13" s="1"/>
  <c r="Y156" i="13"/>
  <c r="AA156" i="13" s="1" a="1"/>
  <c r="AA156" i="13" s="1"/>
  <c r="Z150" i="13" a="1"/>
  <c r="Z150" i="13" s="1"/>
  <c r="Z153" i="13" a="1"/>
  <c r="Z153" i="13" s="1"/>
  <c r="AA150" i="13" a="1"/>
  <c r="AA150" i="13" s="1"/>
  <c r="AA151" i="13" a="1"/>
  <c r="AA151" i="13" s="1"/>
  <c r="AA154" i="13" a="1"/>
  <c r="AA154" i="13" s="1"/>
  <c r="X165" i="12"/>
  <c r="X166" i="12"/>
  <c r="X167" i="12"/>
  <c r="X168" i="12"/>
  <c r="X169" i="12"/>
  <c r="X170" i="12"/>
  <c r="X171" i="12"/>
  <c r="Y165" i="12"/>
  <c r="Z165" i="12" s="1" a="1"/>
  <c r="Z165" i="12" s="1"/>
  <c r="Y166" i="12"/>
  <c r="Z166" i="12" s="1" a="1"/>
  <c r="Z166" i="12" s="1"/>
  <c r="Y167" i="12"/>
  <c r="AA167" i="12" s="1" a="1"/>
  <c r="AA167" i="12" s="1"/>
  <c r="Y168" i="12"/>
  <c r="AA168" i="12" s="1" a="1"/>
  <c r="AA168" i="12" s="1"/>
  <c r="Y169" i="12"/>
  <c r="AA169" i="12" s="1" a="1"/>
  <c r="AA169" i="12" s="1"/>
  <c r="Y170" i="12"/>
  <c r="AA170" i="12" s="1" a="1"/>
  <c r="AA170" i="12" s="1"/>
  <c r="Y171" i="12"/>
  <c r="Z171" i="12" s="1" a="1"/>
  <c r="Z171" i="12" s="1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C1623" i="10"/>
  <c r="E1623" i="10" s="1" a="1"/>
  <c r="E1623" i="10" s="1"/>
  <c r="C1624" i="10"/>
  <c r="E1624" i="10" s="1" a="1"/>
  <c r="E1624" i="10" s="1"/>
  <c r="C1625" i="10"/>
  <c r="D1625" i="10" s="1" a="1"/>
  <c r="D1625" i="10" s="1"/>
  <c r="C1626" i="10"/>
  <c r="D1626" i="10" s="1" a="1"/>
  <c r="D1626" i="10" s="1"/>
  <c r="C1627" i="10"/>
  <c r="C1628" i="10"/>
  <c r="C1629" i="10"/>
  <c r="C1630" i="10"/>
  <c r="C1631" i="10"/>
  <c r="E1631" i="10" s="1" a="1"/>
  <c r="E1631" i="10" s="1"/>
  <c r="C1632" i="10"/>
  <c r="C1633" i="10"/>
  <c r="E1633" i="10" s="1" a="1"/>
  <c r="E1633" i="10" s="1"/>
  <c r="C1634" i="10"/>
  <c r="D1634" i="10" s="1" a="1"/>
  <c r="D1634" i="10" s="1"/>
  <c r="C1635" i="10"/>
  <c r="D1635" i="10" s="1" a="1"/>
  <c r="D1635" i="10" s="1"/>
  <c r="C1636" i="10"/>
  <c r="E1636" i="10" s="1" a="1"/>
  <c r="E1636" i="10" s="1"/>
  <c r="D1624" i="10" a="1"/>
  <c r="D1624" i="10" s="1"/>
  <c r="D1627" i="10" a="1"/>
  <c r="D1627" i="10" s="1"/>
  <c r="D1628" i="10" a="1"/>
  <c r="D1628" i="10" s="1"/>
  <c r="D1629" i="10" a="1"/>
  <c r="D1629" i="10" s="1"/>
  <c r="D1630" i="10" a="1"/>
  <c r="D1630" i="10" s="1"/>
  <c r="D1632" i="10" a="1"/>
  <c r="D1632" i="10" s="1"/>
  <c r="D1636" i="10" a="1"/>
  <c r="D1636" i="10" s="1"/>
  <c r="E1625" i="10" a="1"/>
  <c r="E1625" i="10" s="1"/>
  <c r="E1626" i="10" a="1"/>
  <c r="E1626" i="10" s="1"/>
  <c r="E1627" i="10" a="1"/>
  <c r="E1627" i="10" s="1"/>
  <c r="E1628" i="10" a="1"/>
  <c r="E1628" i="10" s="1"/>
  <c r="E1629" i="10" a="1"/>
  <c r="E1629" i="10" s="1"/>
  <c r="E1630" i="10" a="1"/>
  <c r="E1630" i="10" s="1"/>
  <c r="E1632" i="10" a="1"/>
  <c r="E1632" i="10" s="1"/>
  <c r="E1634" i="10" a="1"/>
  <c r="E1634" i="10" s="1"/>
  <c r="E1635" i="10" a="1"/>
  <c r="E1635" i="10" s="1"/>
  <c r="AI84" i="13"/>
  <c r="AI82" i="13"/>
  <c r="AI80" i="13"/>
  <c r="AI92" i="13"/>
  <c r="AI90" i="13"/>
  <c r="AI88" i="13"/>
  <c r="AI85" i="13"/>
  <c r="AI83" i="13"/>
  <c r="AI81" i="13"/>
  <c r="AI93" i="13"/>
  <c r="AI91" i="13"/>
  <c r="AI89" i="13"/>
  <c r="AJ84" i="13"/>
  <c r="AL84" i="13" s="1" a="1"/>
  <c r="AL84" i="13" s="1"/>
  <c r="AJ82" i="13"/>
  <c r="AL82" i="13" s="1" a="1"/>
  <c r="AL82" i="13" s="1"/>
  <c r="AJ80" i="13"/>
  <c r="AL80" i="13" s="1" a="1"/>
  <c r="AL80" i="13" s="1"/>
  <c r="AJ92" i="13"/>
  <c r="AL92" i="13" s="1" a="1"/>
  <c r="AL92" i="13" s="1"/>
  <c r="AJ90" i="13"/>
  <c r="AJ88" i="13"/>
  <c r="AL88" i="13" s="1" a="1"/>
  <c r="AL88" i="13" s="1"/>
  <c r="AJ85" i="13"/>
  <c r="AK85" i="13" s="1" a="1"/>
  <c r="AK85" i="13" s="1"/>
  <c r="AJ83" i="13"/>
  <c r="AK83" i="13" s="1" a="1"/>
  <c r="AK83" i="13" s="1"/>
  <c r="AJ81" i="13"/>
  <c r="AK81" i="13" s="1" a="1"/>
  <c r="AK81" i="13" s="1"/>
  <c r="AJ93" i="13"/>
  <c r="AK93" i="13" s="1" a="1"/>
  <c r="AK93" i="13" s="1"/>
  <c r="AJ91" i="13"/>
  <c r="AL91" i="13" s="1" a="1"/>
  <c r="AL91" i="13" s="1"/>
  <c r="AJ89" i="13"/>
  <c r="AK89" i="13" s="1" a="1"/>
  <c r="AK89" i="13" s="1"/>
  <c r="AK90" i="13" a="1"/>
  <c r="AK90" i="13" s="1"/>
  <c r="AK88" i="13" a="1"/>
  <c r="AK88" i="13" s="1"/>
  <c r="AL90" i="13" a="1"/>
  <c r="AL90" i="13" s="1"/>
  <c r="AL85" i="13" a="1"/>
  <c r="AL85" i="13" s="1"/>
  <c r="AL81" i="13" a="1"/>
  <c r="AL81" i="13" s="1"/>
  <c r="AL89" i="13" a="1"/>
  <c r="AL89" i="13" s="1"/>
  <c r="AI83" i="12"/>
  <c r="AI81" i="12"/>
  <c r="AI79" i="12"/>
  <c r="AI91" i="12"/>
  <c r="AI89" i="12"/>
  <c r="AI87" i="12"/>
  <c r="AI84" i="12"/>
  <c r="AI82" i="12"/>
  <c r="AI80" i="12"/>
  <c r="AI92" i="12"/>
  <c r="AI90" i="12"/>
  <c r="AI88" i="12"/>
  <c r="AJ83" i="12"/>
  <c r="AK83" i="12" s="1" a="1"/>
  <c r="AK83" i="12" s="1"/>
  <c r="AJ81" i="12"/>
  <c r="AL81" i="12" s="1" a="1"/>
  <c r="AL81" i="12" s="1"/>
  <c r="AJ79" i="12"/>
  <c r="AL79" i="12" s="1" a="1"/>
  <c r="AL79" i="12" s="1"/>
  <c r="AJ91" i="12"/>
  <c r="AL91" i="12" s="1" a="1"/>
  <c r="AL91" i="12" s="1"/>
  <c r="AJ89" i="12"/>
  <c r="AK89" i="12" s="1" a="1"/>
  <c r="AK89" i="12" s="1"/>
  <c r="AJ87" i="12"/>
  <c r="AK87" i="12" s="1" a="1"/>
  <c r="AK87" i="12" s="1"/>
  <c r="AJ84" i="12"/>
  <c r="AJ82" i="12"/>
  <c r="AL82" i="12" s="1" a="1"/>
  <c r="AL82" i="12" s="1"/>
  <c r="AJ80" i="12"/>
  <c r="AK80" i="12" s="1" a="1"/>
  <c r="AK80" i="12" s="1"/>
  <c r="AJ92" i="12"/>
  <c r="AL92" i="12" s="1" a="1"/>
  <c r="AL92" i="12" s="1"/>
  <c r="AJ90" i="12"/>
  <c r="AL90" i="12" s="1" a="1"/>
  <c r="AL90" i="12" s="1"/>
  <c r="AJ88" i="12"/>
  <c r="AK88" i="12" s="1" a="1"/>
  <c r="AK88" i="12" s="1"/>
  <c r="AK84" i="12" a="1"/>
  <c r="AK84" i="12" s="1"/>
  <c r="AK82" i="12" a="1"/>
  <c r="AK82" i="12" s="1"/>
  <c r="AK90" i="12" a="1"/>
  <c r="AK90" i="12" s="1"/>
  <c r="AL83" i="12" a="1"/>
  <c r="AL83" i="12" s="1"/>
  <c r="AL89" i="12" a="1"/>
  <c r="AL89" i="12" s="1"/>
  <c r="AL87" i="12" a="1"/>
  <c r="AL87" i="12" s="1"/>
  <c r="AL84" i="12" a="1"/>
  <c r="AL84" i="12" s="1"/>
  <c r="AL88" i="12" a="1"/>
  <c r="AL88" i="12" s="1"/>
  <c r="AI83" i="11"/>
  <c r="AI81" i="11"/>
  <c r="AI79" i="11"/>
  <c r="AI91" i="11"/>
  <c r="AI89" i="11"/>
  <c r="AI87" i="11"/>
  <c r="AI84" i="11"/>
  <c r="AI82" i="11"/>
  <c r="AI80" i="11"/>
  <c r="AI92" i="11"/>
  <c r="AI90" i="11"/>
  <c r="AI88" i="11"/>
  <c r="AJ83" i="11"/>
  <c r="AL83" i="11" s="1" a="1"/>
  <c r="AL83" i="11" s="1"/>
  <c r="AJ81" i="11"/>
  <c r="AL81" i="11" s="1" a="1"/>
  <c r="AL81" i="11" s="1"/>
  <c r="AJ79" i="11"/>
  <c r="AL79" i="11" s="1" a="1"/>
  <c r="AL79" i="11" s="1"/>
  <c r="AJ91" i="11"/>
  <c r="AL91" i="11" s="1" a="1"/>
  <c r="AL91" i="11" s="1"/>
  <c r="AJ89" i="11"/>
  <c r="AL89" i="11" s="1" a="1"/>
  <c r="AL89" i="11" s="1"/>
  <c r="AJ87" i="11"/>
  <c r="AL87" i="11" s="1" a="1"/>
  <c r="AL87" i="11" s="1"/>
  <c r="AJ84" i="11"/>
  <c r="AL84" i="11" s="1" a="1"/>
  <c r="AL84" i="11" s="1"/>
  <c r="AJ82" i="11"/>
  <c r="AL82" i="11" s="1" a="1"/>
  <c r="AL82" i="11" s="1"/>
  <c r="AJ80" i="11"/>
  <c r="AJ92" i="11"/>
  <c r="AL92" i="11" s="1" a="1"/>
  <c r="AL92" i="11" s="1"/>
  <c r="AJ90" i="11"/>
  <c r="AL90" i="11" s="1" a="1"/>
  <c r="AL90" i="11" s="1"/>
  <c r="AJ88" i="11"/>
  <c r="AL88" i="11" s="1" a="1"/>
  <c r="AL88" i="11" s="1"/>
  <c r="AK83" i="11"/>
  <c r="AK81" i="11"/>
  <c r="AK79" i="11"/>
  <c r="AK91" i="11"/>
  <c r="AK89" i="11"/>
  <c r="AK87" i="11"/>
  <c r="AK84" i="11"/>
  <c r="AK82" i="11"/>
  <c r="AK80" i="11"/>
  <c r="AK92" i="11"/>
  <c r="AK90" i="11"/>
  <c r="AK88" i="11"/>
  <c r="AL80" i="11" a="1"/>
  <c r="AL80" i="11" s="1"/>
  <c r="X108" i="13"/>
  <c r="X106" i="13"/>
  <c r="X103" i="13"/>
  <c r="X114" i="13"/>
  <c r="X112" i="13"/>
  <c r="X110" i="13"/>
  <c r="X122" i="13"/>
  <c r="X120" i="13"/>
  <c r="X117" i="13"/>
  <c r="X130" i="13"/>
  <c r="X128" i="13"/>
  <c r="X126" i="13"/>
  <c r="X137" i="13"/>
  <c r="X135" i="13"/>
  <c r="X133" i="13"/>
  <c r="Y108" i="13"/>
  <c r="AA108" i="13" s="1" a="1"/>
  <c r="AA108" i="13" s="1"/>
  <c r="Y106" i="13"/>
  <c r="AA106" i="13" s="1" a="1"/>
  <c r="AA106" i="13" s="1"/>
  <c r="Y103" i="13"/>
  <c r="AA103" i="13" s="1" a="1"/>
  <c r="AA103" i="13" s="1"/>
  <c r="Y114" i="13"/>
  <c r="AA114" i="13" s="1" a="1"/>
  <c r="AA114" i="13" s="1"/>
  <c r="Y112" i="13"/>
  <c r="AA112" i="13" s="1" a="1"/>
  <c r="AA112" i="13" s="1"/>
  <c r="Y110" i="13"/>
  <c r="AA110" i="13" s="1" a="1"/>
  <c r="AA110" i="13" s="1"/>
  <c r="Y122" i="13"/>
  <c r="AA122" i="13" s="1" a="1"/>
  <c r="AA122" i="13" s="1"/>
  <c r="Y120" i="13"/>
  <c r="Z120" i="13" s="1" a="1"/>
  <c r="Z120" i="13" s="1"/>
  <c r="Y117" i="13"/>
  <c r="AA117" i="13" s="1" a="1"/>
  <c r="AA117" i="13" s="1"/>
  <c r="Y130" i="13"/>
  <c r="Z130" i="13" s="1" a="1"/>
  <c r="Z130" i="13" s="1"/>
  <c r="Y128" i="13"/>
  <c r="Z128" i="13" s="1" a="1"/>
  <c r="Z128" i="13" s="1"/>
  <c r="Y126" i="13"/>
  <c r="Z126" i="13" s="1" a="1"/>
  <c r="Z126" i="13" s="1"/>
  <c r="Y137" i="13"/>
  <c r="Z137" i="13" s="1" a="1"/>
  <c r="Z137" i="13" s="1"/>
  <c r="Y135" i="13"/>
  <c r="AA135" i="13" s="1" a="1"/>
  <c r="AA135" i="13" s="1"/>
  <c r="Y133" i="13"/>
  <c r="AA133" i="13" s="1" a="1"/>
  <c r="AA133" i="13" s="1"/>
  <c r="AA120" i="13" a="1"/>
  <c r="AA120" i="13" s="1"/>
  <c r="M96" i="13"/>
  <c r="M94" i="13"/>
  <c r="M92" i="13"/>
  <c r="M102" i="13"/>
  <c r="M100" i="13"/>
  <c r="M97" i="13"/>
  <c r="M110" i="13"/>
  <c r="M108" i="13"/>
  <c r="M105" i="13"/>
  <c r="M118" i="13"/>
  <c r="M116" i="13"/>
  <c r="M113" i="13"/>
  <c r="M125" i="13"/>
  <c r="M123" i="13"/>
  <c r="M121" i="13"/>
  <c r="N96" i="13"/>
  <c r="P96" i="13" s="1" a="1"/>
  <c r="P96" i="13" s="1"/>
  <c r="N94" i="13"/>
  <c r="O94" i="13" s="1" a="1"/>
  <c r="O94" i="13" s="1"/>
  <c r="N92" i="13"/>
  <c r="P92" i="13" s="1" a="1"/>
  <c r="P92" i="13" s="1"/>
  <c r="N102" i="13"/>
  <c r="O102" i="13" s="1" a="1"/>
  <c r="O102" i="13" s="1"/>
  <c r="N100" i="13"/>
  <c r="P100" i="13" s="1" a="1"/>
  <c r="P100" i="13" s="1"/>
  <c r="N97" i="13"/>
  <c r="P97" i="13" s="1" a="1"/>
  <c r="P97" i="13" s="1"/>
  <c r="N110" i="13"/>
  <c r="P110" i="13" s="1" a="1"/>
  <c r="P110" i="13" s="1"/>
  <c r="N108" i="13"/>
  <c r="O108" i="13" s="1" a="1"/>
  <c r="O108" i="13" s="1"/>
  <c r="N105" i="13"/>
  <c r="P105" i="13" s="1" a="1"/>
  <c r="P105" i="13" s="1"/>
  <c r="N118" i="13"/>
  <c r="O118" i="13" s="1" a="1"/>
  <c r="O118" i="13" s="1"/>
  <c r="N116" i="13"/>
  <c r="P116" i="13" s="1" a="1"/>
  <c r="P116" i="13" s="1"/>
  <c r="N113" i="13"/>
  <c r="P113" i="13" s="1" a="1"/>
  <c r="P113" i="13" s="1"/>
  <c r="N125" i="13"/>
  <c r="P125" i="13" s="1" a="1"/>
  <c r="P125" i="13" s="1"/>
  <c r="N123" i="13"/>
  <c r="O123" i="13" s="1" a="1"/>
  <c r="O123" i="13" s="1"/>
  <c r="N121" i="13"/>
  <c r="P121" i="13" s="1" a="1"/>
  <c r="P121" i="13" s="1"/>
  <c r="O100" i="13" a="1"/>
  <c r="O100" i="13" s="1"/>
  <c r="O105" i="13" a="1"/>
  <c r="O105" i="13" s="1"/>
  <c r="O125" i="13" a="1"/>
  <c r="O125" i="13" s="1"/>
  <c r="B96" i="13"/>
  <c r="B94" i="13"/>
  <c r="B91" i="13"/>
  <c r="B102" i="13"/>
  <c r="B100" i="13"/>
  <c r="B97" i="13"/>
  <c r="B110" i="13"/>
  <c r="B108" i="13"/>
  <c r="B105" i="13"/>
  <c r="B118" i="13"/>
  <c r="B116" i="13"/>
  <c r="B115" i="13"/>
  <c r="B125" i="13"/>
  <c r="B123" i="13"/>
  <c r="B122" i="13"/>
  <c r="C96" i="13"/>
  <c r="E96" i="13" s="1" a="1"/>
  <c r="E96" i="13" s="1"/>
  <c r="C94" i="13"/>
  <c r="E94" i="13" s="1" a="1"/>
  <c r="E94" i="13" s="1"/>
  <c r="C91" i="13"/>
  <c r="D91" i="13" s="1" a="1"/>
  <c r="D91" i="13" s="1"/>
  <c r="C102" i="13"/>
  <c r="E102" i="13" s="1" a="1"/>
  <c r="E102" i="13" s="1"/>
  <c r="C100" i="13"/>
  <c r="E100" i="13" s="1" a="1"/>
  <c r="E100" i="13" s="1"/>
  <c r="C97" i="13"/>
  <c r="E97" i="13" s="1" a="1"/>
  <c r="E97" i="13" s="1"/>
  <c r="C110" i="13"/>
  <c r="E110" i="13" s="1" a="1"/>
  <c r="E110" i="13" s="1"/>
  <c r="C108" i="13"/>
  <c r="D108" i="13" s="1" a="1"/>
  <c r="D108" i="13" s="1"/>
  <c r="C105" i="13"/>
  <c r="C118" i="13"/>
  <c r="D118" i="13" s="1" a="1"/>
  <c r="D118" i="13" s="1"/>
  <c r="C116" i="13"/>
  <c r="D116" i="13" s="1" a="1"/>
  <c r="D116" i="13" s="1"/>
  <c r="C115" i="13"/>
  <c r="E115" i="13" s="1" a="1"/>
  <c r="E115" i="13" s="1"/>
  <c r="C125" i="13"/>
  <c r="D125" i="13" s="1" a="1"/>
  <c r="D125" i="13" s="1"/>
  <c r="C123" i="13"/>
  <c r="E123" i="13" s="1" a="1"/>
  <c r="E123" i="13" s="1"/>
  <c r="C122" i="13"/>
  <c r="E122" i="13" s="1" a="1"/>
  <c r="E122" i="13" s="1"/>
  <c r="D105" i="13" a="1"/>
  <c r="D105" i="13" s="1"/>
  <c r="E105" i="13" a="1"/>
  <c r="E105" i="13" s="1"/>
  <c r="E118" i="13" a="1"/>
  <c r="E118" i="13" s="1"/>
  <c r="E116" i="13" a="1"/>
  <c r="E116" i="13" s="1"/>
  <c r="X107" i="13"/>
  <c r="X105" i="13"/>
  <c r="X104" i="13"/>
  <c r="X113" i="13"/>
  <c r="X111" i="13"/>
  <c r="X109" i="13"/>
  <c r="X121" i="13"/>
  <c r="X119" i="13"/>
  <c r="X118" i="13"/>
  <c r="X129" i="13"/>
  <c r="X127" i="13"/>
  <c r="X125" i="13"/>
  <c r="X136" i="13"/>
  <c r="X134" i="13"/>
  <c r="X132" i="13"/>
  <c r="Y107" i="13"/>
  <c r="AA107" i="13" s="1" a="1"/>
  <c r="AA107" i="13" s="1"/>
  <c r="Y105" i="13"/>
  <c r="AA105" i="13" s="1" a="1"/>
  <c r="AA105" i="13" s="1"/>
  <c r="Y104" i="13"/>
  <c r="AA104" i="13" s="1" a="1"/>
  <c r="AA104" i="13" s="1"/>
  <c r="Y113" i="13"/>
  <c r="Z113" i="13" s="1" a="1"/>
  <c r="Z113" i="13" s="1"/>
  <c r="Y111" i="13"/>
  <c r="AA111" i="13" s="1" a="1"/>
  <c r="AA111" i="13" s="1"/>
  <c r="Y109" i="13"/>
  <c r="AA109" i="13" s="1" a="1"/>
  <c r="AA109" i="13" s="1"/>
  <c r="Y121" i="13"/>
  <c r="AA121" i="13" s="1" a="1"/>
  <c r="AA121" i="13" s="1"/>
  <c r="Y119" i="13"/>
  <c r="AA119" i="13" s="1" a="1"/>
  <c r="AA119" i="13" s="1"/>
  <c r="Y118" i="13"/>
  <c r="Z118" i="13" s="1" a="1"/>
  <c r="Z118" i="13" s="1"/>
  <c r="Y129" i="13"/>
  <c r="Z129" i="13" s="1" a="1"/>
  <c r="Z129" i="13" s="1"/>
  <c r="Y127" i="13"/>
  <c r="Z127" i="13" s="1" a="1"/>
  <c r="Z127" i="13" s="1"/>
  <c r="Y125" i="13"/>
  <c r="Z125" i="13" s="1" a="1"/>
  <c r="Z125" i="13" s="1"/>
  <c r="Y136" i="13"/>
  <c r="Z136" i="13" s="1" a="1"/>
  <c r="Z136" i="13" s="1"/>
  <c r="Y134" i="13"/>
  <c r="AA134" i="13" s="1" a="1"/>
  <c r="AA134" i="13" s="1"/>
  <c r="Y132" i="13"/>
  <c r="AA132" i="13" s="1" a="1"/>
  <c r="AA132" i="13" s="1"/>
  <c r="M95" i="13"/>
  <c r="M93" i="13"/>
  <c r="M91" i="13"/>
  <c r="M101" i="13"/>
  <c r="M99" i="13"/>
  <c r="M98" i="13"/>
  <c r="M109" i="13"/>
  <c r="M107" i="13"/>
  <c r="M106" i="13"/>
  <c r="M117" i="13"/>
  <c r="M115" i="13"/>
  <c r="M114" i="13"/>
  <c r="M124" i="13"/>
  <c r="M122" i="13"/>
  <c r="M120" i="13"/>
  <c r="N95" i="13"/>
  <c r="P95" i="13" s="1" a="1"/>
  <c r="P95" i="13" s="1"/>
  <c r="N93" i="13"/>
  <c r="O93" i="13" s="1" a="1"/>
  <c r="O93" i="13" s="1"/>
  <c r="N91" i="13"/>
  <c r="O91" i="13" s="1" a="1"/>
  <c r="O91" i="13" s="1"/>
  <c r="N101" i="13"/>
  <c r="P101" i="13" s="1" a="1"/>
  <c r="P101" i="13" s="1"/>
  <c r="N99" i="13"/>
  <c r="P99" i="13" s="1" a="1"/>
  <c r="P99" i="13" s="1"/>
  <c r="N98" i="13"/>
  <c r="P98" i="13" s="1" a="1"/>
  <c r="P98" i="13" s="1"/>
  <c r="N109" i="13"/>
  <c r="O109" i="13" s="1" a="1"/>
  <c r="O109" i="13" s="1"/>
  <c r="N107" i="13"/>
  <c r="O107" i="13" s="1" a="1"/>
  <c r="O107" i="13" s="1"/>
  <c r="N106" i="13"/>
  <c r="O106" i="13" s="1" a="1"/>
  <c r="O106" i="13" s="1"/>
  <c r="N117" i="13"/>
  <c r="O117" i="13" s="1" a="1"/>
  <c r="O117" i="13" s="1"/>
  <c r="N115" i="13"/>
  <c r="P115" i="13" s="1" a="1"/>
  <c r="P115" i="13" s="1"/>
  <c r="N114" i="13"/>
  <c r="P114" i="13" s="1" a="1"/>
  <c r="P114" i="13" s="1"/>
  <c r="N124" i="13"/>
  <c r="P124" i="13" s="1" a="1"/>
  <c r="P124" i="13" s="1"/>
  <c r="N122" i="13"/>
  <c r="P122" i="13" s="1" a="1"/>
  <c r="P122" i="13" s="1"/>
  <c r="N120" i="13"/>
  <c r="O120" i="13" s="1" a="1"/>
  <c r="O120" i="13" s="1"/>
  <c r="B95" i="13"/>
  <c r="B92" i="13"/>
  <c r="B93" i="13"/>
  <c r="B101" i="13"/>
  <c r="B98" i="13"/>
  <c r="B99" i="13"/>
  <c r="B109" i="13"/>
  <c r="B106" i="13"/>
  <c r="B107" i="13"/>
  <c r="B117" i="13"/>
  <c r="B113" i="13"/>
  <c r="B114" i="13"/>
  <c r="B124" i="13"/>
  <c r="B120" i="13"/>
  <c r="B121" i="13"/>
  <c r="C95" i="13"/>
  <c r="E95" i="13" s="1" a="1"/>
  <c r="E95" i="13" s="1"/>
  <c r="C92" i="13"/>
  <c r="E92" i="13" s="1" a="1"/>
  <c r="E92" i="13" s="1"/>
  <c r="C93" i="13"/>
  <c r="E93" i="13" s="1" a="1"/>
  <c r="E93" i="13" s="1"/>
  <c r="C101" i="13"/>
  <c r="D101" i="13" s="1" a="1"/>
  <c r="D101" i="13" s="1"/>
  <c r="C98" i="13"/>
  <c r="D98" i="13" s="1" a="1"/>
  <c r="D98" i="13" s="1"/>
  <c r="C99" i="13"/>
  <c r="E99" i="13" s="1" a="1"/>
  <c r="E99" i="13" s="1"/>
  <c r="C109" i="13"/>
  <c r="D109" i="13" s="1" a="1"/>
  <c r="D109" i="13" s="1"/>
  <c r="C106" i="13"/>
  <c r="D106" i="13" s="1" a="1"/>
  <c r="D106" i="13" s="1"/>
  <c r="C107" i="13"/>
  <c r="D107" i="13" s="1" a="1"/>
  <c r="D107" i="13" s="1"/>
  <c r="C117" i="13"/>
  <c r="D117" i="13" s="1" a="1"/>
  <c r="D117" i="13" s="1"/>
  <c r="C113" i="13"/>
  <c r="D113" i="13" s="1" a="1"/>
  <c r="D113" i="13" s="1"/>
  <c r="C114" i="13"/>
  <c r="D114" i="13" s="1" a="1"/>
  <c r="D114" i="13" s="1"/>
  <c r="C124" i="13"/>
  <c r="E124" i="13" s="1" a="1"/>
  <c r="E124" i="13" s="1"/>
  <c r="C120" i="13"/>
  <c r="E120" i="13" s="1" a="1"/>
  <c r="E120" i="13" s="1"/>
  <c r="C121" i="13"/>
  <c r="E121" i="13" s="1" a="1"/>
  <c r="E121" i="13" s="1"/>
  <c r="X114" i="12"/>
  <c r="X112" i="12"/>
  <c r="X109" i="12"/>
  <c r="X120" i="12"/>
  <c r="X118" i="12"/>
  <c r="X117" i="12"/>
  <c r="X128" i="12"/>
  <c r="X126" i="12"/>
  <c r="X123" i="12"/>
  <c r="X136" i="12"/>
  <c r="X134" i="12"/>
  <c r="X131" i="12"/>
  <c r="X146" i="12"/>
  <c r="X144" i="12"/>
  <c r="X141" i="12"/>
  <c r="Y114" i="12"/>
  <c r="AA114" i="12" s="1" a="1"/>
  <c r="AA114" i="12" s="1"/>
  <c r="Y112" i="12"/>
  <c r="Z112" i="12" s="1" a="1"/>
  <c r="Z112" i="12" s="1"/>
  <c r="Y109" i="12"/>
  <c r="Z109" i="12" s="1" a="1"/>
  <c r="Z109" i="12" s="1"/>
  <c r="Y120" i="12"/>
  <c r="AA120" i="12" s="1" a="1"/>
  <c r="AA120" i="12" s="1"/>
  <c r="Y118" i="12"/>
  <c r="AA118" i="12" s="1" a="1"/>
  <c r="AA118" i="12" s="1"/>
  <c r="Y117" i="12"/>
  <c r="AA117" i="12" s="1" a="1"/>
  <c r="AA117" i="12" s="1"/>
  <c r="Y128" i="12"/>
  <c r="Z128" i="12" s="1" a="1"/>
  <c r="Z128" i="12" s="1"/>
  <c r="Y126" i="12"/>
  <c r="AA126" i="12" s="1" a="1"/>
  <c r="AA126" i="12" s="1"/>
  <c r="Y123" i="12"/>
  <c r="Z123" i="12" s="1" a="1"/>
  <c r="Z123" i="12" s="1"/>
  <c r="Y136" i="12"/>
  <c r="Z136" i="12" s="1" a="1"/>
  <c r="Z136" i="12" s="1"/>
  <c r="Y134" i="12"/>
  <c r="AA134" i="12" s="1" a="1"/>
  <c r="AA134" i="12" s="1"/>
  <c r="Y131" i="12"/>
  <c r="Z131" i="12" s="1" a="1"/>
  <c r="Z131" i="12" s="1"/>
  <c r="Y146" i="12"/>
  <c r="Z146" i="12" s="1" a="1"/>
  <c r="Z146" i="12" s="1"/>
  <c r="Y144" i="12"/>
  <c r="AA144" i="12" s="1" a="1"/>
  <c r="AA144" i="12" s="1"/>
  <c r="Y141" i="12"/>
  <c r="AA141" i="12" s="1" a="1"/>
  <c r="AA141" i="12" s="1"/>
  <c r="AA112" i="12" a="1"/>
  <c r="AA112" i="12" s="1"/>
  <c r="AA123" i="12" a="1"/>
  <c r="AA123" i="12" s="1"/>
  <c r="AA136" i="12" a="1"/>
  <c r="AA136" i="12" s="1"/>
  <c r="M100" i="12"/>
  <c r="M98" i="12"/>
  <c r="M95" i="12"/>
  <c r="M106" i="12"/>
  <c r="M104" i="12"/>
  <c r="M101" i="12"/>
  <c r="M114" i="12"/>
  <c r="M112" i="12"/>
  <c r="M109" i="12"/>
  <c r="M122" i="12"/>
  <c r="M120" i="12"/>
  <c r="M117" i="12"/>
  <c r="M131" i="12"/>
  <c r="M129" i="12"/>
  <c r="M126" i="12"/>
  <c r="N100" i="12"/>
  <c r="P100" i="12" s="1" a="1"/>
  <c r="P100" i="12" s="1"/>
  <c r="N98" i="12"/>
  <c r="P98" i="12" s="1" a="1"/>
  <c r="P98" i="12" s="1"/>
  <c r="N95" i="12"/>
  <c r="P95" i="12" s="1" a="1"/>
  <c r="P95" i="12" s="1"/>
  <c r="N106" i="12"/>
  <c r="O106" i="12" s="1" a="1"/>
  <c r="O106" i="12" s="1"/>
  <c r="N104" i="12"/>
  <c r="P104" i="12" s="1" a="1"/>
  <c r="P104" i="12" s="1"/>
  <c r="N101" i="12"/>
  <c r="P101" i="12" s="1" a="1"/>
  <c r="P101" i="12" s="1"/>
  <c r="N114" i="12"/>
  <c r="P114" i="12" s="1" a="1"/>
  <c r="P114" i="12" s="1"/>
  <c r="N112" i="12"/>
  <c r="O112" i="12" s="1" a="1"/>
  <c r="O112" i="12" s="1"/>
  <c r="N109" i="12"/>
  <c r="O109" i="12" s="1" a="1"/>
  <c r="O109" i="12" s="1"/>
  <c r="N122" i="12"/>
  <c r="O122" i="12" s="1" a="1"/>
  <c r="O122" i="12" s="1"/>
  <c r="N120" i="12"/>
  <c r="N117" i="12"/>
  <c r="O117" i="12" s="1" a="1"/>
  <c r="O117" i="12" s="1"/>
  <c r="N131" i="12"/>
  <c r="P131" i="12" s="1" a="1"/>
  <c r="P131" i="12" s="1"/>
  <c r="N129" i="12"/>
  <c r="P129" i="12" s="1" a="1"/>
  <c r="P129" i="12" s="1"/>
  <c r="N126" i="12"/>
  <c r="O126" i="12" s="1" a="1"/>
  <c r="O126" i="12" s="1"/>
  <c r="O114" i="12" a="1"/>
  <c r="O114" i="12" s="1"/>
  <c r="O120" i="12" a="1"/>
  <c r="O120" i="12" s="1"/>
  <c r="P120" i="12" a="1"/>
  <c r="P120" i="12" s="1"/>
  <c r="B100" i="12"/>
  <c r="B97" i="12"/>
  <c r="B95" i="12"/>
  <c r="B105" i="12"/>
  <c r="B103" i="12"/>
  <c r="B106" i="12"/>
  <c r="B114" i="12"/>
  <c r="B112" i="12"/>
  <c r="B109" i="12"/>
  <c r="B122" i="12"/>
  <c r="B120" i="12"/>
  <c r="B119" i="12"/>
  <c r="B131" i="12"/>
  <c r="B129" i="12"/>
  <c r="B126" i="12"/>
  <c r="C100" i="12"/>
  <c r="E100" i="12" s="1" a="1"/>
  <c r="E100" i="12" s="1"/>
  <c r="C97" i="12"/>
  <c r="D97" i="12" s="1" a="1"/>
  <c r="D97" i="12" s="1"/>
  <c r="C95" i="12"/>
  <c r="D95" i="12" s="1" a="1"/>
  <c r="D95" i="12" s="1"/>
  <c r="C105" i="12"/>
  <c r="E105" i="12" s="1" a="1"/>
  <c r="E105" i="12" s="1"/>
  <c r="C103" i="12"/>
  <c r="E103" i="12" s="1" a="1"/>
  <c r="E103" i="12" s="1"/>
  <c r="C106" i="12"/>
  <c r="E106" i="12" s="1" a="1"/>
  <c r="E106" i="12" s="1"/>
  <c r="C114" i="12"/>
  <c r="E114" i="12" s="1" a="1"/>
  <c r="E114" i="12" s="1"/>
  <c r="C112" i="12"/>
  <c r="E112" i="12" s="1" a="1"/>
  <c r="E112" i="12" s="1"/>
  <c r="C109" i="12"/>
  <c r="D109" i="12" s="1" a="1"/>
  <c r="D109" i="12" s="1"/>
  <c r="C122" i="12"/>
  <c r="D122" i="12" s="1" a="1"/>
  <c r="D122" i="12" s="1"/>
  <c r="C120" i="12"/>
  <c r="E120" i="12" s="1" a="1"/>
  <c r="E120" i="12" s="1"/>
  <c r="C119" i="12"/>
  <c r="E119" i="12" s="1" a="1"/>
  <c r="E119" i="12" s="1"/>
  <c r="C131" i="12"/>
  <c r="D131" i="12" s="1" a="1"/>
  <c r="D131" i="12" s="1"/>
  <c r="C129" i="12"/>
  <c r="E129" i="12" s="1" a="1"/>
  <c r="E129" i="12" s="1"/>
  <c r="C126" i="12"/>
  <c r="E126" i="12" s="1" a="1"/>
  <c r="E126" i="12" s="1"/>
  <c r="E131" i="12" a="1"/>
  <c r="E131" i="12" s="1"/>
  <c r="X113" i="12"/>
  <c r="X111" i="12"/>
  <c r="X110" i="12"/>
  <c r="X119" i="12"/>
  <c r="X116" i="12"/>
  <c r="X115" i="12"/>
  <c r="X127" i="12"/>
  <c r="X125" i="12"/>
  <c r="X124" i="12"/>
  <c r="X135" i="12"/>
  <c r="X133" i="12"/>
  <c r="X132" i="12"/>
  <c r="X145" i="12"/>
  <c r="X143" i="12"/>
  <c r="X142" i="12"/>
  <c r="Y113" i="12"/>
  <c r="AA113" i="12" s="1" a="1"/>
  <c r="AA113" i="12" s="1"/>
  <c r="Y111" i="12"/>
  <c r="AA111" i="12" s="1" a="1"/>
  <c r="AA111" i="12" s="1"/>
  <c r="Y110" i="12"/>
  <c r="AA110" i="12" s="1" a="1"/>
  <c r="AA110" i="12" s="1"/>
  <c r="Y119" i="12"/>
  <c r="AA119" i="12" s="1" a="1"/>
  <c r="AA119" i="12" s="1"/>
  <c r="Y116" i="12"/>
  <c r="Z116" i="12" s="1" a="1"/>
  <c r="Z116" i="12" s="1"/>
  <c r="Y115" i="12"/>
  <c r="AA115" i="12" s="1" a="1"/>
  <c r="AA115" i="12" s="1"/>
  <c r="Y127" i="12"/>
  <c r="AA127" i="12" s="1" a="1"/>
  <c r="AA127" i="12" s="1"/>
  <c r="Y125" i="12"/>
  <c r="Z125" i="12" s="1" a="1"/>
  <c r="Z125" i="12" s="1"/>
  <c r="Y124" i="12"/>
  <c r="Z124" i="12" s="1" a="1"/>
  <c r="Z124" i="12" s="1"/>
  <c r="Y135" i="12"/>
  <c r="AA135" i="12" s="1" a="1"/>
  <c r="AA135" i="12" s="1"/>
  <c r="Y133" i="12"/>
  <c r="AA133" i="12" s="1" a="1"/>
  <c r="AA133" i="12" s="1"/>
  <c r="Y132" i="12"/>
  <c r="Z132" i="12" s="1" a="1"/>
  <c r="Z132" i="12" s="1"/>
  <c r="Y145" i="12"/>
  <c r="Z145" i="12" s="1" a="1"/>
  <c r="Z145" i="12" s="1"/>
  <c r="Y143" i="12"/>
  <c r="AA143" i="12" s="1" a="1"/>
  <c r="AA143" i="12" s="1"/>
  <c r="Y142" i="12"/>
  <c r="AA142" i="12" s="1" a="1"/>
  <c r="AA142" i="12" s="1"/>
  <c r="M99" i="12"/>
  <c r="M97" i="12"/>
  <c r="M96" i="12"/>
  <c r="M105" i="12"/>
  <c r="M103" i="12"/>
  <c r="M102" i="12"/>
  <c r="M113" i="12"/>
  <c r="M111" i="12"/>
  <c r="M110" i="12"/>
  <c r="M121" i="12"/>
  <c r="M119" i="12"/>
  <c r="M118" i="12"/>
  <c r="M130" i="12"/>
  <c r="M128" i="12"/>
  <c r="M127" i="12"/>
  <c r="N99" i="12"/>
  <c r="O99" i="12" s="1" a="1"/>
  <c r="O99" i="12" s="1"/>
  <c r="N97" i="12"/>
  <c r="O97" i="12" s="1" a="1"/>
  <c r="O97" i="12" s="1"/>
  <c r="N96" i="12"/>
  <c r="O96" i="12" s="1" a="1"/>
  <c r="O96" i="12" s="1"/>
  <c r="N105" i="12"/>
  <c r="P105" i="12" s="1" a="1"/>
  <c r="P105" i="12" s="1"/>
  <c r="N103" i="12"/>
  <c r="P103" i="12" s="1" a="1"/>
  <c r="P103" i="12" s="1"/>
  <c r="N102" i="12"/>
  <c r="P102" i="12" s="1" a="1"/>
  <c r="P102" i="12" s="1"/>
  <c r="N113" i="12"/>
  <c r="P113" i="12" s="1" a="1"/>
  <c r="P113" i="12" s="1"/>
  <c r="N111" i="12"/>
  <c r="O111" i="12" s="1" a="1"/>
  <c r="O111" i="12" s="1"/>
  <c r="N110" i="12"/>
  <c r="O110" i="12" s="1" a="1"/>
  <c r="O110" i="12" s="1"/>
  <c r="N121" i="12"/>
  <c r="O121" i="12" s="1" a="1"/>
  <c r="O121" i="12" s="1"/>
  <c r="N119" i="12"/>
  <c r="P119" i="12" s="1" a="1"/>
  <c r="P119" i="12" s="1"/>
  <c r="N118" i="12"/>
  <c r="P118" i="12" s="1" a="1"/>
  <c r="P118" i="12" s="1"/>
  <c r="N130" i="12"/>
  <c r="P130" i="12" s="1" a="1"/>
  <c r="P130" i="12" s="1"/>
  <c r="N128" i="12"/>
  <c r="P128" i="12" s="1" a="1"/>
  <c r="P128" i="12" s="1"/>
  <c r="N127" i="12"/>
  <c r="O127" i="12" s="1" a="1"/>
  <c r="O127" i="12" s="1"/>
  <c r="B99" i="12"/>
  <c r="B96" i="12"/>
  <c r="B98" i="12"/>
  <c r="B104" i="12"/>
  <c r="B101" i="12"/>
  <c r="B102" i="12"/>
  <c r="B113" i="12"/>
  <c r="B110" i="12"/>
  <c r="B111" i="12"/>
  <c r="B121" i="12"/>
  <c r="B117" i="12"/>
  <c r="B118" i="12"/>
  <c r="B130" i="12"/>
  <c r="B128" i="12"/>
  <c r="B127" i="12"/>
  <c r="C99" i="12"/>
  <c r="E99" i="12" s="1" a="1"/>
  <c r="E99" i="12" s="1"/>
  <c r="C96" i="12"/>
  <c r="E96" i="12" s="1" a="1"/>
  <c r="E96" i="12" s="1"/>
  <c r="C98" i="12"/>
  <c r="D98" i="12" s="1" a="1"/>
  <c r="D98" i="12" s="1"/>
  <c r="C104" i="12"/>
  <c r="D104" i="12" s="1" a="1"/>
  <c r="D104" i="12" s="1"/>
  <c r="C101" i="12"/>
  <c r="D101" i="12" s="1" a="1"/>
  <c r="D101" i="12" s="1"/>
  <c r="C102" i="12"/>
  <c r="E102" i="12" s="1" a="1"/>
  <c r="E102" i="12" s="1"/>
  <c r="C113" i="12"/>
  <c r="D113" i="12" s="1" a="1"/>
  <c r="D113" i="12" s="1"/>
  <c r="C110" i="12"/>
  <c r="D110" i="12" s="1" a="1"/>
  <c r="D110" i="12" s="1"/>
  <c r="C111" i="12"/>
  <c r="D111" i="12" s="1" a="1"/>
  <c r="D111" i="12" s="1"/>
  <c r="C121" i="12"/>
  <c r="D121" i="12" s="1" a="1"/>
  <c r="D121" i="12" s="1"/>
  <c r="C117" i="12"/>
  <c r="E117" i="12" s="1" a="1"/>
  <c r="E117" i="12" s="1"/>
  <c r="C118" i="12"/>
  <c r="D118" i="12" s="1" a="1"/>
  <c r="D118" i="12" s="1"/>
  <c r="C130" i="12"/>
  <c r="E130" i="12" s="1" a="1"/>
  <c r="E130" i="12" s="1"/>
  <c r="C128" i="12"/>
  <c r="D128" i="12" s="1" a="1"/>
  <c r="D128" i="12" s="1"/>
  <c r="C127" i="12"/>
  <c r="E127" i="12" s="1" a="1"/>
  <c r="E127" i="12" s="1"/>
  <c r="X122" i="11"/>
  <c r="X120" i="11"/>
  <c r="X117" i="11"/>
  <c r="X128" i="11"/>
  <c r="X126" i="11"/>
  <c r="X123" i="11"/>
  <c r="X136" i="11"/>
  <c r="X134" i="11"/>
  <c r="X131" i="11"/>
  <c r="X144" i="11"/>
  <c r="X142" i="11"/>
  <c r="X139" i="11"/>
  <c r="X152" i="11"/>
  <c r="X150" i="11"/>
  <c r="X148" i="11"/>
  <c r="Y122" i="11"/>
  <c r="Z122" i="11" s="1" a="1"/>
  <c r="Z122" i="11" s="1"/>
  <c r="Y120" i="11"/>
  <c r="Z120" i="11" s="1" a="1"/>
  <c r="Z120" i="11" s="1"/>
  <c r="Y117" i="11"/>
  <c r="Z117" i="11" s="1" a="1"/>
  <c r="Z117" i="11" s="1"/>
  <c r="Y128" i="11"/>
  <c r="Z128" i="11" s="1" a="1"/>
  <c r="Z128" i="11" s="1"/>
  <c r="Y126" i="11"/>
  <c r="Z126" i="11" s="1" a="1"/>
  <c r="Z126" i="11" s="1"/>
  <c r="Y123" i="11"/>
  <c r="AA123" i="11" s="1" a="1"/>
  <c r="AA123" i="11" s="1"/>
  <c r="Y136" i="11"/>
  <c r="AA136" i="11" s="1" a="1"/>
  <c r="AA136" i="11" s="1"/>
  <c r="Y134" i="11"/>
  <c r="AA134" i="11" s="1" a="1"/>
  <c r="AA134" i="11" s="1"/>
  <c r="Y131" i="11"/>
  <c r="AA131" i="11" s="1" a="1"/>
  <c r="AA131" i="11" s="1"/>
  <c r="Y144" i="11"/>
  <c r="Z144" i="11" s="1" a="1"/>
  <c r="Z144" i="11" s="1"/>
  <c r="Y142" i="11"/>
  <c r="AA142" i="11" s="1" a="1"/>
  <c r="AA142" i="11" s="1"/>
  <c r="Y139" i="11"/>
  <c r="Z139" i="11" s="1" a="1"/>
  <c r="Z139" i="11" s="1"/>
  <c r="Y152" i="11"/>
  <c r="Z152" i="11" s="1" a="1"/>
  <c r="Z152" i="11" s="1"/>
  <c r="Y150" i="11"/>
  <c r="AA150" i="11" s="1" a="1"/>
  <c r="AA150" i="11" s="1"/>
  <c r="Y148" i="11"/>
  <c r="AA148" i="11" s="1" a="1"/>
  <c r="AA148" i="11" s="1"/>
  <c r="Z131" i="11" a="1"/>
  <c r="Z131" i="11" s="1"/>
  <c r="AA139" i="11" a="1"/>
  <c r="AA139" i="11" s="1"/>
  <c r="M98" i="11"/>
  <c r="M96" i="11"/>
  <c r="M93" i="11"/>
  <c r="M104" i="11"/>
  <c r="M102" i="11"/>
  <c r="M99" i="11"/>
  <c r="M112" i="11"/>
  <c r="M110" i="11"/>
  <c r="M107" i="11"/>
  <c r="M120" i="11"/>
  <c r="M118" i="11"/>
  <c r="M115" i="11"/>
  <c r="M128" i="11"/>
  <c r="M126" i="11"/>
  <c r="M123" i="11"/>
  <c r="N98" i="11"/>
  <c r="P98" i="11" s="1" a="1"/>
  <c r="P98" i="11" s="1"/>
  <c r="N96" i="11"/>
  <c r="P96" i="11" s="1" a="1"/>
  <c r="P96" i="11" s="1"/>
  <c r="N93" i="11"/>
  <c r="P93" i="11" s="1" a="1"/>
  <c r="P93" i="11" s="1"/>
  <c r="N104" i="11"/>
  <c r="P104" i="11" s="1" a="1"/>
  <c r="P104" i="11" s="1"/>
  <c r="N102" i="11"/>
  <c r="O102" i="11" s="1" a="1"/>
  <c r="O102" i="11" s="1"/>
  <c r="N99" i="11"/>
  <c r="P99" i="11" s="1" a="1"/>
  <c r="P99" i="11" s="1"/>
  <c r="N112" i="11"/>
  <c r="P112" i="11" s="1" a="1"/>
  <c r="P112" i="11" s="1"/>
  <c r="N110" i="11"/>
  <c r="O110" i="11" s="1" a="1"/>
  <c r="O110" i="11" s="1"/>
  <c r="N107" i="11"/>
  <c r="O107" i="11" s="1" a="1"/>
  <c r="O107" i="11" s="1"/>
  <c r="N120" i="11"/>
  <c r="O120" i="11" s="1" a="1"/>
  <c r="O120" i="11" s="1"/>
  <c r="N118" i="11"/>
  <c r="O118" i="11" s="1" a="1"/>
  <c r="O118" i="11" s="1"/>
  <c r="N115" i="11"/>
  <c r="P115" i="11" s="1" a="1"/>
  <c r="P115" i="11" s="1"/>
  <c r="N128" i="11"/>
  <c r="O128" i="11" s="1" a="1"/>
  <c r="O128" i="11" s="1"/>
  <c r="N126" i="11"/>
  <c r="P126" i="11" s="1" a="1"/>
  <c r="P126" i="11" s="1"/>
  <c r="N123" i="11"/>
  <c r="P123" i="11" s="1" a="1"/>
  <c r="P123" i="11" s="1"/>
  <c r="B98" i="11"/>
  <c r="B97" i="11"/>
  <c r="B94" i="11"/>
  <c r="B104" i="11"/>
  <c r="B103" i="11"/>
  <c r="B100" i="11"/>
  <c r="B112" i="11"/>
  <c r="B111" i="11"/>
  <c r="B109" i="11"/>
  <c r="B120" i="11"/>
  <c r="B119" i="11"/>
  <c r="B117" i="11"/>
  <c r="B128" i="11"/>
  <c r="B127" i="11"/>
  <c r="B125" i="11"/>
  <c r="C98" i="11"/>
  <c r="E98" i="11" s="1" a="1"/>
  <c r="E98" i="11" s="1"/>
  <c r="C97" i="11"/>
  <c r="D97" i="11" s="1" a="1"/>
  <c r="D97" i="11" s="1"/>
  <c r="C94" i="11"/>
  <c r="D94" i="11" s="1" a="1"/>
  <c r="D94" i="11" s="1"/>
  <c r="C104" i="11"/>
  <c r="D104" i="11" s="1" a="1"/>
  <c r="D104" i="11" s="1"/>
  <c r="C103" i="11"/>
  <c r="E103" i="11" s="1" a="1"/>
  <c r="E103" i="11" s="1"/>
  <c r="C100" i="11"/>
  <c r="E100" i="11" s="1" a="1"/>
  <c r="E100" i="11" s="1"/>
  <c r="C112" i="11"/>
  <c r="D112" i="11" s="1" a="1"/>
  <c r="D112" i="11" s="1"/>
  <c r="C111" i="11"/>
  <c r="E111" i="11" s="1" a="1"/>
  <c r="E111" i="11" s="1"/>
  <c r="C109" i="11"/>
  <c r="D109" i="11" s="1" a="1"/>
  <c r="D109" i="11" s="1"/>
  <c r="C120" i="11"/>
  <c r="D120" i="11" s="1" a="1"/>
  <c r="D120" i="11" s="1"/>
  <c r="C119" i="11"/>
  <c r="D119" i="11" s="1" a="1"/>
  <c r="D119" i="11" s="1"/>
  <c r="C117" i="11"/>
  <c r="D117" i="11" s="1" a="1"/>
  <c r="D117" i="11" s="1"/>
  <c r="C128" i="11"/>
  <c r="E128" i="11" s="1" a="1"/>
  <c r="E128" i="11" s="1"/>
  <c r="C127" i="11"/>
  <c r="E127" i="11" s="1" a="1"/>
  <c r="E127" i="11" s="1"/>
  <c r="C125" i="11"/>
  <c r="E125" i="11" s="1" a="1"/>
  <c r="E125" i="11" s="1"/>
  <c r="X121" i="11"/>
  <c r="X119" i="11"/>
  <c r="X118" i="11"/>
  <c r="X127" i="11"/>
  <c r="X125" i="11"/>
  <c r="X124" i="11"/>
  <c r="X135" i="11"/>
  <c r="X133" i="11"/>
  <c r="X132" i="11"/>
  <c r="X143" i="11"/>
  <c r="X141" i="11"/>
  <c r="X140" i="11"/>
  <c r="X151" i="11"/>
  <c r="X149" i="11"/>
  <c r="X147" i="11"/>
  <c r="Y121" i="11"/>
  <c r="AA121" i="11" s="1" a="1"/>
  <c r="AA121" i="11" s="1"/>
  <c r="Y119" i="11"/>
  <c r="Z119" i="11" s="1" a="1"/>
  <c r="Z119" i="11" s="1"/>
  <c r="Y118" i="11"/>
  <c r="AA118" i="11" s="1" a="1"/>
  <c r="AA118" i="11" s="1"/>
  <c r="Y127" i="11"/>
  <c r="AA127" i="11" s="1" a="1"/>
  <c r="AA127" i="11" s="1"/>
  <c r="Y125" i="11"/>
  <c r="Z125" i="11" s="1" a="1"/>
  <c r="Z125" i="11" s="1"/>
  <c r="Y124" i="11"/>
  <c r="AA124" i="11" s="1" a="1"/>
  <c r="AA124" i="11" s="1"/>
  <c r="Y135" i="11"/>
  <c r="AA135" i="11" s="1" a="1"/>
  <c r="AA135" i="11" s="1"/>
  <c r="Y133" i="11"/>
  <c r="AA133" i="11" s="1" a="1"/>
  <c r="AA133" i="11" s="1"/>
  <c r="Y132" i="11"/>
  <c r="Z132" i="11" s="1" a="1"/>
  <c r="Z132" i="11" s="1"/>
  <c r="Y143" i="11"/>
  <c r="Z143" i="11" s="1" a="1"/>
  <c r="Z143" i="11" s="1"/>
  <c r="Y141" i="11"/>
  <c r="AA141" i="11" s="1" a="1"/>
  <c r="AA141" i="11" s="1"/>
  <c r="Y140" i="11"/>
  <c r="AA140" i="11" s="1" a="1"/>
  <c r="AA140" i="11" s="1"/>
  <c r="Y151" i="11"/>
  <c r="Z151" i="11" s="1" a="1"/>
  <c r="Z151" i="11" s="1"/>
  <c r="Y149" i="11"/>
  <c r="AA149" i="11" s="1" a="1"/>
  <c r="AA149" i="11" s="1"/>
  <c r="Y147" i="11"/>
  <c r="AA147" i="11" s="1" a="1"/>
  <c r="AA147" i="11" s="1"/>
  <c r="Z121" i="11" a="1"/>
  <c r="Z121" i="11" s="1"/>
  <c r="M97" i="11"/>
  <c r="M95" i="11"/>
  <c r="M94" i="11"/>
  <c r="M103" i="11"/>
  <c r="M101" i="11"/>
  <c r="M100" i="11"/>
  <c r="M111" i="11"/>
  <c r="M109" i="11"/>
  <c r="M108" i="11"/>
  <c r="M119" i="11"/>
  <c r="M117" i="11"/>
  <c r="M116" i="11"/>
  <c r="M127" i="11"/>
  <c r="M125" i="11"/>
  <c r="M124" i="11"/>
  <c r="N97" i="11"/>
  <c r="P97" i="11" s="1" a="1"/>
  <c r="P97" i="11" s="1"/>
  <c r="N95" i="11"/>
  <c r="P95" i="11" s="1" a="1"/>
  <c r="P95" i="11" s="1"/>
  <c r="N94" i="11"/>
  <c r="P94" i="11" s="1" a="1"/>
  <c r="P94" i="11" s="1"/>
  <c r="N103" i="11"/>
  <c r="P103" i="11" s="1" a="1"/>
  <c r="P103" i="11" s="1"/>
  <c r="N101" i="11"/>
  <c r="O101" i="11" s="1" a="1"/>
  <c r="O101" i="11" s="1"/>
  <c r="N100" i="11"/>
  <c r="P100" i="11" s="1" a="1"/>
  <c r="P100" i="11" s="1"/>
  <c r="N111" i="11"/>
  <c r="P111" i="11" s="1" a="1"/>
  <c r="P111" i="11" s="1"/>
  <c r="N109" i="11"/>
  <c r="O109" i="11" s="1" a="1"/>
  <c r="O109" i="11" s="1"/>
  <c r="N108" i="11"/>
  <c r="P108" i="11" s="1" a="1"/>
  <c r="P108" i="11" s="1"/>
  <c r="N119" i="11"/>
  <c r="O119" i="11" s="1" a="1"/>
  <c r="O119" i="11" s="1"/>
  <c r="N117" i="11"/>
  <c r="O117" i="11" s="1" a="1"/>
  <c r="O117" i="11" s="1"/>
  <c r="N116" i="11"/>
  <c r="P116" i="11" s="1" a="1"/>
  <c r="P116" i="11" s="1"/>
  <c r="N127" i="11"/>
  <c r="P127" i="11" s="1" a="1"/>
  <c r="P127" i="11" s="1"/>
  <c r="N125" i="11"/>
  <c r="O125" i="11" s="1" a="1"/>
  <c r="O125" i="11" s="1"/>
  <c r="N124" i="11"/>
  <c r="P124" i="11" s="1" a="1"/>
  <c r="P124" i="11" s="1"/>
  <c r="B96" i="11"/>
  <c r="B93" i="11"/>
  <c r="B95" i="11"/>
  <c r="B102" i="11"/>
  <c r="B99" i="11"/>
  <c r="B101" i="11"/>
  <c r="B110" i="11"/>
  <c r="B107" i="11"/>
  <c r="B108" i="11"/>
  <c r="B118" i="11"/>
  <c r="B116" i="11"/>
  <c r="B115" i="11"/>
  <c r="B126" i="11"/>
  <c r="B124" i="11"/>
  <c r="B123" i="11"/>
  <c r="C96" i="11"/>
  <c r="E96" i="11" s="1" a="1"/>
  <c r="E96" i="11" s="1"/>
  <c r="C93" i="11"/>
  <c r="D93" i="11" s="1" a="1"/>
  <c r="D93" i="11" s="1"/>
  <c r="C95" i="11"/>
  <c r="E95" i="11" s="1" a="1"/>
  <c r="E95" i="11" s="1"/>
  <c r="C102" i="11"/>
  <c r="E102" i="11" s="1" a="1"/>
  <c r="E102" i="11" s="1"/>
  <c r="C99" i="11"/>
  <c r="E99" i="11" s="1" a="1"/>
  <c r="E99" i="11" s="1"/>
  <c r="C101" i="11"/>
  <c r="E101" i="11" s="1" a="1"/>
  <c r="E101" i="11" s="1"/>
  <c r="C110" i="11"/>
  <c r="E110" i="11" s="1" a="1"/>
  <c r="E110" i="11" s="1"/>
  <c r="C107" i="11"/>
  <c r="E107" i="11" s="1" a="1"/>
  <c r="E107" i="11" s="1"/>
  <c r="C108" i="11"/>
  <c r="D108" i="11" s="1" a="1"/>
  <c r="D108" i="11" s="1"/>
  <c r="C118" i="11"/>
  <c r="D118" i="11" s="1" a="1"/>
  <c r="D118" i="11" s="1"/>
  <c r="C116" i="11"/>
  <c r="E116" i="11" s="1" a="1"/>
  <c r="E116" i="11" s="1"/>
  <c r="C115" i="11"/>
  <c r="D115" i="11" s="1" a="1"/>
  <c r="D115" i="11" s="1"/>
  <c r="C126" i="11"/>
  <c r="E126" i="11" s="1" a="1"/>
  <c r="E126" i="11" s="1"/>
  <c r="C124" i="11"/>
  <c r="E124" i="11" s="1" a="1"/>
  <c r="E124" i="11" s="1"/>
  <c r="C123" i="11"/>
  <c r="E123" i="11" s="1" a="1"/>
  <c r="E123" i="11" s="1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C1317" i="10"/>
  <c r="E1317" i="10" s="1" a="1"/>
  <c r="E1317" i="10" s="1"/>
  <c r="C1318" i="10"/>
  <c r="E1318" i="10" s="1" a="1"/>
  <c r="E1318" i="10" s="1"/>
  <c r="C1319" i="10"/>
  <c r="C1320" i="10"/>
  <c r="C1321" i="10"/>
  <c r="D1321" i="10" s="1" a="1"/>
  <c r="D1321" i="10" s="1"/>
  <c r="C1322" i="10"/>
  <c r="D1322" i="10" s="1" a="1"/>
  <c r="D1322" i="10" s="1"/>
  <c r="C1323" i="10"/>
  <c r="D1323" i="10" s="1" a="1"/>
  <c r="D1323" i="10" s="1"/>
  <c r="C1324" i="10"/>
  <c r="C1325" i="10"/>
  <c r="E1325" i="10" s="1" a="1"/>
  <c r="E1325" i="10" s="1"/>
  <c r="C1326" i="10"/>
  <c r="D1326" i="10" s="1" a="1"/>
  <c r="D1326" i="10" s="1"/>
  <c r="C1327" i="10"/>
  <c r="C1328" i="10"/>
  <c r="D1328" i="10" s="1" a="1"/>
  <c r="D1328" i="10" s="1"/>
  <c r="C1329" i="10"/>
  <c r="D1329" i="10" s="1" a="1"/>
  <c r="D1329" i="10" s="1"/>
  <c r="C1330" i="10"/>
  <c r="D1330" i="10" s="1" a="1"/>
  <c r="D1330" i="10" s="1"/>
  <c r="C1331" i="10"/>
  <c r="D1331" i="10" s="1" a="1"/>
  <c r="D1331" i="10" s="1"/>
  <c r="C1332" i="10"/>
  <c r="C1333" i="10"/>
  <c r="E1333" i="10" s="1" a="1"/>
  <c r="E1333" i="10" s="1"/>
  <c r="C1334" i="10"/>
  <c r="C1335" i="10"/>
  <c r="D1335" i="10" s="1" a="1"/>
  <c r="D1335" i="10" s="1"/>
  <c r="C1336" i="10"/>
  <c r="D1336" i="10" s="1" a="1"/>
  <c r="D1336" i="10" s="1"/>
  <c r="C1337" i="10"/>
  <c r="E1337" i="10" s="1" a="1"/>
  <c r="E1337" i="10" s="1"/>
  <c r="C1338" i="10"/>
  <c r="D1338" i="10" s="1" a="1"/>
  <c r="D1338" i="10" s="1"/>
  <c r="C1339" i="10"/>
  <c r="D1339" i="10" s="1" a="1"/>
  <c r="D1339" i="10" s="1"/>
  <c r="C1340" i="10"/>
  <c r="D1340" i="10" s="1" a="1"/>
  <c r="D1340" i="10" s="1"/>
  <c r="C1341" i="10"/>
  <c r="D1341" i="10" s="1" a="1"/>
  <c r="D1341" i="10" s="1"/>
  <c r="C1342" i="10"/>
  <c r="D1342" i="10" s="1" a="1"/>
  <c r="D1342" i="10" s="1"/>
  <c r="C1343" i="10"/>
  <c r="D1343" i="10" s="1" a="1"/>
  <c r="D1343" i="10" s="1"/>
  <c r="C1344" i="10"/>
  <c r="D1344" i="10" s="1" a="1"/>
  <c r="D1344" i="10" s="1"/>
  <c r="C1345" i="10"/>
  <c r="D1345" i="10" s="1" a="1"/>
  <c r="D1345" i="10" s="1"/>
  <c r="C1346" i="10"/>
  <c r="D1346" i="10" s="1" a="1"/>
  <c r="D1346" i="10" s="1"/>
  <c r="C1347" i="10"/>
  <c r="C1348" i="10"/>
  <c r="C1349" i="10"/>
  <c r="E1349" i="10" s="1" a="1"/>
  <c r="E1349" i="10" s="1"/>
  <c r="C1350" i="10"/>
  <c r="D1350" i="10" s="1" a="1"/>
  <c r="D1350" i="10" s="1"/>
  <c r="C1351" i="10"/>
  <c r="C1352" i="10"/>
  <c r="D1352" i="10" s="1" a="1"/>
  <c r="D1352" i="10" s="1"/>
  <c r="C1353" i="10"/>
  <c r="D1353" i="10" s="1" a="1"/>
  <c r="D1353" i="10" s="1"/>
  <c r="C1354" i="10"/>
  <c r="D1354" i="10" s="1" a="1"/>
  <c r="D1354" i="10" s="1"/>
  <c r="C1355" i="10"/>
  <c r="D1355" i="10" s="1" a="1"/>
  <c r="D1355" i="10" s="1"/>
  <c r="C1356" i="10"/>
  <c r="D1356" i="10" s="1" a="1"/>
  <c r="D1356" i="10" s="1"/>
  <c r="C1357" i="10"/>
  <c r="D1357" i="10" s="1" a="1"/>
  <c r="D1357" i="10" s="1"/>
  <c r="C1358" i="10"/>
  <c r="D1358" i="10" s="1" a="1"/>
  <c r="D1358" i="10" s="1"/>
  <c r="C1359" i="10"/>
  <c r="E1359" i="10" s="1" a="1"/>
  <c r="E1359" i="10" s="1"/>
  <c r="C1360" i="10"/>
  <c r="D1360" i="10" s="1" a="1"/>
  <c r="D1360" i="10" s="1"/>
  <c r="C1361" i="10"/>
  <c r="D1361" i="10" s="1" a="1"/>
  <c r="D1361" i="10" s="1"/>
  <c r="C1362" i="10"/>
  <c r="D1362" i="10" s="1" a="1"/>
  <c r="D1362" i="10" s="1"/>
  <c r="C1363" i="10"/>
  <c r="C1364" i="10"/>
  <c r="C1365" i="10"/>
  <c r="E1365" i="10" s="1" a="1"/>
  <c r="E1365" i="10" s="1"/>
  <c r="C1366" i="10"/>
  <c r="C1367" i="10"/>
  <c r="D1367" i="10" s="1" a="1"/>
  <c r="D1367" i="10" s="1"/>
  <c r="C1368" i="10"/>
  <c r="C1369" i="10"/>
  <c r="E1369" i="10" s="1" a="1"/>
  <c r="E1369" i="10" s="1"/>
  <c r="C1370" i="10"/>
  <c r="D1370" i="10" s="1" a="1"/>
  <c r="D1370" i="10" s="1"/>
  <c r="C1371" i="10"/>
  <c r="C1372" i="10"/>
  <c r="D1372" i="10" s="1" a="1"/>
  <c r="D1372" i="10" s="1"/>
  <c r="C1373" i="10"/>
  <c r="E1373" i="10" s="1" a="1"/>
  <c r="E1373" i="10" s="1"/>
  <c r="C1374" i="10"/>
  <c r="D1374" i="10" s="1" a="1"/>
  <c r="D1374" i="10" s="1"/>
  <c r="C1375" i="10"/>
  <c r="C1376" i="10"/>
  <c r="D1376" i="10" s="1" a="1"/>
  <c r="D1376" i="10" s="1"/>
  <c r="C1377" i="10"/>
  <c r="D1377" i="10" s="1" a="1"/>
  <c r="D1377" i="10" s="1"/>
  <c r="C1378" i="10"/>
  <c r="C1379" i="10"/>
  <c r="E1379" i="10" s="1" a="1"/>
  <c r="E1379" i="10" s="1"/>
  <c r="C1380" i="10"/>
  <c r="C1381" i="10"/>
  <c r="E1381" i="10" s="1" a="1"/>
  <c r="E1381" i="10" s="1"/>
  <c r="C1382" i="10"/>
  <c r="D1382" i="10" s="1" a="1"/>
  <c r="D1382" i="10" s="1"/>
  <c r="C1383" i="10"/>
  <c r="E1383" i="10" s="1" a="1"/>
  <c r="E1383" i="10" s="1"/>
  <c r="C1384" i="10"/>
  <c r="D1384" i="10" s="1" a="1"/>
  <c r="D1384" i="10" s="1"/>
  <c r="C1385" i="10"/>
  <c r="E1385" i="10" s="1" a="1"/>
  <c r="E1385" i="10" s="1"/>
  <c r="C1386" i="10"/>
  <c r="C1387" i="10"/>
  <c r="D1387" i="10" s="1" a="1"/>
  <c r="D1387" i="10" s="1"/>
  <c r="C1388" i="10"/>
  <c r="C1389" i="10"/>
  <c r="D1389" i="10" s="1" a="1"/>
  <c r="D1389" i="10" s="1"/>
  <c r="C1390" i="10"/>
  <c r="D1390" i="10" s="1" a="1"/>
  <c r="D1390" i="10" s="1"/>
  <c r="C1391" i="10"/>
  <c r="C1392" i="10"/>
  <c r="D1392" i="10" s="1" a="1"/>
  <c r="D1392" i="10" s="1"/>
  <c r="C1393" i="10"/>
  <c r="D1393" i="10" s="1" a="1"/>
  <c r="D1393" i="10" s="1"/>
  <c r="C1394" i="10"/>
  <c r="D1394" i="10" s="1" a="1"/>
  <c r="D1394" i="10" s="1"/>
  <c r="C1395" i="10"/>
  <c r="D1395" i="10" s="1" a="1"/>
  <c r="D1395" i="10" s="1"/>
  <c r="C1396" i="10"/>
  <c r="C1397" i="10"/>
  <c r="D1397" i="10" s="1" a="1"/>
  <c r="D1397" i="10" s="1"/>
  <c r="C1398" i="10"/>
  <c r="D1398" i="10" s="1" a="1"/>
  <c r="D1398" i="10" s="1"/>
  <c r="C1399" i="10"/>
  <c r="C1400" i="10"/>
  <c r="C1401" i="10"/>
  <c r="E1401" i="10" s="1" a="1"/>
  <c r="E1401" i="10" s="1"/>
  <c r="C1402" i="10"/>
  <c r="D1402" i="10" s="1" a="1"/>
  <c r="D1402" i="10" s="1"/>
  <c r="C1403" i="10"/>
  <c r="D1403" i="10" s="1" a="1"/>
  <c r="D1403" i="10" s="1"/>
  <c r="C1404" i="10"/>
  <c r="D1404" i="10" s="1" a="1"/>
  <c r="D1404" i="10" s="1"/>
  <c r="C1405" i="10"/>
  <c r="E1405" i="10" s="1" a="1"/>
  <c r="E1405" i="10" s="1"/>
  <c r="C1406" i="10"/>
  <c r="D1406" i="10" s="1" a="1"/>
  <c r="D1406" i="10" s="1"/>
  <c r="C1407" i="10"/>
  <c r="C1408" i="10"/>
  <c r="D1408" i="10" s="1" a="1"/>
  <c r="D1408" i="10" s="1"/>
  <c r="C1409" i="10"/>
  <c r="D1409" i="10" s="1" a="1"/>
  <c r="D1409" i="10" s="1"/>
  <c r="C1410" i="10"/>
  <c r="D1410" i="10" s="1" a="1"/>
  <c r="D1410" i="10" s="1"/>
  <c r="C1411" i="10"/>
  <c r="C1412" i="10"/>
  <c r="C1413" i="10"/>
  <c r="D1413" i="10" s="1" a="1"/>
  <c r="D1413" i="10" s="1"/>
  <c r="C1414" i="10"/>
  <c r="C1415" i="10"/>
  <c r="C1416" i="10"/>
  <c r="E1416" i="10" s="1" a="1"/>
  <c r="E1416" i="10" s="1"/>
  <c r="C1417" i="10"/>
  <c r="D1417" i="10" s="1" a="1"/>
  <c r="D1417" i="10" s="1"/>
  <c r="C1418" i="10"/>
  <c r="C1419" i="10"/>
  <c r="D1419" i="10" s="1" a="1"/>
  <c r="D1419" i="10" s="1"/>
  <c r="C1420" i="10"/>
  <c r="D1420" i="10" s="1" a="1"/>
  <c r="D1420" i="10" s="1"/>
  <c r="C1421" i="10"/>
  <c r="D1421" i="10" s="1" a="1"/>
  <c r="D1421" i="10" s="1"/>
  <c r="C1422" i="10"/>
  <c r="D1422" i="10" s="1" a="1"/>
  <c r="D1422" i="10" s="1"/>
  <c r="C1423" i="10"/>
  <c r="C1424" i="10"/>
  <c r="D1424" i="10" s="1" a="1"/>
  <c r="D1424" i="10" s="1"/>
  <c r="C1425" i="10"/>
  <c r="D1425" i="10" s="1" a="1"/>
  <c r="D1425" i="10" s="1"/>
  <c r="C1426" i="10"/>
  <c r="D1426" i="10" s="1" a="1"/>
  <c r="D1426" i="10" s="1"/>
  <c r="C1427" i="10"/>
  <c r="D1427" i="10" s="1" a="1"/>
  <c r="D1427" i="10" s="1"/>
  <c r="C1428" i="10"/>
  <c r="C1429" i="10"/>
  <c r="E1429" i="10" s="1" a="1"/>
  <c r="E1429" i="10" s="1"/>
  <c r="C1430" i="10"/>
  <c r="C1431" i="10"/>
  <c r="D1431" i="10" s="1" a="1"/>
  <c r="D1431" i="10" s="1"/>
  <c r="C1432" i="10"/>
  <c r="D1432" i="10" s="1" a="1"/>
  <c r="D1432" i="10" s="1"/>
  <c r="C1433" i="10"/>
  <c r="D1433" i="10" s="1" a="1"/>
  <c r="D1433" i="10" s="1"/>
  <c r="C1434" i="10"/>
  <c r="D1434" i="10" s="1" a="1"/>
  <c r="D1434" i="10" s="1"/>
  <c r="C1435" i="10"/>
  <c r="D1435" i="10" s="1" a="1"/>
  <c r="D1435" i="10" s="1"/>
  <c r="C1436" i="10"/>
  <c r="D1436" i="10" s="1" a="1"/>
  <c r="D1436" i="10" s="1"/>
  <c r="C1437" i="10"/>
  <c r="C1438" i="10"/>
  <c r="D1438" i="10" s="1" a="1"/>
  <c r="D1438" i="10" s="1"/>
  <c r="C1439" i="10"/>
  <c r="C1440" i="10"/>
  <c r="D1440" i="10" s="1" a="1"/>
  <c r="D1440" i="10" s="1"/>
  <c r="C1441" i="10"/>
  <c r="D1441" i="10" s="1" a="1"/>
  <c r="D1441" i="10" s="1"/>
  <c r="C1442" i="10"/>
  <c r="C1443" i="10"/>
  <c r="D1443" i="10" s="1" a="1"/>
  <c r="D1443" i="10" s="1"/>
  <c r="C1444" i="10"/>
  <c r="C1445" i="10"/>
  <c r="D1445" i="10" s="1" a="1"/>
  <c r="D1445" i="10" s="1"/>
  <c r="C1446" i="10"/>
  <c r="C1447" i="10"/>
  <c r="C1448" i="10"/>
  <c r="C1449" i="10"/>
  <c r="E1449" i="10" s="1" a="1"/>
  <c r="E1449" i="10" s="1"/>
  <c r="C1450" i="10"/>
  <c r="D1450" i="10" s="1" a="1"/>
  <c r="D1450" i="10" s="1"/>
  <c r="C1451" i="10"/>
  <c r="D1451" i="10" s="1" a="1"/>
  <c r="D1451" i="10" s="1"/>
  <c r="C1452" i="10"/>
  <c r="C1453" i="10"/>
  <c r="D1453" i="10" s="1" a="1"/>
  <c r="D1453" i="10" s="1"/>
  <c r="C1454" i="10"/>
  <c r="D1454" i="10" s="1" a="1"/>
  <c r="D1454" i="10" s="1"/>
  <c r="C1455" i="10"/>
  <c r="D1455" i="10" s="1" a="1"/>
  <c r="D1455" i="10" s="1"/>
  <c r="C1456" i="10"/>
  <c r="D1456" i="10" s="1" a="1"/>
  <c r="D1456" i="10" s="1"/>
  <c r="C1457" i="10"/>
  <c r="E1457" i="10" s="1" a="1"/>
  <c r="E1457" i="10" s="1"/>
  <c r="C1458" i="10"/>
  <c r="C1459" i="10"/>
  <c r="D1459" i="10" s="1" a="1"/>
  <c r="D1459" i="10" s="1"/>
  <c r="C1460" i="10"/>
  <c r="C1461" i="10"/>
  <c r="D1461" i="10" s="1" a="1"/>
  <c r="D1461" i="10" s="1"/>
  <c r="C1462" i="10"/>
  <c r="D1462" i="10" s="1" a="1"/>
  <c r="D1462" i="10" s="1"/>
  <c r="C1463" i="10"/>
  <c r="C1464" i="10"/>
  <c r="C1465" i="10"/>
  <c r="D1465" i="10" s="1" a="1"/>
  <c r="D1465" i="10" s="1"/>
  <c r="C1466" i="10"/>
  <c r="D1466" i="10" s="1" a="1"/>
  <c r="D1466" i="10" s="1"/>
  <c r="C1467" i="10"/>
  <c r="D1467" i="10" s="1" a="1"/>
  <c r="D1467" i="10" s="1"/>
  <c r="C1468" i="10"/>
  <c r="D1468" i="10" s="1" a="1"/>
  <c r="D1468" i="10" s="1"/>
  <c r="C1469" i="10"/>
  <c r="E1469" i="10" s="1" a="1"/>
  <c r="E1469" i="10" s="1"/>
  <c r="C1470" i="10"/>
  <c r="D1470" i="10" s="1" a="1"/>
  <c r="D1470" i="10" s="1"/>
  <c r="C1471" i="10"/>
  <c r="C1472" i="10"/>
  <c r="D1472" i="10" s="1" a="1"/>
  <c r="D1472" i="10" s="1"/>
  <c r="C1473" i="10"/>
  <c r="E1473" i="10" s="1" a="1"/>
  <c r="E1473" i="10" s="1"/>
  <c r="C1474" i="10"/>
  <c r="D1474" i="10" s="1" a="1"/>
  <c r="D1474" i="10" s="1"/>
  <c r="C1475" i="10"/>
  <c r="C1476" i="10"/>
  <c r="C1477" i="10"/>
  <c r="D1477" i="10" s="1" a="1"/>
  <c r="D1477" i="10" s="1"/>
  <c r="C1478" i="10"/>
  <c r="C1479" i="10"/>
  <c r="C1480" i="10"/>
  <c r="C1481" i="10"/>
  <c r="D1481" i="10" s="1" a="1"/>
  <c r="D1481" i="10" s="1"/>
  <c r="C1482" i="10"/>
  <c r="C1483" i="10"/>
  <c r="D1483" i="10" s="1" a="1"/>
  <c r="D1483" i="10" s="1"/>
  <c r="C1484" i="10"/>
  <c r="C1485" i="10"/>
  <c r="E1485" i="10" s="1" a="1"/>
  <c r="E1485" i="10" s="1"/>
  <c r="C1486" i="10"/>
  <c r="D1486" i="10" s="1" a="1"/>
  <c r="D1486" i="10" s="1"/>
  <c r="C1487" i="10"/>
  <c r="C1488" i="10"/>
  <c r="D1488" i="10" s="1" a="1"/>
  <c r="D1488" i="10" s="1"/>
  <c r="C1489" i="10"/>
  <c r="E1489" i="10" s="1" a="1"/>
  <c r="E1489" i="10" s="1"/>
  <c r="C1490" i="10"/>
  <c r="D1490" i="10" s="1" a="1"/>
  <c r="D1490" i="10" s="1"/>
  <c r="C1491" i="10"/>
  <c r="D1491" i="10" s="1" a="1"/>
  <c r="D1491" i="10" s="1"/>
  <c r="C1492" i="10"/>
  <c r="C1493" i="10"/>
  <c r="E1493" i="10" s="1" a="1"/>
  <c r="E1493" i="10" s="1"/>
  <c r="C1494" i="10"/>
  <c r="E1494" i="10" s="1" a="1"/>
  <c r="E1494" i="10" s="1"/>
  <c r="C1495" i="10"/>
  <c r="D1495" i="10" s="1" a="1"/>
  <c r="D1495" i="10" s="1"/>
  <c r="C1496" i="10"/>
  <c r="C1497" i="10"/>
  <c r="D1497" i="10" s="1" a="1"/>
  <c r="D1497" i="10" s="1"/>
  <c r="C1498" i="10"/>
  <c r="C1499" i="10"/>
  <c r="D1499" i="10" s="1" a="1"/>
  <c r="D1499" i="10" s="1"/>
  <c r="C1500" i="10"/>
  <c r="C1501" i="10"/>
  <c r="E1501" i="10" s="1" a="1"/>
  <c r="E1501" i="10" s="1"/>
  <c r="C1502" i="10"/>
  <c r="D1502" i="10" s="1" a="1"/>
  <c r="D1502" i="10" s="1"/>
  <c r="C1503" i="10"/>
  <c r="C1504" i="10"/>
  <c r="D1504" i="10" s="1" a="1"/>
  <c r="D1504" i="10" s="1"/>
  <c r="C1505" i="10"/>
  <c r="D1505" i="10" s="1" a="1"/>
  <c r="D1505" i="10" s="1"/>
  <c r="C1506" i="10"/>
  <c r="C1507" i="10"/>
  <c r="C1508" i="10"/>
  <c r="C1509" i="10"/>
  <c r="D1509" i="10" s="1" a="1"/>
  <c r="D1509" i="10" s="1"/>
  <c r="C1510" i="10"/>
  <c r="C1511" i="10"/>
  <c r="D1511" i="10" s="1" a="1"/>
  <c r="D1511" i="10" s="1"/>
  <c r="C1512" i="10"/>
  <c r="C1513" i="10"/>
  <c r="D1513" i="10" s="1" a="1"/>
  <c r="D1513" i="10" s="1"/>
  <c r="C1514" i="10"/>
  <c r="D1514" i="10" s="1" a="1"/>
  <c r="D1514" i="10" s="1"/>
  <c r="C1515" i="10"/>
  <c r="D1515" i="10" s="1" a="1"/>
  <c r="D1515" i="10" s="1"/>
  <c r="C1516" i="10"/>
  <c r="D1516" i="10" s="1" a="1"/>
  <c r="D1516" i="10" s="1"/>
  <c r="C1517" i="10"/>
  <c r="E1517" i="10" s="1" a="1"/>
  <c r="E1517" i="10" s="1"/>
  <c r="C1518" i="10"/>
  <c r="E1518" i="10" s="1" a="1"/>
  <c r="E1518" i="10" s="1"/>
  <c r="C1519" i="10"/>
  <c r="C1520" i="10"/>
  <c r="D1520" i="10" s="1" a="1"/>
  <c r="D1520" i="10" s="1"/>
  <c r="C1521" i="10"/>
  <c r="E1521" i="10" s="1" a="1"/>
  <c r="E1521" i="10" s="1"/>
  <c r="C1522" i="10"/>
  <c r="D1522" i="10" s="1" a="1"/>
  <c r="D1522" i="10" s="1"/>
  <c r="C1523" i="10"/>
  <c r="C1524" i="10"/>
  <c r="C1525" i="10"/>
  <c r="D1525" i="10" s="1" a="1"/>
  <c r="D1525" i="10" s="1"/>
  <c r="C1526" i="10"/>
  <c r="C1527" i="10"/>
  <c r="C1528" i="10"/>
  <c r="C1529" i="10"/>
  <c r="D1529" i="10" s="1" a="1"/>
  <c r="D1529" i="10" s="1"/>
  <c r="C1530" i="10"/>
  <c r="D1530" i="10" s="1" a="1"/>
  <c r="D1530" i="10" s="1"/>
  <c r="C1531" i="10"/>
  <c r="D1531" i="10" s="1" a="1"/>
  <c r="D1531" i="10" s="1"/>
  <c r="C1532" i="10"/>
  <c r="D1532" i="10" s="1" a="1"/>
  <c r="D1532" i="10" s="1"/>
  <c r="C1533" i="10"/>
  <c r="E1533" i="10" s="1" a="1"/>
  <c r="E1533" i="10" s="1"/>
  <c r="C1534" i="10"/>
  <c r="D1534" i="10" s="1" a="1"/>
  <c r="D1534" i="10" s="1"/>
  <c r="C1535" i="10"/>
  <c r="E1535" i="10" s="1" a="1"/>
  <c r="E1535" i="10" s="1"/>
  <c r="C1536" i="10"/>
  <c r="D1536" i="10" s="1" a="1"/>
  <c r="D1536" i="10" s="1"/>
  <c r="C1537" i="10"/>
  <c r="E1537" i="10" s="1" a="1"/>
  <c r="E1537" i="10" s="1"/>
  <c r="C1538" i="10"/>
  <c r="C1539" i="10"/>
  <c r="D1539" i="10" s="1" a="1"/>
  <c r="D1539" i="10" s="1"/>
  <c r="C1540" i="10"/>
  <c r="C1541" i="10"/>
  <c r="E1541" i="10" s="1" a="1"/>
  <c r="E1541" i="10" s="1"/>
  <c r="C1542" i="10"/>
  <c r="C1543" i="10"/>
  <c r="D1543" i="10" s="1" a="1"/>
  <c r="D1543" i="10" s="1"/>
  <c r="C1544" i="10"/>
  <c r="D1544" i="10" s="1" a="1"/>
  <c r="D1544" i="10" s="1"/>
  <c r="C1545" i="10"/>
  <c r="D1545" i="10" s="1" a="1"/>
  <c r="D1545" i="10" s="1"/>
  <c r="C1546" i="10"/>
  <c r="C1547" i="10"/>
  <c r="D1547" i="10" s="1" a="1"/>
  <c r="D1547" i="10" s="1"/>
  <c r="C1548" i="10"/>
  <c r="D1548" i="10" s="1" a="1"/>
  <c r="D1548" i="10" s="1"/>
  <c r="C1549" i="10"/>
  <c r="E1549" i="10" s="1" a="1"/>
  <c r="E1549" i="10" s="1"/>
  <c r="C1550" i="10"/>
  <c r="D1550" i="10" s="1" a="1"/>
  <c r="D1550" i="10" s="1"/>
  <c r="C1551" i="10"/>
  <c r="C1552" i="10"/>
  <c r="D1552" i="10" s="1" a="1"/>
  <c r="D1552" i="10" s="1"/>
  <c r="C1553" i="10"/>
  <c r="D1553" i="10" s="1" a="1"/>
  <c r="D1553" i="10" s="1"/>
  <c r="C1554" i="10"/>
  <c r="D1554" i="10" s="1" a="1"/>
  <c r="D1554" i="10" s="1"/>
  <c r="C1555" i="10"/>
  <c r="E1555" i="10" s="1" a="1"/>
  <c r="E1555" i="10" s="1"/>
  <c r="C1556" i="10"/>
  <c r="C1557" i="10"/>
  <c r="D1557" i="10" s="1" a="1"/>
  <c r="D1557" i="10" s="1"/>
  <c r="C1558" i="10"/>
  <c r="C1559" i="10"/>
  <c r="E1559" i="10" s="1" a="1"/>
  <c r="E1559" i="10" s="1"/>
  <c r="C1560" i="10"/>
  <c r="C1561" i="10"/>
  <c r="D1561" i="10" s="1" a="1"/>
  <c r="D1561" i="10" s="1"/>
  <c r="C1562" i="10"/>
  <c r="D1562" i="10" s="1" a="1"/>
  <c r="D1562" i="10" s="1"/>
  <c r="C1563" i="10"/>
  <c r="D1563" i="10" s="1" a="1"/>
  <c r="D1563" i="10" s="1"/>
  <c r="C1564" i="10"/>
  <c r="D1564" i="10" s="1" a="1"/>
  <c r="D1564" i="10" s="1"/>
  <c r="C1565" i="10"/>
  <c r="D1565" i="10" s="1" a="1"/>
  <c r="D1565" i="10" s="1"/>
  <c r="C1566" i="10"/>
  <c r="D1566" i="10" s="1" a="1"/>
  <c r="D1566" i="10" s="1"/>
  <c r="C1567" i="10"/>
  <c r="C1568" i="10"/>
  <c r="D1568" i="10" s="1" a="1"/>
  <c r="D1568" i="10" s="1"/>
  <c r="C1569" i="10"/>
  <c r="E1569" i="10" s="1" a="1"/>
  <c r="E1569" i="10" s="1"/>
  <c r="C1570" i="10"/>
  <c r="D1570" i="10" s="1" a="1"/>
  <c r="D1570" i="10" s="1"/>
  <c r="C1571" i="10"/>
  <c r="D1571" i="10" s="1" a="1"/>
  <c r="D1571" i="10" s="1"/>
  <c r="C1572" i="10"/>
  <c r="C1573" i="10"/>
  <c r="D1573" i="10" s="1" a="1"/>
  <c r="D1573" i="10" s="1"/>
  <c r="C1574" i="10"/>
  <c r="C1575" i="10"/>
  <c r="D1575" i="10" s="1" a="1"/>
  <c r="D1575" i="10" s="1"/>
  <c r="C1576" i="10"/>
  <c r="C1577" i="10"/>
  <c r="D1577" i="10" s="1" a="1"/>
  <c r="D1577" i="10" s="1"/>
  <c r="C1578" i="10"/>
  <c r="C1579" i="10"/>
  <c r="D1579" i="10" s="1" a="1"/>
  <c r="D1579" i="10" s="1"/>
  <c r="C1580" i="10"/>
  <c r="D1580" i="10" s="1" a="1"/>
  <c r="D1580" i="10" s="1"/>
  <c r="C1581" i="10"/>
  <c r="E1581" i="10" s="1" a="1"/>
  <c r="E1581" i="10" s="1"/>
  <c r="C1582" i="10"/>
  <c r="D1582" i="10" s="1" a="1"/>
  <c r="D1582" i="10" s="1"/>
  <c r="C1583" i="10"/>
  <c r="C1584" i="10"/>
  <c r="D1584" i="10" s="1" a="1"/>
  <c r="D1584" i="10" s="1"/>
  <c r="C1585" i="10"/>
  <c r="D1585" i="10" s="1" a="1"/>
  <c r="D1585" i="10" s="1"/>
  <c r="C1586" i="10"/>
  <c r="D1586" i="10" s="1" a="1"/>
  <c r="D1586" i="10" s="1"/>
  <c r="C1587" i="10"/>
  <c r="C1588" i="10"/>
  <c r="C1589" i="10"/>
  <c r="D1589" i="10" s="1" a="1"/>
  <c r="D1589" i="10" s="1"/>
  <c r="C1590" i="10"/>
  <c r="C1591" i="10"/>
  <c r="E1591" i="10" s="1" a="1"/>
  <c r="E1591" i="10" s="1"/>
  <c r="C1592" i="10"/>
  <c r="C1593" i="10"/>
  <c r="D1593" i="10" s="1" a="1"/>
  <c r="D1593" i="10" s="1"/>
  <c r="C1594" i="10"/>
  <c r="D1594" i="10" s="1" a="1"/>
  <c r="D1594" i="10" s="1"/>
  <c r="C1595" i="10"/>
  <c r="D1595" i="10" s="1" a="1"/>
  <c r="D1595" i="10" s="1"/>
  <c r="C1596" i="10"/>
  <c r="D1596" i="10" s="1" a="1"/>
  <c r="D1596" i="10" s="1"/>
  <c r="C1597" i="10"/>
  <c r="D1597" i="10" s="1" a="1"/>
  <c r="D1597" i="10" s="1"/>
  <c r="C1598" i="10"/>
  <c r="D1598" i="10" s="1" a="1"/>
  <c r="D1598" i="10" s="1"/>
  <c r="C1599" i="10"/>
  <c r="D1599" i="10" s="1" a="1"/>
  <c r="D1599" i="10" s="1"/>
  <c r="C1600" i="10"/>
  <c r="D1600" i="10" s="1" a="1"/>
  <c r="D1600" i="10" s="1"/>
  <c r="C1601" i="10"/>
  <c r="D1601" i="10" s="1" a="1"/>
  <c r="D1601" i="10" s="1"/>
  <c r="C1602" i="10"/>
  <c r="C1603" i="10"/>
  <c r="D1603" i="10" s="1" a="1"/>
  <c r="D1603" i="10" s="1"/>
  <c r="C1604" i="10"/>
  <c r="C1605" i="10"/>
  <c r="E1605" i="10" s="1" a="1"/>
  <c r="E1605" i="10" s="1"/>
  <c r="C1606" i="10"/>
  <c r="C1607" i="10"/>
  <c r="D1607" i="10" s="1" a="1"/>
  <c r="D1607" i="10" s="1"/>
  <c r="C1608" i="10"/>
  <c r="C1609" i="10"/>
  <c r="D1609" i="10" s="1" a="1"/>
  <c r="D1609" i="10" s="1"/>
  <c r="C1610" i="10"/>
  <c r="D1610" i="10" s="1" a="1"/>
  <c r="D1610" i="10" s="1"/>
  <c r="C1611" i="10"/>
  <c r="D1611" i="10" s="1" a="1"/>
  <c r="D1611" i="10" s="1"/>
  <c r="C1612" i="10"/>
  <c r="D1612" i="10" s="1" a="1"/>
  <c r="D1612" i="10" s="1"/>
  <c r="C1613" i="10"/>
  <c r="D1613" i="10" s="1" a="1"/>
  <c r="D1613" i="10" s="1"/>
  <c r="C1614" i="10"/>
  <c r="C1615" i="10"/>
  <c r="C1616" i="10"/>
  <c r="D1616" i="10" s="1" a="1"/>
  <c r="D1616" i="10" s="1"/>
  <c r="C1617" i="10"/>
  <c r="D1617" i="10" s="1" a="1"/>
  <c r="D1617" i="10" s="1"/>
  <c r="C1618" i="10"/>
  <c r="C1619" i="10"/>
  <c r="D1619" i="10" s="1" a="1"/>
  <c r="D1619" i="10" s="1"/>
  <c r="C1620" i="10"/>
  <c r="C1621" i="10"/>
  <c r="E1621" i="10" s="1" a="1"/>
  <c r="E1621" i="10" s="1"/>
  <c r="C1622" i="10"/>
  <c r="D1622" i="10" s="1" a="1"/>
  <c r="D1622" i="10" s="1"/>
  <c r="D1318" i="10" a="1"/>
  <c r="D1318" i="10" s="1"/>
  <c r="D1319" i="10" a="1"/>
  <c r="D1319" i="10" s="1"/>
  <c r="D1320" i="10" a="1"/>
  <c r="D1320" i="10" s="1"/>
  <c r="D1324" i="10" a="1"/>
  <c r="D1324" i="10" s="1"/>
  <c r="D1325" i="10" a="1"/>
  <c r="D1325" i="10" s="1"/>
  <c r="D1327" i="10" a="1"/>
  <c r="D1327" i="10" s="1"/>
  <c r="D1332" i="10" a="1"/>
  <c r="D1332" i="10" s="1"/>
  <c r="D1334" i="10" a="1"/>
  <c r="D1334" i="10" s="1"/>
  <c r="D1347" i="10" a="1"/>
  <c r="D1347" i="10" s="1"/>
  <c r="D1348" i="10" a="1"/>
  <c r="D1348" i="10" s="1"/>
  <c r="D1351" i="10" a="1"/>
  <c r="D1351" i="10" s="1"/>
  <c r="D1359" i="10" a="1"/>
  <c r="D1359" i="10" s="1"/>
  <c r="D1363" i="10" a="1"/>
  <c r="D1363" i="10" s="1"/>
  <c r="D1364" i="10" a="1"/>
  <c r="D1364" i="10" s="1"/>
  <c r="D1366" i="10" a="1"/>
  <c r="D1366" i="10" s="1"/>
  <c r="D1368" i="10" a="1"/>
  <c r="D1368" i="10" s="1"/>
  <c r="D1371" i="10" a="1"/>
  <c r="D1371" i="10" s="1"/>
  <c r="D1375" i="10" a="1"/>
  <c r="D1375" i="10" s="1"/>
  <c r="D1378" i="10" a="1"/>
  <c r="D1378" i="10" s="1"/>
  <c r="D1379" i="10" a="1"/>
  <c r="D1379" i="10" s="1"/>
  <c r="D1380" i="10" a="1"/>
  <c r="D1380" i="10" s="1"/>
  <c r="D1383" i="10" a="1"/>
  <c r="D1383" i="10" s="1"/>
  <c r="D1386" i="10" a="1"/>
  <c r="D1386" i="10" s="1"/>
  <c r="D1388" i="10" a="1"/>
  <c r="D1388" i="10" s="1"/>
  <c r="D1391" i="10" a="1"/>
  <c r="D1391" i="10" s="1"/>
  <c r="D1396" i="10" a="1"/>
  <c r="D1396" i="10" s="1"/>
  <c r="D1399" i="10" a="1"/>
  <c r="D1399" i="10" s="1"/>
  <c r="D1400" i="10" a="1"/>
  <c r="D1400" i="10" s="1"/>
  <c r="D1405" i="10" a="1"/>
  <c r="D1405" i="10" s="1"/>
  <c r="D1407" i="10" a="1"/>
  <c r="D1407" i="10" s="1"/>
  <c r="D1411" i="10" a="1"/>
  <c r="D1411" i="10" s="1"/>
  <c r="D1412" i="10" a="1"/>
  <c r="D1412" i="10" s="1"/>
  <c r="D1414" i="10" a="1"/>
  <c r="D1414" i="10" s="1"/>
  <c r="D1415" i="10" a="1"/>
  <c r="D1415" i="10" s="1"/>
  <c r="D1416" i="10" a="1"/>
  <c r="D1416" i="10" s="1"/>
  <c r="D1418" i="10" a="1"/>
  <c r="D1418" i="10" s="1"/>
  <c r="D1423" i="10" a="1"/>
  <c r="D1423" i="10" s="1"/>
  <c r="D1428" i="10" a="1"/>
  <c r="D1428" i="10" s="1"/>
  <c r="D1430" i="10" a="1"/>
  <c r="D1430" i="10" s="1"/>
  <c r="D1437" i="10" a="1"/>
  <c r="D1437" i="10" s="1"/>
  <c r="D1439" i="10" a="1"/>
  <c r="D1439" i="10" s="1"/>
  <c r="D1442" i="10" a="1"/>
  <c r="D1442" i="10" s="1"/>
  <c r="D1444" i="10" a="1"/>
  <c r="D1444" i="10" s="1"/>
  <c r="D1446" i="10" a="1"/>
  <c r="D1446" i="10" s="1"/>
  <c r="D1447" i="10" a="1"/>
  <c r="D1447" i="10" s="1"/>
  <c r="D1448" i="10" a="1"/>
  <c r="D1448" i="10" s="1"/>
  <c r="D1452" i="10" a="1"/>
  <c r="D1452" i="10" s="1"/>
  <c r="D1458" i="10" a="1"/>
  <c r="D1458" i="10" s="1"/>
  <c r="D1460" i="10" a="1"/>
  <c r="D1460" i="10" s="1"/>
  <c r="D1463" i="10" a="1"/>
  <c r="D1463" i="10" s="1"/>
  <c r="D1464" i="10" a="1"/>
  <c r="D1464" i="10" s="1"/>
  <c r="D1471" i="10" a="1"/>
  <c r="D1471" i="10" s="1"/>
  <c r="D1475" i="10" a="1"/>
  <c r="D1475" i="10" s="1"/>
  <c r="D1476" i="10" a="1"/>
  <c r="D1476" i="10" s="1"/>
  <c r="D1478" i="10" a="1"/>
  <c r="D1478" i="10" s="1"/>
  <c r="D1479" i="10" a="1"/>
  <c r="D1479" i="10" s="1"/>
  <c r="D1480" i="10" a="1"/>
  <c r="D1480" i="10" s="1"/>
  <c r="D1482" i="10" a="1"/>
  <c r="D1482" i="10" s="1"/>
  <c r="D1484" i="10" a="1"/>
  <c r="D1484" i="10" s="1"/>
  <c r="D1487" i="10" a="1"/>
  <c r="D1487" i="10" s="1"/>
  <c r="D1492" i="10" a="1"/>
  <c r="D1492" i="10" s="1"/>
  <c r="D1494" i="10" a="1"/>
  <c r="D1494" i="10" s="1"/>
  <c r="D1496" i="10" a="1"/>
  <c r="D1496" i="10" s="1"/>
  <c r="D1498" i="10" a="1"/>
  <c r="D1498" i="10" s="1"/>
  <c r="D1500" i="10" a="1"/>
  <c r="D1500" i="10" s="1"/>
  <c r="D1503" i="10" a="1"/>
  <c r="D1503" i="10" s="1"/>
  <c r="D1506" i="10" a="1"/>
  <c r="D1506" i="10" s="1"/>
  <c r="D1507" i="10" a="1"/>
  <c r="D1507" i="10" s="1"/>
  <c r="D1508" i="10" a="1"/>
  <c r="D1508" i="10" s="1"/>
  <c r="D1510" i="10" a="1"/>
  <c r="D1510" i="10" s="1"/>
  <c r="D1512" i="10" a="1"/>
  <c r="D1512" i="10" s="1"/>
  <c r="D1517" i="10" a="1"/>
  <c r="D1517" i="10" s="1"/>
  <c r="D1519" i="10" a="1"/>
  <c r="D1519" i="10" s="1"/>
  <c r="D1523" i="10" a="1"/>
  <c r="D1523" i="10" s="1"/>
  <c r="D1524" i="10" a="1"/>
  <c r="D1524" i="10" s="1"/>
  <c r="D1526" i="10" a="1"/>
  <c r="D1526" i="10" s="1"/>
  <c r="D1527" i="10" a="1"/>
  <c r="D1527" i="10" s="1"/>
  <c r="D1528" i="10" a="1"/>
  <c r="D1528" i="10" s="1"/>
  <c r="D1533" i="10" a="1"/>
  <c r="D1533" i="10" s="1"/>
  <c r="D1535" i="10" a="1"/>
  <c r="D1535" i="10" s="1"/>
  <c r="D1538" i="10" a="1"/>
  <c r="D1538" i="10" s="1"/>
  <c r="D1540" i="10" a="1"/>
  <c r="D1540" i="10" s="1"/>
  <c r="D1542" i="10" a="1"/>
  <c r="D1542" i="10" s="1"/>
  <c r="D1546" i="10" a="1"/>
  <c r="D1546" i="10" s="1"/>
  <c r="D1551" i="10" a="1"/>
  <c r="D1551" i="10" s="1"/>
  <c r="D1556" i="10" a="1"/>
  <c r="D1556" i="10" s="1"/>
  <c r="D1558" i="10" a="1"/>
  <c r="D1558" i="10" s="1"/>
  <c r="D1559" i="10" a="1"/>
  <c r="D1559" i="10" s="1"/>
  <c r="D1560" i="10" a="1"/>
  <c r="D1560" i="10" s="1"/>
  <c r="D1567" i="10" a="1"/>
  <c r="D1567" i="10" s="1"/>
  <c r="D1572" i="10" a="1"/>
  <c r="D1572" i="10" s="1"/>
  <c r="D1574" i="10" a="1"/>
  <c r="D1574" i="10" s="1"/>
  <c r="D1576" i="10" a="1"/>
  <c r="D1576" i="10" s="1"/>
  <c r="D1578" i="10" a="1"/>
  <c r="D1578" i="10" s="1"/>
  <c r="D1583" i="10" a="1"/>
  <c r="D1583" i="10" s="1"/>
  <c r="D1587" i="10" a="1"/>
  <c r="D1587" i="10" s="1"/>
  <c r="D1588" i="10" a="1"/>
  <c r="D1588" i="10" s="1"/>
  <c r="D1590" i="10" a="1"/>
  <c r="D1590" i="10" s="1"/>
  <c r="D1591" i="10" a="1"/>
  <c r="D1591" i="10" s="1"/>
  <c r="D1592" i="10" a="1"/>
  <c r="D1592" i="10" s="1"/>
  <c r="D1602" i="10" a="1"/>
  <c r="D1602" i="10" s="1"/>
  <c r="D1604" i="10" a="1"/>
  <c r="D1604" i="10" s="1"/>
  <c r="D1606" i="10" a="1"/>
  <c r="D1606" i="10" s="1"/>
  <c r="D1608" i="10" a="1"/>
  <c r="D1608" i="10" s="1"/>
  <c r="D1614" i="10" a="1"/>
  <c r="D1614" i="10" s="1"/>
  <c r="D1615" i="10" a="1"/>
  <c r="D1615" i="10" s="1"/>
  <c r="D1618" i="10" a="1"/>
  <c r="D1618" i="10" s="1"/>
  <c r="D1620" i="10" a="1"/>
  <c r="D1620" i="10" s="1"/>
  <c r="E1319" i="10" a="1"/>
  <c r="E1319" i="10" s="1"/>
  <c r="E1320" i="10" a="1"/>
  <c r="E1320" i="10" s="1"/>
  <c r="E1322" i="10" a="1"/>
  <c r="E1322" i="10" s="1"/>
  <c r="E1323" i="10" a="1"/>
  <c r="E1323" i="10" s="1"/>
  <c r="E1324" i="10" a="1"/>
  <c r="E1324" i="10" s="1"/>
  <c r="E1326" i="10" a="1"/>
  <c r="E1326" i="10" s="1"/>
  <c r="E1327" i="10" a="1"/>
  <c r="E1327" i="10" s="1"/>
  <c r="E1328" i="10" a="1"/>
  <c r="E1328" i="10" s="1"/>
  <c r="E1330" i="10" a="1"/>
  <c r="E1330" i="10" s="1"/>
  <c r="E1331" i="10" a="1"/>
  <c r="E1331" i="10" s="1"/>
  <c r="E1332" i="10" a="1"/>
  <c r="E1332" i="10" s="1"/>
  <c r="E1334" i="10" a="1"/>
  <c r="E1334" i="10" s="1"/>
  <c r="E1335" i="10" a="1"/>
  <c r="E1335" i="10" s="1"/>
  <c r="E1336" i="10" a="1"/>
  <c r="E1336" i="10" s="1"/>
  <c r="E1338" i="10" a="1"/>
  <c r="E1338" i="10" s="1"/>
  <c r="E1340" i="10" a="1"/>
  <c r="E1340" i="10" s="1"/>
  <c r="E1343" i="10" a="1"/>
  <c r="E1343" i="10" s="1"/>
  <c r="E1344" i="10" a="1"/>
  <c r="E1344" i="10" s="1"/>
  <c r="E1346" i="10" a="1"/>
  <c r="E1346" i="10" s="1"/>
  <c r="E1347" i="10" a="1"/>
  <c r="E1347" i="10" s="1"/>
  <c r="E1348" i="10" a="1"/>
  <c r="E1348" i="10" s="1"/>
  <c r="E1350" i="10" a="1"/>
  <c r="E1350" i="10" s="1"/>
  <c r="E1351" i="10" a="1"/>
  <c r="E1351" i="10" s="1"/>
  <c r="E1352" i="10" a="1"/>
  <c r="E1352" i="10" s="1"/>
  <c r="E1354" i="10" a="1"/>
  <c r="E1354" i="10" s="1"/>
  <c r="E1355" i="10" a="1"/>
  <c r="E1355" i="10" s="1"/>
  <c r="E1356" i="10" a="1"/>
  <c r="E1356" i="10" s="1"/>
  <c r="E1360" i="10" a="1"/>
  <c r="E1360" i="10" s="1"/>
  <c r="E1362" i="10" a="1"/>
  <c r="E1362" i="10" s="1"/>
  <c r="E1363" i="10" a="1"/>
  <c r="E1363" i="10" s="1"/>
  <c r="E1364" i="10" a="1"/>
  <c r="E1364" i="10" s="1"/>
  <c r="E1366" i="10" a="1"/>
  <c r="E1366" i="10" s="1"/>
  <c r="E1367" i="10" a="1"/>
  <c r="E1367" i="10" s="1"/>
  <c r="E1368" i="10" a="1"/>
  <c r="E1368" i="10" s="1"/>
  <c r="E1370" i="10" a="1"/>
  <c r="E1370" i="10" s="1"/>
  <c r="E1371" i="10" a="1"/>
  <c r="E1371" i="10" s="1"/>
  <c r="E1372" i="10" a="1"/>
  <c r="E1372" i="10" s="1"/>
  <c r="E1375" i="10" a="1"/>
  <c r="E1375" i="10" s="1"/>
  <c r="E1376" i="10" a="1"/>
  <c r="E1376" i="10" s="1"/>
  <c r="E1378" i="10" a="1"/>
  <c r="E1378" i="10" s="1"/>
  <c r="E1380" i="10" a="1"/>
  <c r="E1380" i="10" s="1"/>
  <c r="E1382" i="10" a="1"/>
  <c r="E1382" i="10" s="1"/>
  <c r="E1384" i="10" a="1"/>
  <c r="E1384" i="10" s="1"/>
  <c r="E1386" i="10" a="1"/>
  <c r="E1386" i="10" s="1"/>
  <c r="E1387" i="10" a="1"/>
  <c r="E1387" i="10" s="1"/>
  <c r="E1388" i="10" a="1"/>
  <c r="E1388" i="10" s="1"/>
  <c r="E1389" i="10" a="1"/>
  <c r="E1389" i="10" s="1"/>
  <c r="E1390" i="10" a="1"/>
  <c r="E1390" i="10" s="1"/>
  <c r="E1391" i="10" a="1"/>
  <c r="E1391" i="10" s="1"/>
  <c r="E1394" i="10" a="1"/>
  <c r="E1394" i="10" s="1"/>
  <c r="E1396" i="10" a="1"/>
  <c r="E1396" i="10" s="1"/>
  <c r="E1398" i="10" a="1"/>
  <c r="E1398" i="10" s="1"/>
  <c r="E1399" i="10" a="1"/>
  <c r="E1399" i="10" s="1"/>
  <c r="E1400" i="10" a="1"/>
  <c r="E1400" i="10" s="1"/>
  <c r="E1402" i="10" a="1"/>
  <c r="E1402" i="10" s="1"/>
  <c r="E1403" i="10" a="1"/>
  <c r="E1403" i="10" s="1"/>
  <c r="E1404" i="10" a="1"/>
  <c r="E1404" i="10" s="1"/>
  <c r="E1407" i="10" a="1"/>
  <c r="E1407" i="10" s="1"/>
  <c r="E1408" i="10" a="1"/>
  <c r="E1408" i="10" s="1"/>
  <c r="E1410" i="10" a="1"/>
  <c r="E1410" i="10" s="1"/>
  <c r="E1411" i="10" a="1"/>
  <c r="E1411" i="10" s="1"/>
  <c r="E1412" i="10" a="1"/>
  <c r="E1412" i="10" s="1"/>
  <c r="E1414" i="10" a="1"/>
  <c r="E1414" i="10" s="1"/>
  <c r="E1415" i="10" a="1"/>
  <c r="E1415" i="10" s="1"/>
  <c r="E1418" i="10" a="1"/>
  <c r="E1418" i="10" s="1"/>
  <c r="E1419" i="10" a="1"/>
  <c r="E1419" i="10" s="1"/>
  <c r="E1420" i="10" a="1"/>
  <c r="E1420" i="10" s="1"/>
  <c r="E1423" i="10" a="1"/>
  <c r="E1423" i="10" s="1"/>
  <c r="E1424" i="10" a="1"/>
  <c r="E1424" i="10" s="1"/>
  <c r="E1426" i="10" a="1"/>
  <c r="E1426" i="10" s="1"/>
  <c r="E1427" i="10" a="1"/>
  <c r="E1427" i="10" s="1"/>
  <c r="E1428" i="10" a="1"/>
  <c r="E1428" i="10" s="1"/>
  <c r="E1430" i="10" a="1"/>
  <c r="E1430" i="10" s="1"/>
  <c r="E1432" i="10" a="1"/>
  <c r="E1432" i="10" s="1"/>
  <c r="E1434" i="10" a="1"/>
  <c r="E1434" i="10" s="1"/>
  <c r="E1435" i="10" a="1"/>
  <c r="E1435" i="10" s="1"/>
  <c r="E1437" i="10" a="1"/>
  <c r="E1437" i="10" s="1"/>
  <c r="E1439" i="10" a="1"/>
  <c r="E1439" i="10" s="1"/>
  <c r="E1440" i="10" a="1"/>
  <c r="E1440" i="10" s="1"/>
  <c r="E1442" i="10" a="1"/>
  <c r="E1442" i="10" s="1"/>
  <c r="E1443" i="10" a="1"/>
  <c r="E1443" i="10" s="1"/>
  <c r="E1444" i="10" a="1"/>
  <c r="E1444" i="10" s="1"/>
  <c r="E1446" i="10" a="1"/>
  <c r="E1446" i="10" s="1"/>
  <c r="E1447" i="10" a="1"/>
  <c r="E1447" i="10" s="1"/>
  <c r="E1448" i="10" a="1"/>
  <c r="E1448" i="10" s="1"/>
  <c r="E1450" i="10" a="1"/>
  <c r="E1450" i="10" s="1"/>
  <c r="E1452" i="10" a="1"/>
  <c r="E1452" i="10" s="1"/>
  <c r="E1455" i="10" a="1"/>
  <c r="E1455" i="10" s="1"/>
  <c r="E1458" i="10" a="1"/>
  <c r="E1458" i="10" s="1"/>
  <c r="E1459" i="10" a="1"/>
  <c r="E1459" i="10" s="1"/>
  <c r="E1460" i="10" a="1"/>
  <c r="E1460" i="10" s="1"/>
  <c r="E1462" i="10" a="1"/>
  <c r="E1462" i="10" s="1"/>
  <c r="E1463" i="10" a="1"/>
  <c r="E1463" i="10" s="1"/>
  <c r="E1464" i="10" a="1"/>
  <c r="E1464" i="10" s="1"/>
  <c r="E1466" i="10" a="1"/>
  <c r="E1466" i="10" s="1"/>
  <c r="E1467" i="10" a="1"/>
  <c r="E1467" i="10" s="1"/>
  <c r="E1468" i="10" a="1"/>
  <c r="E1468" i="10" s="1"/>
  <c r="E1470" i="10" a="1"/>
  <c r="E1470" i="10" s="1"/>
  <c r="E1471" i="10" a="1"/>
  <c r="E1471" i="10" s="1"/>
  <c r="E1472" i="10" a="1"/>
  <c r="E1472" i="10" s="1"/>
  <c r="E1474" i="10" a="1"/>
  <c r="E1474" i="10" s="1"/>
  <c r="E1475" i="10" a="1"/>
  <c r="E1475" i="10" s="1"/>
  <c r="E1476" i="10" a="1"/>
  <c r="E1476" i="10" s="1"/>
  <c r="E1477" i="10" a="1"/>
  <c r="E1477" i="10" s="1"/>
  <c r="E1478" i="10" a="1"/>
  <c r="E1478" i="10" s="1"/>
  <c r="E1479" i="10" a="1"/>
  <c r="E1479" i="10" s="1"/>
  <c r="E1480" i="10" a="1"/>
  <c r="E1480" i="10" s="1"/>
  <c r="E1482" i="10" a="1"/>
  <c r="E1482" i="10" s="1"/>
  <c r="E1483" i="10" a="1"/>
  <c r="E1483" i="10" s="1"/>
  <c r="E1484" i="10" a="1"/>
  <c r="E1484" i="10" s="1"/>
  <c r="E1486" i="10" a="1"/>
  <c r="E1486" i="10" s="1"/>
  <c r="E1487" i="10" a="1"/>
  <c r="E1487" i="10" s="1"/>
  <c r="E1488" i="10" a="1"/>
  <c r="E1488" i="10" s="1"/>
  <c r="E1490" i="10" a="1"/>
  <c r="E1490" i="10" s="1"/>
  <c r="E1491" i="10" a="1"/>
  <c r="E1491" i="10" s="1"/>
  <c r="E1492" i="10" a="1"/>
  <c r="E1492" i="10" s="1"/>
  <c r="E1495" i="10" a="1"/>
  <c r="E1495" i="10" s="1"/>
  <c r="E1496" i="10" a="1"/>
  <c r="E1496" i="10" s="1"/>
  <c r="E1498" i="10" a="1"/>
  <c r="E1498" i="10" s="1"/>
  <c r="E1500" i="10" a="1"/>
  <c r="E1500" i="10" s="1"/>
  <c r="E1503" i="10" a="1"/>
  <c r="E1503" i="10" s="1"/>
  <c r="E1504" i="10" a="1"/>
  <c r="E1504" i="10" s="1"/>
  <c r="E1506" i="10" a="1"/>
  <c r="E1506" i="10" s="1"/>
  <c r="E1507" i="10" a="1"/>
  <c r="E1507" i="10" s="1"/>
  <c r="E1508" i="10" a="1"/>
  <c r="E1508" i="10" s="1"/>
  <c r="E1510" i="10" a="1"/>
  <c r="E1510" i="10" s="1"/>
  <c r="E1512" i="10" a="1"/>
  <c r="E1512" i="10" s="1"/>
  <c r="E1515" i="10" a="1"/>
  <c r="E1515" i="10" s="1"/>
  <c r="E1516" i="10" a="1"/>
  <c r="E1516" i="10" s="1"/>
  <c r="E1519" i="10" a="1"/>
  <c r="E1519" i="10" s="1"/>
  <c r="E1522" i="10" a="1"/>
  <c r="E1522" i="10" s="1"/>
  <c r="E1523" i="10" a="1"/>
  <c r="E1523" i="10" s="1"/>
  <c r="E1524" i="10" a="1"/>
  <c r="E1524" i="10" s="1"/>
  <c r="E1526" i="10" a="1"/>
  <c r="E1526" i="10" s="1"/>
  <c r="E1527" i="10" a="1"/>
  <c r="E1527" i="10" s="1"/>
  <c r="E1528" i="10" a="1"/>
  <c r="E1528" i="10" s="1"/>
  <c r="E1530" i="10" a="1"/>
  <c r="E1530" i="10" s="1"/>
  <c r="E1531" i="10" a="1"/>
  <c r="E1531" i="10" s="1"/>
  <c r="E1532" i="10" a="1"/>
  <c r="E1532" i="10" s="1"/>
  <c r="E1536" i="10" a="1"/>
  <c r="E1536" i="10" s="1"/>
  <c r="E1538" i="10" a="1"/>
  <c r="E1538" i="10" s="1"/>
  <c r="E1539" i="10" a="1"/>
  <c r="E1539" i="10" s="1"/>
  <c r="E1540" i="10" a="1"/>
  <c r="E1540" i="10" s="1"/>
  <c r="E1542" i="10" a="1"/>
  <c r="E1542" i="10" s="1"/>
  <c r="E1543" i="10" a="1"/>
  <c r="E1543" i="10" s="1"/>
  <c r="E1544" i="10" a="1"/>
  <c r="E1544" i="10" s="1"/>
  <c r="E1546" i="10" a="1"/>
  <c r="E1546" i="10" s="1"/>
  <c r="E1547" i="10" a="1"/>
  <c r="E1547" i="10" s="1"/>
  <c r="E1548" i="10" a="1"/>
  <c r="E1548" i="10" s="1"/>
  <c r="E1551" i="10" a="1"/>
  <c r="E1551" i="10" s="1"/>
  <c r="E1552" i="10" a="1"/>
  <c r="E1552" i="10" s="1"/>
  <c r="E1554" i="10" a="1"/>
  <c r="E1554" i="10" s="1"/>
  <c r="E1556" i="10" a="1"/>
  <c r="E1556" i="10" s="1"/>
  <c r="E1558" i="10" a="1"/>
  <c r="E1558" i="10" s="1"/>
  <c r="E1560" i="10" a="1"/>
  <c r="E1560" i="10" s="1"/>
  <c r="E1562" i="10" a="1"/>
  <c r="E1562" i="10" s="1"/>
  <c r="E1563" i="10" a="1"/>
  <c r="E1563" i="10" s="1"/>
  <c r="E1564" i="10" a="1"/>
  <c r="E1564" i="10" s="1"/>
  <c r="E1565" i="10" a="1"/>
  <c r="E1565" i="10" s="1"/>
  <c r="E1567" i="10" a="1"/>
  <c r="E1567" i="10" s="1"/>
  <c r="E1570" i="10" a="1"/>
  <c r="E1570" i="10" s="1"/>
  <c r="E1572" i="10" a="1"/>
  <c r="E1572" i="10" s="1"/>
  <c r="E1574" i="10" a="1"/>
  <c r="E1574" i="10" s="1"/>
  <c r="E1576" i="10" a="1"/>
  <c r="E1576" i="10" s="1"/>
  <c r="E1578" i="10" a="1"/>
  <c r="E1578" i="10" s="1"/>
  <c r="E1579" i="10" a="1"/>
  <c r="E1579" i="10" s="1"/>
  <c r="E1580" i="10" a="1"/>
  <c r="E1580" i="10" s="1"/>
  <c r="E1583" i="10" a="1"/>
  <c r="E1583" i="10" s="1"/>
  <c r="E1586" i="10" a="1"/>
  <c r="E1586" i="10" s="1"/>
  <c r="E1587" i="10" a="1"/>
  <c r="E1587" i="10" s="1"/>
  <c r="E1588" i="10" a="1"/>
  <c r="E1588" i="10" s="1"/>
  <c r="E1590" i="10" a="1"/>
  <c r="E1590" i="10" s="1"/>
  <c r="E1592" i="10" a="1"/>
  <c r="E1592" i="10" s="1"/>
  <c r="E1594" i="10" a="1"/>
  <c r="E1594" i="10" s="1"/>
  <c r="E1595" i="10" a="1"/>
  <c r="E1595" i="10" s="1"/>
  <c r="E1597" i="10" a="1"/>
  <c r="E1597" i="10" s="1"/>
  <c r="E1598" i="10" a="1"/>
  <c r="E1598" i="10" s="1"/>
  <c r="E1599" i="10" a="1"/>
  <c r="E1599" i="10" s="1"/>
  <c r="E1600" i="10" a="1"/>
  <c r="E1600" i="10" s="1"/>
  <c r="E1602" i="10" a="1"/>
  <c r="E1602" i="10" s="1"/>
  <c r="E1603" i="10" a="1"/>
  <c r="E1603" i="10" s="1"/>
  <c r="E1604" i="10" a="1"/>
  <c r="E1604" i="10" s="1"/>
  <c r="E1606" i="10" a="1"/>
  <c r="E1606" i="10" s="1"/>
  <c r="E1607" i="10" a="1"/>
  <c r="E1607" i="10" s="1"/>
  <c r="E1608" i="10" a="1"/>
  <c r="E1608" i="10" s="1"/>
  <c r="E1610" i="10" a="1"/>
  <c r="E1610" i="10" s="1"/>
  <c r="E1612" i="10" a="1"/>
  <c r="E1612" i="10" s="1"/>
  <c r="E1614" i="10" a="1"/>
  <c r="E1614" i="10" s="1"/>
  <c r="E1615" i="10" a="1"/>
  <c r="E1615" i="10" s="1"/>
  <c r="E1616" i="10" a="1"/>
  <c r="E1616" i="10" s="1"/>
  <c r="E1618" i="10" a="1"/>
  <c r="E1618" i="10" s="1"/>
  <c r="E1619" i="10" a="1"/>
  <c r="E1619" i="10" s="1"/>
  <c r="E1620" i="10" a="1"/>
  <c r="E1620" i="10" s="1"/>
  <c r="E1622" i="10" a="1"/>
  <c r="E1622" i="10" s="1"/>
  <c r="AI8" i="12"/>
  <c r="AI26" i="12"/>
  <c r="AI44" i="12"/>
  <c r="AI52" i="12"/>
  <c r="AI60" i="12"/>
  <c r="AI78" i="12"/>
  <c r="AI86" i="12"/>
  <c r="AI94" i="12"/>
  <c r="AI96" i="12"/>
  <c r="AI102" i="12"/>
  <c r="AI104" i="12"/>
  <c r="AJ8" i="12"/>
  <c r="AK8" i="12" s="1" a="1"/>
  <c r="AK8" i="12" s="1"/>
  <c r="AJ26" i="12"/>
  <c r="AK26" i="12" s="1" a="1"/>
  <c r="AK26" i="12" s="1"/>
  <c r="AJ44" i="12"/>
  <c r="AL44" i="12" s="1" a="1"/>
  <c r="AL44" i="12" s="1"/>
  <c r="AJ52" i="12"/>
  <c r="AL52" i="12" s="1" a="1"/>
  <c r="AL52" i="12" s="1"/>
  <c r="AJ60" i="12"/>
  <c r="AL60" i="12" s="1" a="1"/>
  <c r="AL60" i="12" s="1"/>
  <c r="AJ78" i="12"/>
  <c r="AK78" i="12" s="1" a="1"/>
  <c r="AK78" i="12" s="1"/>
  <c r="AJ86" i="12"/>
  <c r="AK86" i="12" s="1" a="1"/>
  <c r="AK86" i="12" s="1"/>
  <c r="AJ94" i="12"/>
  <c r="AK94" i="12" s="1" a="1"/>
  <c r="AK94" i="12" s="1"/>
  <c r="AJ96" i="12"/>
  <c r="AK96" i="12" s="1" a="1"/>
  <c r="AK96" i="12" s="1"/>
  <c r="AJ102" i="12"/>
  <c r="AK102" i="12" s="1" a="1"/>
  <c r="AK102" i="12" s="1"/>
  <c r="AJ104" i="12"/>
  <c r="AL104" i="12" s="1" a="1"/>
  <c r="AL104" i="12" s="1"/>
  <c r="X96" i="12"/>
  <c r="X108" i="12"/>
  <c r="X122" i="12"/>
  <c r="X130" i="12"/>
  <c r="X148" i="12"/>
  <c r="X154" i="12"/>
  <c r="X156" i="12"/>
  <c r="X162" i="12"/>
  <c r="X164" i="12"/>
  <c r="Y96" i="12"/>
  <c r="Z96" i="12" s="1" a="1"/>
  <c r="Z96" i="12" s="1"/>
  <c r="Y108" i="12"/>
  <c r="Z108" i="12" s="1" a="1"/>
  <c r="Z108" i="12" s="1"/>
  <c r="Y122" i="12"/>
  <c r="Z122" i="12" s="1" a="1"/>
  <c r="Z122" i="12" s="1"/>
  <c r="Y130" i="12"/>
  <c r="Z130" i="12" s="1" a="1"/>
  <c r="Z130" i="12" s="1"/>
  <c r="Y148" i="12"/>
  <c r="Z148" i="12" s="1" a="1"/>
  <c r="Z148" i="12" s="1"/>
  <c r="Y154" i="12"/>
  <c r="AA154" i="12" s="1" a="1"/>
  <c r="AA154" i="12" s="1"/>
  <c r="Y156" i="12"/>
  <c r="AA156" i="12" s="1" a="1"/>
  <c r="AA156" i="12" s="1"/>
  <c r="Y162" i="12"/>
  <c r="AA162" i="12" s="1" a="1"/>
  <c r="AA162" i="12" s="1"/>
  <c r="Y164" i="12"/>
  <c r="AA164" i="12" s="1" a="1"/>
  <c r="AA164" i="12" s="1"/>
  <c r="M83" i="12"/>
  <c r="M94" i="12"/>
  <c r="M108" i="12"/>
  <c r="M116" i="12"/>
  <c r="M133" i="12"/>
  <c r="M138" i="12"/>
  <c r="M140" i="12"/>
  <c r="M145" i="12"/>
  <c r="M147" i="12"/>
  <c r="N83" i="12"/>
  <c r="O83" i="12" s="1" a="1"/>
  <c r="O83" i="12" s="1"/>
  <c r="N94" i="12"/>
  <c r="O94" i="12" s="1" a="1"/>
  <c r="O94" i="12" s="1"/>
  <c r="N108" i="12"/>
  <c r="O108" i="12" s="1" a="1"/>
  <c r="O108" i="12" s="1"/>
  <c r="N116" i="12"/>
  <c r="O116" i="12" s="1" a="1"/>
  <c r="O116" i="12" s="1"/>
  <c r="N133" i="12"/>
  <c r="O133" i="12" s="1" a="1"/>
  <c r="O133" i="12" s="1"/>
  <c r="N138" i="12"/>
  <c r="O138" i="12" s="1" a="1"/>
  <c r="O138" i="12" s="1"/>
  <c r="N140" i="12"/>
  <c r="P140" i="12" s="1" a="1"/>
  <c r="P140" i="12" s="1"/>
  <c r="N145" i="12"/>
  <c r="P145" i="12" s="1" a="1"/>
  <c r="P145" i="12" s="1"/>
  <c r="N147" i="12"/>
  <c r="P147" i="12" s="1" a="1"/>
  <c r="P147" i="12" s="1"/>
  <c r="B83" i="12"/>
  <c r="B94" i="12"/>
  <c r="B108" i="12"/>
  <c r="B116" i="12"/>
  <c r="B133" i="12"/>
  <c r="B138" i="12"/>
  <c r="B140" i="12"/>
  <c r="B145" i="12"/>
  <c r="B147" i="12"/>
  <c r="C83" i="12"/>
  <c r="D83" i="12" s="1" a="1"/>
  <c r="D83" i="12" s="1"/>
  <c r="C94" i="12"/>
  <c r="D94" i="12" s="1" a="1"/>
  <c r="D94" i="12" s="1"/>
  <c r="C108" i="12"/>
  <c r="D108" i="12" s="1" a="1"/>
  <c r="D108" i="12" s="1"/>
  <c r="C116" i="12"/>
  <c r="E116" i="12" s="1" a="1"/>
  <c r="E116" i="12" s="1"/>
  <c r="C133" i="12"/>
  <c r="D133" i="12" s="1" a="1"/>
  <c r="D133" i="12" s="1"/>
  <c r="C138" i="12"/>
  <c r="D138" i="12" s="1" a="1"/>
  <c r="D138" i="12" s="1"/>
  <c r="C140" i="12"/>
  <c r="E140" i="12" s="1" a="1"/>
  <c r="E140" i="12" s="1"/>
  <c r="C145" i="12"/>
  <c r="D145" i="12" s="1" a="1"/>
  <c r="D145" i="12" s="1"/>
  <c r="C147" i="12"/>
  <c r="D147" i="12" s="1" a="1"/>
  <c r="D147" i="12" s="1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C1279" i="10"/>
  <c r="E1279" i="10" s="1" a="1"/>
  <c r="E1279" i="10" s="1"/>
  <c r="C1280" i="10"/>
  <c r="D1280" i="10" s="1" a="1"/>
  <c r="D1280" i="10" s="1"/>
  <c r="C1281" i="10"/>
  <c r="C1282" i="10"/>
  <c r="C1283" i="10"/>
  <c r="D1283" i="10" s="1" a="1"/>
  <c r="D1283" i="10" s="1"/>
  <c r="C1284" i="10"/>
  <c r="D1284" i="10" s="1" a="1"/>
  <c r="D1284" i="10" s="1"/>
  <c r="C1285" i="10"/>
  <c r="D1285" i="10" s="1" a="1"/>
  <c r="D1285" i="10" s="1"/>
  <c r="C1286" i="10"/>
  <c r="E1286" i="10" s="1" a="1"/>
  <c r="E1286" i="10" s="1"/>
  <c r="C1287" i="10"/>
  <c r="E1287" i="10" s="1" a="1"/>
  <c r="E1287" i="10" s="1"/>
  <c r="C1288" i="10"/>
  <c r="C1289" i="10"/>
  <c r="D1289" i="10" s="1" a="1"/>
  <c r="D1289" i="10" s="1"/>
  <c r="C1290" i="10"/>
  <c r="D1290" i="10" s="1" a="1"/>
  <c r="D1290" i="10" s="1"/>
  <c r="C1291" i="10"/>
  <c r="D1291" i="10" s="1" a="1"/>
  <c r="D1291" i="10" s="1"/>
  <c r="C1292" i="10"/>
  <c r="D1292" i="10" s="1" a="1"/>
  <c r="D1292" i="10" s="1"/>
  <c r="C1293" i="10"/>
  <c r="D1293" i="10" s="1" a="1"/>
  <c r="D1293" i="10" s="1"/>
  <c r="C1294" i="10"/>
  <c r="E1294" i="10" s="1" a="1"/>
  <c r="E1294" i="10" s="1"/>
  <c r="C1295" i="10"/>
  <c r="D1295" i="10" s="1" a="1"/>
  <c r="D1295" i="10" s="1"/>
  <c r="C1296" i="10"/>
  <c r="D1296" i="10" s="1" a="1"/>
  <c r="D1296" i="10" s="1"/>
  <c r="C1297" i="10"/>
  <c r="D1297" i="10" s="1" a="1"/>
  <c r="D1297" i="10" s="1"/>
  <c r="C1298" i="10"/>
  <c r="D1298" i="10" s="1" a="1"/>
  <c r="D1298" i="10" s="1"/>
  <c r="C1299" i="10"/>
  <c r="E1299" i="10" s="1" a="1"/>
  <c r="E1299" i="10" s="1"/>
  <c r="C1300" i="10"/>
  <c r="C1301" i="10"/>
  <c r="D1301" i="10" s="1" a="1"/>
  <c r="D1301" i="10" s="1"/>
  <c r="C1302" i="10"/>
  <c r="E1302" i="10" s="1" a="1"/>
  <c r="E1302" i="10" s="1"/>
  <c r="C1303" i="10"/>
  <c r="E1303" i="10" s="1" a="1"/>
  <c r="E1303" i="10" s="1"/>
  <c r="C1304" i="10"/>
  <c r="E1304" i="10" s="1" a="1"/>
  <c r="E1304" i="10" s="1"/>
  <c r="C1305" i="10"/>
  <c r="D1305" i="10" s="1" a="1"/>
  <c r="D1305" i="10" s="1"/>
  <c r="C1306" i="10"/>
  <c r="D1306" i="10" s="1" a="1"/>
  <c r="D1306" i="10" s="1"/>
  <c r="C1307" i="10"/>
  <c r="D1307" i="10" s="1" a="1"/>
  <c r="D1307" i="10" s="1"/>
  <c r="C1308" i="10"/>
  <c r="E1308" i="10" s="1" a="1"/>
  <c r="E1308" i="10" s="1"/>
  <c r="C1309" i="10"/>
  <c r="D1309" i="10" s="1" a="1"/>
  <c r="D1309" i="10" s="1"/>
  <c r="C1310" i="10"/>
  <c r="E1310" i="10" s="1" a="1"/>
  <c r="E1310" i="10" s="1"/>
  <c r="C1311" i="10"/>
  <c r="E1311" i="10" s="1" a="1"/>
  <c r="E1311" i="10" s="1"/>
  <c r="C1312" i="10"/>
  <c r="D1312" i="10" s="1" a="1"/>
  <c r="D1312" i="10" s="1"/>
  <c r="C1313" i="10"/>
  <c r="D1313" i="10" s="1" a="1"/>
  <c r="D1313" i="10" s="1"/>
  <c r="C1314" i="10"/>
  <c r="E1314" i="10" s="1" a="1"/>
  <c r="E1314" i="10" s="1"/>
  <c r="C1315" i="10"/>
  <c r="E1315" i="10" s="1" a="1"/>
  <c r="E1315" i="10" s="1"/>
  <c r="C1316" i="10"/>
  <c r="D1316" i="10" s="1" a="1"/>
  <c r="D1316" i="10" s="1"/>
  <c r="D1288" i="10" a="1"/>
  <c r="D1288" i="10" s="1"/>
  <c r="E1288" i="10" a="1"/>
  <c r="E1288" i="10" s="1"/>
  <c r="E1296" i="10" a="1"/>
  <c r="E1296" i="10" s="1"/>
  <c r="AI8" i="13"/>
  <c r="AI26" i="13"/>
  <c r="AI43" i="13"/>
  <c r="AI51" i="13"/>
  <c r="AI59" i="13"/>
  <c r="AI78" i="13"/>
  <c r="AI86" i="13"/>
  <c r="AI94" i="13"/>
  <c r="AI96" i="13"/>
  <c r="AI102" i="13"/>
  <c r="AI104" i="13"/>
  <c r="AI7" i="13"/>
  <c r="AI25" i="13"/>
  <c r="AI44" i="13"/>
  <c r="AI52" i="13"/>
  <c r="AI60" i="13"/>
  <c r="AI79" i="13"/>
  <c r="AI87" i="13"/>
  <c r="AI95" i="13"/>
  <c r="AI97" i="13"/>
  <c r="AI103" i="13"/>
  <c r="AI105" i="13"/>
  <c r="AJ8" i="13"/>
  <c r="AK8" i="13" s="1" a="1"/>
  <c r="AK8" i="13" s="1"/>
  <c r="AJ26" i="13"/>
  <c r="AL26" i="13" s="1" a="1"/>
  <c r="AL26" i="13" s="1"/>
  <c r="AJ43" i="13"/>
  <c r="AK43" i="13" s="1" a="1"/>
  <c r="AK43" i="13" s="1"/>
  <c r="AJ51" i="13"/>
  <c r="AK51" i="13" s="1" a="1"/>
  <c r="AK51" i="13" s="1"/>
  <c r="AJ59" i="13"/>
  <c r="AK59" i="13" s="1" a="1"/>
  <c r="AK59" i="13" s="1"/>
  <c r="AJ78" i="13"/>
  <c r="AL78" i="13" s="1" a="1"/>
  <c r="AL78" i="13" s="1"/>
  <c r="AJ86" i="13"/>
  <c r="AL86" i="13" s="1" a="1"/>
  <c r="AL86" i="13" s="1"/>
  <c r="AJ94" i="13"/>
  <c r="AK94" i="13" s="1" a="1"/>
  <c r="AK94" i="13" s="1"/>
  <c r="AJ96" i="13"/>
  <c r="AK96" i="13" s="1" a="1"/>
  <c r="AK96" i="13" s="1"/>
  <c r="AJ102" i="13"/>
  <c r="AL102" i="13" s="1" a="1"/>
  <c r="AL102" i="13" s="1"/>
  <c r="AJ104" i="13"/>
  <c r="AL104" i="13" s="1" a="1"/>
  <c r="AL104" i="13" s="1"/>
  <c r="AJ7" i="13"/>
  <c r="AL7" i="13" s="1" a="1"/>
  <c r="AL7" i="13" s="1"/>
  <c r="AJ25" i="13"/>
  <c r="AL25" i="13" s="1" a="1"/>
  <c r="AL25" i="13" s="1"/>
  <c r="AJ44" i="13"/>
  <c r="AK44" i="13" s="1" a="1"/>
  <c r="AK44" i="13" s="1"/>
  <c r="AJ52" i="13"/>
  <c r="AK52" i="13" s="1" a="1"/>
  <c r="AK52" i="13" s="1"/>
  <c r="AJ60" i="13"/>
  <c r="AK60" i="13" s="1" a="1"/>
  <c r="AK60" i="13" s="1"/>
  <c r="AJ79" i="13"/>
  <c r="AK79" i="13" s="1" a="1"/>
  <c r="AK79" i="13" s="1"/>
  <c r="AJ87" i="13"/>
  <c r="AK87" i="13" s="1" a="1"/>
  <c r="AK87" i="13" s="1"/>
  <c r="AJ95" i="13"/>
  <c r="AK95" i="13" s="1" a="1"/>
  <c r="AK95" i="13" s="1"/>
  <c r="AJ97" i="13"/>
  <c r="AK97" i="13" s="1" a="1"/>
  <c r="AK97" i="13" s="1"/>
  <c r="AJ103" i="13"/>
  <c r="AK103" i="13" s="1" a="1"/>
  <c r="AK103" i="13" s="1"/>
  <c r="AJ105" i="13"/>
  <c r="AL105" i="13" s="1" a="1"/>
  <c r="AL105" i="13" s="1"/>
  <c r="AI7" i="12"/>
  <c r="AI25" i="12"/>
  <c r="AI43" i="12"/>
  <c r="AI51" i="12"/>
  <c r="AI59" i="12"/>
  <c r="AI77" i="12"/>
  <c r="AI85" i="12"/>
  <c r="AI93" i="12"/>
  <c r="AI95" i="12"/>
  <c r="AI101" i="12"/>
  <c r="AI103" i="12"/>
  <c r="AJ7" i="12"/>
  <c r="AK7" i="12" s="1" a="1"/>
  <c r="AK7" i="12" s="1"/>
  <c r="AJ25" i="12"/>
  <c r="AK25" i="12" s="1" a="1"/>
  <c r="AK25" i="12" s="1"/>
  <c r="AJ43" i="12"/>
  <c r="AL43" i="12" s="1" a="1"/>
  <c r="AL43" i="12" s="1"/>
  <c r="AJ51" i="12"/>
  <c r="AL51" i="12" s="1" a="1"/>
  <c r="AL51" i="12" s="1"/>
  <c r="AJ59" i="12"/>
  <c r="AL59" i="12" s="1" a="1"/>
  <c r="AL59" i="12" s="1"/>
  <c r="AJ77" i="12"/>
  <c r="AK77" i="12" s="1" a="1"/>
  <c r="AK77" i="12" s="1"/>
  <c r="AJ85" i="12"/>
  <c r="AK85" i="12" s="1" a="1"/>
  <c r="AK85" i="12" s="1"/>
  <c r="AJ93" i="12"/>
  <c r="AK93" i="12" s="1" a="1"/>
  <c r="AK93" i="12" s="1"/>
  <c r="AJ95" i="12"/>
  <c r="AL95" i="12" s="1" a="1"/>
  <c r="AL95" i="12" s="1"/>
  <c r="AJ101" i="12"/>
  <c r="AK101" i="12" s="1" a="1"/>
  <c r="AK101" i="12" s="1"/>
  <c r="AJ103" i="12"/>
  <c r="AL103" i="12" s="1" a="1"/>
  <c r="AL103" i="12" s="1"/>
  <c r="AI7" i="11"/>
  <c r="AI25" i="11"/>
  <c r="AI43" i="11"/>
  <c r="AI51" i="11"/>
  <c r="AI59" i="11"/>
  <c r="AI77" i="11"/>
  <c r="AI85" i="11"/>
  <c r="AI94" i="11"/>
  <c r="AI96" i="11"/>
  <c r="AI102" i="11"/>
  <c r="AI104" i="11"/>
  <c r="AJ7" i="11"/>
  <c r="AL7" i="11" s="1" a="1"/>
  <c r="AL7" i="11" s="1"/>
  <c r="AJ25" i="11"/>
  <c r="AL25" i="11" s="1" a="1"/>
  <c r="AL25" i="11" s="1"/>
  <c r="AJ43" i="11"/>
  <c r="AL43" i="11" s="1" a="1"/>
  <c r="AL43" i="11" s="1"/>
  <c r="AJ51" i="11"/>
  <c r="AL51" i="11" s="1" a="1"/>
  <c r="AL51" i="11" s="1"/>
  <c r="AJ59" i="11"/>
  <c r="AL59" i="11" s="1" a="1"/>
  <c r="AL59" i="11" s="1"/>
  <c r="AJ77" i="11"/>
  <c r="AL77" i="11" s="1" a="1"/>
  <c r="AL77" i="11" s="1"/>
  <c r="AJ85" i="11"/>
  <c r="AJ94" i="11"/>
  <c r="AJ96" i="11"/>
  <c r="AL96" i="11" s="1" a="1"/>
  <c r="AL96" i="11" s="1"/>
  <c r="AJ102" i="11"/>
  <c r="AL102" i="11" s="1" a="1"/>
  <c r="AL102" i="11" s="1"/>
  <c r="AJ104" i="11"/>
  <c r="AL104" i="11" s="1" a="1"/>
  <c r="AL104" i="11" s="1"/>
  <c r="AK7" i="11"/>
  <c r="AK25" i="11"/>
  <c r="AK43" i="11"/>
  <c r="AK51" i="11"/>
  <c r="AK59" i="11"/>
  <c r="AK77" i="11"/>
  <c r="AK85" i="11"/>
  <c r="AK94" i="11"/>
  <c r="AK96" i="11"/>
  <c r="AK102" i="11"/>
  <c r="AK104" i="11"/>
  <c r="AL85" i="11" a="1"/>
  <c r="AL85" i="11" s="1"/>
  <c r="AL94" i="11" a="1"/>
  <c r="AL94" i="11" s="1"/>
  <c r="AI8" i="11"/>
  <c r="AI26" i="11"/>
  <c r="AI44" i="11"/>
  <c r="AI52" i="11"/>
  <c r="AI60" i="11"/>
  <c r="AI78" i="11"/>
  <c r="AI86" i="11"/>
  <c r="AI93" i="11"/>
  <c r="AI95" i="11"/>
  <c r="AI101" i="11"/>
  <c r="AI103" i="11"/>
  <c r="AJ8" i="11"/>
  <c r="AL8" i="11" s="1" a="1"/>
  <c r="AL8" i="11" s="1"/>
  <c r="AJ26" i="11"/>
  <c r="AL26" i="11" s="1" a="1"/>
  <c r="AL26" i="11" s="1"/>
  <c r="AJ44" i="11"/>
  <c r="AL44" i="11" s="1" a="1"/>
  <c r="AL44" i="11" s="1"/>
  <c r="AJ52" i="11"/>
  <c r="AL52" i="11" s="1" a="1"/>
  <c r="AL52" i="11" s="1"/>
  <c r="AJ60" i="11"/>
  <c r="AL60" i="11" s="1" a="1"/>
  <c r="AL60" i="11" s="1"/>
  <c r="AJ78" i="11"/>
  <c r="AL78" i="11" s="1" a="1"/>
  <c r="AL78" i="11" s="1"/>
  <c r="AJ86" i="11"/>
  <c r="AJ93" i="11"/>
  <c r="AJ95" i="11"/>
  <c r="AJ101" i="11"/>
  <c r="AL101" i="11" s="1" a="1"/>
  <c r="AL101" i="11" s="1"/>
  <c r="AJ103" i="11"/>
  <c r="AL103" i="11" s="1" a="1"/>
  <c r="AL103" i="11" s="1"/>
  <c r="AK8" i="11"/>
  <c r="AK26" i="11"/>
  <c r="AK44" i="11"/>
  <c r="AK52" i="11"/>
  <c r="AK60" i="11"/>
  <c r="AK78" i="11"/>
  <c r="AK86" i="11"/>
  <c r="AK93" i="11"/>
  <c r="AK95" i="11"/>
  <c r="AK101" i="11"/>
  <c r="AK103" i="11"/>
  <c r="AL86" i="11" a="1"/>
  <c r="AL86" i="11" s="1"/>
  <c r="AL93" i="11" a="1"/>
  <c r="AL93" i="11" s="1"/>
  <c r="AL95" i="11" a="1"/>
  <c r="AL95" i="11" s="1"/>
  <c r="X92" i="13"/>
  <c r="X101" i="13"/>
  <c r="X116" i="13"/>
  <c r="X124" i="13"/>
  <c r="X139" i="13"/>
  <c r="X142" i="13"/>
  <c r="X144" i="13"/>
  <c r="X147" i="13"/>
  <c r="X149" i="13"/>
  <c r="Y92" i="13"/>
  <c r="Z92" i="13" s="1" a="1"/>
  <c r="Z92" i="13" s="1"/>
  <c r="Y101" i="13"/>
  <c r="AA101" i="13" s="1" a="1"/>
  <c r="AA101" i="13" s="1"/>
  <c r="Y116" i="13"/>
  <c r="Z116" i="13" s="1" a="1"/>
  <c r="Z116" i="13" s="1"/>
  <c r="Y124" i="13"/>
  <c r="Z124" i="13" s="1" a="1"/>
  <c r="Z124" i="13" s="1"/>
  <c r="Y139" i="13"/>
  <c r="Z139" i="13" s="1" a="1"/>
  <c r="Z139" i="13" s="1"/>
  <c r="Y142" i="13"/>
  <c r="AA142" i="13" s="1" a="1"/>
  <c r="AA142" i="13" s="1"/>
  <c r="Y144" i="13"/>
  <c r="AA144" i="13" s="1" a="1"/>
  <c r="AA144" i="13" s="1"/>
  <c r="Y147" i="13"/>
  <c r="Z147" i="13" s="1" a="1"/>
  <c r="Z147" i="13" s="1"/>
  <c r="Y149" i="13"/>
  <c r="AA149" i="13" s="1" a="1"/>
  <c r="AA149" i="13" s="1"/>
  <c r="M80" i="13"/>
  <c r="M89" i="13"/>
  <c r="M104" i="13"/>
  <c r="M112" i="13"/>
  <c r="M127" i="13"/>
  <c r="M130" i="13"/>
  <c r="M132" i="13"/>
  <c r="M135" i="13"/>
  <c r="M137" i="13"/>
  <c r="N80" i="13"/>
  <c r="O80" i="13" s="1" a="1"/>
  <c r="O80" i="13" s="1"/>
  <c r="N89" i="13"/>
  <c r="O89" i="13" s="1" a="1"/>
  <c r="O89" i="13" s="1"/>
  <c r="N104" i="13"/>
  <c r="O104" i="13" s="1" a="1"/>
  <c r="O104" i="13" s="1"/>
  <c r="N112" i="13"/>
  <c r="O112" i="13" s="1" a="1"/>
  <c r="O112" i="13" s="1"/>
  <c r="N127" i="13"/>
  <c r="O127" i="13" s="1" a="1"/>
  <c r="O127" i="13" s="1"/>
  <c r="N130" i="13"/>
  <c r="O130" i="13" s="1" a="1"/>
  <c r="O130" i="13" s="1"/>
  <c r="N132" i="13"/>
  <c r="P132" i="13" s="1" a="1"/>
  <c r="P132" i="13" s="1"/>
  <c r="N135" i="13"/>
  <c r="O135" i="13" s="1" a="1"/>
  <c r="O135" i="13" s="1"/>
  <c r="N137" i="13"/>
  <c r="O137" i="13" s="1" a="1"/>
  <c r="O137" i="13" s="1"/>
  <c r="B80" i="13"/>
  <c r="B88" i="13"/>
  <c r="B103" i="13"/>
  <c r="B111" i="13"/>
  <c r="B127" i="13"/>
  <c r="B130" i="13"/>
  <c r="B132" i="13"/>
  <c r="B135" i="13"/>
  <c r="B137" i="13"/>
  <c r="C80" i="13"/>
  <c r="D80" i="13" s="1" a="1"/>
  <c r="D80" i="13" s="1"/>
  <c r="C88" i="13"/>
  <c r="D88" i="13" s="1" a="1"/>
  <c r="D88" i="13" s="1"/>
  <c r="C103" i="13"/>
  <c r="D103" i="13" s="1" a="1"/>
  <c r="D103" i="13" s="1"/>
  <c r="C111" i="13"/>
  <c r="D111" i="13" s="1" a="1"/>
  <c r="D111" i="13" s="1"/>
  <c r="C127" i="13"/>
  <c r="D127" i="13" s="1" a="1"/>
  <c r="D127" i="13" s="1"/>
  <c r="C130" i="13"/>
  <c r="D130" i="13" s="1" a="1"/>
  <c r="D130" i="13" s="1"/>
  <c r="C132" i="13"/>
  <c r="E132" i="13" s="1" a="1"/>
  <c r="E132" i="13" s="1"/>
  <c r="C135" i="13"/>
  <c r="D135" i="13" s="1" a="1"/>
  <c r="D135" i="13" s="1"/>
  <c r="C137" i="13"/>
  <c r="D137" i="13" s="1" a="1"/>
  <c r="D137" i="13" s="1"/>
  <c r="X93" i="13"/>
  <c r="X102" i="13"/>
  <c r="X115" i="13"/>
  <c r="X123" i="13"/>
  <c r="X138" i="13"/>
  <c r="X141" i="13"/>
  <c r="X143" i="13"/>
  <c r="X146" i="13"/>
  <c r="X148" i="13"/>
  <c r="Y93" i="13"/>
  <c r="Z93" i="13" s="1" a="1"/>
  <c r="Z93" i="13" s="1"/>
  <c r="Y102" i="13"/>
  <c r="Z102" i="13" s="1" a="1"/>
  <c r="Z102" i="13" s="1"/>
  <c r="Y115" i="13"/>
  <c r="Z115" i="13" s="1" a="1"/>
  <c r="Z115" i="13" s="1"/>
  <c r="Y123" i="13"/>
  <c r="Z123" i="13" s="1" a="1"/>
  <c r="Z123" i="13" s="1"/>
  <c r="Y138" i="13"/>
  <c r="Z138" i="13" s="1" a="1"/>
  <c r="Z138" i="13" s="1"/>
  <c r="Y141" i="13"/>
  <c r="Z141" i="13" s="1" a="1"/>
  <c r="Z141" i="13" s="1"/>
  <c r="Y143" i="13"/>
  <c r="AA143" i="13" s="1" a="1"/>
  <c r="AA143" i="13" s="1"/>
  <c r="Y146" i="13"/>
  <c r="Z146" i="13" s="1" a="1"/>
  <c r="Z146" i="13" s="1"/>
  <c r="Y148" i="13"/>
  <c r="AA148" i="13" s="1" a="1"/>
  <c r="AA148" i="13" s="1"/>
  <c r="M81" i="13"/>
  <c r="M90" i="13"/>
  <c r="M103" i="13"/>
  <c r="M111" i="13"/>
  <c r="M126" i="13"/>
  <c r="M129" i="13"/>
  <c r="M131" i="13"/>
  <c r="M134" i="13"/>
  <c r="M136" i="13"/>
  <c r="N81" i="13"/>
  <c r="O81" i="13" s="1" a="1"/>
  <c r="O81" i="13" s="1"/>
  <c r="N90" i="13"/>
  <c r="O90" i="13" s="1" a="1"/>
  <c r="O90" i="13" s="1"/>
  <c r="N103" i="13"/>
  <c r="O103" i="13" s="1" a="1"/>
  <c r="O103" i="13" s="1"/>
  <c r="N111" i="13"/>
  <c r="O111" i="13" s="1" a="1"/>
  <c r="O111" i="13" s="1"/>
  <c r="N126" i="13"/>
  <c r="O126" i="13" s="1" a="1"/>
  <c r="O126" i="13" s="1"/>
  <c r="N129" i="13"/>
  <c r="O129" i="13" s="1" a="1"/>
  <c r="O129" i="13" s="1"/>
  <c r="N131" i="13"/>
  <c r="P131" i="13" s="1" a="1"/>
  <c r="P131" i="13" s="1"/>
  <c r="N134" i="13"/>
  <c r="P134" i="13" s="1" a="1"/>
  <c r="P134" i="13" s="1"/>
  <c r="N136" i="13"/>
  <c r="P136" i="13" s="1" a="1"/>
  <c r="P136" i="13" s="1"/>
  <c r="B81" i="13"/>
  <c r="B90" i="13"/>
  <c r="B104" i="13"/>
  <c r="B112" i="13"/>
  <c r="B126" i="13"/>
  <c r="B129" i="13"/>
  <c r="B131" i="13"/>
  <c r="B134" i="13"/>
  <c r="B136" i="13"/>
  <c r="C81" i="13"/>
  <c r="D81" i="13" s="1" a="1"/>
  <c r="D81" i="13" s="1"/>
  <c r="C90" i="13"/>
  <c r="D90" i="13" s="1" a="1"/>
  <c r="D90" i="13" s="1"/>
  <c r="C104" i="13"/>
  <c r="D104" i="13" s="1" a="1"/>
  <c r="D104" i="13" s="1"/>
  <c r="C112" i="13"/>
  <c r="D112" i="13" s="1" a="1"/>
  <c r="D112" i="13" s="1"/>
  <c r="C126" i="13"/>
  <c r="D126" i="13" s="1" a="1"/>
  <c r="D126" i="13" s="1"/>
  <c r="C129" i="13"/>
  <c r="E129" i="13" s="1" a="1"/>
  <c r="E129" i="13" s="1"/>
  <c r="C131" i="13"/>
  <c r="D131" i="13" s="1" a="1"/>
  <c r="D131" i="13" s="1"/>
  <c r="C134" i="13"/>
  <c r="E134" i="13" s="1" a="1"/>
  <c r="E134" i="13" s="1"/>
  <c r="C136" i="13"/>
  <c r="D136" i="13" s="1" a="1"/>
  <c r="D136" i="13" s="1"/>
  <c r="X95" i="12"/>
  <c r="X106" i="12"/>
  <c r="X121" i="12"/>
  <c r="X129" i="12"/>
  <c r="X147" i="12"/>
  <c r="X153" i="12"/>
  <c r="X155" i="12"/>
  <c r="X161" i="12"/>
  <c r="X163" i="12"/>
  <c r="Y95" i="12"/>
  <c r="Z95" i="12" s="1" a="1"/>
  <c r="Z95" i="12" s="1"/>
  <c r="Y106" i="12"/>
  <c r="Z106" i="12" s="1" a="1"/>
  <c r="Z106" i="12" s="1"/>
  <c r="Y121" i="12"/>
  <c r="Z121" i="12" s="1" a="1"/>
  <c r="Z121" i="12" s="1"/>
  <c r="Y129" i="12"/>
  <c r="Z129" i="12" s="1" a="1"/>
  <c r="Z129" i="12" s="1"/>
  <c r="Y147" i="12"/>
  <c r="Z147" i="12" s="1" a="1"/>
  <c r="Z147" i="12" s="1"/>
  <c r="Y153" i="12"/>
  <c r="AA153" i="12" s="1" a="1"/>
  <c r="AA153" i="12" s="1"/>
  <c r="Y155" i="12"/>
  <c r="AA155" i="12" s="1" a="1"/>
  <c r="AA155" i="12" s="1"/>
  <c r="Y161" i="12"/>
  <c r="Z161" i="12" s="1" a="1"/>
  <c r="Z161" i="12" s="1"/>
  <c r="Y163" i="12"/>
  <c r="Z163" i="12" s="1" a="1"/>
  <c r="Z163" i="12" s="1"/>
  <c r="M82" i="12"/>
  <c r="M92" i="12"/>
  <c r="M107" i="12"/>
  <c r="M115" i="12"/>
  <c r="M132" i="12"/>
  <c r="M137" i="12"/>
  <c r="M139" i="12"/>
  <c r="M144" i="12"/>
  <c r="M146" i="12"/>
  <c r="N82" i="12"/>
  <c r="O82" i="12" s="1" a="1"/>
  <c r="O82" i="12" s="1"/>
  <c r="N92" i="12"/>
  <c r="O92" i="12" s="1" a="1"/>
  <c r="O92" i="12" s="1"/>
  <c r="N107" i="12"/>
  <c r="O107" i="12" s="1" a="1"/>
  <c r="O107" i="12" s="1"/>
  <c r="N115" i="12"/>
  <c r="O115" i="12" s="1" a="1"/>
  <c r="O115" i="12" s="1"/>
  <c r="N132" i="12"/>
  <c r="O132" i="12" s="1" a="1"/>
  <c r="O132" i="12" s="1"/>
  <c r="N137" i="12"/>
  <c r="O137" i="12" s="1" a="1"/>
  <c r="O137" i="12" s="1"/>
  <c r="N139" i="12"/>
  <c r="P139" i="12" s="1" a="1"/>
  <c r="P139" i="12" s="1"/>
  <c r="N144" i="12"/>
  <c r="P144" i="12" s="1" a="1"/>
  <c r="P144" i="12" s="1"/>
  <c r="N146" i="12"/>
  <c r="P146" i="12" s="1" a="1"/>
  <c r="P146" i="12" s="1"/>
  <c r="B82" i="12"/>
  <c r="B93" i="12"/>
  <c r="B107" i="12"/>
  <c r="B115" i="12"/>
  <c r="B132" i="12"/>
  <c r="B137" i="12"/>
  <c r="B139" i="12"/>
  <c r="B144" i="12"/>
  <c r="B146" i="12"/>
  <c r="C82" i="12"/>
  <c r="D82" i="12" s="1" a="1"/>
  <c r="D82" i="12" s="1"/>
  <c r="C93" i="12"/>
  <c r="D93" i="12" s="1" a="1"/>
  <c r="D93" i="12" s="1"/>
  <c r="C107" i="12"/>
  <c r="D107" i="12" s="1" a="1"/>
  <c r="D107" i="12" s="1"/>
  <c r="C115" i="12"/>
  <c r="D115" i="12" s="1" a="1"/>
  <c r="D115" i="12" s="1"/>
  <c r="C132" i="12"/>
  <c r="D132" i="12" s="1" a="1"/>
  <c r="D132" i="12" s="1"/>
  <c r="C137" i="12"/>
  <c r="D137" i="12" s="1" a="1"/>
  <c r="D137" i="12" s="1"/>
  <c r="C139" i="12"/>
  <c r="E139" i="12" s="1" a="1"/>
  <c r="E139" i="12" s="1"/>
  <c r="C144" i="12"/>
  <c r="E144" i="12" s="1" a="1"/>
  <c r="E144" i="12" s="1"/>
  <c r="C146" i="12"/>
  <c r="E146" i="12" s="1" a="1"/>
  <c r="E146" i="12" s="1"/>
  <c r="X105" i="11"/>
  <c r="X114" i="11"/>
  <c r="X129" i="11"/>
  <c r="X137" i="11"/>
  <c r="X154" i="11"/>
  <c r="X159" i="11"/>
  <c r="X163" i="11"/>
  <c r="X179" i="11"/>
  <c r="X181" i="11"/>
  <c r="Y105" i="11"/>
  <c r="Z105" i="11" s="1" a="1"/>
  <c r="Z105" i="11" s="1"/>
  <c r="Y114" i="11"/>
  <c r="AA114" i="11" s="1" a="1"/>
  <c r="AA114" i="11" s="1"/>
  <c r="Y129" i="11"/>
  <c r="Z129" i="11" s="1" a="1"/>
  <c r="Z129" i="11" s="1"/>
  <c r="Y137" i="11"/>
  <c r="Z137" i="11" s="1" a="1"/>
  <c r="Z137" i="11" s="1"/>
  <c r="Y154" i="11"/>
  <c r="Z154" i="11" s="1" a="1"/>
  <c r="Z154" i="11" s="1"/>
  <c r="Y159" i="11"/>
  <c r="Z159" i="11" s="1" a="1"/>
  <c r="Z159" i="11" s="1"/>
  <c r="Y163" i="11"/>
  <c r="AA163" i="11" s="1" a="1"/>
  <c r="AA163" i="11" s="1"/>
  <c r="Y179" i="11"/>
  <c r="AA179" i="11" s="1" a="1"/>
  <c r="AA179" i="11" s="1"/>
  <c r="Y181" i="11"/>
  <c r="AA181" i="11" s="1" a="1"/>
  <c r="AA181" i="11" s="1"/>
  <c r="M81" i="11"/>
  <c r="M90" i="11"/>
  <c r="M105" i="11"/>
  <c r="M113" i="11"/>
  <c r="M130" i="11"/>
  <c r="M135" i="11"/>
  <c r="M139" i="11"/>
  <c r="M156" i="11"/>
  <c r="M158" i="11"/>
  <c r="N81" i="11"/>
  <c r="O81" i="11" s="1" a="1"/>
  <c r="O81" i="11" s="1"/>
  <c r="N90" i="11"/>
  <c r="P90" i="11" s="1" a="1"/>
  <c r="P90" i="11" s="1"/>
  <c r="N105" i="11"/>
  <c r="O105" i="11" s="1" a="1"/>
  <c r="O105" i="11" s="1"/>
  <c r="N113" i="11"/>
  <c r="O113" i="11" s="1" a="1"/>
  <c r="O113" i="11" s="1"/>
  <c r="N130" i="11"/>
  <c r="O130" i="11" s="1" a="1"/>
  <c r="O130" i="11" s="1"/>
  <c r="N135" i="11"/>
  <c r="O135" i="11" s="1" a="1"/>
  <c r="O135" i="11" s="1"/>
  <c r="N139" i="11"/>
  <c r="P139" i="11" s="1" a="1"/>
  <c r="P139" i="11" s="1"/>
  <c r="N156" i="11"/>
  <c r="P156" i="11" s="1" a="1"/>
  <c r="P156" i="11" s="1"/>
  <c r="N158" i="11"/>
  <c r="O158" i="11" s="1" a="1"/>
  <c r="O158" i="11" s="1"/>
  <c r="B81" i="11"/>
  <c r="B90" i="11"/>
  <c r="B105" i="11"/>
  <c r="B113" i="11"/>
  <c r="B129" i="11"/>
  <c r="B135" i="11"/>
  <c r="B139" i="11"/>
  <c r="B155" i="11"/>
  <c r="B157" i="11"/>
  <c r="C81" i="11"/>
  <c r="D81" i="11" s="1" a="1"/>
  <c r="D81" i="11" s="1"/>
  <c r="C90" i="11"/>
  <c r="D90" i="11" s="1" a="1"/>
  <c r="D90" i="11" s="1"/>
  <c r="C105" i="11"/>
  <c r="D105" i="11" s="1" a="1"/>
  <c r="D105" i="11" s="1"/>
  <c r="C113" i="11"/>
  <c r="D113" i="11" s="1" a="1"/>
  <c r="D113" i="11" s="1"/>
  <c r="C129" i="11"/>
  <c r="D129" i="11" s="1" a="1"/>
  <c r="D129" i="11" s="1"/>
  <c r="C135" i="11"/>
  <c r="D135" i="11" s="1" a="1"/>
  <c r="D135" i="11" s="1"/>
  <c r="C139" i="11"/>
  <c r="E139" i="11" s="1" a="1"/>
  <c r="E139" i="11" s="1"/>
  <c r="C155" i="11"/>
  <c r="D155" i="11" s="1" a="1"/>
  <c r="D155" i="11" s="1"/>
  <c r="C157" i="11"/>
  <c r="D157" i="11" s="1" a="1"/>
  <c r="D157" i="11" s="1"/>
  <c r="X106" i="11"/>
  <c r="X116" i="11"/>
  <c r="X130" i="11"/>
  <c r="X138" i="11"/>
  <c r="X156" i="11"/>
  <c r="X160" i="11"/>
  <c r="X164" i="11"/>
  <c r="X180" i="11"/>
  <c r="X182" i="11"/>
  <c r="Y106" i="11"/>
  <c r="Z106" i="11" s="1" a="1"/>
  <c r="Z106" i="11" s="1"/>
  <c r="Y116" i="11"/>
  <c r="Z116" i="11" s="1" a="1"/>
  <c r="Z116" i="11" s="1"/>
  <c r="Y130" i="11"/>
  <c r="AA130" i="11" s="1" a="1"/>
  <c r="AA130" i="11" s="1"/>
  <c r="Y138" i="11"/>
  <c r="Z138" i="11" s="1" a="1"/>
  <c r="Z138" i="11" s="1"/>
  <c r="Y156" i="11"/>
  <c r="Z156" i="11" s="1" a="1"/>
  <c r="Z156" i="11" s="1"/>
  <c r="Y160" i="11"/>
  <c r="Z160" i="11" s="1" a="1"/>
  <c r="Z160" i="11" s="1"/>
  <c r="Y164" i="11"/>
  <c r="AA164" i="11" s="1" a="1"/>
  <c r="AA164" i="11" s="1"/>
  <c r="Y180" i="11"/>
  <c r="Z180" i="11" s="1" a="1"/>
  <c r="Z180" i="11" s="1"/>
  <c r="Y182" i="11"/>
  <c r="Z182" i="11" s="1" a="1"/>
  <c r="Z182" i="11" s="1"/>
  <c r="M82" i="11"/>
  <c r="M92" i="11"/>
  <c r="M106" i="11"/>
  <c r="M114" i="11"/>
  <c r="M132" i="11"/>
  <c r="M136" i="11"/>
  <c r="M140" i="11"/>
  <c r="M155" i="11"/>
  <c r="M157" i="11"/>
  <c r="N82" i="11"/>
  <c r="O82" i="11" s="1" a="1"/>
  <c r="O82" i="11" s="1"/>
  <c r="N92" i="11"/>
  <c r="O92" i="11" s="1" a="1"/>
  <c r="O92" i="11" s="1"/>
  <c r="N106" i="11"/>
  <c r="O106" i="11" s="1" a="1"/>
  <c r="O106" i="11" s="1"/>
  <c r="N114" i="11"/>
  <c r="O114" i="11" s="1" a="1"/>
  <c r="O114" i="11" s="1"/>
  <c r="N132" i="11"/>
  <c r="O132" i="11" s="1" a="1"/>
  <c r="O132" i="11" s="1"/>
  <c r="N136" i="11"/>
  <c r="O136" i="11" s="1" a="1"/>
  <c r="O136" i="11" s="1"/>
  <c r="N140" i="11"/>
  <c r="P140" i="11" s="1" a="1"/>
  <c r="P140" i="11" s="1"/>
  <c r="N155" i="11"/>
  <c r="P155" i="11" s="1" a="1"/>
  <c r="P155" i="11" s="1"/>
  <c r="N157" i="11"/>
  <c r="O157" i="11" s="1" a="1"/>
  <c r="O157" i="11" s="1"/>
  <c r="B82" i="11"/>
  <c r="B91" i="11"/>
  <c r="B106" i="11"/>
  <c r="B114" i="11"/>
  <c r="B131" i="11"/>
  <c r="B136" i="11"/>
  <c r="B140" i="11"/>
  <c r="B156" i="11"/>
  <c r="B158" i="11"/>
  <c r="C82" i="11"/>
  <c r="D82" i="11" s="1" a="1"/>
  <c r="D82" i="11" s="1"/>
  <c r="C91" i="11"/>
  <c r="D91" i="11" s="1" a="1"/>
  <c r="D91" i="11" s="1"/>
  <c r="C106" i="11"/>
  <c r="D106" i="11" s="1" a="1"/>
  <c r="D106" i="11" s="1"/>
  <c r="C114" i="11"/>
  <c r="D114" i="11" s="1" a="1"/>
  <c r="D114" i="11" s="1"/>
  <c r="C131" i="11"/>
  <c r="D131" i="11" s="1" a="1"/>
  <c r="D131" i="11" s="1"/>
  <c r="C136" i="11"/>
  <c r="D136" i="11" s="1" a="1"/>
  <c r="D136" i="11" s="1"/>
  <c r="C140" i="11"/>
  <c r="E140" i="11" s="1" a="1"/>
  <c r="E140" i="11" s="1"/>
  <c r="C156" i="11"/>
  <c r="D156" i="11" s="1" a="1"/>
  <c r="D156" i="11" s="1"/>
  <c r="C158" i="11"/>
  <c r="D158" i="11" s="1" a="1"/>
  <c r="D158" i="11" s="1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C1089" i="10"/>
  <c r="E1089" i="10" s="1" a="1"/>
  <c r="E1089" i="10" s="1"/>
  <c r="C1090" i="10"/>
  <c r="D1090" i="10" s="1" a="1"/>
  <c r="D1090" i="10" s="1"/>
  <c r="C1091" i="10"/>
  <c r="D1091" i="10" s="1" a="1"/>
  <c r="D1091" i="10" s="1"/>
  <c r="C1092" i="10"/>
  <c r="D1092" i="10" s="1" a="1"/>
  <c r="D1092" i="10" s="1"/>
  <c r="C1093" i="10"/>
  <c r="D1093" i="10" s="1" a="1"/>
  <c r="D1093" i="10" s="1"/>
  <c r="C1094" i="10"/>
  <c r="E1094" i="10" s="1" a="1"/>
  <c r="E1094" i="10" s="1"/>
  <c r="C1095" i="10"/>
  <c r="D1095" i="10" s="1" a="1"/>
  <c r="D1095" i="10" s="1"/>
  <c r="C1096" i="10"/>
  <c r="E1096" i="10" s="1" a="1"/>
  <c r="E1096" i="10" s="1"/>
  <c r="C1097" i="10"/>
  <c r="D1097" i="10" s="1" a="1"/>
  <c r="D1097" i="10" s="1"/>
  <c r="C1098" i="10"/>
  <c r="D1098" i="10" s="1" a="1"/>
  <c r="D1098" i="10" s="1"/>
  <c r="C1099" i="10"/>
  <c r="D1099" i="10" s="1" a="1"/>
  <c r="D1099" i="10" s="1"/>
  <c r="C1100" i="10"/>
  <c r="D1100" i="10" s="1" a="1"/>
  <c r="D1100" i="10" s="1"/>
  <c r="C1101" i="10"/>
  <c r="D1101" i="10" s="1" a="1"/>
  <c r="D1101" i="10" s="1"/>
  <c r="C1102" i="10"/>
  <c r="D1102" i="10" s="1" a="1"/>
  <c r="D1102" i="10" s="1"/>
  <c r="C1103" i="10"/>
  <c r="D1103" i="10" s="1" a="1"/>
  <c r="D1103" i="10" s="1"/>
  <c r="C1104" i="10"/>
  <c r="E1104" i="10" s="1" a="1"/>
  <c r="E1104" i="10" s="1"/>
  <c r="C1105" i="10"/>
  <c r="E1105" i="10" s="1" a="1"/>
  <c r="E1105" i="10" s="1"/>
  <c r="C1106" i="10"/>
  <c r="D1106" i="10" s="1" a="1"/>
  <c r="D1106" i="10" s="1"/>
  <c r="C1107" i="10"/>
  <c r="D1107" i="10" s="1" a="1"/>
  <c r="D1107" i="10" s="1"/>
  <c r="C1108" i="10"/>
  <c r="D1108" i="10" s="1" a="1"/>
  <c r="D1108" i="10" s="1"/>
  <c r="C1109" i="10"/>
  <c r="D1109" i="10" s="1" a="1"/>
  <c r="D1109" i="10" s="1"/>
  <c r="C1110" i="10"/>
  <c r="D1110" i="10" s="1" a="1"/>
  <c r="D1110" i="10" s="1"/>
  <c r="C1111" i="10"/>
  <c r="D1111" i="10" s="1" a="1"/>
  <c r="D1111" i="10" s="1"/>
  <c r="C1112" i="10"/>
  <c r="D1112" i="10" s="1" a="1"/>
  <c r="D1112" i="10" s="1"/>
  <c r="C1113" i="10"/>
  <c r="D1113" i="10" s="1" a="1"/>
  <c r="D1113" i="10" s="1"/>
  <c r="C1114" i="10"/>
  <c r="D1114" i="10" s="1" a="1"/>
  <c r="D1114" i="10" s="1"/>
  <c r="C1115" i="10"/>
  <c r="D1115" i="10" s="1" a="1"/>
  <c r="D1115" i="10" s="1"/>
  <c r="C1116" i="10"/>
  <c r="D1116" i="10" s="1" a="1"/>
  <c r="D1116" i="10" s="1"/>
  <c r="C1117" i="10"/>
  <c r="D1117" i="10" s="1" a="1"/>
  <c r="D1117" i="10" s="1"/>
  <c r="C1118" i="10"/>
  <c r="D1118" i="10" s="1" a="1"/>
  <c r="D1118" i="10" s="1"/>
  <c r="C1119" i="10"/>
  <c r="D1119" i="10" s="1" a="1"/>
  <c r="D1119" i="10" s="1"/>
  <c r="C1120" i="10"/>
  <c r="D1120" i="10" s="1" a="1"/>
  <c r="D1120" i="10" s="1"/>
  <c r="C1121" i="10"/>
  <c r="E1121" i="10" s="1" a="1"/>
  <c r="E1121" i="10" s="1"/>
  <c r="C1122" i="10"/>
  <c r="D1122" i="10" s="1" a="1"/>
  <c r="D1122" i="10" s="1"/>
  <c r="C1123" i="10"/>
  <c r="C1124" i="10"/>
  <c r="E1124" i="10" s="1" a="1"/>
  <c r="E1124" i="10" s="1"/>
  <c r="C1125" i="10"/>
  <c r="E1125" i="10" s="1" a="1"/>
  <c r="E1125" i="10" s="1"/>
  <c r="C1126" i="10"/>
  <c r="D1126" i="10" s="1" a="1"/>
  <c r="D1126" i="10" s="1"/>
  <c r="C1127" i="10"/>
  <c r="D1127" i="10" s="1" a="1"/>
  <c r="D1127" i="10" s="1"/>
  <c r="C1128" i="10"/>
  <c r="D1128" i="10" s="1" a="1"/>
  <c r="D1128" i="10" s="1"/>
  <c r="C1129" i="10"/>
  <c r="E1129" i="10" s="1" a="1"/>
  <c r="E1129" i="10" s="1"/>
  <c r="C1130" i="10"/>
  <c r="E1130" i="10" s="1" a="1"/>
  <c r="E1130" i="10" s="1"/>
  <c r="C1131" i="10"/>
  <c r="C1132" i="10"/>
  <c r="D1132" i="10" s="1" a="1"/>
  <c r="D1132" i="10" s="1"/>
  <c r="C1133" i="10"/>
  <c r="E1133" i="10" s="1" a="1"/>
  <c r="E1133" i="10" s="1"/>
  <c r="C1134" i="10"/>
  <c r="E1134" i="10" s="1" a="1"/>
  <c r="E1134" i="10" s="1"/>
  <c r="C1135" i="10"/>
  <c r="D1135" i="10" s="1" a="1"/>
  <c r="D1135" i="10" s="1"/>
  <c r="C1136" i="10"/>
  <c r="D1136" i="10" s="1" a="1"/>
  <c r="D1136" i="10" s="1"/>
  <c r="C1137" i="10"/>
  <c r="E1137" i="10" s="1" a="1"/>
  <c r="E1137" i="10" s="1"/>
  <c r="C1138" i="10"/>
  <c r="D1138" i="10" s="1" a="1"/>
  <c r="D1138" i="10" s="1"/>
  <c r="C1139" i="10"/>
  <c r="D1139" i="10" s="1" a="1"/>
  <c r="D1139" i="10" s="1"/>
  <c r="C1140" i="10"/>
  <c r="E1140" i="10" s="1" a="1"/>
  <c r="E1140" i="10" s="1"/>
  <c r="C1141" i="10"/>
  <c r="D1141" i="10" s="1" a="1"/>
  <c r="D1141" i="10" s="1"/>
  <c r="C1142" i="10"/>
  <c r="E1142" i="10" s="1" a="1"/>
  <c r="E1142" i="10" s="1"/>
  <c r="C1143" i="10"/>
  <c r="D1143" i="10" s="1" a="1"/>
  <c r="D1143" i="10" s="1"/>
  <c r="C1144" i="10"/>
  <c r="D1144" i="10" s="1" a="1"/>
  <c r="D1144" i="10" s="1"/>
  <c r="C1145" i="10"/>
  <c r="E1145" i="10" s="1" a="1"/>
  <c r="E1145" i="10" s="1"/>
  <c r="C1146" i="10"/>
  <c r="D1146" i="10" s="1" a="1"/>
  <c r="D1146" i="10" s="1"/>
  <c r="C1147" i="10"/>
  <c r="C1148" i="10"/>
  <c r="C1149" i="10"/>
  <c r="D1149" i="10" s="1" a="1"/>
  <c r="D1149" i="10" s="1"/>
  <c r="C1150" i="10"/>
  <c r="D1150" i="10" s="1" a="1"/>
  <c r="D1150" i="10" s="1"/>
  <c r="C1151" i="10"/>
  <c r="D1151" i="10" s="1" a="1"/>
  <c r="D1151" i="10" s="1"/>
  <c r="C1152" i="10"/>
  <c r="D1152" i="10" s="1" a="1"/>
  <c r="D1152" i="10" s="1"/>
  <c r="C1153" i="10"/>
  <c r="E1153" i="10" s="1" a="1"/>
  <c r="E1153" i="10" s="1"/>
  <c r="C1154" i="10"/>
  <c r="D1154" i="10" s="1" a="1"/>
  <c r="D1154" i="10" s="1"/>
  <c r="C1155" i="10"/>
  <c r="D1155" i="10" s="1" a="1"/>
  <c r="D1155" i="10" s="1"/>
  <c r="C1156" i="10"/>
  <c r="E1156" i="10" s="1" a="1"/>
  <c r="E1156" i="10" s="1"/>
  <c r="C1157" i="10"/>
  <c r="E1157" i="10" s="1" a="1"/>
  <c r="E1157" i="10" s="1"/>
  <c r="C1158" i="10"/>
  <c r="D1158" i="10" s="1" a="1"/>
  <c r="D1158" i="10" s="1"/>
  <c r="C1159" i="10"/>
  <c r="D1159" i="10" s="1" a="1"/>
  <c r="D1159" i="10" s="1"/>
  <c r="C1160" i="10"/>
  <c r="D1160" i="10" s="1" a="1"/>
  <c r="D1160" i="10" s="1"/>
  <c r="C1161" i="10"/>
  <c r="D1161" i="10" s="1" a="1"/>
  <c r="D1161" i="10" s="1"/>
  <c r="C1162" i="10"/>
  <c r="D1162" i="10" s="1" a="1"/>
  <c r="D1162" i="10" s="1"/>
  <c r="C1163" i="10"/>
  <c r="D1163" i="10" s="1" a="1"/>
  <c r="D1163" i="10" s="1"/>
  <c r="C1164" i="10"/>
  <c r="E1164" i="10" s="1" a="1"/>
  <c r="E1164" i="10" s="1"/>
  <c r="C1165" i="10"/>
  <c r="D1165" i="10" s="1" a="1"/>
  <c r="D1165" i="10" s="1"/>
  <c r="C1166" i="10"/>
  <c r="E1166" i="10" s="1" a="1"/>
  <c r="E1166" i="10" s="1"/>
  <c r="C1167" i="10"/>
  <c r="D1167" i="10" s="1" a="1"/>
  <c r="D1167" i="10" s="1"/>
  <c r="C1168" i="10"/>
  <c r="D1168" i="10" s="1" a="1"/>
  <c r="D1168" i="10" s="1"/>
  <c r="C1169" i="10"/>
  <c r="E1169" i="10" s="1" a="1"/>
  <c r="E1169" i="10" s="1"/>
  <c r="C1170" i="10"/>
  <c r="D1170" i="10" s="1" a="1"/>
  <c r="D1170" i="10" s="1"/>
  <c r="C1171" i="10"/>
  <c r="D1171" i="10" s="1" a="1"/>
  <c r="D1171" i="10" s="1"/>
  <c r="C1172" i="10"/>
  <c r="D1172" i="10" s="1" a="1"/>
  <c r="D1172" i="10" s="1"/>
  <c r="C1173" i="10"/>
  <c r="D1173" i="10" s="1" a="1"/>
  <c r="D1173" i="10" s="1"/>
  <c r="C1174" i="10"/>
  <c r="D1174" i="10" s="1" a="1"/>
  <c r="D1174" i="10" s="1"/>
  <c r="C1175" i="10"/>
  <c r="D1175" i="10" s="1" a="1"/>
  <c r="D1175" i="10" s="1"/>
  <c r="C1176" i="10"/>
  <c r="E1176" i="10" s="1" a="1"/>
  <c r="E1176" i="10" s="1"/>
  <c r="C1177" i="10"/>
  <c r="D1177" i="10" s="1" a="1"/>
  <c r="D1177" i="10" s="1"/>
  <c r="C1178" i="10"/>
  <c r="D1178" i="10" s="1" a="1"/>
  <c r="D1178" i="10" s="1"/>
  <c r="C1179" i="10"/>
  <c r="C1180" i="10"/>
  <c r="D1180" i="10" s="1" a="1"/>
  <c r="D1180" i="10" s="1"/>
  <c r="C1181" i="10"/>
  <c r="D1181" i="10" s="1" a="1"/>
  <c r="D1181" i="10" s="1"/>
  <c r="C1182" i="10"/>
  <c r="D1182" i="10" s="1" a="1"/>
  <c r="D1182" i="10" s="1"/>
  <c r="C1183" i="10"/>
  <c r="D1183" i="10" s="1" a="1"/>
  <c r="D1183" i="10" s="1"/>
  <c r="C1184" i="10"/>
  <c r="D1184" i="10" s="1" a="1"/>
  <c r="D1184" i="10" s="1"/>
  <c r="C1185" i="10"/>
  <c r="E1185" i="10" s="1" a="1"/>
  <c r="E1185" i="10" s="1"/>
  <c r="C1186" i="10"/>
  <c r="D1186" i="10" s="1" a="1"/>
  <c r="D1186" i="10" s="1"/>
  <c r="C1187" i="10"/>
  <c r="D1187" i="10" s="1" a="1"/>
  <c r="D1187" i="10" s="1"/>
  <c r="C1188" i="10"/>
  <c r="D1188" i="10" s="1" a="1"/>
  <c r="D1188" i="10" s="1"/>
  <c r="C1189" i="10"/>
  <c r="D1189" i="10" s="1" a="1"/>
  <c r="D1189" i="10" s="1"/>
  <c r="C1190" i="10"/>
  <c r="D1190" i="10" s="1" a="1"/>
  <c r="D1190" i="10" s="1"/>
  <c r="C1191" i="10"/>
  <c r="D1191" i="10" s="1" a="1"/>
  <c r="D1191" i="10" s="1"/>
  <c r="C1192" i="10"/>
  <c r="E1192" i="10" s="1" a="1"/>
  <c r="E1192" i="10" s="1"/>
  <c r="C1193" i="10"/>
  <c r="D1193" i="10" s="1" a="1"/>
  <c r="D1193" i="10" s="1"/>
  <c r="C1194" i="10"/>
  <c r="E1194" i="10" s="1" a="1"/>
  <c r="E1194" i="10" s="1"/>
  <c r="C1195" i="10"/>
  <c r="D1195" i="10" s="1" a="1"/>
  <c r="D1195" i="10" s="1"/>
  <c r="C1196" i="10"/>
  <c r="D1196" i="10" s="1" a="1"/>
  <c r="D1196" i="10" s="1"/>
  <c r="C1197" i="10"/>
  <c r="D1197" i="10" s="1" a="1"/>
  <c r="D1197" i="10" s="1"/>
  <c r="C1198" i="10"/>
  <c r="E1198" i="10" s="1" a="1"/>
  <c r="E1198" i="10" s="1"/>
  <c r="C1199" i="10"/>
  <c r="D1199" i="10" s="1" a="1"/>
  <c r="D1199" i="10" s="1"/>
  <c r="C1200" i="10"/>
  <c r="E1200" i="10" s="1" a="1"/>
  <c r="E1200" i="10" s="1"/>
  <c r="C1201" i="10"/>
  <c r="E1201" i="10" s="1" a="1"/>
  <c r="E1201" i="10" s="1"/>
  <c r="C1202" i="10"/>
  <c r="D1202" i="10" s="1" a="1"/>
  <c r="D1202" i="10" s="1"/>
  <c r="C1203" i="10"/>
  <c r="D1203" i="10" s="1" a="1"/>
  <c r="D1203" i="10" s="1"/>
  <c r="C1204" i="10"/>
  <c r="D1204" i="10" s="1" a="1"/>
  <c r="D1204" i="10" s="1"/>
  <c r="C1205" i="10"/>
  <c r="D1205" i="10" s="1" a="1"/>
  <c r="D1205" i="10" s="1"/>
  <c r="C1206" i="10"/>
  <c r="D1206" i="10" s="1" a="1"/>
  <c r="D1206" i="10" s="1"/>
  <c r="C1207" i="10"/>
  <c r="D1207" i="10" s="1" a="1"/>
  <c r="D1207" i="10" s="1"/>
  <c r="C1208" i="10"/>
  <c r="E1208" i="10" s="1" a="1"/>
  <c r="E1208" i="10" s="1"/>
  <c r="C1209" i="10"/>
  <c r="D1209" i="10" s="1" a="1"/>
  <c r="D1209" i="10" s="1"/>
  <c r="C1210" i="10"/>
  <c r="E1210" i="10" s="1" a="1"/>
  <c r="E1210" i="10" s="1"/>
  <c r="C1211" i="10"/>
  <c r="E1211" i="10" s="1" a="1"/>
  <c r="E1211" i="10" s="1"/>
  <c r="C1212" i="10"/>
  <c r="D1212" i="10" s="1" a="1"/>
  <c r="D1212" i="10" s="1"/>
  <c r="C1213" i="10"/>
  <c r="E1213" i="10" s="1" a="1"/>
  <c r="E1213" i="10" s="1"/>
  <c r="C1214" i="10"/>
  <c r="D1214" i="10" s="1" a="1"/>
  <c r="D1214" i="10" s="1"/>
  <c r="C1215" i="10"/>
  <c r="D1215" i="10" s="1" a="1"/>
  <c r="D1215" i="10" s="1"/>
  <c r="C1216" i="10"/>
  <c r="D1216" i="10" s="1" a="1"/>
  <c r="D1216" i="10" s="1"/>
  <c r="C1217" i="10"/>
  <c r="E1217" i="10" s="1" a="1"/>
  <c r="E1217" i="10" s="1"/>
  <c r="C1218" i="10"/>
  <c r="D1218" i="10" s="1" a="1"/>
  <c r="D1218" i="10" s="1"/>
  <c r="C1219" i="10"/>
  <c r="D1219" i="10" s="1" a="1"/>
  <c r="D1219" i="10" s="1"/>
  <c r="C1220" i="10"/>
  <c r="D1220" i="10" s="1" a="1"/>
  <c r="D1220" i="10" s="1"/>
  <c r="C1221" i="10"/>
  <c r="E1221" i="10" s="1" a="1"/>
  <c r="E1221" i="10" s="1"/>
  <c r="C1222" i="10"/>
  <c r="D1222" i="10" s="1" a="1"/>
  <c r="D1222" i="10" s="1"/>
  <c r="C1223" i="10"/>
  <c r="D1223" i="10" s="1" a="1"/>
  <c r="D1223" i="10" s="1"/>
  <c r="C1224" i="10"/>
  <c r="D1224" i="10" s="1" a="1"/>
  <c r="D1224" i="10" s="1"/>
  <c r="C1225" i="10"/>
  <c r="D1225" i="10" s="1" a="1"/>
  <c r="D1225" i="10" s="1"/>
  <c r="C1226" i="10"/>
  <c r="D1226" i="10" s="1" a="1"/>
  <c r="D1226" i="10" s="1"/>
  <c r="C1227" i="10"/>
  <c r="C1228" i="10"/>
  <c r="E1228" i="10" s="1" a="1"/>
  <c r="E1228" i="10" s="1"/>
  <c r="C1229" i="10"/>
  <c r="E1229" i="10" s="1" a="1"/>
  <c r="E1229" i="10" s="1"/>
  <c r="C1230" i="10"/>
  <c r="E1230" i="10" s="1" a="1"/>
  <c r="E1230" i="10" s="1"/>
  <c r="C1231" i="10"/>
  <c r="D1231" i="10" s="1" a="1"/>
  <c r="D1231" i="10" s="1"/>
  <c r="C1232" i="10"/>
  <c r="D1232" i="10" s="1" a="1"/>
  <c r="D1232" i="10" s="1"/>
  <c r="C1233" i="10"/>
  <c r="E1233" i="10" s="1" a="1"/>
  <c r="E1233" i="10" s="1"/>
  <c r="C1234" i="10"/>
  <c r="D1234" i="10" s="1" a="1"/>
  <c r="D1234" i="10" s="1"/>
  <c r="C1235" i="10"/>
  <c r="D1235" i="10" s="1" a="1"/>
  <c r="D1235" i="10" s="1"/>
  <c r="C1236" i="10"/>
  <c r="D1236" i="10" s="1" a="1"/>
  <c r="D1236" i="10" s="1"/>
  <c r="C1237" i="10"/>
  <c r="D1237" i="10" s="1" a="1"/>
  <c r="D1237" i="10" s="1"/>
  <c r="C1238" i="10"/>
  <c r="D1238" i="10" s="1" a="1"/>
  <c r="D1238" i="10" s="1"/>
  <c r="C1239" i="10"/>
  <c r="D1239" i="10" s="1" a="1"/>
  <c r="D1239" i="10" s="1"/>
  <c r="C1240" i="10"/>
  <c r="D1240" i="10" s="1" a="1"/>
  <c r="D1240" i="10" s="1"/>
  <c r="C1241" i="10"/>
  <c r="D1241" i="10" s="1" a="1"/>
  <c r="D1241" i="10" s="1"/>
  <c r="C1242" i="10"/>
  <c r="D1242" i="10" s="1" a="1"/>
  <c r="D1242" i="10" s="1"/>
  <c r="C1243" i="10"/>
  <c r="D1243" i="10" s="1" a="1"/>
  <c r="D1243" i="10" s="1"/>
  <c r="C1244" i="10"/>
  <c r="D1244" i="10" s="1" a="1"/>
  <c r="D1244" i="10" s="1"/>
  <c r="C1245" i="10"/>
  <c r="D1245" i="10" s="1" a="1"/>
  <c r="D1245" i="10" s="1"/>
  <c r="C1246" i="10"/>
  <c r="D1246" i="10" s="1" a="1"/>
  <c r="D1246" i="10" s="1"/>
  <c r="C1247" i="10"/>
  <c r="D1247" i="10" s="1" a="1"/>
  <c r="D1247" i="10" s="1"/>
  <c r="C1248" i="10"/>
  <c r="E1248" i="10" s="1" a="1"/>
  <c r="E1248" i="10" s="1"/>
  <c r="C1249" i="10"/>
  <c r="D1249" i="10" s="1" a="1"/>
  <c r="D1249" i="10" s="1"/>
  <c r="C1250" i="10"/>
  <c r="D1250" i="10" s="1" a="1"/>
  <c r="D1250" i="10" s="1"/>
  <c r="C1251" i="10"/>
  <c r="D1251" i="10" s="1" a="1"/>
  <c r="D1251" i="10" s="1"/>
  <c r="C1252" i="10"/>
  <c r="E1252" i="10" s="1" a="1"/>
  <c r="E1252" i="10" s="1"/>
  <c r="C1253" i="10"/>
  <c r="E1253" i="10" s="1" a="1"/>
  <c r="E1253" i="10" s="1"/>
  <c r="C1254" i="10"/>
  <c r="E1254" i="10" s="1" a="1"/>
  <c r="E1254" i="10" s="1"/>
  <c r="C1255" i="10"/>
  <c r="D1255" i="10" s="1" a="1"/>
  <c r="D1255" i="10" s="1"/>
  <c r="C1256" i="10"/>
  <c r="D1256" i="10" s="1" a="1"/>
  <c r="D1256" i="10" s="1"/>
  <c r="C1257" i="10"/>
  <c r="D1257" i="10" s="1" a="1"/>
  <c r="D1257" i="10" s="1"/>
  <c r="C1258" i="10"/>
  <c r="D1258" i="10" s="1" a="1"/>
  <c r="D1258" i="10" s="1"/>
  <c r="C1259" i="10"/>
  <c r="D1259" i="10" s="1" a="1"/>
  <c r="D1259" i="10" s="1"/>
  <c r="C1260" i="10"/>
  <c r="D1260" i="10" s="1" a="1"/>
  <c r="D1260" i="10" s="1"/>
  <c r="C1261" i="10"/>
  <c r="E1261" i="10" s="1" a="1"/>
  <c r="E1261" i="10" s="1"/>
  <c r="C1262" i="10"/>
  <c r="E1262" i="10" s="1" a="1"/>
  <c r="E1262" i="10" s="1"/>
  <c r="C1263" i="10"/>
  <c r="D1263" i="10" s="1" a="1"/>
  <c r="D1263" i="10" s="1"/>
  <c r="C1264" i="10"/>
  <c r="D1264" i="10" s="1" a="1"/>
  <c r="D1264" i="10" s="1"/>
  <c r="C1265" i="10"/>
  <c r="E1265" i="10" s="1" a="1"/>
  <c r="E1265" i="10" s="1"/>
  <c r="C1266" i="10"/>
  <c r="D1266" i="10" s="1" a="1"/>
  <c r="D1266" i="10" s="1"/>
  <c r="C1267" i="10"/>
  <c r="D1267" i="10" s="1" a="1"/>
  <c r="D1267" i="10" s="1"/>
  <c r="C1268" i="10"/>
  <c r="D1268" i="10" s="1" a="1"/>
  <c r="D1268" i="10" s="1"/>
  <c r="C1269" i="10"/>
  <c r="D1269" i="10" s="1" a="1"/>
  <c r="D1269" i="10" s="1"/>
  <c r="C1270" i="10"/>
  <c r="D1270" i="10" s="1" a="1"/>
  <c r="D1270" i="10" s="1"/>
  <c r="C1271" i="10"/>
  <c r="D1271" i="10" s="1" a="1"/>
  <c r="D1271" i="10" s="1"/>
  <c r="C1272" i="10"/>
  <c r="D1272" i="10" s="1" a="1"/>
  <c r="D1272" i="10" s="1"/>
  <c r="C1273" i="10"/>
  <c r="D1273" i="10" s="1" a="1"/>
  <c r="D1273" i="10" s="1"/>
  <c r="C1274" i="10"/>
  <c r="E1274" i="10" s="1" a="1"/>
  <c r="E1274" i="10" s="1"/>
  <c r="C1275" i="10"/>
  <c r="E1275" i="10" s="1" a="1"/>
  <c r="E1275" i="10" s="1"/>
  <c r="C1276" i="10"/>
  <c r="D1276" i="10" s="1" a="1"/>
  <c r="D1276" i="10" s="1"/>
  <c r="C1277" i="10"/>
  <c r="D1277" i="10" s="1" a="1"/>
  <c r="D1277" i="10" s="1"/>
  <c r="C1278" i="10"/>
  <c r="D1278" i="10" s="1" a="1"/>
  <c r="D1278" i="10" s="1"/>
  <c r="D1131" i="10" a="1"/>
  <c r="D1131" i="10" s="1"/>
  <c r="D1147" i="10" a="1"/>
  <c r="D1147" i="10" s="1"/>
  <c r="D1179" i="10" a="1"/>
  <c r="D1179" i="10" s="1"/>
  <c r="D1211" i="10" a="1"/>
  <c r="D1211" i="10" s="1"/>
  <c r="D1227" i="10" a="1"/>
  <c r="D1227" i="10" s="1"/>
  <c r="D1275" i="10" a="1"/>
  <c r="D1275" i="10" s="1"/>
  <c r="E1099" i="10" a="1"/>
  <c r="E1099" i="10" s="1"/>
  <c r="E1115" i="10" a="1"/>
  <c r="E1115" i="10" s="1"/>
  <c r="E1117" i="10" a="1"/>
  <c r="E1117" i="10" s="1"/>
  <c r="E1118" i="10" a="1"/>
  <c r="E1118" i="10" s="1"/>
  <c r="E1131" i="10" a="1"/>
  <c r="E1131" i="10" s="1"/>
  <c r="E1135" i="10" a="1"/>
  <c r="E1135" i="10" s="1"/>
  <c r="E1147" i="10" a="1"/>
  <c r="E1147" i="10" s="1"/>
  <c r="E1163" i="10" a="1"/>
  <c r="E1163" i="10" s="1"/>
  <c r="E1179" i="10" a="1"/>
  <c r="E1179" i="10" s="1"/>
  <c r="E1187" i="10" a="1"/>
  <c r="E1187" i="10" s="1"/>
  <c r="E1203" i="10" a="1"/>
  <c r="E1203" i="10" s="1"/>
  <c r="E1227" i="10" a="1"/>
  <c r="E1227" i="10" s="1"/>
  <c r="E1243" i="10" a="1"/>
  <c r="E1243" i="10" s="1"/>
  <c r="E1251" i="10" a="1"/>
  <c r="E1251" i="10" s="1"/>
  <c r="E1259" i="10" a="1"/>
  <c r="E1259" i="10" s="1"/>
  <c r="E1267" i="10" a="1"/>
  <c r="E1267" i="10" s="1"/>
  <c r="C28" i="14"/>
  <c r="C27" i="14"/>
  <c r="C26" i="14"/>
  <c r="C25" i="14"/>
  <c r="C24" i="14"/>
  <c r="C23" i="14"/>
  <c r="C22" i="14"/>
  <c r="C21" i="14"/>
  <c r="C20" i="14"/>
  <c r="C19" i="14"/>
  <c r="C18" i="14"/>
  <c r="C17" i="14"/>
  <c r="B31" i="14"/>
  <c r="S2" i="14"/>
  <c r="S3" i="14"/>
  <c r="S4" i="14"/>
  <c r="S5" i="14"/>
  <c r="S6" i="14"/>
  <c r="S7" i="14"/>
  <c r="S10" i="14"/>
  <c r="S11" i="14"/>
  <c r="S12" i="14"/>
  <c r="S13" i="14"/>
  <c r="S14" i="14"/>
  <c r="S15" i="14"/>
  <c r="S16" i="14"/>
  <c r="S17" i="14"/>
  <c r="S18" i="14"/>
  <c r="K28" i="14"/>
  <c r="K29" i="14"/>
  <c r="K30" i="14"/>
  <c r="K31" i="14"/>
  <c r="AI13" i="13"/>
  <c r="AI9" i="13"/>
  <c r="AI11" i="13"/>
  <c r="AI32" i="13"/>
  <c r="AI30" i="13"/>
  <c r="AI27" i="13"/>
  <c r="AI50" i="13"/>
  <c r="AI48" i="13"/>
  <c r="AI45" i="13"/>
  <c r="AI66" i="13"/>
  <c r="AI64" i="13"/>
  <c r="AI62" i="13"/>
  <c r="AJ13" i="13"/>
  <c r="AL13" i="13" s="1" a="1"/>
  <c r="AL13" i="13" s="1"/>
  <c r="AJ9" i="13"/>
  <c r="AL9" i="13" s="1" a="1"/>
  <c r="AL9" i="13" s="1"/>
  <c r="AJ11" i="13"/>
  <c r="AL11" i="13" s="1" a="1"/>
  <c r="AL11" i="13" s="1"/>
  <c r="AJ32" i="13"/>
  <c r="AL32" i="13" s="1" a="1"/>
  <c r="AL32" i="13" s="1"/>
  <c r="AJ30" i="13"/>
  <c r="AL30" i="13" s="1" a="1"/>
  <c r="AL30" i="13" s="1"/>
  <c r="AJ27" i="13"/>
  <c r="AK27" i="13" s="1" a="1"/>
  <c r="AK27" i="13" s="1"/>
  <c r="AJ50" i="13"/>
  <c r="AL50" i="13" s="1" a="1"/>
  <c r="AL50" i="13" s="1"/>
  <c r="AJ48" i="13"/>
  <c r="AL48" i="13" s="1" a="1"/>
  <c r="AL48" i="13" s="1"/>
  <c r="AJ45" i="13"/>
  <c r="AL45" i="13" s="1" a="1"/>
  <c r="AL45" i="13" s="1"/>
  <c r="AJ66" i="13"/>
  <c r="AL66" i="13" s="1" a="1"/>
  <c r="AL66" i="13" s="1"/>
  <c r="AJ64" i="13"/>
  <c r="AK64" i="13" s="1" a="1"/>
  <c r="AK64" i="13" s="1"/>
  <c r="AJ62" i="13"/>
  <c r="AK62" i="13" s="1" a="1"/>
  <c r="AK62" i="13" s="1"/>
  <c r="X65" i="13"/>
  <c r="X62" i="13"/>
  <c r="X61" i="13"/>
  <c r="X78" i="13"/>
  <c r="X74" i="13"/>
  <c r="X73" i="13"/>
  <c r="X84" i="13"/>
  <c r="X82" i="13"/>
  <c r="X79" i="13"/>
  <c r="X91" i="13"/>
  <c r="X88" i="13"/>
  <c r="X89" i="13"/>
  <c r="X99" i="13"/>
  <c r="X97" i="13"/>
  <c r="X96" i="13"/>
  <c r="Y65" i="13"/>
  <c r="AA65" i="13" s="1" a="1"/>
  <c r="AA65" i="13" s="1"/>
  <c r="Y62" i="13"/>
  <c r="Z62" i="13" s="1" a="1"/>
  <c r="Z62" i="13" s="1"/>
  <c r="Y61" i="13"/>
  <c r="AA61" i="13" s="1" a="1"/>
  <c r="AA61" i="13" s="1"/>
  <c r="Y78" i="13"/>
  <c r="Z78" i="13" s="1" a="1"/>
  <c r="Z78" i="13" s="1"/>
  <c r="Y74" i="13"/>
  <c r="AA74" i="13" s="1" a="1"/>
  <c r="AA74" i="13" s="1"/>
  <c r="Y73" i="13"/>
  <c r="Z73" i="13" s="1" a="1"/>
  <c r="Z73" i="13" s="1"/>
  <c r="Y84" i="13"/>
  <c r="AA84" i="13" s="1" a="1"/>
  <c r="AA84" i="13" s="1"/>
  <c r="Y82" i="13"/>
  <c r="AA82" i="13" s="1" a="1"/>
  <c r="AA82" i="13" s="1"/>
  <c r="Y79" i="13"/>
  <c r="AA79" i="13" s="1" a="1"/>
  <c r="AA79" i="13" s="1"/>
  <c r="Y91" i="13"/>
  <c r="Z91" i="13" s="1" a="1"/>
  <c r="Z91" i="13" s="1"/>
  <c r="Y88" i="13"/>
  <c r="AA88" i="13" s="1" a="1"/>
  <c r="AA88" i="13" s="1"/>
  <c r="Y89" i="13"/>
  <c r="Z89" i="13" s="1" a="1"/>
  <c r="Z89" i="13" s="1"/>
  <c r="Y99" i="13"/>
  <c r="AA99" i="13" s="1" a="1"/>
  <c r="AA99" i="13" s="1"/>
  <c r="Y97" i="13"/>
  <c r="AA97" i="13" s="1" a="1"/>
  <c r="AA97" i="13" s="1"/>
  <c r="Y96" i="13"/>
  <c r="AA96" i="13" s="1" a="1"/>
  <c r="AA96" i="13" s="1"/>
  <c r="M56" i="13"/>
  <c r="M52" i="13"/>
  <c r="M51" i="13"/>
  <c r="M66" i="13"/>
  <c r="M63" i="13"/>
  <c r="M61" i="13"/>
  <c r="M72" i="13"/>
  <c r="M69" i="13"/>
  <c r="M67" i="13"/>
  <c r="M79" i="13"/>
  <c r="M77" i="13"/>
  <c r="M74" i="13"/>
  <c r="M87" i="13"/>
  <c r="M85" i="13"/>
  <c r="M82" i="13"/>
  <c r="N56" i="13"/>
  <c r="P56" i="13" s="1" a="1"/>
  <c r="P56" i="13" s="1"/>
  <c r="N52" i="13"/>
  <c r="P52" i="13" s="1" a="1"/>
  <c r="P52" i="13" s="1"/>
  <c r="N51" i="13"/>
  <c r="O51" i="13" s="1" a="1"/>
  <c r="O51" i="13" s="1"/>
  <c r="N66" i="13"/>
  <c r="O66" i="13" s="1" a="1"/>
  <c r="O66" i="13" s="1"/>
  <c r="N63" i="13"/>
  <c r="P63" i="13" s="1" a="1"/>
  <c r="P63" i="13" s="1"/>
  <c r="N61" i="13"/>
  <c r="O61" i="13" s="1" a="1"/>
  <c r="O61" i="13" s="1"/>
  <c r="N72" i="13"/>
  <c r="P72" i="13" s="1" a="1"/>
  <c r="P72" i="13" s="1"/>
  <c r="N69" i="13"/>
  <c r="O69" i="13" s="1" a="1"/>
  <c r="O69" i="13" s="1"/>
  <c r="N67" i="13"/>
  <c r="P67" i="13" s="1" a="1"/>
  <c r="P67" i="13" s="1"/>
  <c r="N79" i="13"/>
  <c r="O79" i="13" s="1" a="1"/>
  <c r="O79" i="13" s="1"/>
  <c r="N77" i="13"/>
  <c r="O77" i="13" s="1" a="1"/>
  <c r="O77" i="13" s="1"/>
  <c r="N74" i="13"/>
  <c r="O74" i="13" s="1" a="1"/>
  <c r="O74" i="13" s="1"/>
  <c r="N87" i="13"/>
  <c r="P87" i="13" s="1" a="1"/>
  <c r="P87" i="13" s="1"/>
  <c r="N85" i="13"/>
  <c r="P85" i="13" s="1" a="1"/>
  <c r="P85" i="13" s="1"/>
  <c r="N82" i="13"/>
  <c r="P82" i="13" s="1" a="1"/>
  <c r="P82" i="13" s="1"/>
  <c r="B55" i="13"/>
  <c r="B52" i="13"/>
  <c r="B53" i="13"/>
  <c r="B66" i="13"/>
  <c r="B63" i="13"/>
  <c r="B61" i="13"/>
  <c r="B72" i="13"/>
  <c r="B69" i="13"/>
  <c r="B67" i="13"/>
  <c r="B79" i="13"/>
  <c r="B77" i="13"/>
  <c r="B74" i="13"/>
  <c r="B87" i="13"/>
  <c r="B85" i="13"/>
  <c r="B82" i="13"/>
  <c r="C55" i="13"/>
  <c r="E55" i="13" s="1" a="1"/>
  <c r="E55" i="13" s="1"/>
  <c r="C52" i="13"/>
  <c r="D52" i="13" s="1" a="1"/>
  <c r="D52" i="13" s="1"/>
  <c r="C53" i="13"/>
  <c r="D53" i="13" s="1" a="1"/>
  <c r="D53" i="13" s="1"/>
  <c r="C66" i="13"/>
  <c r="D66" i="13" s="1" a="1"/>
  <c r="D66" i="13" s="1"/>
  <c r="C63" i="13"/>
  <c r="D63" i="13" s="1" a="1"/>
  <c r="D63" i="13" s="1"/>
  <c r="C61" i="13"/>
  <c r="E61" i="13" s="1" a="1"/>
  <c r="E61" i="13" s="1"/>
  <c r="C72" i="13"/>
  <c r="E72" i="13" s="1" a="1"/>
  <c r="E72" i="13" s="1"/>
  <c r="C69" i="13"/>
  <c r="E69" i="13" s="1" a="1"/>
  <c r="E69" i="13" s="1"/>
  <c r="C67" i="13"/>
  <c r="E67" i="13" s="1" a="1"/>
  <c r="E67" i="13" s="1"/>
  <c r="C79" i="13"/>
  <c r="D79" i="13" s="1" a="1"/>
  <c r="D79" i="13" s="1"/>
  <c r="C77" i="13"/>
  <c r="E77" i="13" s="1" a="1"/>
  <c r="E77" i="13" s="1"/>
  <c r="C74" i="13"/>
  <c r="D74" i="13" s="1" a="1"/>
  <c r="D74" i="13" s="1"/>
  <c r="C87" i="13"/>
  <c r="E87" i="13" s="1" a="1"/>
  <c r="E87" i="13" s="1"/>
  <c r="C85" i="13"/>
  <c r="E85" i="13" s="1" a="1"/>
  <c r="E85" i="13" s="1"/>
  <c r="C82" i="13"/>
  <c r="E82" i="13" s="1" a="1"/>
  <c r="E82" i="13" s="1"/>
  <c r="AI10" i="13"/>
  <c r="AI12" i="13"/>
  <c r="AI14" i="13"/>
  <c r="AI31" i="13"/>
  <c r="AI28" i="13"/>
  <c r="AI29" i="13"/>
  <c r="AI49" i="13"/>
  <c r="AI47" i="13"/>
  <c r="AI46" i="13"/>
  <c r="AI65" i="13"/>
  <c r="AI63" i="13"/>
  <c r="AI61" i="13"/>
  <c r="AJ10" i="13"/>
  <c r="AL10" i="13" s="1" a="1"/>
  <c r="AL10" i="13" s="1"/>
  <c r="AJ12" i="13"/>
  <c r="AL12" i="13" s="1" a="1"/>
  <c r="AL12" i="13" s="1"/>
  <c r="AJ14" i="13"/>
  <c r="AL14" i="13" s="1" a="1"/>
  <c r="AL14" i="13" s="1"/>
  <c r="AJ31" i="13"/>
  <c r="AL31" i="13" s="1" a="1"/>
  <c r="AL31" i="13" s="1"/>
  <c r="AJ28" i="13"/>
  <c r="AK28" i="13" s="1" a="1"/>
  <c r="AK28" i="13" s="1"/>
  <c r="AJ29" i="13"/>
  <c r="AK29" i="13" s="1" a="1"/>
  <c r="AK29" i="13" s="1"/>
  <c r="AJ49" i="13"/>
  <c r="AK49" i="13" s="1" a="1"/>
  <c r="AK49" i="13" s="1"/>
  <c r="AJ47" i="13"/>
  <c r="AK47" i="13" s="1" a="1"/>
  <c r="AK47" i="13" s="1"/>
  <c r="AJ46" i="13"/>
  <c r="AL46" i="13" s="1" a="1"/>
  <c r="AL46" i="13" s="1"/>
  <c r="AJ65" i="13"/>
  <c r="AL65" i="13" s="1" a="1"/>
  <c r="AL65" i="13" s="1"/>
  <c r="AJ63" i="13"/>
  <c r="AL63" i="13" s="1" a="1"/>
  <c r="AL63" i="13" s="1"/>
  <c r="AJ61" i="13"/>
  <c r="AL61" i="13" s="1" a="1"/>
  <c r="AL61" i="13" s="1"/>
  <c r="X63" i="13"/>
  <c r="X64" i="13"/>
  <c r="X66" i="13"/>
  <c r="X76" i="13"/>
  <c r="X75" i="13"/>
  <c r="X77" i="13"/>
  <c r="X83" i="13"/>
  <c r="X80" i="13"/>
  <c r="X81" i="13"/>
  <c r="X90" i="13"/>
  <c r="X86" i="13"/>
  <c r="X87" i="13"/>
  <c r="X98" i="13"/>
  <c r="X94" i="13"/>
  <c r="X95" i="13"/>
  <c r="Y63" i="13"/>
  <c r="AA63" i="13" s="1" a="1"/>
  <c r="AA63" i="13" s="1"/>
  <c r="Y64" i="13"/>
  <c r="Z64" i="13" s="1" a="1"/>
  <c r="Z64" i="13" s="1"/>
  <c r="Y66" i="13"/>
  <c r="Z66" i="13" s="1" a="1"/>
  <c r="Z66" i="13" s="1"/>
  <c r="Y76" i="13"/>
  <c r="Z76" i="13" s="1" a="1"/>
  <c r="Z76" i="13" s="1"/>
  <c r="Y75" i="13"/>
  <c r="Z75" i="13" s="1" a="1"/>
  <c r="Z75" i="13" s="1"/>
  <c r="Y77" i="13"/>
  <c r="Z77" i="13" s="1" a="1"/>
  <c r="Z77" i="13" s="1"/>
  <c r="Y83" i="13"/>
  <c r="Z83" i="13" s="1" a="1"/>
  <c r="Z83" i="13" s="1"/>
  <c r="Y80" i="13"/>
  <c r="AA80" i="13" s="1" a="1"/>
  <c r="AA80" i="13" s="1"/>
  <c r="Y81" i="13"/>
  <c r="AA81" i="13" s="1" a="1"/>
  <c r="AA81" i="13" s="1"/>
  <c r="Y90" i="13"/>
  <c r="Z90" i="13" s="1" a="1"/>
  <c r="Z90" i="13" s="1"/>
  <c r="Y86" i="13"/>
  <c r="Z86" i="13" s="1" a="1"/>
  <c r="Z86" i="13" s="1"/>
  <c r="Y87" i="13"/>
  <c r="AA87" i="13" s="1" a="1"/>
  <c r="AA87" i="13" s="1"/>
  <c r="Y98" i="13"/>
  <c r="Z98" i="13" s="1" a="1"/>
  <c r="Z98" i="13" s="1"/>
  <c r="Y94" i="13"/>
  <c r="AA94" i="13" s="1" a="1"/>
  <c r="AA94" i="13" s="1"/>
  <c r="Y95" i="13"/>
  <c r="Z95" i="13" s="1" a="1"/>
  <c r="Z95" i="13" s="1"/>
  <c r="M55" i="13"/>
  <c r="M53" i="13"/>
  <c r="M54" i="13"/>
  <c r="M65" i="13"/>
  <c r="M64" i="13"/>
  <c r="M62" i="13"/>
  <c r="M71" i="13"/>
  <c r="M70" i="13"/>
  <c r="M68" i="13"/>
  <c r="M78" i="13"/>
  <c r="M76" i="13"/>
  <c r="M75" i="13"/>
  <c r="M86" i="13"/>
  <c r="M84" i="13"/>
  <c r="M83" i="13"/>
  <c r="N55" i="13"/>
  <c r="P55" i="13" s="1" a="1"/>
  <c r="P55" i="13" s="1"/>
  <c r="N53" i="13"/>
  <c r="O53" i="13" s="1" a="1"/>
  <c r="O53" i="13" s="1"/>
  <c r="N54" i="13"/>
  <c r="O54" i="13" s="1" a="1"/>
  <c r="O54" i="13" s="1"/>
  <c r="N65" i="13"/>
  <c r="O65" i="13" s="1" a="1"/>
  <c r="O65" i="13" s="1"/>
  <c r="N64" i="13"/>
  <c r="O64" i="13" s="1" a="1"/>
  <c r="O64" i="13" s="1"/>
  <c r="N62" i="13"/>
  <c r="O62" i="13" s="1" a="1"/>
  <c r="O62" i="13" s="1"/>
  <c r="N71" i="13"/>
  <c r="P71" i="13" s="1" a="1"/>
  <c r="P71" i="13" s="1"/>
  <c r="N70" i="13"/>
  <c r="P70" i="13" s="1" a="1"/>
  <c r="P70" i="13" s="1"/>
  <c r="N68" i="13"/>
  <c r="P68" i="13" s="1" a="1"/>
  <c r="P68" i="13" s="1"/>
  <c r="N78" i="13"/>
  <c r="O78" i="13" s="1" a="1"/>
  <c r="O78" i="13" s="1"/>
  <c r="N76" i="13"/>
  <c r="O76" i="13" s="1" a="1"/>
  <c r="O76" i="13" s="1"/>
  <c r="N75" i="13"/>
  <c r="O75" i="13" s="1" a="1"/>
  <c r="O75" i="13" s="1"/>
  <c r="N86" i="13"/>
  <c r="O86" i="13" s="1" a="1"/>
  <c r="O86" i="13" s="1"/>
  <c r="N84" i="13"/>
  <c r="O84" i="13" s="1" a="1"/>
  <c r="O84" i="13" s="1"/>
  <c r="N83" i="13"/>
  <c r="P83" i="13" s="1" a="1"/>
  <c r="P83" i="13" s="1"/>
  <c r="B51" i="13"/>
  <c r="B54" i="13"/>
  <c r="B56" i="13"/>
  <c r="B62" i="13"/>
  <c r="B64" i="13"/>
  <c r="B65" i="13"/>
  <c r="B68" i="13"/>
  <c r="B70" i="13"/>
  <c r="B71" i="13"/>
  <c r="B76" i="13"/>
  <c r="B75" i="13"/>
  <c r="B78" i="13"/>
  <c r="B86" i="13"/>
  <c r="B83" i="13"/>
  <c r="B84" i="13"/>
  <c r="C51" i="13"/>
  <c r="E51" i="13" s="1" a="1"/>
  <c r="E51" i="13" s="1"/>
  <c r="C54" i="13"/>
  <c r="D54" i="13" s="1" a="1"/>
  <c r="D54" i="13" s="1"/>
  <c r="C56" i="13"/>
  <c r="D56" i="13" s="1" a="1"/>
  <c r="D56" i="13" s="1"/>
  <c r="C62" i="13"/>
  <c r="E62" i="13" s="1" a="1"/>
  <c r="E62" i="13" s="1"/>
  <c r="C64" i="13"/>
  <c r="E64" i="13" s="1" a="1"/>
  <c r="E64" i="13" s="1"/>
  <c r="C65" i="13"/>
  <c r="E65" i="13" s="1" a="1"/>
  <c r="E65" i="13" s="1"/>
  <c r="C68" i="13"/>
  <c r="E68" i="13" s="1" a="1"/>
  <c r="E68" i="13" s="1"/>
  <c r="C70" i="13"/>
  <c r="D70" i="13" s="1" a="1"/>
  <c r="D70" i="13" s="1"/>
  <c r="C71" i="13"/>
  <c r="E71" i="13" s="1" a="1"/>
  <c r="E71" i="13" s="1"/>
  <c r="C76" i="13"/>
  <c r="E76" i="13" s="1" a="1"/>
  <c r="E76" i="13" s="1"/>
  <c r="C75" i="13"/>
  <c r="D75" i="13" s="1" a="1"/>
  <c r="D75" i="13" s="1"/>
  <c r="C78" i="13"/>
  <c r="E78" i="13" s="1" a="1"/>
  <c r="E78" i="13" s="1"/>
  <c r="C86" i="13"/>
  <c r="D86" i="13" s="1" a="1"/>
  <c r="D86" i="13" s="1"/>
  <c r="C83" i="13"/>
  <c r="D83" i="13" s="1" a="1"/>
  <c r="D83" i="13" s="1"/>
  <c r="C84" i="13"/>
  <c r="E84" i="13" s="1" a="1"/>
  <c r="E84" i="13" s="1"/>
  <c r="AI12" i="12"/>
  <c r="AI10" i="12"/>
  <c r="AI13" i="12"/>
  <c r="AI32" i="12"/>
  <c r="AI29" i="12"/>
  <c r="AI31" i="12"/>
  <c r="AI50" i="12"/>
  <c r="AI48" i="12"/>
  <c r="AI45" i="12"/>
  <c r="AI66" i="12"/>
  <c r="AI64" i="12"/>
  <c r="AI62" i="12"/>
  <c r="AJ12" i="12"/>
  <c r="AL12" i="12" s="1" a="1"/>
  <c r="AL12" i="12" s="1"/>
  <c r="AJ10" i="12"/>
  <c r="AL10" i="12" s="1" a="1"/>
  <c r="AL10" i="12" s="1"/>
  <c r="AJ13" i="12"/>
  <c r="AL13" i="12" s="1" a="1"/>
  <c r="AL13" i="12" s="1"/>
  <c r="AJ32" i="12"/>
  <c r="AL32" i="12" s="1" a="1"/>
  <c r="AL32" i="12" s="1"/>
  <c r="AJ29" i="12"/>
  <c r="AL29" i="12" s="1" a="1"/>
  <c r="AL29" i="12" s="1"/>
  <c r="AJ31" i="12"/>
  <c r="AL31" i="12" s="1" a="1"/>
  <c r="AL31" i="12" s="1"/>
  <c r="AJ50" i="12"/>
  <c r="AL50" i="12" s="1" a="1"/>
  <c r="AL50" i="12" s="1"/>
  <c r="AJ48" i="12"/>
  <c r="AK48" i="12" s="1" a="1"/>
  <c r="AK48" i="12" s="1"/>
  <c r="AJ45" i="12"/>
  <c r="AL45" i="12" s="1" a="1"/>
  <c r="AL45" i="12" s="1"/>
  <c r="AJ66" i="12"/>
  <c r="AK66" i="12" s="1" a="1"/>
  <c r="AK66" i="12" s="1"/>
  <c r="AJ64" i="12"/>
  <c r="AK64" i="12" s="1" a="1"/>
  <c r="AK64" i="12" s="1"/>
  <c r="AJ62" i="12"/>
  <c r="AL62" i="12" s="1" a="1"/>
  <c r="AL62" i="12" s="1"/>
  <c r="X65" i="12"/>
  <c r="X61" i="12"/>
  <c r="X62" i="12"/>
  <c r="X78" i="12"/>
  <c r="X73" i="12"/>
  <c r="X77" i="12"/>
  <c r="X84" i="12"/>
  <c r="X80" i="12"/>
  <c r="X81" i="12"/>
  <c r="X94" i="12"/>
  <c r="X90" i="12"/>
  <c r="X92" i="12"/>
  <c r="X102" i="12"/>
  <c r="X100" i="12"/>
  <c r="X97" i="12"/>
  <c r="Y65" i="12"/>
  <c r="AA65" i="12" s="1" a="1"/>
  <c r="AA65" i="12" s="1"/>
  <c r="Y61" i="12"/>
  <c r="Z61" i="12" s="1" a="1"/>
  <c r="Z61" i="12" s="1"/>
  <c r="Y62" i="12"/>
  <c r="AA62" i="12" s="1" a="1"/>
  <c r="AA62" i="12" s="1"/>
  <c r="Y78" i="12"/>
  <c r="Z78" i="12" s="1" a="1"/>
  <c r="Z78" i="12" s="1"/>
  <c r="Y73" i="12"/>
  <c r="Z73" i="12" s="1" a="1"/>
  <c r="Z73" i="12" s="1"/>
  <c r="Y77" i="12"/>
  <c r="AA77" i="12" s="1" a="1"/>
  <c r="AA77" i="12" s="1"/>
  <c r="Y84" i="12"/>
  <c r="AA84" i="12" s="1" a="1"/>
  <c r="AA84" i="12" s="1"/>
  <c r="Y80" i="12"/>
  <c r="Z80" i="12" s="1" a="1"/>
  <c r="Z80" i="12" s="1"/>
  <c r="Y81" i="12"/>
  <c r="Z81" i="12" s="1" a="1"/>
  <c r="Z81" i="12" s="1"/>
  <c r="Y94" i="12"/>
  <c r="Z94" i="12" s="1" a="1"/>
  <c r="Z94" i="12" s="1"/>
  <c r="Y90" i="12"/>
  <c r="AA90" i="12" s="1" a="1"/>
  <c r="AA90" i="12" s="1"/>
  <c r="Y92" i="12"/>
  <c r="AA92" i="12" s="1" a="1"/>
  <c r="AA92" i="12" s="1"/>
  <c r="Y102" i="12"/>
  <c r="AA102" i="12" s="1" a="1"/>
  <c r="AA102" i="12" s="1"/>
  <c r="Y100" i="12"/>
  <c r="AA100" i="12" s="1" a="1"/>
  <c r="AA100" i="12" s="1"/>
  <c r="Y97" i="12"/>
  <c r="AA97" i="12" s="1" a="1"/>
  <c r="AA97" i="12" s="1"/>
  <c r="M56" i="12"/>
  <c r="M52" i="12"/>
  <c r="M51" i="12"/>
  <c r="M66" i="12"/>
  <c r="M62" i="12"/>
  <c r="M61" i="12"/>
  <c r="M72" i="12"/>
  <c r="M69" i="12"/>
  <c r="M67" i="12"/>
  <c r="M81" i="12"/>
  <c r="M78" i="12"/>
  <c r="M76" i="12"/>
  <c r="M89" i="12"/>
  <c r="M87" i="12"/>
  <c r="M84" i="12"/>
  <c r="N56" i="12"/>
  <c r="P56" i="12" s="1" a="1"/>
  <c r="P56" i="12" s="1"/>
  <c r="N52" i="12"/>
  <c r="O52" i="12" s="1" a="1"/>
  <c r="O52" i="12" s="1"/>
  <c r="N51" i="12"/>
  <c r="P51" i="12" s="1" a="1"/>
  <c r="P51" i="12" s="1"/>
  <c r="N66" i="12"/>
  <c r="O66" i="12" s="1" a="1"/>
  <c r="O66" i="12" s="1"/>
  <c r="N62" i="12"/>
  <c r="O62" i="12" s="1" a="1"/>
  <c r="O62" i="12" s="1"/>
  <c r="N61" i="12"/>
  <c r="O61" i="12" s="1" a="1"/>
  <c r="O61" i="12" s="1"/>
  <c r="N72" i="12"/>
  <c r="P72" i="12" s="1" a="1"/>
  <c r="P72" i="12" s="1"/>
  <c r="N69" i="12"/>
  <c r="P69" i="12" s="1" a="1"/>
  <c r="P69" i="12" s="1"/>
  <c r="N67" i="12"/>
  <c r="O67" i="12" s="1" a="1"/>
  <c r="O67" i="12" s="1"/>
  <c r="N81" i="12"/>
  <c r="O81" i="12" s="1" a="1"/>
  <c r="O81" i="12" s="1"/>
  <c r="N78" i="12"/>
  <c r="P78" i="12" s="1" a="1"/>
  <c r="P78" i="12" s="1"/>
  <c r="N76" i="12"/>
  <c r="P76" i="12" s="1" a="1"/>
  <c r="P76" i="12" s="1"/>
  <c r="N89" i="12"/>
  <c r="P89" i="12" s="1" a="1"/>
  <c r="P89" i="12" s="1"/>
  <c r="N87" i="12"/>
  <c r="P87" i="12" s="1" a="1"/>
  <c r="P87" i="12" s="1"/>
  <c r="N84" i="12"/>
  <c r="P84" i="12" s="1" a="1"/>
  <c r="P84" i="12" s="1"/>
  <c r="B53" i="12"/>
  <c r="B52" i="12"/>
  <c r="B56" i="12"/>
  <c r="B64" i="12"/>
  <c r="B62" i="12"/>
  <c r="B66" i="12"/>
  <c r="B72" i="12"/>
  <c r="B68" i="12"/>
  <c r="B67" i="12"/>
  <c r="B80" i="12"/>
  <c r="B76" i="12"/>
  <c r="B81" i="12"/>
  <c r="B88" i="12"/>
  <c r="B85" i="12"/>
  <c r="B89" i="12"/>
  <c r="C53" i="12"/>
  <c r="E53" i="12" s="1" a="1"/>
  <c r="E53" i="12" s="1"/>
  <c r="C52" i="12"/>
  <c r="D52" i="12" s="1" a="1"/>
  <c r="D52" i="12" s="1"/>
  <c r="C56" i="12"/>
  <c r="D56" i="12" s="1" a="1"/>
  <c r="D56" i="12" s="1"/>
  <c r="C64" i="12"/>
  <c r="D64" i="12" s="1" a="1"/>
  <c r="D64" i="12" s="1"/>
  <c r="C62" i="12"/>
  <c r="D62" i="12" s="1" a="1"/>
  <c r="D62" i="12" s="1"/>
  <c r="C66" i="12"/>
  <c r="E66" i="12" s="1" a="1"/>
  <c r="E66" i="12" s="1"/>
  <c r="C72" i="12"/>
  <c r="D72" i="12" s="1" a="1"/>
  <c r="D72" i="12" s="1"/>
  <c r="C68" i="12"/>
  <c r="D68" i="12" s="1" a="1"/>
  <c r="D68" i="12" s="1"/>
  <c r="C67" i="12"/>
  <c r="D67" i="12" s="1" a="1"/>
  <c r="D67" i="12" s="1"/>
  <c r="C80" i="12"/>
  <c r="D80" i="12" s="1" a="1"/>
  <c r="D80" i="12" s="1"/>
  <c r="C76" i="12"/>
  <c r="E76" i="12" s="1" a="1"/>
  <c r="E76" i="12" s="1"/>
  <c r="C81" i="12"/>
  <c r="E81" i="12" s="1" a="1"/>
  <c r="E81" i="12" s="1"/>
  <c r="C88" i="12"/>
  <c r="D88" i="12" s="1" a="1"/>
  <c r="D88" i="12" s="1"/>
  <c r="C85" i="12"/>
  <c r="E85" i="12" s="1" a="1"/>
  <c r="E85" i="12" s="1"/>
  <c r="C89" i="12"/>
  <c r="D89" i="12" s="1" a="1"/>
  <c r="D89" i="12" s="1"/>
  <c r="AI9" i="12"/>
  <c r="AI11" i="12"/>
  <c r="AI14" i="12"/>
  <c r="AI30" i="12"/>
  <c r="AI27" i="12"/>
  <c r="AI28" i="12"/>
  <c r="AI49" i="12"/>
  <c r="AI47" i="12"/>
  <c r="AI46" i="12"/>
  <c r="AI65" i="12"/>
  <c r="AI63" i="12"/>
  <c r="AI61" i="12"/>
  <c r="AJ9" i="12"/>
  <c r="AL9" i="12" s="1" a="1"/>
  <c r="AL9" i="12" s="1"/>
  <c r="AJ11" i="12"/>
  <c r="AL11" i="12" s="1" a="1"/>
  <c r="AL11" i="12" s="1"/>
  <c r="AJ14" i="12"/>
  <c r="AL14" i="12" s="1" a="1"/>
  <c r="AL14" i="12" s="1"/>
  <c r="AJ30" i="12"/>
  <c r="AL30" i="12" s="1" a="1"/>
  <c r="AL30" i="12" s="1"/>
  <c r="AJ27" i="12"/>
  <c r="AL27" i="12" s="1" a="1"/>
  <c r="AL27" i="12" s="1"/>
  <c r="AJ28" i="12"/>
  <c r="AK28" i="12" s="1" a="1"/>
  <c r="AK28" i="12" s="1"/>
  <c r="AJ49" i="12"/>
  <c r="AK49" i="12" s="1" a="1"/>
  <c r="AK49" i="12" s="1"/>
  <c r="AJ47" i="12"/>
  <c r="AK47" i="12" s="1" a="1"/>
  <c r="AK47" i="12" s="1"/>
  <c r="AJ46" i="12"/>
  <c r="AL46" i="12" s="1" a="1"/>
  <c r="AL46" i="12" s="1"/>
  <c r="AJ65" i="12"/>
  <c r="AL65" i="12" s="1" a="1"/>
  <c r="AL65" i="12" s="1"/>
  <c r="AJ63" i="12"/>
  <c r="AL63" i="12" s="1" a="1"/>
  <c r="AL63" i="12" s="1"/>
  <c r="AJ61" i="12"/>
  <c r="AK61" i="12" s="1" a="1"/>
  <c r="AK61" i="12" s="1"/>
  <c r="X63" i="12"/>
  <c r="X64" i="12"/>
  <c r="X66" i="12"/>
  <c r="X75" i="12"/>
  <c r="X74" i="12"/>
  <c r="X76" i="12"/>
  <c r="X83" i="12"/>
  <c r="X79" i="12"/>
  <c r="X82" i="12"/>
  <c r="X93" i="12"/>
  <c r="X89" i="12"/>
  <c r="X91" i="12"/>
  <c r="X101" i="12"/>
  <c r="X98" i="12"/>
  <c r="X99" i="12"/>
  <c r="Y63" i="12"/>
  <c r="AA63" i="12" s="1" a="1"/>
  <c r="AA63" i="12" s="1"/>
  <c r="Y64" i="12"/>
  <c r="AA64" i="12" s="1" a="1"/>
  <c r="AA64" i="12" s="1"/>
  <c r="Y66" i="12"/>
  <c r="AA66" i="12" s="1" a="1"/>
  <c r="AA66" i="12" s="1"/>
  <c r="Y75" i="12"/>
  <c r="Z75" i="12" s="1" a="1"/>
  <c r="Z75" i="12" s="1"/>
  <c r="Y74" i="12"/>
  <c r="AA74" i="12" s="1" a="1"/>
  <c r="AA74" i="12" s="1"/>
  <c r="Y76" i="12"/>
  <c r="AA76" i="12" s="1" a="1"/>
  <c r="AA76" i="12" s="1"/>
  <c r="Y83" i="12"/>
  <c r="Z83" i="12" s="1" a="1"/>
  <c r="Z83" i="12" s="1"/>
  <c r="Y79" i="12"/>
  <c r="Z79" i="12" s="1" a="1"/>
  <c r="Z79" i="12" s="1"/>
  <c r="Y82" i="12"/>
  <c r="AA82" i="12" s="1" a="1"/>
  <c r="AA82" i="12" s="1"/>
  <c r="Y93" i="12"/>
  <c r="Z93" i="12" s="1" a="1"/>
  <c r="Z93" i="12" s="1"/>
  <c r="Y89" i="12"/>
  <c r="AA89" i="12" s="1" a="1"/>
  <c r="AA89" i="12" s="1"/>
  <c r="Y91" i="12"/>
  <c r="AA91" i="12" s="1" a="1"/>
  <c r="AA91" i="12" s="1"/>
  <c r="Y101" i="12"/>
  <c r="AA101" i="12" s="1" a="1"/>
  <c r="AA101" i="12" s="1"/>
  <c r="Y98" i="12"/>
  <c r="AA98" i="12" s="1" a="1"/>
  <c r="AA98" i="12" s="1"/>
  <c r="Y99" i="12"/>
  <c r="AA99" i="12" s="1" a="1"/>
  <c r="AA99" i="12" s="1"/>
  <c r="M55" i="12"/>
  <c r="M53" i="12"/>
  <c r="M54" i="12"/>
  <c r="M65" i="12"/>
  <c r="M64" i="12"/>
  <c r="M63" i="12"/>
  <c r="M71" i="12"/>
  <c r="M70" i="12"/>
  <c r="M68" i="12"/>
  <c r="M80" i="12"/>
  <c r="M79" i="12"/>
  <c r="M77" i="12"/>
  <c r="M88" i="12"/>
  <c r="M86" i="12"/>
  <c r="M85" i="12"/>
  <c r="N55" i="12"/>
  <c r="P55" i="12" s="1" a="1"/>
  <c r="P55" i="12" s="1"/>
  <c r="N53" i="12"/>
  <c r="P53" i="12" s="1" a="1"/>
  <c r="P53" i="12" s="1"/>
  <c r="N54" i="12"/>
  <c r="P54" i="12" s="1" a="1"/>
  <c r="P54" i="12" s="1"/>
  <c r="N65" i="12"/>
  <c r="P65" i="12" s="1" a="1"/>
  <c r="P65" i="12" s="1"/>
  <c r="N64" i="12"/>
  <c r="P64" i="12" s="1" a="1"/>
  <c r="P64" i="12" s="1"/>
  <c r="N63" i="12"/>
  <c r="O63" i="12" s="1" a="1"/>
  <c r="O63" i="12" s="1"/>
  <c r="N71" i="12"/>
  <c r="O71" i="12" s="1" a="1"/>
  <c r="O71" i="12" s="1"/>
  <c r="N70" i="12"/>
  <c r="O70" i="12" s="1" a="1"/>
  <c r="O70" i="12" s="1"/>
  <c r="N68" i="12"/>
  <c r="P68" i="12" s="1" a="1"/>
  <c r="P68" i="12" s="1"/>
  <c r="N80" i="12"/>
  <c r="O80" i="12" s="1" a="1"/>
  <c r="O80" i="12" s="1"/>
  <c r="N79" i="12"/>
  <c r="P79" i="12" s="1" a="1"/>
  <c r="P79" i="12" s="1"/>
  <c r="N77" i="12"/>
  <c r="P77" i="12" s="1" a="1"/>
  <c r="P77" i="12" s="1"/>
  <c r="N88" i="12"/>
  <c r="P88" i="12" s="1" a="1"/>
  <c r="P88" i="12" s="1"/>
  <c r="N86" i="12"/>
  <c r="O86" i="12" s="1" a="1"/>
  <c r="O86" i="12" s="1"/>
  <c r="N85" i="12"/>
  <c r="P85" i="12" s="1" a="1"/>
  <c r="P85" i="12" s="1"/>
  <c r="B49" i="12"/>
  <c r="B54" i="12"/>
  <c r="B55" i="12"/>
  <c r="B61" i="12"/>
  <c r="B63" i="12"/>
  <c r="B65" i="12"/>
  <c r="B69" i="12"/>
  <c r="B70" i="12"/>
  <c r="B71" i="12"/>
  <c r="B78" i="12"/>
  <c r="B77" i="12"/>
  <c r="B79" i="12"/>
  <c r="B86" i="12"/>
  <c r="B84" i="12"/>
  <c r="B87" i="12"/>
  <c r="C49" i="12"/>
  <c r="E49" i="12" s="1" a="1"/>
  <c r="E49" i="12" s="1"/>
  <c r="C54" i="12"/>
  <c r="D54" i="12" s="1" a="1"/>
  <c r="D54" i="12" s="1"/>
  <c r="C55" i="12"/>
  <c r="E55" i="12" s="1" a="1"/>
  <c r="E55" i="12" s="1"/>
  <c r="C61" i="12"/>
  <c r="D61" i="12" s="1" a="1"/>
  <c r="D61" i="12" s="1"/>
  <c r="C63" i="12"/>
  <c r="D63" i="12" s="1" a="1"/>
  <c r="D63" i="12" s="1"/>
  <c r="C65" i="12"/>
  <c r="E65" i="12" s="1" a="1"/>
  <c r="E65" i="12" s="1"/>
  <c r="C69" i="12"/>
  <c r="E69" i="12" s="1" a="1"/>
  <c r="E69" i="12" s="1"/>
  <c r="C70" i="12"/>
  <c r="D70" i="12" s="1" a="1"/>
  <c r="D70" i="12" s="1"/>
  <c r="C71" i="12"/>
  <c r="D71" i="12" s="1" a="1"/>
  <c r="D71" i="12" s="1"/>
  <c r="C78" i="12"/>
  <c r="D78" i="12" s="1" a="1"/>
  <c r="D78" i="12" s="1"/>
  <c r="C77" i="12"/>
  <c r="E77" i="12" s="1" a="1"/>
  <c r="E77" i="12" s="1"/>
  <c r="C79" i="12"/>
  <c r="E79" i="12" s="1" a="1"/>
  <c r="E79" i="12" s="1"/>
  <c r="C86" i="12"/>
  <c r="D86" i="12" s="1" a="1"/>
  <c r="D86" i="12" s="1"/>
  <c r="C84" i="12"/>
  <c r="E84" i="12" s="1" a="1"/>
  <c r="E84" i="12" s="1"/>
  <c r="C87" i="12"/>
  <c r="E87" i="12" s="1" a="1"/>
  <c r="E87" i="12" s="1"/>
  <c r="AI13" i="11"/>
  <c r="AI9" i="11"/>
  <c r="AI12" i="11"/>
  <c r="AI32" i="11"/>
  <c r="AI30" i="11"/>
  <c r="AI27" i="11"/>
  <c r="AI50" i="11"/>
  <c r="AI48" i="11"/>
  <c r="AI46" i="11"/>
  <c r="AI66" i="11"/>
  <c r="AI64" i="11"/>
  <c r="AI62" i="11"/>
  <c r="AJ13" i="11"/>
  <c r="AL13" i="11" s="1" a="1"/>
  <c r="AL13" i="11" s="1"/>
  <c r="AJ9" i="11"/>
  <c r="AL9" i="11" s="1" a="1"/>
  <c r="AL9" i="11" s="1"/>
  <c r="AJ12" i="11"/>
  <c r="AL12" i="11" s="1" a="1"/>
  <c r="AL12" i="11" s="1"/>
  <c r="AJ32" i="11"/>
  <c r="AL32" i="11" s="1" a="1"/>
  <c r="AL32" i="11" s="1"/>
  <c r="AJ30" i="11"/>
  <c r="AL30" i="11" s="1" a="1"/>
  <c r="AL30" i="11" s="1"/>
  <c r="AJ27" i="11"/>
  <c r="AL27" i="11" s="1" a="1"/>
  <c r="AL27" i="11" s="1"/>
  <c r="AJ50" i="11"/>
  <c r="AL50" i="11" s="1" a="1"/>
  <c r="AL50" i="11" s="1"/>
  <c r="AJ48" i="11"/>
  <c r="AL48" i="11" s="1" a="1"/>
  <c r="AL48" i="11" s="1"/>
  <c r="AJ46" i="11"/>
  <c r="AL46" i="11" s="1" a="1"/>
  <c r="AL46" i="11" s="1"/>
  <c r="AJ66" i="11"/>
  <c r="AL66" i="11" s="1" a="1"/>
  <c r="AL66" i="11" s="1"/>
  <c r="AJ64" i="11"/>
  <c r="AL64" i="11" s="1" a="1"/>
  <c r="AL64" i="11" s="1"/>
  <c r="AJ62" i="11"/>
  <c r="AL62" i="11" s="1" a="1"/>
  <c r="AL62" i="11" s="1"/>
  <c r="AK13" i="11"/>
  <c r="AK9" i="11"/>
  <c r="AK12" i="11"/>
  <c r="AK32" i="11"/>
  <c r="AK30" i="11"/>
  <c r="AK27" i="11"/>
  <c r="AK50" i="11"/>
  <c r="AK48" i="11"/>
  <c r="AK46" i="11"/>
  <c r="AK66" i="11"/>
  <c r="AK64" i="11"/>
  <c r="AK62" i="11"/>
  <c r="X78" i="11"/>
  <c r="X74" i="11"/>
  <c r="X73" i="11"/>
  <c r="X90" i="11"/>
  <c r="X87" i="11"/>
  <c r="X85" i="11"/>
  <c r="X96" i="11"/>
  <c r="X93" i="11"/>
  <c r="X91" i="11"/>
  <c r="X104" i="11"/>
  <c r="X102" i="11"/>
  <c r="X99" i="11"/>
  <c r="X112" i="11"/>
  <c r="X110" i="11"/>
  <c r="X107" i="11"/>
  <c r="Y78" i="11"/>
  <c r="AA78" i="11" s="1" a="1"/>
  <c r="AA78" i="11" s="1"/>
  <c r="Y74" i="11"/>
  <c r="AA74" i="11" s="1" a="1"/>
  <c r="AA74" i="11" s="1"/>
  <c r="Y73" i="11"/>
  <c r="AA73" i="11" s="1" a="1"/>
  <c r="AA73" i="11" s="1"/>
  <c r="Y90" i="11"/>
  <c r="AA90" i="11" s="1" a="1"/>
  <c r="AA90" i="11" s="1"/>
  <c r="Y87" i="11"/>
  <c r="Z87" i="11" s="1" a="1"/>
  <c r="Z87" i="11" s="1"/>
  <c r="Y85" i="11"/>
  <c r="AA85" i="11" s="1" a="1"/>
  <c r="AA85" i="11" s="1"/>
  <c r="Y96" i="11"/>
  <c r="AA96" i="11" s="1" a="1"/>
  <c r="AA96" i="11" s="1"/>
  <c r="Y93" i="11"/>
  <c r="Z93" i="11" s="1" a="1"/>
  <c r="Z93" i="11" s="1"/>
  <c r="Y91" i="11"/>
  <c r="AA91" i="11" s="1" a="1"/>
  <c r="AA91" i="11" s="1"/>
  <c r="Y104" i="11"/>
  <c r="Z104" i="11" s="1" a="1"/>
  <c r="Z104" i="11" s="1"/>
  <c r="Y102" i="11"/>
  <c r="AA102" i="11" s="1" a="1"/>
  <c r="AA102" i="11" s="1"/>
  <c r="Y99" i="11"/>
  <c r="AA99" i="11" s="1" a="1"/>
  <c r="AA99" i="11" s="1"/>
  <c r="Y112" i="11"/>
  <c r="Z112" i="11" s="1" a="1"/>
  <c r="Z112" i="11" s="1"/>
  <c r="Y110" i="11"/>
  <c r="AA110" i="11" s="1" a="1"/>
  <c r="AA110" i="11" s="1"/>
  <c r="Y107" i="11"/>
  <c r="AA107" i="11" s="1" a="1"/>
  <c r="AA107" i="11" s="1"/>
  <c r="M56" i="11"/>
  <c r="M52" i="11"/>
  <c r="M48" i="11"/>
  <c r="M66" i="11"/>
  <c r="M64" i="11"/>
  <c r="M61" i="11"/>
  <c r="M72" i="11"/>
  <c r="M70" i="11"/>
  <c r="M67" i="11"/>
  <c r="M80" i="11"/>
  <c r="M78" i="11"/>
  <c r="M75" i="11"/>
  <c r="M88" i="11"/>
  <c r="M86" i="11"/>
  <c r="M83" i="11"/>
  <c r="N56" i="11"/>
  <c r="P56" i="11" s="1" a="1"/>
  <c r="P56" i="11" s="1"/>
  <c r="N52" i="11"/>
  <c r="P52" i="11" s="1" a="1"/>
  <c r="P52" i="11" s="1"/>
  <c r="N48" i="11"/>
  <c r="P48" i="11" s="1" a="1"/>
  <c r="P48" i="11" s="1"/>
  <c r="N66" i="11"/>
  <c r="P66" i="11" s="1" a="1"/>
  <c r="P66" i="11" s="1"/>
  <c r="N64" i="11"/>
  <c r="P64" i="11" s="1" a="1"/>
  <c r="P64" i="11" s="1"/>
  <c r="N61" i="11"/>
  <c r="O61" i="11" s="1" a="1"/>
  <c r="O61" i="11" s="1"/>
  <c r="N72" i="11"/>
  <c r="P72" i="11" s="1" a="1"/>
  <c r="P72" i="11" s="1"/>
  <c r="N70" i="11"/>
  <c r="O70" i="11" s="1" a="1"/>
  <c r="O70" i="11" s="1"/>
  <c r="N67" i="11"/>
  <c r="O67" i="11" s="1" a="1"/>
  <c r="O67" i="11" s="1"/>
  <c r="N80" i="11"/>
  <c r="O80" i="11" s="1" a="1"/>
  <c r="O80" i="11" s="1"/>
  <c r="N78" i="11"/>
  <c r="P78" i="11" s="1" a="1"/>
  <c r="P78" i="11" s="1"/>
  <c r="N75" i="11"/>
  <c r="P75" i="11" s="1" a="1"/>
  <c r="P75" i="11" s="1"/>
  <c r="N88" i="11"/>
  <c r="P88" i="11" s="1" a="1"/>
  <c r="P88" i="11" s="1"/>
  <c r="N86" i="11"/>
  <c r="P86" i="11" s="1" a="1"/>
  <c r="P86" i="11" s="1"/>
  <c r="N83" i="11"/>
  <c r="P83" i="11" s="1" a="1"/>
  <c r="P83" i="11" s="1"/>
  <c r="B56" i="11"/>
  <c r="B53" i="11"/>
  <c r="B52" i="11"/>
  <c r="B66" i="11"/>
  <c r="B64" i="11"/>
  <c r="B61" i="11"/>
  <c r="B72" i="11"/>
  <c r="B71" i="11"/>
  <c r="B67" i="11"/>
  <c r="B80" i="11"/>
  <c r="B79" i="11"/>
  <c r="B75" i="11"/>
  <c r="B88" i="11"/>
  <c r="B87" i="11"/>
  <c r="B84" i="11"/>
  <c r="C56" i="11"/>
  <c r="E56" i="11" s="1" a="1"/>
  <c r="E56" i="11" s="1"/>
  <c r="C53" i="11"/>
  <c r="D53" i="11" s="1" a="1"/>
  <c r="D53" i="11" s="1"/>
  <c r="C52" i="11"/>
  <c r="D52" i="11" s="1" a="1"/>
  <c r="D52" i="11" s="1"/>
  <c r="C66" i="11"/>
  <c r="D66" i="11" s="1" a="1"/>
  <c r="D66" i="11" s="1"/>
  <c r="C64" i="11"/>
  <c r="D64" i="11" s="1" a="1"/>
  <c r="D64" i="11" s="1"/>
  <c r="C61" i="11"/>
  <c r="E61" i="11" s="1" a="1"/>
  <c r="E61" i="11" s="1"/>
  <c r="C72" i="11"/>
  <c r="E72" i="11" s="1" a="1"/>
  <c r="E72" i="11" s="1"/>
  <c r="C71" i="11"/>
  <c r="E71" i="11" s="1" a="1"/>
  <c r="E71" i="11" s="1"/>
  <c r="C67" i="11"/>
  <c r="E67" i="11" s="1" a="1"/>
  <c r="E67" i="11" s="1"/>
  <c r="C80" i="11"/>
  <c r="D80" i="11" s="1" a="1"/>
  <c r="D80" i="11" s="1"/>
  <c r="C79" i="11"/>
  <c r="E79" i="11" s="1" a="1"/>
  <c r="E79" i="11" s="1"/>
  <c r="C75" i="11"/>
  <c r="E75" i="11" s="1" a="1"/>
  <c r="E75" i="11" s="1"/>
  <c r="C88" i="11"/>
  <c r="E88" i="11" s="1" a="1"/>
  <c r="E88" i="11" s="1"/>
  <c r="C87" i="11"/>
  <c r="E87" i="11" s="1" a="1"/>
  <c r="E87" i="11" s="1"/>
  <c r="C84" i="11"/>
  <c r="E84" i="11" s="1" a="1"/>
  <c r="E84" i="11" s="1"/>
  <c r="AI10" i="11"/>
  <c r="AI11" i="11"/>
  <c r="AI14" i="11"/>
  <c r="AI31" i="11"/>
  <c r="AI28" i="11"/>
  <c r="AI29" i="11"/>
  <c r="AI49" i="11"/>
  <c r="AI47" i="11"/>
  <c r="AI45" i="11"/>
  <c r="AI65" i="11"/>
  <c r="AI63" i="11"/>
  <c r="AI61" i="11"/>
  <c r="AJ10" i="11"/>
  <c r="AL10" i="11" s="1" a="1"/>
  <c r="AL10" i="11" s="1"/>
  <c r="AJ11" i="11"/>
  <c r="AL11" i="11" s="1" a="1"/>
  <c r="AL11" i="11" s="1"/>
  <c r="AJ14" i="11"/>
  <c r="AL14" i="11" s="1" a="1"/>
  <c r="AL14" i="11" s="1"/>
  <c r="AJ31" i="11"/>
  <c r="AL31" i="11" s="1" a="1"/>
  <c r="AL31" i="11" s="1"/>
  <c r="AJ28" i="11"/>
  <c r="AL28" i="11" s="1" a="1"/>
  <c r="AL28" i="11" s="1"/>
  <c r="AJ29" i="11"/>
  <c r="AL29" i="11" s="1" a="1"/>
  <c r="AL29" i="11" s="1"/>
  <c r="AJ49" i="11"/>
  <c r="AL49" i="11" s="1" a="1"/>
  <c r="AL49" i="11" s="1"/>
  <c r="AJ47" i="11"/>
  <c r="AL47" i="11" s="1" a="1"/>
  <c r="AL47" i="11" s="1"/>
  <c r="AJ45" i="11"/>
  <c r="AL45" i="11" s="1" a="1"/>
  <c r="AL45" i="11" s="1"/>
  <c r="AJ65" i="11"/>
  <c r="AL65" i="11" s="1" a="1"/>
  <c r="AL65" i="11" s="1"/>
  <c r="AJ63" i="11"/>
  <c r="AL63" i="11" s="1" a="1"/>
  <c r="AL63" i="11" s="1"/>
  <c r="AJ61" i="11"/>
  <c r="AL61" i="11" s="1" a="1"/>
  <c r="AL61" i="11" s="1"/>
  <c r="AK10" i="11"/>
  <c r="AK11" i="11"/>
  <c r="AK14" i="11"/>
  <c r="AK31" i="11"/>
  <c r="AK28" i="11"/>
  <c r="AK29" i="11"/>
  <c r="AK49" i="11"/>
  <c r="AK47" i="11"/>
  <c r="AK45" i="11"/>
  <c r="AK65" i="11"/>
  <c r="AK63" i="11"/>
  <c r="AK61" i="11"/>
  <c r="X75" i="11"/>
  <c r="X76" i="11"/>
  <c r="X77" i="11"/>
  <c r="X89" i="11"/>
  <c r="X86" i="11"/>
  <c r="X88" i="11"/>
  <c r="X95" i="11"/>
  <c r="X92" i="11"/>
  <c r="X94" i="11"/>
  <c r="X103" i="11"/>
  <c r="X100" i="11"/>
  <c r="X101" i="11"/>
  <c r="X111" i="11"/>
  <c r="X108" i="11"/>
  <c r="X109" i="11"/>
  <c r="Y75" i="11"/>
  <c r="AA75" i="11" s="1" a="1"/>
  <c r="AA75" i="11" s="1"/>
  <c r="Y76" i="11"/>
  <c r="Z76" i="11" s="1" a="1"/>
  <c r="Z76" i="11" s="1"/>
  <c r="Y77" i="11"/>
  <c r="AA77" i="11" s="1" a="1"/>
  <c r="AA77" i="11" s="1"/>
  <c r="Y89" i="11"/>
  <c r="Z89" i="11" s="1" a="1"/>
  <c r="Z89" i="11" s="1"/>
  <c r="Y86" i="11"/>
  <c r="Z86" i="11" s="1" a="1"/>
  <c r="Z86" i="11" s="1"/>
  <c r="Y88" i="11"/>
  <c r="Z88" i="11" s="1" a="1"/>
  <c r="Z88" i="11" s="1"/>
  <c r="Y95" i="11"/>
  <c r="Z95" i="11" s="1" a="1"/>
  <c r="Z95" i="11" s="1"/>
  <c r="Y92" i="11"/>
  <c r="AA92" i="11" s="1" a="1"/>
  <c r="AA92" i="11" s="1"/>
  <c r="Y94" i="11"/>
  <c r="AA94" i="11" s="1" a="1"/>
  <c r="AA94" i="11" s="1"/>
  <c r="Y103" i="11"/>
  <c r="Z103" i="11" s="1" a="1"/>
  <c r="Z103" i="11" s="1"/>
  <c r="Y100" i="11"/>
  <c r="AA100" i="11" s="1" a="1"/>
  <c r="AA100" i="11" s="1"/>
  <c r="Y101" i="11"/>
  <c r="AA101" i="11" s="1" a="1"/>
  <c r="AA101" i="11" s="1"/>
  <c r="Y111" i="11"/>
  <c r="AA111" i="11" s="1" a="1"/>
  <c r="AA111" i="11" s="1"/>
  <c r="Y108" i="11"/>
  <c r="AA108" i="11" s="1" a="1"/>
  <c r="AA108" i="11" s="1"/>
  <c r="Y109" i="11"/>
  <c r="Z109" i="11" s="1" a="1"/>
  <c r="Z109" i="11" s="1"/>
  <c r="M55" i="11"/>
  <c r="M53" i="11"/>
  <c r="M54" i="11"/>
  <c r="M65" i="11"/>
  <c r="M63" i="11"/>
  <c r="M62" i="11"/>
  <c r="M71" i="11"/>
  <c r="M69" i="11"/>
  <c r="M68" i="11"/>
  <c r="M79" i="11"/>
  <c r="M77" i="11"/>
  <c r="M76" i="11"/>
  <c r="M87" i="11"/>
  <c r="M85" i="11"/>
  <c r="M84" i="11"/>
  <c r="N55" i="11"/>
  <c r="P55" i="11" s="1" a="1"/>
  <c r="P55" i="11" s="1"/>
  <c r="N53" i="11"/>
  <c r="P53" i="11" s="1" a="1"/>
  <c r="P53" i="11" s="1"/>
  <c r="N54" i="11"/>
  <c r="O54" i="11" s="1" a="1"/>
  <c r="O54" i="11" s="1"/>
  <c r="N65" i="11"/>
  <c r="O65" i="11" s="1" a="1"/>
  <c r="O65" i="11" s="1"/>
  <c r="N63" i="11"/>
  <c r="P63" i="11" s="1" a="1"/>
  <c r="P63" i="11" s="1"/>
  <c r="N62" i="11"/>
  <c r="O62" i="11" s="1" a="1"/>
  <c r="O62" i="11" s="1"/>
  <c r="N71" i="11"/>
  <c r="O71" i="11" s="1" a="1"/>
  <c r="O71" i="11" s="1"/>
  <c r="N69" i="11"/>
  <c r="P69" i="11" s="1" a="1"/>
  <c r="P69" i="11" s="1"/>
  <c r="N68" i="11"/>
  <c r="P68" i="11" s="1" a="1"/>
  <c r="P68" i="11" s="1"/>
  <c r="N79" i="11"/>
  <c r="O79" i="11" s="1" a="1"/>
  <c r="O79" i="11" s="1"/>
  <c r="N77" i="11"/>
  <c r="P77" i="11" s="1" a="1"/>
  <c r="P77" i="11" s="1"/>
  <c r="N76" i="11"/>
  <c r="P76" i="11" s="1" a="1"/>
  <c r="P76" i="11" s="1"/>
  <c r="N87" i="11"/>
  <c r="P87" i="11" s="1" a="1"/>
  <c r="P87" i="11" s="1"/>
  <c r="N85" i="11"/>
  <c r="P85" i="11" s="1" a="1"/>
  <c r="P85" i="11" s="1"/>
  <c r="N84" i="11"/>
  <c r="O84" i="11" s="1" a="1"/>
  <c r="O84" i="11" s="1"/>
  <c r="B47" i="11"/>
  <c r="B54" i="11"/>
  <c r="B55" i="11"/>
  <c r="B62" i="11"/>
  <c r="B63" i="11"/>
  <c r="B65" i="11"/>
  <c r="B69" i="11"/>
  <c r="B68" i="11"/>
  <c r="B70" i="11"/>
  <c r="B77" i="11"/>
  <c r="B76" i="11"/>
  <c r="B78" i="11"/>
  <c r="B86" i="11"/>
  <c r="B83" i="11"/>
  <c r="B85" i="11"/>
  <c r="C47" i="11"/>
  <c r="E47" i="11" s="1" a="1"/>
  <c r="E47" i="11" s="1"/>
  <c r="C54" i="11"/>
  <c r="E54" i="11" s="1" a="1"/>
  <c r="E54" i="11" s="1"/>
  <c r="C55" i="11"/>
  <c r="D55" i="11" s="1" a="1"/>
  <c r="D55" i="11" s="1"/>
  <c r="C62" i="11"/>
  <c r="D62" i="11" s="1" a="1"/>
  <c r="D62" i="11" s="1"/>
  <c r="C63" i="11"/>
  <c r="D63" i="11" s="1" a="1"/>
  <c r="D63" i="11" s="1"/>
  <c r="C65" i="11"/>
  <c r="E65" i="11" s="1" a="1"/>
  <c r="E65" i="11" s="1"/>
  <c r="C69" i="11"/>
  <c r="D69" i="11" s="1" a="1"/>
  <c r="D69" i="11" s="1"/>
  <c r="C68" i="11"/>
  <c r="D68" i="11" s="1" a="1"/>
  <c r="D68" i="11" s="1"/>
  <c r="C70" i="11"/>
  <c r="D70" i="11" s="1" a="1"/>
  <c r="D70" i="11" s="1"/>
  <c r="C77" i="11"/>
  <c r="D77" i="11" s="1" a="1"/>
  <c r="D77" i="11" s="1"/>
  <c r="C76" i="11"/>
  <c r="D76" i="11" s="1" a="1"/>
  <c r="D76" i="11" s="1"/>
  <c r="C78" i="11"/>
  <c r="D78" i="11" s="1" a="1"/>
  <c r="D78" i="11" s="1"/>
  <c r="C86" i="11"/>
  <c r="D86" i="11" s="1" a="1"/>
  <c r="D86" i="11" s="1"/>
  <c r="C83" i="11"/>
  <c r="E83" i="11" s="1" a="1"/>
  <c r="E83" i="11" s="1"/>
  <c r="C85" i="11"/>
  <c r="E85" i="11" s="1" a="1"/>
  <c r="E85" i="11" s="1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C747" i="10"/>
  <c r="D747" i="10" s="1" a="1"/>
  <c r="D747" i="10" s="1"/>
  <c r="C748" i="10"/>
  <c r="D748" i="10" s="1" a="1"/>
  <c r="D748" i="10" s="1"/>
  <c r="C749" i="10"/>
  <c r="D749" i="10" s="1" a="1"/>
  <c r="D749" i="10" s="1"/>
  <c r="C750" i="10"/>
  <c r="D750" i="10" s="1" a="1"/>
  <c r="D750" i="10" s="1"/>
  <c r="C751" i="10"/>
  <c r="D751" i="10" s="1" a="1"/>
  <c r="D751" i="10" s="1"/>
  <c r="C752" i="10"/>
  <c r="D752" i="10" s="1" a="1"/>
  <c r="D752" i="10" s="1"/>
  <c r="C753" i="10"/>
  <c r="E753" i="10" s="1" a="1"/>
  <c r="E753" i="10" s="1"/>
  <c r="C754" i="10"/>
  <c r="E754" i="10" s="1" a="1"/>
  <c r="E754" i="10" s="1"/>
  <c r="C755" i="10"/>
  <c r="E755" i="10" s="1" a="1"/>
  <c r="E755" i="10" s="1"/>
  <c r="C756" i="10"/>
  <c r="D756" i="10" s="1" a="1"/>
  <c r="D756" i="10" s="1"/>
  <c r="C757" i="10"/>
  <c r="E757" i="10" s="1" a="1"/>
  <c r="E757" i="10" s="1"/>
  <c r="C758" i="10"/>
  <c r="D758" i="10" s="1" a="1"/>
  <c r="D758" i="10" s="1"/>
  <c r="C759" i="10"/>
  <c r="D759" i="10" s="1" a="1"/>
  <c r="D759" i="10" s="1"/>
  <c r="C760" i="10"/>
  <c r="D760" i="10" s="1" a="1"/>
  <c r="D760" i="10" s="1"/>
  <c r="C761" i="10"/>
  <c r="D761" i="10" s="1" a="1"/>
  <c r="D761" i="10" s="1"/>
  <c r="C762" i="10"/>
  <c r="D762" i="10" s="1" a="1"/>
  <c r="D762" i="10" s="1"/>
  <c r="C763" i="10"/>
  <c r="D763" i="10" s="1" a="1"/>
  <c r="D763" i="10" s="1"/>
  <c r="C764" i="10"/>
  <c r="E764" i="10" s="1" a="1"/>
  <c r="E764" i="10" s="1"/>
  <c r="C765" i="10"/>
  <c r="E765" i="10" s="1" a="1"/>
  <c r="E765" i="10" s="1"/>
  <c r="C766" i="10"/>
  <c r="D766" i="10" s="1" a="1"/>
  <c r="D766" i="10" s="1"/>
  <c r="C767" i="10"/>
  <c r="D767" i="10" s="1" a="1"/>
  <c r="D767" i="10" s="1"/>
  <c r="C768" i="10"/>
  <c r="E768" i="10" s="1" a="1"/>
  <c r="E768" i="10" s="1"/>
  <c r="C769" i="10"/>
  <c r="D769" i="10" s="1" a="1"/>
  <c r="D769" i="10" s="1"/>
  <c r="C770" i="10"/>
  <c r="D770" i="10" s="1" a="1"/>
  <c r="D770" i="10" s="1"/>
  <c r="C771" i="10"/>
  <c r="D771" i="10" s="1" a="1"/>
  <c r="D771" i="10" s="1"/>
  <c r="C772" i="10"/>
  <c r="D772" i="10" s="1" a="1"/>
  <c r="D772" i="10" s="1"/>
  <c r="C773" i="10"/>
  <c r="D773" i="10" s="1" a="1"/>
  <c r="D773" i="10" s="1"/>
  <c r="C774" i="10"/>
  <c r="E774" i="10" s="1" a="1"/>
  <c r="E774" i="10" s="1"/>
  <c r="C775" i="10"/>
  <c r="D775" i="10" s="1" a="1"/>
  <c r="D775" i="10" s="1"/>
  <c r="C776" i="10"/>
  <c r="D776" i="10" s="1" a="1"/>
  <c r="D776" i="10" s="1"/>
  <c r="C777" i="10"/>
  <c r="D777" i="10" s="1" a="1"/>
  <c r="D777" i="10" s="1"/>
  <c r="C778" i="10"/>
  <c r="D778" i="10" s="1" a="1"/>
  <c r="D778" i="10" s="1"/>
  <c r="C779" i="10"/>
  <c r="D779" i="10" s="1" a="1"/>
  <c r="D779" i="10" s="1"/>
  <c r="C780" i="10"/>
  <c r="E780" i="10" s="1" a="1"/>
  <c r="E780" i="10" s="1"/>
  <c r="C781" i="10"/>
  <c r="E781" i="10" s="1" a="1"/>
  <c r="E781" i="10" s="1"/>
  <c r="C782" i="10"/>
  <c r="D782" i="10" s="1" a="1"/>
  <c r="D782" i="10" s="1"/>
  <c r="C783" i="10"/>
  <c r="D783" i="10" s="1" a="1"/>
  <c r="D783" i="10" s="1"/>
  <c r="C784" i="10"/>
  <c r="D784" i="10" s="1" a="1"/>
  <c r="D784" i="10" s="1"/>
  <c r="C785" i="10"/>
  <c r="D785" i="10" s="1" a="1"/>
  <c r="D785" i="10" s="1"/>
  <c r="C786" i="10"/>
  <c r="E786" i="10" s="1" a="1"/>
  <c r="E786" i="10" s="1"/>
  <c r="C787" i="10"/>
  <c r="E787" i="10" s="1" a="1"/>
  <c r="E787" i="10" s="1"/>
  <c r="C788" i="10"/>
  <c r="E788" i="10" s="1" a="1"/>
  <c r="E788" i="10" s="1"/>
  <c r="C789" i="10"/>
  <c r="E789" i="10" s="1" a="1"/>
  <c r="E789" i="10" s="1"/>
  <c r="C790" i="10"/>
  <c r="E790" i="10" s="1" a="1"/>
  <c r="E790" i="10" s="1"/>
  <c r="C791" i="10"/>
  <c r="E791" i="10" s="1" a="1"/>
  <c r="E791" i="10" s="1"/>
  <c r="C792" i="10"/>
  <c r="D792" i="10" s="1" a="1"/>
  <c r="D792" i="10" s="1"/>
  <c r="C793" i="10"/>
  <c r="D793" i="10" s="1" a="1"/>
  <c r="D793" i="10" s="1"/>
  <c r="C794" i="10"/>
  <c r="D794" i="10" s="1" a="1"/>
  <c r="D794" i="10" s="1"/>
  <c r="C795" i="10"/>
  <c r="D795" i="10" s="1" a="1"/>
  <c r="D795" i="10" s="1"/>
  <c r="C796" i="10"/>
  <c r="E796" i="10" s="1" a="1"/>
  <c r="E796" i="10" s="1"/>
  <c r="C797" i="10"/>
  <c r="D797" i="10" s="1" a="1"/>
  <c r="D797" i="10" s="1"/>
  <c r="C798" i="10"/>
  <c r="D798" i="10" s="1" a="1"/>
  <c r="D798" i="10" s="1"/>
  <c r="C799" i="10"/>
  <c r="D799" i="10" s="1" a="1"/>
  <c r="D799" i="10" s="1"/>
  <c r="C800" i="10"/>
  <c r="E800" i="10" s="1" a="1"/>
  <c r="E800" i="10" s="1"/>
  <c r="C801" i="10"/>
  <c r="E801" i="10" s="1" a="1"/>
  <c r="E801" i="10" s="1"/>
  <c r="C802" i="10"/>
  <c r="E802" i="10" s="1" a="1"/>
  <c r="E802" i="10" s="1"/>
  <c r="C803" i="10"/>
  <c r="E803" i="10" s="1" a="1"/>
  <c r="E803" i="10" s="1"/>
  <c r="C804" i="10"/>
  <c r="E804" i="10" s="1" a="1"/>
  <c r="E804" i="10" s="1"/>
  <c r="C805" i="10"/>
  <c r="D805" i="10" s="1" a="1"/>
  <c r="D805" i="10" s="1"/>
  <c r="C806" i="10"/>
  <c r="D806" i="10" s="1" a="1"/>
  <c r="D806" i="10" s="1"/>
  <c r="C807" i="10"/>
  <c r="E807" i="10" s="1" a="1"/>
  <c r="E807" i="10" s="1"/>
  <c r="C808" i="10"/>
  <c r="E808" i="10" s="1" a="1"/>
  <c r="E808" i="10" s="1"/>
  <c r="C809" i="10"/>
  <c r="D809" i="10" s="1" a="1"/>
  <c r="D809" i="10" s="1"/>
  <c r="C810" i="10"/>
  <c r="D810" i="10" s="1" a="1"/>
  <c r="D810" i="10" s="1"/>
  <c r="C811" i="10"/>
  <c r="D811" i="10" s="1" a="1"/>
  <c r="D811" i="10" s="1"/>
  <c r="C812" i="10"/>
  <c r="D812" i="10" s="1" a="1"/>
  <c r="D812" i="10" s="1"/>
  <c r="C813" i="10"/>
  <c r="E813" i="10" s="1" a="1"/>
  <c r="E813" i="10" s="1"/>
  <c r="C814" i="10"/>
  <c r="E814" i="10" s="1" a="1"/>
  <c r="E814" i="10" s="1"/>
  <c r="C815" i="10"/>
  <c r="D815" i="10" s="1" a="1"/>
  <c r="D815" i="10" s="1"/>
  <c r="C816" i="10"/>
  <c r="D816" i="10" s="1" a="1"/>
  <c r="D816" i="10" s="1"/>
  <c r="C817" i="10"/>
  <c r="E817" i="10" s="1" a="1"/>
  <c r="E817" i="10" s="1"/>
  <c r="C818" i="10"/>
  <c r="E818" i="10" s="1" a="1"/>
  <c r="E818" i="10" s="1"/>
  <c r="C819" i="10"/>
  <c r="E819" i="10" s="1" a="1"/>
  <c r="E819" i="10" s="1"/>
  <c r="C820" i="10"/>
  <c r="E820" i="10" s="1" a="1"/>
  <c r="E820" i="10" s="1"/>
  <c r="C821" i="10"/>
  <c r="D821" i="10" s="1" a="1"/>
  <c r="D821" i="10" s="1"/>
  <c r="C822" i="10"/>
  <c r="D822" i="10" s="1" a="1"/>
  <c r="D822" i="10" s="1"/>
  <c r="C823" i="10"/>
  <c r="D823" i="10" s="1" a="1"/>
  <c r="D823" i="10" s="1"/>
  <c r="C824" i="10"/>
  <c r="D824" i="10" s="1" a="1"/>
  <c r="D824" i="10" s="1"/>
  <c r="C825" i="10"/>
  <c r="D825" i="10" s="1" a="1"/>
  <c r="D825" i="10" s="1"/>
  <c r="C826" i="10"/>
  <c r="D826" i="10" s="1" a="1"/>
  <c r="D826" i="10" s="1"/>
  <c r="C827" i="10"/>
  <c r="D827" i="10" s="1" a="1"/>
  <c r="D827" i="10" s="1"/>
  <c r="C828" i="10"/>
  <c r="D828" i="10" s="1" a="1"/>
  <c r="D828" i="10" s="1"/>
  <c r="C829" i="10"/>
  <c r="E829" i="10" s="1" a="1"/>
  <c r="E829" i="10" s="1"/>
  <c r="C830" i="10"/>
  <c r="D830" i="10" s="1" a="1"/>
  <c r="D830" i="10" s="1"/>
  <c r="C831" i="10"/>
  <c r="E831" i="10" s="1" a="1"/>
  <c r="E831" i="10" s="1"/>
  <c r="C832" i="10"/>
  <c r="E832" i="10" s="1" a="1"/>
  <c r="E832" i="10" s="1"/>
  <c r="C833" i="10"/>
  <c r="E833" i="10" s="1" a="1"/>
  <c r="E833" i="10" s="1"/>
  <c r="C834" i="10"/>
  <c r="D834" i="10" s="1" a="1"/>
  <c r="D834" i="10" s="1"/>
  <c r="C835" i="10"/>
  <c r="E835" i="10" s="1" a="1"/>
  <c r="E835" i="10" s="1"/>
  <c r="C836" i="10"/>
  <c r="E836" i="10" s="1" a="1"/>
  <c r="E836" i="10" s="1"/>
  <c r="C837" i="10"/>
  <c r="D837" i="10" s="1" a="1"/>
  <c r="D837" i="10" s="1"/>
  <c r="C838" i="10"/>
  <c r="D838" i="10" s="1" a="1"/>
  <c r="D838" i="10" s="1"/>
  <c r="C839" i="10"/>
  <c r="E839" i="10" s="1" a="1"/>
  <c r="E839" i="10" s="1"/>
  <c r="C840" i="10"/>
  <c r="D840" i="10" s="1" a="1"/>
  <c r="D840" i="10" s="1"/>
  <c r="C841" i="10"/>
  <c r="D841" i="10" s="1" a="1"/>
  <c r="D841" i="10" s="1"/>
  <c r="C842" i="10"/>
  <c r="E842" i="10" s="1" a="1"/>
  <c r="E842" i="10" s="1"/>
  <c r="C843" i="10"/>
  <c r="D843" i="10" s="1" a="1"/>
  <c r="D843" i="10" s="1"/>
  <c r="C844" i="10"/>
  <c r="D844" i="10" s="1" a="1"/>
  <c r="D844" i="10" s="1"/>
  <c r="C845" i="10"/>
  <c r="D845" i="10" s="1" a="1"/>
  <c r="D845" i="10" s="1"/>
  <c r="C846" i="10"/>
  <c r="D846" i="10" s="1" a="1"/>
  <c r="D846" i="10" s="1"/>
  <c r="C847" i="10"/>
  <c r="D847" i="10" s="1" a="1"/>
  <c r="D847" i="10" s="1"/>
  <c r="C848" i="10"/>
  <c r="D848" i="10" s="1" a="1"/>
  <c r="D848" i="10" s="1"/>
  <c r="C849" i="10"/>
  <c r="D849" i="10" s="1" a="1"/>
  <c r="D849" i="10" s="1"/>
  <c r="C850" i="10"/>
  <c r="D850" i="10" s="1" a="1"/>
  <c r="D850" i="10" s="1"/>
  <c r="C851" i="10"/>
  <c r="E851" i="10" s="1" a="1"/>
  <c r="E851" i="10" s="1"/>
  <c r="C852" i="10"/>
  <c r="D852" i="10" s="1" a="1"/>
  <c r="D852" i="10" s="1"/>
  <c r="C853" i="10"/>
  <c r="D853" i="10" s="1" a="1"/>
  <c r="D853" i="10" s="1"/>
  <c r="C854" i="10"/>
  <c r="E854" i="10" s="1" a="1"/>
  <c r="E854" i="10" s="1"/>
  <c r="C855" i="10"/>
  <c r="D855" i="10" s="1" a="1"/>
  <c r="D855" i="10" s="1"/>
  <c r="C856" i="10"/>
  <c r="E856" i="10" s="1" a="1"/>
  <c r="E856" i="10" s="1"/>
  <c r="C857" i="10"/>
  <c r="D857" i="10" s="1" a="1"/>
  <c r="D857" i="10" s="1"/>
  <c r="C858" i="10"/>
  <c r="D858" i="10" s="1" a="1"/>
  <c r="D858" i="10" s="1"/>
  <c r="C859" i="10"/>
  <c r="E859" i="10" s="1" a="1"/>
  <c r="E859" i="10" s="1"/>
  <c r="C860" i="10"/>
  <c r="D860" i="10" s="1" a="1"/>
  <c r="D860" i="10" s="1"/>
  <c r="C861" i="10"/>
  <c r="D861" i="10" s="1" a="1"/>
  <c r="D861" i="10" s="1"/>
  <c r="C862" i="10"/>
  <c r="D862" i="10" s="1" a="1"/>
  <c r="D862" i="10" s="1"/>
  <c r="C863" i="10"/>
  <c r="D863" i="10" s="1" a="1"/>
  <c r="D863" i="10" s="1"/>
  <c r="C864" i="10"/>
  <c r="E864" i="10" s="1" a="1"/>
  <c r="E864" i="10" s="1"/>
  <c r="C865" i="10"/>
  <c r="E865" i="10" s="1" a="1"/>
  <c r="E865" i="10" s="1"/>
  <c r="C866" i="10"/>
  <c r="D866" i="10" s="1" a="1"/>
  <c r="D866" i="10" s="1"/>
  <c r="C867" i="10"/>
  <c r="D867" i="10" s="1" a="1"/>
  <c r="D867" i="10" s="1"/>
  <c r="C868" i="10"/>
  <c r="D868" i="10" s="1" a="1"/>
  <c r="D868" i="10" s="1"/>
  <c r="C869" i="10"/>
  <c r="D869" i="10" s="1" a="1"/>
  <c r="D869" i="10" s="1"/>
  <c r="C870" i="10"/>
  <c r="D870" i="10" s="1" a="1"/>
  <c r="D870" i="10" s="1"/>
  <c r="C871" i="10"/>
  <c r="E871" i="10" s="1" a="1"/>
  <c r="E871" i="10" s="1"/>
  <c r="C872" i="10"/>
  <c r="D872" i="10" s="1" a="1"/>
  <c r="D872" i="10" s="1"/>
  <c r="C873" i="10"/>
  <c r="D873" i="10" s="1" a="1"/>
  <c r="D873" i="10" s="1"/>
  <c r="C874" i="10"/>
  <c r="D874" i="10" s="1" a="1"/>
  <c r="D874" i="10" s="1"/>
  <c r="C875" i="10"/>
  <c r="E875" i="10" s="1" a="1"/>
  <c r="E875" i="10" s="1"/>
  <c r="C876" i="10"/>
  <c r="D876" i="10" s="1" a="1"/>
  <c r="D876" i="10" s="1"/>
  <c r="C877" i="10"/>
  <c r="E877" i="10" s="1" a="1"/>
  <c r="E877" i="10" s="1"/>
  <c r="C878" i="10"/>
  <c r="E878" i="10" s="1" a="1"/>
  <c r="E878" i="10" s="1"/>
  <c r="C879" i="10"/>
  <c r="D879" i="10" s="1" a="1"/>
  <c r="D879" i="10" s="1"/>
  <c r="C880" i="10"/>
  <c r="D880" i="10" s="1" a="1"/>
  <c r="D880" i="10" s="1"/>
  <c r="C881" i="10"/>
  <c r="D881" i="10" s="1" a="1"/>
  <c r="D881" i="10" s="1"/>
  <c r="C882" i="10"/>
  <c r="D882" i="10" s="1" a="1"/>
  <c r="D882" i="10" s="1"/>
  <c r="C883" i="10"/>
  <c r="D883" i="10" s="1" a="1"/>
  <c r="D883" i="10" s="1"/>
  <c r="C884" i="10"/>
  <c r="D884" i="10" s="1" a="1"/>
  <c r="D884" i="10" s="1"/>
  <c r="C885" i="10"/>
  <c r="D885" i="10" s="1" a="1"/>
  <c r="D885" i="10" s="1"/>
  <c r="C886" i="10"/>
  <c r="D886" i="10" s="1" a="1"/>
  <c r="D886" i="10" s="1"/>
  <c r="C887" i="10"/>
  <c r="E887" i="10" s="1" a="1"/>
  <c r="E887" i="10" s="1"/>
  <c r="C888" i="10"/>
  <c r="D888" i="10" s="1" a="1"/>
  <c r="D888" i="10" s="1"/>
  <c r="C889" i="10"/>
  <c r="E889" i="10" s="1" a="1"/>
  <c r="E889" i="10" s="1"/>
  <c r="C890" i="10"/>
  <c r="D890" i="10" s="1" a="1"/>
  <c r="D890" i="10" s="1"/>
  <c r="C891" i="10"/>
  <c r="D891" i="10" s="1" a="1"/>
  <c r="D891" i="10" s="1"/>
  <c r="C892" i="10"/>
  <c r="E892" i="10" s="1" a="1"/>
  <c r="E892" i="10" s="1"/>
  <c r="C893" i="10"/>
  <c r="E893" i="10" s="1" a="1"/>
  <c r="E893" i="10" s="1"/>
  <c r="C894" i="10"/>
  <c r="E894" i="10" s="1" a="1"/>
  <c r="E894" i="10" s="1"/>
  <c r="C895" i="10"/>
  <c r="D895" i="10" s="1" a="1"/>
  <c r="D895" i="10" s="1"/>
  <c r="C896" i="10"/>
  <c r="E896" i="10" s="1" a="1"/>
  <c r="E896" i="10" s="1"/>
  <c r="C897" i="10"/>
  <c r="D897" i="10" s="1" a="1"/>
  <c r="D897" i="10" s="1"/>
  <c r="C898" i="10"/>
  <c r="E898" i="10" s="1" a="1"/>
  <c r="E898" i="10" s="1"/>
  <c r="C899" i="10"/>
  <c r="D899" i="10" s="1" a="1"/>
  <c r="D899" i="10" s="1"/>
  <c r="C900" i="10"/>
  <c r="D900" i="10" s="1" a="1"/>
  <c r="D900" i="10" s="1"/>
  <c r="C901" i="10"/>
  <c r="E901" i="10" s="1" a="1"/>
  <c r="E901" i="10" s="1"/>
  <c r="C902" i="10"/>
  <c r="D902" i="10" s="1" a="1"/>
  <c r="D902" i="10" s="1"/>
  <c r="C903" i="10"/>
  <c r="E903" i="10" s="1" a="1"/>
  <c r="E903" i="10" s="1"/>
  <c r="C904" i="10"/>
  <c r="D904" i="10" s="1" a="1"/>
  <c r="D904" i="10" s="1"/>
  <c r="C905" i="10"/>
  <c r="D905" i="10" s="1" a="1"/>
  <c r="D905" i="10" s="1"/>
  <c r="C906" i="10"/>
  <c r="E906" i="10" s="1" a="1"/>
  <c r="E906" i="10" s="1"/>
  <c r="C907" i="10"/>
  <c r="D907" i="10" s="1" a="1"/>
  <c r="D907" i="10" s="1"/>
  <c r="C908" i="10"/>
  <c r="E908" i="10" s="1" a="1"/>
  <c r="E908" i="10" s="1"/>
  <c r="C909" i="10"/>
  <c r="E909" i="10" s="1" a="1"/>
  <c r="E909" i="10" s="1"/>
  <c r="C910" i="10"/>
  <c r="D910" i="10" s="1" a="1"/>
  <c r="D910" i="10" s="1"/>
  <c r="C911" i="10"/>
  <c r="D911" i="10" s="1" a="1"/>
  <c r="D911" i="10" s="1"/>
  <c r="C912" i="10"/>
  <c r="D912" i="10" s="1" a="1"/>
  <c r="D912" i="10" s="1"/>
  <c r="C913" i="10"/>
  <c r="D913" i="10" s="1" a="1"/>
  <c r="D913" i="10" s="1"/>
  <c r="C914" i="10"/>
  <c r="D914" i="10" s="1" a="1"/>
  <c r="D914" i="10" s="1"/>
  <c r="C915" i="10"/>
  <c r="E915" i="10" s="1" a="1"/>
  <c r="E915" i="10" s="1"/>
  <c r="C916" i="10"/>
  <c r="D916" i="10" s="1" a="1"/>
  <c r="D916" i="10" s="1"/>
  <c r="C917" i="10"/>
  <c r="D917" i="10" s="1" a="1"/>
  <c r="D917" i="10" s="1"/>
  <c r="C918" i="10"/>
  <c r="D918" i="10" s="1" a="1"/>
  <c r="D918" i="10" s="1"/>
  <c r="C919" i="10"/>
  <c r="D919" i="10" s="1" a="1"/>
  <c r="D919" i="10" s="1"/>
  <c r="C920" i="10"/>
  <c r="D920" i="10" s="1" a="1"/>
  <c r="D920" i="10" s="1"/>
  <c r="C921" i="10"/>
  <c r="D921" i="10" s="1" a="1"/>
  <c r="D921" i="10" s="1"/>
  <c r="C922" i="10"/>
  <c r="E922" i="10" s="1" a="1"/>
  <c r="E922" i="10" s="1"/>
  <c r="C923" i="10"/>
  <c r="D923" i="10" s="1" a="1"/>
  <c r="D923" i="10" s="1"/>
  <c r="C924" i="10"/>
  <c r="E924" i="10" s="1" a="1"/>
  <c r="E924" i="10" s="1"/>
  <c r="C925" i="10"/>
  <c r="D925" i="10" s="1" a="1"/>
  <c r="D925" i="10" s="1"/>
  <c r="C926" i="10"/>
  <c r="D926" i="10" s="1" a="1"/>
  <c r="D926" i="10" s="1"/>
  <c r="C927" i="10"/>
  <c r="E927" i="10" s="1" a="1"/>
  <c r="E927" i="10" s="1"/>
  <c r="C928" i="10"/>
  <c r="D928" i="10" s="1" a="1"/>
  <c r="D928" i="10" s="1"/>
  <c r="C929" i="10"/>
  <c r="D929" i="10" s="1" a="1"/>
  <c r="D929" i="10" s="1"/>
  <c r="C930" i="10"/>
  <c r="D930" i="10" s="1" a="1"/>
  <c r="D930" i="10" s="1"/>
  <c r="C931" i="10"/>
  <c r="D931" i="10" s="1" a="1"/>
  <c r="D931" i="10" s="1"/>
  <c r="C932" i="10"/>
  <c r="D932" i="10" s="1" a="1"/>
  <c r="D932" i="10" s="1"/>
  <c r="C933" i="10"/>
  <c r="E933" i="10" s="1" a="1"/>
  <c r="E933" i="10" s="1"/>
  <c r="C934" i="10"/>
  <c r="D934" i="10" s="1" a="1"/>
  <c r="D934" i="10" s="1"/>
  <c r="C935" i="10"/>
  <c r="D935" i="10" s="1" a="1"/>
  <c r="D935" i="10" s="1"/>
  <c r="C936" i="10"/>
  <c r="D936" i="10" s="1" a="1"/>
  <c r="D936" i="10" s="1"/>
  <c r="C937" i="10"/>
  <c r="E937" i="10" s="1" a="1"/>
  <c r="E937" i="10" s="1"/>
  <c r="C938" i="10"/>
  <c r="D938" i="10" s="1" a="1"/>
  <c r="D938" i="10" s="1"/>
  <c r="C939" i="10"/>
  <c r="D939" i="10" s="1" a="1"/>
  <c r="D939" i="10" s="1"/>
  <c r="C940" i="10"/>
  <c r="D940" i="10" s="1" a="1"/>
  <c r="D940" i="10" s="1"/>
  <c r="C941" i="10"/>
  <c r="E941" i="10" s="1" a="1"/>
  <c r="E941" i="10" s="1"/>
  <c r="C942" i="10"/>
  <c r="E942" i="10" s="1" a="1"/>
  <c r="E942" i="10" s="1"/>
  <c r="C943" i="10"/>
  <c r="E943" i="10" s="1" a="1"/>
  <c r="E943" i="10" s="1"/>
  <c r="C944" i="10"/>
  <c r="E944" i="10" s="1" a="1"/>
  <c r="E944" i="10" s="1"/>
  <c r="C945" i="10"/>
  <c r="E945" i="10" s="1" a="1"/>
  <c r="E945" i="10" s="1"/>
  <c r="C946" i="10"/>
  <c r="E946" i="10" s="1" a="1"/>
  <c r="E946" i="10" s="1"/>
  <c r="C947" i="10"/>
  <c r="D947" i="10" s="1" a="1"/>
  <c r="D947" i="10" s="1"/>
  <c r="C948" i="10"/>
  <c r="D948" i="10" s="1" a="1"/>
  <c r="D948" i="10" s="1"/>
  <c r="C949" i="10"/>
  <c r="D949" i="10" s="1" a="1"/>
  <c r="D949" i="10" s="1"/>
  <c r="C950" i="10"/>
  <c r="D950" i="10" s="1" a="1"/>
  <c r="D950" i="10" s="1"/>
  <c r="C951" i="10"/>
  <c r="D951" i="10" s="1" a="1"/>
  <c r="D951" i="10" s="1"/>
  <c r="C952" i="10"/>
  <c r="D952" i="10" s="1" a="1"/>
  <c r="D952" i="10" s="1"/>
  <c r="C953" i="10"/>
  <c r="D953" i="10" s="1" a="1"/>
  <c r="D953" i="10" s="1"/>
  <c r="C954" i="10"/>
  <c r="D954" i="10" s="1" a="1"/>
  <c r="D954" i="10" s="1"/>
  <c r="C955" i="10"/>
  <c r="D955" i="10" s="1" a="1"/>
  <c r="D955" i="10" s="1"/>
  <c r="C956" i="10"/>
  <c r="D956" i="10" s="1" a="1"/>
  <c r="D956" i="10" s="1"/>
  <c r="C957" i="10"/>
  <c r="E957" i="10" s="1" a="1"/>
  <c r="E957" i="10" s="1"/>
  <c r="C958" i="10"/>
  <c r="E958" i="10" s="1" a="1"/>
  <c r="E958" i="10" s="1"/>
  <c r="C959" i="10"/>
  <c r="D959" i="10" s="1" a="1"/>
  <c r="D959" i="10" s="1"/>
  <c r="C960" i="10"/>
  <c r="E960" i="10" s="1" a="1"/>
  <c r="E960" i="10" s="1"/>
  <c r="C961" i="10"/>
  <c r="E961" i="10" s="1" a="1"/>
  <c r="E961" i="10" s="1"/>
  <c r="C962" i="10"/>
  <c r="D962" i="10" s="1" a="1"/>
  <c r="D962" i="10" s="1"/>
  <c r="C963" i="10"/>
  <c r="E963" i="10" s="1" a="1"/>
  <c r="E963" i="10" s="1"/>
  <c r="C964" i="10"/>
  <c r="D964" i="10" s="1" a="1"/>
  <c r="D964" i="10" s="1"/>
  <c r="C965" i="10"/>
  <c r="D965" i="10" s="1" a="1"/>
  <c r="D965" i="10" s="1"/>
  <c r="C966" i="10"/>
  <c r="D966" i="10" s="1" a="1"/>
  <c r="D966" i="10" s="1"/>
  <c r="C967" i="10"/>
  <c r="D967" i="10" s="1" a="1"/>
  <c r="D967" i="10" s="1"/>
  <c r="C968" i="10"/>
  <c r="D968" i="10" s="1" a="1"/>
  <c r="D968" i="10" s="1"/>
  <c r="C969" i="10"/>
  <c r="D969" i="10" s="1" a="1"/>
  <c r="D969" i="10" s="1"/>
  <c r="C970" i="10"/>
  <c r="D970" i="10" s="1" a="1"/>
  <c r="D970" i="10" s="1"/>
  <c r="C971" i="10"/>
  <c r="D971" i="10" s="1" a="1"/>
  <c r="D971" i="10" s="1"/>
  <c r="C972" i="10"/>
  <c r="D972" i="10" s="1" a="1"/>
  <c r="D972" i="10" s="1"/>
  <c r="C973" i="10"/>
  <c r="D973" i="10" s="1" a="1"/>
  <c r="D973" i="10" s="1"/>
  <c r="C974" i="10"/>
  <c r="D974" i="10" s="1" a="1"/>
  <c r="D974" i="10" s="1"/>
  <c r="C975" i="10"/>
  <c r="D975" i="10" s="1" a="1"/>
  <c r="D975" i="10" s="1"/>
  <c r="C976" i="10"/>
  <c r="E976" i="10" s="1" a="1"/>
  <c r="E976" i="10" s="1"/>
  <c r="C977" i="10"/>
  <c r="E977" i="10" s="1" a="1"/>
  <c r="E977" i="10" s="1"/>
  <c r="C978" i="10"/>
  <c r="E978" i="10" s="1" a="1"/>
  <c r="E978" i="10" s="1"/>
  <c r="C979" i="10"/>
  <c r="E979" i="10" s="1" a="1"/>
  <c r="E979" i="10" s="1"/>
  <c r="C980" i="10"/>
  <c r="D980" i="10" s="1" a="1"/>
  <c r="D980" i="10" s="1"/>
  <c r="C981" i="10"/>
  <c r="D981" i="10" s="1" a="1"/>
  <c r="D981" i="10" s="1"/>
  <c r="C982" i="10"/>
  <c r="D982" i="10" s="1" a="1"/>
  <c r="D982" i="10" s="1"/>
  <c r="C983" i="10"/>
  <c r="D983" i="10" s="1" a="1"/>
  <c r="D983" i="10" s="1"/>
  <c r="C984" i="10"/>
  <c r="D984" i="10" s="1" a="1"/>
  <c r="D984" i="10" s="1"/>
  <c r="C985" i="10"/>
  <c r="D985" i="10" s="1" a="1"/>
  <c r="D985" i="10" s="1"/>
  <c r="C986" i="10"/>
  <c r="E986" i="10" s="1" a="1"/>
  <c r="E986" i="10" s="1"/>
  <c r="C987" i="10"/>
  <c r="D987" i="10" s="1" a="1"/>
  <c r="D987" i="10" s="1"/>
  <c r="C988" i="10"/>
  <c r="D988" i="10" s="1" a="1"/>
  <c r="D988" i="10" s="1"/>
  <c r="C989" i="10"/>
  <c r="D989" i="10" s="1" a="1"/>
  <c r="D989" i="10" s="1"/>
  <c r="C990" i="10"/>
  <c r="E990" i="10" s="1" a="1"/>
  <c r="E990" i="10" s="1"/>
  <c r="C991" i="10"/>
  <c r="D991" i="10" s="1" a="1"/>
  <c r="D991" i="10" s="1"/>
  <c r="C992" i="10"/>
  <c r="D992" i="10" s="1" a="1"/>
  <c r="D992" i="10" s="1"/>
  <c r="C993" i="10"/>
  <c r="D993" i="10" s="1" a="1"/>
  <c r="D993" i="10" s="1"/>
  <c r="C994" i="10"/>
  <c r="D994" i="10" s="1" a="1"/>
  <c r="D994" i="10" s="1"/>
  <c r="C995" i="10"/>
  <c r="D995" i="10" s="1" a="1"/>
  <c r="D995" i="10" s="1"/>
  <c r="C996" i="10"/>
  <c r="D996" i="10" s="1" a="1"/>
  <c r="D996" i="10" s="1"/>
  <c r="C997" i="10"/>
  <c r="E997" i="10" s="1" a="1"/>
  <c r="E997" i="10" s="1"/>
  <c r="C998" i="10"/>
  <c r="E998" i="10" s="1" a="1"/>
  <c r="E998" i="10" s="1"/>
  <c r="C999" i="10"/>
  <c r="D999" i="10" s="1" a="1"/>
  <c r="D999" i="10" s="1"/>
  <c r="C1000" i="10"/>
  <c r="D1000" i="10" s="1" a="1"/>
  <c r="D1000" i="10" s="1"/>
  <c r="C1001" i="10"/>
  <c r="D1001" i="10" s="1" a="1"/>
  <c r="D1001" i="10" s="1"/>
  <c r="C1002" i="10"/>
  <c r="D1002" i="10" s="1" a="1"/>
  <c r="D1002" i="10" s="1"/>
  <c r="C1003" i="10"/>
  <c r="D1003" i="10" s="1" a="1"/>
  <c r="D1003" i="10" s="1"/>
  <c r="C1004" i="10"/>
  <c r="D1004" i="10" s="1" a="1"/>
  <c r="D1004" i="10" s="1"/>
  <c r="C1005" i="10"/>
  <c r="D1005" i="10" s="1" a="1"/>
  <c r="D1005" i="10" s="1"/>
  <c r="C1006" i="10"/>
  <c r="D1006" i="10" s="1" a="1"/>
  <c r="D1006" i="10" s="1"/>
  <c r="C1007" i="10"/>
  <c r="D1007" i="10" s="1" a="1"/>
  <c r="D1007" i="10" s="1"/>
  <c r="C1008" i="10"/>
  <c r="D1008" i="10" s="1" a="1"/>
  <c r="D1008" i="10" s="1"/>
  <c r="C1009" i="10"/>
  <c r="D1009" i="10" s="1" a="1"/>
  <c r="D1009" i="10" s="1"/>
  <c r="C1010" i="10"/>
  <c r="E1010" i="10" s="1" a="1"/>
  <c r="E1010" i="10" s="1"/>
  <c r="C1011" i="10"/>
  <c r="D1011" i="10" s="1" a="1"/>
  <c r="D1011" i="10" s="1"/>
  <c r="C1012" i="10"/>
  <c r="D1012" i="10" s="1" a="1"/>
  <c r="D1012" i="10" s="1"/>
  <c r="C1013" i="10"/>
  <c r="E1013" i="10" s="1" a="1"/>
  <c r="E1013" i="10" s="1"/>
  <c r="C1014" i="10"/>
  <c r="D1014" i="10" s="1" a="1"/>
  <c r="D1014" i="10" s="1"/>
  <c r="C1015" i="10"/>
  <c r="E1015" i="10" s="1" a="1"/>
  <c r="E1015" i="10" s="1"/>
  <c r="C1016" i="10"/>
  <c r="D1016" i="10" s="1" a="1"/>
  <c r="D1016" i="10" s="1"/>
  <c r="C1017" i="10"/>
  <c r="D1017" i="10" s="1" a="1"/>
  <c r="D1017" i="10" s="1"/>
  <c r="C1018" i="10"/>
  <c r="D1018" i="10" s="1" a="1"/>
  <c r="D1018" i="10" s="1"/>
  <c r="C1019" i="10"/>
  <c r="D1019" i="10" s="1" a="1"/>
  <c r="D1019" i="10" s="1"/>
  <c r="C1020" i="10"/>
  <c r="D1020" i="10" s="1" a="1"/>
  <c r="D1020" i="10" s="1"/>
  <c r="C1021" i="10"/>
  <c r="D1021" i="10" s="1" a="1"/>
  <c r="D1021" i="10" s="1"/>
  <c r="C1022" i="10"/>
  <c r="D1022" i="10" s="1" a="1"/>
  <c r="D1022" i="10" s="1"/>
  <c r="C1023" i="10"/>
  <c r="D1023" i="10" s="1" a="1"/>
  <c r="D1023" i="10" s="1"/>
  <c r="C1024" i="10"/>
  <c r="E1024" i="10" s="1" a="1"/>
  <c r="E1024" i="10" s="1"/>
  <c r="C1025" i="10"/>
  <c r="D1025" i="10" s="1" a="1"/>
  <c r="D1025" i="10" s="1"/>
  <c r="C1026" i="10"/>
  <c r="D1026" i="10" s="1" a="1"/>
  <c r="D1026" i="10" s="1"/>
  <c r="C1027" i="10"/>
  <c r="D1027" i="10" s="1" a="1"/>
  <c r="D1027" i="10" s="1"/>
  <c r="C1028" i="10"/>
  <c r="E1028" i="10" s="1" a="1"/>
  <c r="E1028" i="10" s="1"/>
  <c r="C1029" i="10"/>
  <c r="D1029" i="10" s="1" a="1"/>
  <c r="D1029" i="10" s="1"/>
  <c r="C1030" i="10"/>
  <c r="D1030" i="10" s="1" a="1"/>
  <c r="D1030" i="10" s="1"/>
  <c r="C1031" i="10"/>
  <c r="E1031" i="10" s="1" a="1"/>
  <c r="E1031" i="10" s="1"/>
  <c r="C1032" i="10"/>
  <c r="D1032" i="10" s="1" a="1"/>
  <c r="D1032" i="10" s="1"/>
  <c r="C1033" i="10"/>
  <c r="D1033" i="10" s="1" a="1"/>
  <c r="D1033" i="10" s="1"/>
  <c r="C1034" i="10"/>
  <c r="E1034" i="10" s="1" a="1"/>
  <c r="E1034" i="10" s="1"/>
  <c r="C1035" i="10"/>
  <c r="D1035" i="10" s="1" a="1"/>
  <c r="D1035" i="10" s="1"/>
  <c r="C1036" i="10"/>
  <c r="D1036" i="10" s="1" a="1"/>
  <c r="D1036" i="10" s="1"/>
  <c r="C1037" i="10"/>
  <c r="E1037" i="10" s="1" a="1"/>
  <c r="E1037" i="10" s="1"/>
  <c r="C1038" i="10"/>
  <c r="D1038" i="10" s="1" a="1"/>
  <c r="D1038" i="10" s="1"/>
  <c r="C1039" i="10"/>
  <c r="D1039" i="10" s="1" a="1"/>
  <c r="D1039" i="10" s="1"/>
  <c r="C1040" i="10"/>
  <c r="E1040" i="10" s="1" a="1"/>
  <c r="E1040" i="10" s="1"/>
  <c r="C1041" i="10"/>
  <c r="D1041" i="10" s="1" a="1"/>
  <c r="D1041" i="10" s="1"/>
  <c r="C1042" i="10"/>
  <c r="E1042" i="10" s="1" a="1"/>
  <c r="E1042" i="10" s="1"/>
  <c r="C1043" i="10"/>
  <c r="E1043" i="10" s="1" a="1"/>
  <c r="E1043" i="10" s="1"/>
  <c r="C1044" i="10"/>
  <c r="E1044" i="10" s="1" a="1"/>
  <c r="E1044" i="10" s="1"/>
  <c r="C1045" i="10"/>
  <c r="D1045" i="10" s="1" a="1"/>
  <c r="D1045" i="10" s="1"/>
  <c r="C1046" i="10"/>
  <c r="D1046" i="10" s="1" a="1"/>
  <c r="D1046" i="10" s="1"/>
  <c r="C1047" i="10"/>
  <c r="E1047" i="10" s="1" a="1"/>
  <c r="E1047" i="10" s="1"/>
  <c r="C1048" i="10"/>
  <c r="D1048" i="10" s="1" a="1"/>
  <c r="D1048" i="10" s="1"/>
  <c r="C1049" i="10"/>
  <c r="D1049" i="10" s="1" a="1"/>
  <c r="D1049" i="10" s="1"/>
  <c r="C1050" i="10"/>
  <c r="D1050" i="10" s="1" a="1"/>
  <c r="D1050" i="10" s="1"/>
  <c r="C1051" i="10"/>
  <c r="D1051" i="10" s="1" a="1"/>
  <c r="D1051" i="10" s="1"/>
  <c r="C1052" i="10"/>
  <c r="E1052" i="10" s="1" a="1"/>
  <c r="E1052" i="10" s="1"/>
  <c r="C1053" i="10"/>
  <c r="D1053" i="10" s="1" a="1"/>
  <c r="D1053" i="10" s="1"/>
  <c r="C1054" i="10"/>
  <c r="D1054" i="10" s="1" a="1"/>
  <c r="D1054" i="10" s="1"/>
  <c r="C1055" i="10"/>
  <c r="D1055" i="10" s="1" a="1"/>
  <c r="D1055" i="10" s="1"/>
  <c r="C1056" i="10"/>
  <c r="E1056" i="10" s="1" a="1"/>
  <c r="E1056" i="10" s="1"/>
  <c r="C1057" i="10"/>
  <c r="E1057" i="10" s="1" a="1"/>
  <c r="E1057" i="10" s="1"/>
  <c r="C1058" i="10"/>
  <c r="D1058" i="10" s="1" a="1"/>
  <c r="D1058" i="10" s="1"/>
  <c r="C1059" i="10"/>
  <c r="E1059" i="10" s="1" a="1"/>
  <c r="E1059" i="10" s="1"/>
  <c r="C1060" i="10"/>
  <c r="E1060" i="10" s="1" a="1"/>
  <c r="E1060" i="10" s="1"/>
  <c r="C1061" i="10"/>
  <c r="E1061" i="10" s="1" a="1"/>
  <c r="E1061" i="10" s="1"/>
  <c r="C1062" i="10"/>
  <c r="D1062" i="10" s="1" a="1"/>
  <c r="D1062" i="10" s="1"/>
  <c r="C1063" i="10"/>
  <c r="D1063" i="10" s="1" a="1"/>
  <c r="D1063" i="10" s="1"/>
  <c r="C1064" i="10"/>
  <c r="D1064" i="10" s="1" a="1"/>
  <c r="D1064" i="10" s="1"/>
  <c r="C1065" i="10"/>
  <c r="D1065" i="10" s="1" a="1"/>
  <c r="D1065" i="10" s="1"/>
  <c r="C1066" i="10"/>
  <c r="D1066" i="10" s="1" a="1"/>
  <c r="D1066" i="10" s="1"/>
  <c r="C1067" i="10"/>
  <c r="D1067" i="10" s="1" a="1"/>
  <c r="D1067" i="10" s="1"/>
  <c r="C1068" i="10"/>
  <c r="D1068" i="10" s="1" a="1"/>
  <c r="D1068" i="10" s="1"/>
  <c r="C1069" i="10"/>
  <c r="E1069" i="10" s="1" a="1"/>
  <c r="E1069" i="10" s="1"/>
  <c r="C1070" i="10"/>
  <c r="E1070" i="10" s="1" a="1"/>
  <c r="E1070" i="10" s="1"/>
  <c r="C1071" i="10"/>
  <c r="D1071" i="10" s="1" a="1"/>
  <c r="D1071" i="10" s="1"/>
  <c r="C1072" i="10"/>
  <c r="D1072" i="10" s="1" a="1"/>
  <c r="D1072" i="10" s="1"/>
  <c r="C1073" i="10"/>
  <c r="D1073" i="10" s="1" a="1"/>
  <c r="D1073" i="10" s="1"/>
  <c r="C1074" i="10"/>
  <c r="E1074" i="10" s="1" a="1"/>
  <c r="E1074" i="10" s="1"/>
  <c r="C1075" i="10"/>
  <c r="D1075" i="10" s="1" a="1"/>
  <c r="D1075" i="10" s="1"/>
  <c r="C1076" i="10"/>
  <c r="D1076" i="10" s="1" a="1"/>
  <c r="D1076" i="10" s="1"/>
  <c r="C1077" i="10"/>
  <c r="D1077" i="10" s="1" a="1"/>
  <c r="D1077" i="10" s="1"/>
  <c r="C1078" i="10"/>
  <c r="D1078" i="10" s="1" a="1"/>
  <c r="D1078" i="10" s="1"/>
  <c r="C1079" i="10"/>
  <c r="E1079" i="10" s="1" a="1"/>
  <c r="E1079" i="10" s="1"/>
  <c r="C1080" i="10"/>
  <c r="E1080" i="10" s="1" a="1"/>
  <c r="E1080" i="10" s="1"/>
  <c r="C1081" i="10"/>
  <c r="D1081" i="10" s="1" a="1"/>
  <c r="D1081" i="10" s="1"/>
  <c r="C1082" i="10"/>
  <c r="D1082" i="10" s="1" a="1"/>
  <c r="D1082" i="10" s="1"/>
  <c r="C1083" i="10"/>
  <c r="E1083" i="10" s="1" a="1"/>
  <c r="E1083" i="10" s="1"/>
  <c r="C1084" i="10"/>
  <c r="E1084" i="10" s="1" a="1"/>
  <c r="E1084" i="10" s="1"/>
  <c r="C1085" i="10"/>
  <c r="D1085" i="10" s="1" a="1"/>
  <c r="D1085" i="10" s="1"/>
  <c r="C1086" i="10"/>
  <c r="E1086" i="10" s="1" a="1"/>
  <c r="E1086" i="10" s="1"/>
  <c r="C1087" i="10"/>
  <c r="D1087" i="10" s="1" a="1"/>
  <c r="D1087" i="10" s="1"/>
  <c r="C1088" i="10"/>
  <c r="D1088" i="10" s="1" a="1"/>
  <c r="D1088" i="10" s="1"/>
  <c r="Y7" i="11"/>
  <c r="AA7" i="11" s="1" a="1"/>
  <c r="AA7" i="11" s="1"/>
  <c r="Y8" i="11"/>
  <c r="AA8" i="11" s="1" a="1"/>
  <c r="AA8" i="11" s="1"/>
  <c r="Y9" i="11"/>
  <c r="Z9" i="11" s="1" a="1"/>
  <c r="Z9" i="11" s="1"/>
  <c r="Y10" i="11"/>
  <c r="Z10" i="11" s="1" a="1"/>
  <c r="Z10" i="11" s="1"/>
  <c r="Y11" i="11"/>
  <c r="Z11" i="11" s="1" a="1"/>
  <c r="Z11" i="11" s="1"/>
  <c r="Y12" i="11"/>
  <c r="AA12" i="11" s="1" a="1"/>
  <c r="AA12" i="11" s="1"/>
  <c r="Y13" i="11"/>
  <c r="AA13" i="11" s="1" a="1"/>
  <c r="AA13" i="11" s="1"/>
  <c r="Y14" i="11"/>
  <c r="Z14" i="11" s="1" a="1"/>
  <c r="Z14" i="11" s="1"/>
  <c r="Y15" i="11"/>
  <c r="Z15" i="11" s="1" a="1"/>
  <c r="Z15" i="11" s="1"/>
  <c r="Y16" i="11"/>
  <c r="Z16" i="11" s="1" a="1"/>
  <c r="Z16" i="11" s="1"/>
  <c r="Y17" i="11"/>
  <c r="Z17" i="11" s="1" a="1"/>
  <c r="Z17" i="11" s="1"/>
  <c r="Y18" i="11"/>
  <c r="Z18" i="11" s="1" a="1"/>
  <c r="Z18" i="11" s="1"/>
  <c r="Y21" i="11"/>
  <c r="Z21" i="11" s="1" a="1"/>
  <c r="Z21" i="11" s="1"/>
  <c r="Y22" i="11"/>
  <c r="AA22" i="11" s="1" a="1"/>
  <c r="AA22" i="11" s="1"/>
  <c r="Y23" i="11"/>
  <c r="AA23" i="11" s="1" a="1"/>
  <c r="AA23" i="11" s="1"/>
  <c r="Y24" i="11"/>
  <c r="AA24" i="11" s="1" a="1"/>
  <c r="AA24" i="11" s="1"/>
  <c r="Y25" i="11"/>
  <c r="Z25" i="11" s="1" a="1"/>
  <c r="Z25" i="11" s="1"/>
  <c r="Y26" i="11"/>
  <c r="Z26" i="11" s="1" a="1"/>
  <c r="Z26" i="11" s="1"/>
  <c r="Y27" i="11"/>
  <c r="Z27" i="11" s="1" a="1"/>
  <c r="Z27" i="11" s="1"/>
  <c r="Y28" i="11"/>
  <c r="Z28" i="11" s="1" a="1"/>
  <c r="Z28" i="11" s="1"/>
  <c r="Y29" i="11"/>
  <c r="AA29" i="11" s="1" a="1"/>
  <c r="AA29" i="11" s="1"/>
  <c r="Y30" i="11"/>
  <c r="Z30" i="11" s="1" a="1"/>
  <c r="Z30" i="11" s="1"/>
  <c r="Y31" i="11"/>
  <c r="Z31" i="11" s="1" a="1"/>
  <c r="Z31" i="11" s="1"/>
  <c r="Y32" i="11"/>
  <c r="Z32" i="11" s="1" a="1"/>
  <c r="Z32" i="11" s="1"/>
  <c r="Y43" i="11"/>
  <c r="Z43" i="11" s="1" a="1"/>
  <c r="Z43" i="11" s="1"/>
  <c r="Y44" i="11"/>
  <c r="Z44" i="11" s="1" a="1"/>
  <c r="Z44" i="11" s="1"/>
  <c r="Y45" i="11"/>
  <c r="AA45" i="11" s="1" a="1"/>
  <c r="AA45" i="11" s="1"/>
  <c r="Y46" i="11"/>
  <c r="AA46" i="11" s="1" a="1"/>
  <c r="AA46" i="11" s="1"/>
  <c r="Y47" i="11"/>
  <c r="AA47" i="11" s="1" a="1"/>
  <c r="AA47" i="11" s="1"/>
  <c r="Y48" i="11"/>
  <c r="AA48" i="11" s="1" a="1"/>
  <c r="AA48" i="11" s="1"/>
  <c r="Y49" i="11"/>
  <c r="AA49" i="11" s="1" a="1"/>
  <c r="AA49" i="11" s="1"/>
  <c r="Y50" i="11"/>
  <c r="Z50" i="11" s="1" a="1"/>
  <c r="Z50" i="11" s="1"/>
  <c r="Y51" i="11"/>
  <c r="Z51" i="11" s="1" a="1"/>
  <c r="Z51" i="11" s="1"/>
  <c r="Y52" i="11"/>
  <c r="Z52" i="11" s="1" a="1"/>
  <c r="Z52" i="11" s="1"/>
  <c r="Y53" i="11"/>
  <c r="Z53" i="11" s="1" a="1"/>
  <c r="Z53" i="11" s="1"/>
  <c r="Y54" i="11"/>
  <c r="Z54" i="11" s="1" a="1"/>
  <c r="Z54" i="11" s="1"/>
  <c r="Y55" i="11"/>
  <c r="Z55" i="11" s="1" a="1"/>
  <c r="Z55" i="11" s="1"/>
  <c r="Y56" i="11"/>
  <c r="AA56" i="11" s="1" a="1"/>
  <c r="AA56" i="11" s="1"/>
  <c r="Y57" i="11"/>
  <c r="AA57" i="11" s="1" a="1"/>
  <c r="AA57" i="11" s="1"/>
  <c r="Y58" i="11"/>
  <c r="Z58" i="11" s="1" a="1"/>
  <c r="Z58" i="11" s="1"/>
  <c r="Y59" i="11"/>
  <c r="Z59" i="11" s="1" a="1"/>
  <c r="Z59" i="11" s="1"/>
  <c r="Y60" i="11"/>
  <c r="AA60" i="11" s="1" a="1"/>
  <c r="AA60" i="11" s="1"/>
  <c r="Y61" i="11"/>
  <c r="AA61" i="11" s="1" a="1"/>
  <c r="AA61" i="11" s="1"/>
  <c r="Y62" i="11"/>
  <c r="AA62" i="11" s="1" a="1"/>
  <c r="AA62" i="11" s="1"/>
  <c r="Y63" i="11"/>
  <c r="AA63" i="11" s="1" a="1"/>
  <c r="AA63" i="11" s="1"/>
  <c r="Y64" i="11"/>
  <c r="Z64" i="11" s="1" a="1"/>
  <c r="Z64" i="11" s="1"/>
  <c r="Y65" i="11"/>
  <c r="Z65" i="11" s="1" a="1"/>
  <c r="Z65" i="11" s="1"/>
  <c r="Y66" i="11"/>
  <c r="Z66" i="11" s="1" a="1"/>
  <c r="Z66" i="11" s="1"/>
  <c r="Y67" i="11"/>
  <c r="Z67" i="11" s="1" a="1"/>
  <c r="Z67" i="11" s="1"/>
  <c r="Y68" i="11"/>
  <c r="Z68" i="11" s="1" a="1"/>
  <c r="Z68" i="11" s="1"/>
  <c r="Y69" i="11"/>
  <c r="Z69" i="11" s="1" a="1"/>
  <c r="Z69" i="11" s="1"/>
  <c r="Y70" i="11"/>
  <c r="Z70" i="11" s="1" a="1"/>
  <c r="Z70" i="11" s="1"/>
  <c r="Y71" i="11"/>
  <c r="AA71" i="11" s="1" a="1"/>
  <c r="AA71" i="11" s="1"/>
  <c r="Y72" i="11"/>
  <c r="Z72" i="11" s="1" a="1"/>
  <c r="Z72" i="11" s="1"/>
  <c r="Y79" i="11"/>
  <c r="AA79" i="11" s="1" a="1"/>
  <c r="AA79" i="11" s="1"/>
  <c r="Y80" i="11"/>
  <c r="Z80" i="11" s="1" a="1"/>
  <c r="Z80" i="11" s="1"/>
  <c r="Y81" i="11"/>
  <c r="Z81" i="11" s="1" a="1"/>
  <c r="Z81" i="11" s="1"/>
  <c r="Y82" i="11"/>
  <c r="AA82" i="11" s="1" a="1"/>
  <c r="AA82" i="11" s="1"/>
  <c r="Y83" i="11"/>
  <c r="AA83" i="11" s="1" a="1"/>
  <c r="AA83" i="11" s="1"/>
  <c r="Y84" i="11"/>
  <c r="Z84" i="11" s="1" a="1"/>
  <c r="Z84" i="11" s="1"/>
  <c r="Y98" i="11"/>
  <c r="Z98" i="11" s="1" a="1"/>
  <c r="Z98" i="11" s="1"/>
  <c r="Y115" i="11"/>
  <c r="Z115" i="11" s="1" a="1"/>
  <c r="Z115" i="11" s="1"/>
  <c r="Y146" i="11"/>
  <c r="Z146" i="11" s="1" a="1"/>
  <c r="Z146" i="11" s="1"/>
  <c r="Y158" i="11"/>
  <c r="Z158" i="11" s="1" a="1"/>
  <c r="Z158" i="11" s="1"/>
  <c r="Y166" i="11"/>
  <c r="Z166" i="11" s="1" a="1"/>
  <c r="Z166" i="11" s="1"/>
  <c r="Y155" i="11"/>
  <c r="Z155" i="11" s="1" a="1"/>
  <c r="Z155" i="11" s="1"/>
  <c r="Y162" i="11"/>
  <c r="Z162" i="11" s="1" a="1"/>
  <c r="Z162" i="11" s="1"/>
  <c r="Y168" i="11"/>
  <c r="Z168" i="11" s="1" a="1"/>
  <c r="Z168" i="11" s="1"/>
  <c r="Y170" i="11"/>
  <c r="Z170" i="11" s="1" a="1"/>
  <c r="Z170" i="11" s="1"/>
  <c r="Y172" i="11"/>
  <c r="Z172" i="11" s="1" a="1"/>
  <c r="Z172" i="11" s="1"/>
  <c r="Y174" i="11"/>
  <c r="Z174" i="11" s="1" a="1"/>
  <c r="Z174" i="11" s="1"/>
  <c r="Y176" i="11"/>
  <c r="AA176" i="11" s="1" a="1"/>
  <c r="AA176" i="11" s="1"/>
  <c r="Y178" i="11"/>
  <c r="AA178" i="11" s="1" a="1"/>
  <c r="AA178" i="11" s="1"/>
  <c r="Y97" i="11"/>
  <c r="Z97" i="11" s="1" a="1"/>
  <c r="Z97" i="11" s="1"/>
  <c r="Y113" i="11"/>
  <c r="Z113" i="11" s="1" a="1"/>
  <c r="Z113" i="11" s="1"/>
  <c r="Y145" i="11"/>
  <c r="Z145" i="11" s="1" a="1"/>
  <c r="Z145" i="11" s="1"/>
  <c r="Y153" i="11"/>
  <c r="Z153" i="11" s="1" a="1"/>
  <c r="Z153" i="11" s="1"/>
  <c r="Y157" i="11"/>
  <c r="AA157" i="11" s="1" a="1"/>
  <c r="AA157" i="11" s="1"/>
  <c r="Y161" i="11"/>
  <c r="Z161" i="11" s="1" a="1"/>
  <c r="Z161" i="11" s="1"/>
  <c r="Y165" i="11"/>
  <c r="Z165" i="11" s="1" a="1"/>
  <c r="Z165" i="11" s="1"/>
  <c r="Y167" i="11"/>
  <c r="Z167" i="11" s="1" a="1"/>
  <c r="Z167" i="11" s="1"/>
  <c r="Y169" i="11"/>
  <c r="Z169" i="11" s="1" a="1"/>
  <c r="Z169" i="11" s="1"/>
  <c r="Y171" i="11"/>
  <c r="Z171" i="11" s="1" a="1"/>
  <c r="Z171" i="11" s="1"/>
  <c r="Y173" i="11"/>
  <c r="Z173" i="11" s="1" a="1"/>
  <c r="Z173" i="11" s="1"/>
  <c r="Y175" i="11"/>
  <c r="Z175" i="11" s="1" a="1"/>
  <c r="Z175" i="11" s="1"/>
  <c r="Y177" i="11"/>
  <c r="Z177" i="11" s="1" a="1"/>
  <c r="Z177" i="11" s="1"/>
  <c r="Y20" i="11"/>
  <c r="AA20" i="11" s="1" a="1"/>
  <c r="AA20" i="11" s="1"/>
  <c r="Y19" i="11"/>
  <c r="AA19" i="11" s="1" a="1"/>
  <c r="AA19" i="11" s="1"/>
  <c r="Y34" i="11"/>
  <c r="Z34" i="11" s="1" a="1"/>
  <c r="Z34" i="11" s="1"/>
  <c r="Y33" i="11"/>
  <c r="Z33" i="11" s="1" a="1"/>
  <c r="Z33" i="11" s="1"/>
  <c r="Y36" i="11"/>
  <c r="AA36" i="11" s="1" a="1"/>
  <c r="AA36" i="11" s="1"/>
  <c r="Y35" i="11"/>
  <c r="AA35" i="11" s="1" a="1"/>
  <c r="AA35" i="11" s="1"/>
  <c r="Y38" i="11"/>
  <c r="Z38" i="11" s="1" a="1"/>
  <c r="Z38" i="11" s="1"/>
  <c r="Y37" i="11"/>
  <c r="Z37" i="11" s="1" a="1"/>
  <c r="Z37" i="11" s="1"/>
  <c r="Y40" i="11"/>
  <c r="Z40" i="11" s="1" a="1"/>
  <c r="Z40" i="11" s="1"/>
  <c r="Y39" i="11"/>
  <c r="Z39" i="11" s="1" a="1"/>
  <c r="Z39" i="11" s="1"/>
  <c r="Y42" i="11"/>
  <c r="Z42" i="11" s="1" a="1"/>
  <c r="Z42" i="11" s="1"/>
  <c r="Y41" i="11"/>
  <c r="Z41" i="11" s="1" a="1"/>
  <c r="Z41" i="11" s="1"/>
  <c r="X7" i="11"/>
  <c r="X8" i="11"/>
  <c r="X9" i="11"/>
  <c r="X10" i="11"/>
  <c r="X11" i="11"/>
  <c r="X12" i="11"/>
  <c r="X13" i="11"/>
  <c r="X14" i="11"/>
  <c r="X15" i="11"/>
  <c r="X16" i="11"/>
  <c r="X17" i="11"/>
  <c r="X18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9" i="11"/>
  <c r="X80" i="11"/>
  <c r="X81" i="11"/>
  <c r="X82" i="11"/>
  <c r="X83" i="11"/>
  <c r="X84" i="11"/>
  <c r="X98" i="11"/>
  <c r="X115" i="11"/>
  <c r="X146" i="11"/>
  <c r="X158" i="11"/>
  <c r="X166" i="11"/>
  <c r="X155" i="11"/>
  <c r="X162" i="11"/>
  <c r="X168" i="11"/>
  <c r="X170" i="11"/>
  <c r="X172" i="11"/>
  <c r="X174" i="11"/>
  <c r="X176" i="11"/>
  <c r="X178" i="11"/>
  <c r="X97" i="11"/>
  <c r="X113" i="11"/>
  <c r="X145" i="11"/>
  <c r="X153" i="11"/>
  <c r="X157" i="11"/>
  <c r="X161" i="11"/>
  <c r="X165" i="11"/>
  <c r="X167" i="11"/>
  <c r="X169" i="11"/>
  <c r="X171" i="11"/>
  <c r="X173" i="11"/>
  <c r="X175" i="11"/>
  <c r="X177" i="11"/>
  <c r="X20" i="11"/>
  <c r="X19" i="11"/>
  <c r="X34" i="11"/>
  <c r="X33" i="11"/>
  <c r="X36" i="11"/>
  <c r="X35" i="11"/>
  <c r="X38" i="11"/>
  <c r="X37" i="11"/>
  <c r="X40" i="11"/>
  <c r="X39" i="11"/>
  <c r="X42" i="11"/>
  <c r="X41" i="11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C672" i="10"/>
  <c r="D672" i="10" s="1" a="1"/>
  <c r="D672" i="10" s="1"/>
  <c r="C673" i="10"/>
  <c r="D673" i="10" s="1" a="1"/>
  <c r="D673" i="10" s="1"/>
  <c r="C674" i="10"/>
  <c r="E674" i="10" s="1" a="1"/>
  <c r="E674" i="10" s="1"/>
  <c r="C675" i="10"/>
  <c r="E675" i="10" s="1" a="1"/>
  <c r="E675" i="10" s="1"/>
  <c r="C676" i="10"/>
  <c r="E676" i="10" s="1" a="1"/>
  <c r="E676" i="10" s="1"/>
  <c r="C677" i="10"/>
  <c r="D677" i="10" s="1" a="1"/>
  <c r="D677" i="10" s="1"/>
  <c r="C678" i="10"/>
  <c r="D678" i="10" s="1" a="1"/>
  <c r="D678" i="10" s="1"/>
  <c r="C679" i="10"/>
  <c r="D679" i="10" s="1" a="1"/>
  <c r="D679" i="10" s="1"/>
  <c r="C680" i="10"/>
  <c r="D680" i="10" s="1" a="1"/>
  <c r="D680" i="10" s="1"/>
  <c r="C681" i="10"/>
  <c r="D681" i="10" s="1" a="1"/>
  <c r="D681" i="10" s="1"/>
  <c r="C682" i="10"/>
  <c r="E682" i="10" s="1" a="1"/>
  <c r="E682" i="10" s="1"/>
  <c r="C683" i="10"/>
  <c r="D683" i="10" s="1" a="1"/>
  <c r="D683" i="10" s="1"/>
  <c r="C684" i="10"/>
  <c r="E684" i="10" s="1" a="1"/>
  <c r="E684" i="10" s="1"/>
  <c r="C685" i="10"/>
  <c r="D685" i="10" s="1" a="1"/>
  <c r="D685" i="10" s="1"/>
  <c r="C686" i="10"/>
  <c r="D686" i="10" s="1" a="1"/>
  <c r="D686" i="10" s="1"/>
  <c r="C687" i="10"/>
  <c r="E687" i="10" s="1" a="1"/>
  <c r="E687" i="10" s="1"/>
  <c r="C688" i="10"/>
  <c r="D688" i="10" s="1" a="1"/>
  <c r="D688" i="10" s="1"/>
  <c r="C689" i="10"/>
  <c r="D689" i="10" s="1" a="1"/>
  <c r="D689" i="10" s="1"/>
  <c r="C690" i="10"/>
  <c r="E690" i="10" s="1" a="1"/>
  <c r="E690" i="10" s="1"/>
  <c r="C691" i="10"/>
  <c r="D691" i="10" s="1" a="1"/>
  <c r="D691" i="10" s="1"/>
  <c r="C692" i="10"/>
  <c r="E692" i="10" s="1" a="1"/>
  <c r="E692" i="10" s="1"/>
  <c r="C693" i="10"/>
  <c r="E693" i="10" s="1" a="1"/>
  <c r="E693" i="10" s="1"/>
  <c r="C694" i="10"/>
  <c r="D694" i="10" s="1" a="1"/>
  <c r="D694" i="10" s="1"/>
  <c r="C695" i="10"/>
  <c r="D695" i="10" s="1" a="1"/>
  <c r="D695" i="10" s="1"/>
  <c r="C696" i="10"/>
  <c r="D696" i="10" s="1" a="1"/>
  <c r="D696" i="10" s="1"/>
  <c r="C697" i="10"/>
  <c r="D697" i="10" s="1" a="1"/>
  <c r="D697" i="10" s="1"/>
  <c r="C698" i="10"/>
  <c r="D698" i="10" s="1" a="1"/>
  <c r="D698" i="10" s="1"/>
  <c r="C699" i="10"/>
  <c r="D699" i="10" s="1" a="1"/>
  <c r="D699" i="10" s="1"/>
  <c r="C700" i="10"/>
  <c r="E700" i="10" s="1" a="1"/>
  <c r="E700" i="10" s="1"/>
  <c r="C701" i="10"/>
  <c r="D701" i="10" s="1" a="1"/>
  <c r="D701" i="10" s="1"/>
  <c r="C702" i="10"/>
  <c r="D702" i="10" s="1" a="1"/>
  <c r="D702" i="10" s="1"/>
  <c r="C703" i="10"/>
  <c r="E703" i="10" s="1" a="1"/>
  <c r="E703" i="10" s="1"/>
  <c r="C704" i="10"/>
  <c r="D704" i="10" s="1" a="1"/>
  <c r="D704" i="10" s="1"/>
  <c r="C705" i="10"/>
  <c r="D705" i="10" s="1" a="1"/>
  <c r="D705" i="10" s="1"/>
  <c r="C706" i="10"/>
  <c r="D706" i="10" s="1" a="1"/>
  <c r="D706" i="10" s="1"/>
  <c r="C707" i="10"/>
  <c r="E707" i="10" s="1" a="1"/>
  <c r="E707" i="10" s="1"/>
  <c r="C708" i="10"/>
  <c r="E708" i="10" s="1" a="1"/>
  <c r="E708" i="10" s="1"/>
  <c r="C709" i="10"/>
  <c r="D709" i="10" s="1" a="1"/>
  <c r="D709" i="10" s="1"/>
  <c r="C710" i="10"/>
  <c r="D710" i="10" s="1" a="1"/>
  <c r="D710" i="10" s="1"/>
  <c r="C711" i="10"/>
  <c r="D711" i="10" s="1" a="1"/>
  <c r="D711" i="10" s="1"/>
  <c r="C712" i="10"/>
  <c r="D712" i="10" s="1" a="1"/>
  <c r="D712" i="10" s="1"/>
  <c r="C713" i="10"/>
  <c r="D713" i="10" s="1" a="1"/>
  <c r="D713" i="10" s="1"/>
  <c r="C714" i="10"/>
  <c r="D714" i="10" s="1" a="1"/>
  <c r="D714" i="10" s="1"/>
  <c r="C715" i="10"/>
  <c r="D715" i="10" s="1" a="1"/>
  <c r="D715" i="10" s="1"/>
  <c r="C716" i="10"/>
  <c r="E716" i="10" s="1" a="1"/>
  <c r="E716" i="10" s="1"/>
  <c r="C717" i="10"/>
  <c r="D717" i="10" s="1" a="1"/>
  <c r="D717" i="10" s="1"/>
  <c r="C718" i="10"/>
  <c r="D718" i="10" s="1" a="1"/>
  <c r="D718" i="10" s="1"/>
  <c r="C719" i="10"/>
  <c r="E719" i="10" s="1" a="1"/>
  <c r="E719" i="10" s="1"/>
  <c r="C720" i="10"/>
  <c r="D720" i="10" s="1" a="1"/>
  <c r="D720" i="10" s="1"/>
  <c r="C721" i="10"/>
  <c r="D721" i="10" s="1" a="1"/>
  <c r="D721" i="10" s="1"/>
  <c r="C722" i="10"/>
  <c r="D722" i="10" s="1" a="1"/>
  <c r="D722" i="10" s="1"/>
  <c r="C723" i="10"/>
  <c r="E723" i="10" s="1" a="1"/>
  <c r="E723" i="10" s="1"/>
  <c r="C724" i="10"/>
  <c r="E724" i="10" s="1" a="1"/>
  <c r="E724" i="10" s="1"/>
  <c r="C725" i="10"/>
  <c r="E725" i="10" s="1" a="1"/>
  <c r="E725" i="10" s="1"/>
  <c r="C726" i="10"/>
  <c r="D726" i="10" s="1" a="1"/>
  <c r="D726" i="10" s="1"/>
  <c r="C727" i="10"/>
  <c r="D727" i="10" s="1" a="1"/>
  <c r="D727" i="10" s="1"/>
  <c r="C728" i="10"/>
  <c r="D728" i="10" s="1" a="1"/>
  <c r="D728" i="10" s="1"/>
  <c r="C729" i="10"/>
  <c r="D729" i="10" s="1" a="1"/>
  <c r="D729" i="10" s="1"/>
  <c r="C730" i="10"/>
  <c r="D730" i="10" s="1" a="1"/>
  <c r="D730" i="10" s="1"/>
  <c r="C731" i="10"/>
  <c r="D731" i="10" s="1" a="1"/>
  <c r="D731" i="10" s="1"/>
  <c r="C732" i="10"/>
  <c r="D732" i="10" s="1" a="1"/>
  <c r="D732" i="10" s="1"/>
  <c r="C733" i="10"/>
  <c r="D733" i="10" s="1" a="1"/>
  <c r="D733" i="10" s="1"/>
  <c r="C734" i="10"/>
  <c r="D734" i="10" s="1" a="1"/>
  <c r="D734" i="10" s="1"/>
  <c r="C735" i="10"/>
  <c r="E735" i="10" s="1" a="1"/>
  <c r="E735" i="10" s="1"/>
  <c r="C736" i="10"/>
  <c r="D736" i="10" s="1" a="1"/>
  <c r="D736" i="10" s="1"/>
  <c r="C737" i="10"/>
  <c r="D737" i="10" s="1" a="1"/>
  <c r="D737" i="10" s="1"/>
  <c r="C738" i="10"/>
  <c r="D738" i="10" s="1" a="1"/>
  <c r="D738" i="10" s="1"/>
  <c r="C739" i="10"/>
  <c r="E739" i="10" s="1" a="1"/>
  <c r="E739" i="10" s="1"/>
  <c r="C740" i="10"/>
  <c r="E740" i="10" s="1" a="1"/>
  <c r="E740" i="10" s="1"/>
  <c r="C741" i="10"/>
  <c r="D741" i="10" s="1" a="1"/>
  <c r="D741" i="10" s="1"/>
  <c r="C742" i="10"/>
  <c r="D742" i="10" s="1" a="1"/>
  <c r="D742" i="10" s="1"/>
  <c r="C743" i="10"/>
  <c r="E743" i="10" s="1" a="1"/>
  <c r="E743" i="10" s="1"/>
  <c r="C744" i="10"/>
  <c r="D744" i="10" s="1" a="1"/>
  <c r="D744" i="10" s="1"/>
  <c r="C745" i="10"/>
  <c r="D745" i="10" s="1" a="1"/>
  <c r="D745" i="10" s="1"/>
  <c r="C746" i="10"/>
  <c r="D746" i="10" s="1" a="1"/>
  <c r="D746" i="10" s="1"/>
  <c r="AI15" i="13"/>
  <c r="AI16" i="13"/>
  <c r="AI17" i="13"/>
  <c r="AI18" i="13"/>
  <c r="AI19" i="13"/>
  <c r="AI20" i="13"/>
  <c r="AI21" i="13"/>
  <c r="AI22" i="13"/>
  <c r="AI23" i="13"/>
  <c r="AI24" i="13"/>
  <c r="AI33" i="13"/>
  <c r="AI34" i="13"/>
  <c r="AI35" i="13"/>
  <c r="AI36" i="13"/>
  <c r="AI37" i="13"/>
  <c r="AI38" i="13"/>
  <c r="AI39" i="13"/>
  <c r="AI40" i="13"/>
  <c r="AI41" i="13"/>
  <c r="AI42" i="13"/>
  <c r="AI53" i="13"/>
  <c r="AI54" i="13"/>
  <c r="AI55" i="13"/>
  <c r="AI56" i="13"/>
  <c r="AI57" i="13"/>
  <c r="AI58" i="13"/>
  <c r="AI67" i="13"/>
  <c r="AI68" i="13"/>
  <c r="AI69" i="13"/>
  <c r="AI70" i="13"/>
  <c r="AI71" i="13"/>
  <c r="AI72" i="13"/>
  <c r="AI73" i="13"/>
  <c r="AI74" i="13"/>
  <c r="AI75" i="13"/>
  <c r="AI76" i="13"/>
  <c r="AI77" i="13"/>
  <c r="AI98" i="13"/>
  <c r="AI99" i="13"/>
  <c r="AI100" i="13"/>
  <c r="AI101" i="13"/>
  <c r="X23" i="13"/>
  <c r="X10" i="13"/>
  <c r="X11" i="13"/>
  <c r="X12" i="13"/>
  <c r="X22" i="13"/>
  <c r="X31" i="13"/>
  <c r="X24" i="13"/>
  <c r="X32" i="13"/>
  <c r="X43" i="13"/>
  <c r="X33" i="13"/>
  <c r="X44" i="13"/>
  <c r="X45" i="13"/>
  <c r="X55" i="13"/>
  <c r="X56" i="13"/>
  <c r="X57" i="13"/>
  <c r="X34" i="13"/>
  <c r="X35" i="13"/>
  <c r="X67" i="13"/>
  <c r="X46" i="13"/>
  <c r="X68" i="13"/>
  <c r="X69" i="13"/>
  <c r="X47" i="13"/>
  <c r="X36" i="13"/>
  <c r="X58" i="13"/>
  <c r="X59" i="13"/>
  <c r="X48" i="13"/>
  <c r="X60" i="13"/>
  <c r="X70" i="13"/>
  <c r="X71" i="13"/>
  <c r="X72" i="13"/>
  <c r="X13" i="13"/>
  <c r="X14" i="13"/>
  <c r="X15" i="13"/>
  <c r="X25" i="13"/>
  <c r="X26" i="13"/>
  <c r="X27" i="13"/>
  <c r="X85" i="13"/>
  <c r="X100" i="13"/>
  <c r="X131" i="13"/>
  <c r="X140" i="13"/>
  <c r="X145" i="13"/>
  <c r="X8" i="13"/>
  <c r="X17" i="13"/>
  <c r="X18" i="13"/>
  <c r="X19" i="13"/>
  <c r="X29" i="13"/>
  <c r="X30" i="13"/>
  <c r="X38" i="13"/>
  <c r="X41" i="13"/>
  <c r="X42" i="13"/>
  <c r="X50" i="13"/>
  <c r="X53" i="13"/>
  <c r="X54" i="13"/>
  <c r="X7" i="13"/>
  <c r="X9" i="13"/>
  <c r="X16" i="13"/>
  <c r="X20" i="13"/>
  <c r="X21" i="13"/>
  <c r="X28" i="13"/>
  <c r="X40" i="13"/>
  <c r="X37" i="13"/>
  <c r="X39" i="13"/>
  <c r="X52" i="13"/>
  <c r="X49" i="13"/>
  <c r="X51" i="13"/>
  <c r="M10" i="13"/>
  <c r="M11" i="13"/>
  <c r="M12" i="13"/>
  <c r="M13" i="13"/>
  <c r="M20" i="13"/>
  <c r="M21" i="13"/>
  <c r="M22" i="13"/>
  <c r="M23" i="13"/>
  <c r="M28" i="13"/>
  <c r="M37" i="13"/>
  <c r="M47" i="13"/>
  <c r="M29" i="13"/>
  <c r="M38" i="13"/>
  <c r="M48" i="13"/>
  <c r="M57" i="13"/>
  <c r="M31" i="13"/>
  <c r="M39" i="13"/>
  <c r="M58" i="13"/>
  <c r="M49" i="13"/>
  <c r="M73" i="13"/>
  <c r="M32" i="13"/>
  <c r="M40" i="13"/>
  <c r="M59" i="13"/>
  <c r="M50" i="13"/>
  <c r="M60" i="13"/>
  <c r="M88" i="13"/>
  <c r="M119" i="13"/>
  <c r="M128" i="13"/>
  <c r="M133" i="13"/>
  <c r="M8" i="13"/>
  <c r="M15" i="13"/>
  <c r="M16" i="13"/>
  <c r="M18" i="13"/>
  <c r="M25" i="13"/>
  <c r="M26" i="13"/>
  <c r="M33" i="13"/>
  <c r="M35" i="13"/>
  <c r="M36" i="13"/>
  <c r="M43" i="13"/>
  <c r="M42" i="13"/>
  <c r="M45" i="13"/>
  <c r="M7" i="13"/>
  <c r="M9" i="13"/>
  <c r="M14" i="13"/>
  <c r="M19" i="13"/>
  <c r="M17" i="13"/>
  <c r="M24" i="13"/>
  <c r="M34" i="13"/>
  <c r="M27" i="13"/>
  <c r="M30" i="13"/>
  <c r="M44" i="13"/>
  <c r="M41" i="13"/>
  <c r="M46" i="13"/>
  <c r="B12" i="13"/>
  <c r="B10" i="13"/>
  <c r="B11" i="13"/>
  <c r="B13" i="13"/>
  <c r="B20" i="13"/>
  <c r="B21" i="13"/>
  <c r="B29" i="13"/>
  <c r="B30" i="13"/>
  <c r="B38" i="13"/>
  <c r="B39" i="13"/>
  <c r="B47" i="13"/>
  <c r="B48" i="13"/>
  <c r="B57" i="13"/>
  <c r="B58" i="13"/>
  <c r="B32" i="13"/>
  <c r="B33" i="13"/>
  <c r="B40" i="13"/>
  <c r="B41" i="13"/>
  <c r="B49" i="13"/>
  <c r="B50" i="13"/>
  <c r="B59" i="13"/>
  <c r="B60" i="13"/>
  <c r="B73" i="13"/>
  <c r="B22" i="13"/>
  <c r="B23" i="13"/>
  <c r="B89" i="13"/>
  <c r="B119" i="13"/>
  <c r="B128" i="13"/>
  <c r="B133" i="13"/>
  <c r="B8" i="13"/>
  <c r="B15" i="13"/>
  <c r="B16" i="13"/>
  <c r="B17" i="13"/>
  <c r="B24" i="13"/>
  <c r="B26" i="13"/>
  <c r="B27" i="13"/>
  <c r="B35" i="13"/>
  <c r="B36" i="13"/>
  <c r="B37" i="13"/>
  <c r="B45" i="13"/>
  <c r="B46" i="13"/>
  <c r="B7" i="13"/>
  <c r="B9" i="13"/>
  <c r="B14" i="13"/>
  <c r="B18" i="13"/>
  <c r="B19" i="13"/>
  <c r="B25" i="13"/>
  <c r="B31" i="13"/>
  <c r="B28" i="13"/>
  <c r="B34" i="13"/>
  <c r="B44" i="13"/>
  <c r="B42" i="13"/>
  <c r="B43" i="13"/>
  <c r="AI68" i="12"/>
  <c r="AI15" i="12"/>
  <c r="AI16" i="12"/>
  <c r="AI17" i="12"/>
  <c r="AI18" i="12"/>
  <c r="AI33" i="12"/>
  <c r="AI34" i="12"/>
  <c r="AI35" i="12"/>
  <c r="AI36" i="12"/>
  <c r="AI67" i="12"/>
  <c r="AI69" i="12"/>
  <c r="AI70" i="12"/>
  <c r="AI19" i="12"/>
  <c r="AI20" i="12"/>
  <c r="AI21" i="12"/>
  <c r="AI22" i="12"/>
  <c r="AI23" i="12"/>
  <c r="AI37" i="12"/>
  <c r="AI38" i="12"/>
  <c r="AI53" i="12"/>
  <c r="AI54" i="12"/>
  <c r="AI24" i="12"/>
  <c r="AI71" i="12"/>
  <c r="AI39" i="12"/>
  <c r="AI55" i="12"/>
  <c r="AI72" i="12"/>
  <c r="AI97" i="12"/>
  <c r="AI98" i="12"/>
  <c r="AI40" i="12"/>
  <c r="AI41" i="12"/>
  <c r="AI73" i="12"/>
  <c r="AI56" i="12"/>
  <c r="AI99" i="12"/>
  <c r="AI100" i="12"/>
  <c r="AI42" i="12"/>
  <c r="AI74" i="12"/>
  <c r="AI57" i="12"/>
  <c r="AI75" i="12"/>
  <c r="AI58" i="12"/>
  <c r="AI76" i="12"/>
  <c r="X9" i="12"/>
  <c r="X10" i="12"/>
  <c r="X21" i="12"/>
  <c r="X12" i="12"/>
  <c r="X31" i="12"/>
  <c r="X22" i="12"/>
  <c r="X32" i="12"/>
  <c r="X43" i="12"/>
  <c r="X23" i="12"/>
  <c r="X33" i="12"/>
  <c r="X44" i="12"/>
  <c r="X55" i="12"/>
  <c r="X56" i="12"/>
  <c r="X57" i="12"/>
  <c r="X45" i="12"/>
  <c r="X67" i="12"/>
  <c r="X68" i="12"/>
  <c r="X69" i="12"/>
  <c r="X13" i="12"/>
  <c r="X14" i="12"/>
  <c r="X15" i="12"/>
  <c r="X25" i="12"/>
  <c r="X26" i="12"/>
  <c r="X27" i="12"/>
  <c r="X36" i="12"/>
  <c r="X37" i="12"/>
  <c r="X46" i="12"/>
  <c r="X38" i="12"/>
  <c r="X85" i="12"/>
  <c r="X47" i="12"/>
  <c r="X58" i="12"/>
  <c r="X48" i="12"/>
  <c r="X59" i="12"/>
  <c r="X60" i="12"/>
  <c r="X86" i="12"/>
  <c r="X87" i="12"/>
  <c r="X88" i="12"/>
  <c r="X70" i="12"/>
  <c r="X71" i="12"/>
  <c r="X72" i="12"/>
  <c r="X103" i="12"/>
  <c r="X104" i="12"/>
  <c r="X105" i="12"/>
  <c r="X107" i="12"/>
  <c r="X137" i="12"/>
  <c r="X138" i="12"/>
  <c r="X139" i="12"/>
  <c r="X140" i="12"/>
  <c r="X149" i="12"/>
  <c r="X150" i="12"/>
  <c r="X151" i="12"/>
  <c r="X152" i="12"/>
  <c r="X157" i="12"/>
  <c r="X158" i="12"/>
  <c r="X159" i="12"/>
  <c r="X160" i="12"/>
  <c r="X8" i="12"/>
  <c r="X16" i="12"/>
  <c r="X18" i="12"/>
  <c r="X19" i="12"/>
  <c r="X29" i="12"/>
  <c r="X30" i="12"/>
  <c r="X34" i="12"/>
  <c r="X41" i="12"/>
  <c r="X42" i="12"/>
  <c r="X50" i="12"/>
  <c r="X52" i="12"/>
  <c r="X54" i="12"/>
  <c r="X7" i="12"/>
  <c r="X11" i="12"/>
  <c r="X17" i="12"/>
  <c r="X20" i="12"/>
  <c r="X24" i="12"/>
  <c r="X28" i="12"/>
  <c r="X39" i="12"/>
  <c r="X35" i="12"/>
  <c r="X40" i="12"/>
  <c r="X51" i="12"/>
  <c r="X49" i="12"/>
  <c r="X53" i="12"/>
  <c r="M10" i="12"/>
  <c r="M11" i="12"/>
  <c r="M20" i="12"/>
  <c r="M21" i="12"/>
  <c r="M27" i="12"/>
  <c r="M29" i="12"/>
  <c r="M37" i="12"/>
  <c r="M38" i="12"/>
  <c r="M47" i="12"/>
  <c r="M48" i="12"/>
  <c r="M57" i="12"/>
  <c r="M58" i="12"/>
  <c r="M73" i="12"/>
  <c r="M74" i="12"/>
  <c r="M75" i="12"/>
  <c r="M90" i="12"/>
  <c r="M91" i="12"/>
  <c r="M93" i="12"/>
  <c r="M123" i="12"/>
  <c r="M124" i="12"/>
  <c r="M125" i="12"/>
  <c r="M134" i="12"/>
  <c r="M135" i="12"/>
  <c r="M136" i="12"/>
  <c r="M141" i="12"/>
  <c r="M142" i="12"/>
  <c r="M143" i="12"/>
  <c r="M12" i="12"/>
  <c r="M13" i="12"/>
  <c r="M22" i="12"/>
  <c r="M23" i="12"/>
  <c r="M30" i="12"/>
  <c r="M31" i="12"/>
  <c r="M39" i="12"/>
  <c r="M40" i="12"/>
  <c r="M49" i="12"/>
  <c r="M50" i="12"/>
  <c r="M59" i="12"/>
  <c r="M60" i="12"/>
  <c r="M8" i="12"/>
  <c r="M15" i="12"/>
  <c r="M16" i="12"/>
  <c r="M19" i="12"/>
  <c r="M25" i="12"/>
  <c r="M26" i="12"/>
  <c r="M32" i="12"/>
  <c r="M34" i="12"/>
  <c r="M36" i="12"/>
  <c r="M43" i="12"/>
  <c r="M42" i="12"/>
  <c r="M45" i="12"/>
  <c r="M7" i="12"/>
  <c r="M9" i="12"/>
  <c r="M14" i="12"/>
  <c r="M17" i="12"/>
  <c r="M18" i="12"/>
  <c r="M24" i="12"/>
  <c r="M33" i="12"/>
  <c r="M28" i="12"/>
  <c r="M35" i="12"/>
  <c r="M44" i="12"/>
  <c r="M41" i="12"/>
  <c r="M46" i="12"/>
  <c r="B9" i="12"/>
  <c r="B10" i="12"/>
  <c r="B19" i="12"/>
  <c r="B38" i="12"/>
  <c r="B29" i="12"/>
  <c r="B47" i="12"/>
  <c r="B30" i="12"/>
  <c r="B48" i="12"/>
  <c r="B39" i="12"/>
  <c r="B20" i="12"/>
  <c r="B57" i="12"/>
  <c r="B58" i="12"/>
  <c r="B73" i="12"/>
  <c r="B74" i="12"/>
  <c r="B75" i="12"/>
  <c r="B12" i="12"/>
  <c r="B13" i="12"/>
  <c r="B90" i="12"/>
  <c r="B91" i="12"/>
  <c r="B22" i="12"/>
  <c r="B23" i="12"/>
  <c r="B92" i="12"/>
  <c r="B32" i="12"/>
  <c r="B42" i="12"/>
  <c r="B33" i="12"/>
  <c r="B43" i="12"/>
  <c r="B50" i="12"/>
  <c r="B51" i="12"/>
  <c r="B59" i="12"/>
  <c r="B60" i="12"/>
  <c r="B123" i="12"/>
  <c r="B124" i="12"/>
  <c r="B125" i="12"/>
  <c r="B134" i="12"/>
  <c r="B135" i="12"/>
  <c r="B136" i="12"/>
  <c r="B141" i="12"/>
  <c r="B142" i="12"/>
  <c r="B143" i="12"/>
  <c r="B8" i="12"/>
  <c r="B14" i="12"/>
  <c r="B16" i="12"/>
  <c r="B18" i="12"/>
  <c r="B25" i="12"/>
  <c r="B26" i="12"/>
  <c r="B27" i="12"/>
  <c r="B34" i="12"/>
  <c r="B36" i="12"/>
  <c r="B37" i="12"/>
  <c r="B45" i="12"/>
  <c r="B46" i="12"/>
  <c r="B7" i="12"/>
  <c r="B11" i="12"/>
  <c r="B15" i="12"/>
  <c r="B17" i="12"/>
  <c r="B21" i="12"/>
  <c r="B24" i="12"/>
  <c r="B28" i="12"/>
  <c r="B31" i="12"/>
  <c r="B35" i="12"/>
  <c r="B41" i="12"/>
  <c r="B40" i="12"/>
  <c r="B44" i="12"/>
  <c r="B34" i="11"/>
  <c r="AI15" i="11"/>
  <c r="AI16" i="11"/>
  <c r="AI17" i="11"/>
  <c r="AI18" i="11"/>
  <c r="AI19" i="11"/>
  <c r="AI20" i="11"/>
  <c r="AI21" i="11"/>
  <c r="AI22" i="11"/>
  <c r="AI23" i="11"/>
  <c r="AI24" i="11"/>
  <c r="AI33" i="11"/>
  <c r="AI34" i="11"/>
  <c r="AI35" i="11"/>
  <c r="AI36" i="11"/>
  <c r="AI37" i="11"/>
  <c r="AI38" i="11"/>
  <c r="AI39" i="11"/>
  <c r="AI40" i="11"/>
  <c r="AI41" i="11"/>
  <c r="AI42" i="11"/>
  <c r="AI53" i="11"/>
  <c r="AI54" i="11"/>
  <c r="AI55" i="11"/>
  <c r="AI56" i="11"/>
  <c r="AI57" i="11"/>
  <c r="AI58" i="11"/>
  <c r="AI67" i="11"/>
  <c r="AI68" i="11"/>
  <c r="AI69" i="11"/>
  <c r="AI70" i="11"/>
  <c r="AI71" i="11"/>
  <c r="AI72" i="11"/>
  <c r="AI73" i="11"/>
  <c r="AI74" i="11"/>
  <c r="AI75" i="11"/>
  <c r="AI76" i="11"/>
  <c r="AI97" i="11"/>
  <c r="AI98" i="11"/>
  <c r="AI99" i="11"/>
  <c r="AI100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9" i="11"/>
  <c r="M50" i="11"/>
  <c r="M51" i="11"/>
  <c r="M57" i="11"/>
  <c r="M58" i="11"/>
  <c r="M59" i="11"/>
  <c r="M60" i="11"/>
  <c r="M74" i="11"/>
  <c r="M91" i="11"/>
  <c r="M122" i="11"/>
  <c r="M134" i="11"/>
  <c r="M142" i="11"/>
  <c r="M131" i="11"/>
  <c r="M138" i="11"/>
  <c r="M143" i="11"/>
  <c r="M145" i="11"/>
  <c r="M147" i="11"/>
  <c r="M149" i="11"/>
  <c r="M151" i="11"/>
  <c r="M153" i="11"/>
  <c r="M73" i="11"/>
  <c r="M89" i="11"/>
  <c r="M121" i="11"/>
  <c r="M129" i="11"/>
  <c r="M133" i="11"/>
  <c r="M137" i="11"/>
  <c r="M141" i="11"/>
  <c r="M144" i="11"/>
  <c r="M146" i="11"/>
  <c r="M148" i="11"/>
  <c r="M150" i="11"/>
  <c r="M152" i="11"/>
  <c r="M154" i="11"/>
  <c r="B9" i="11"/>
  <c r="B7" i="11"/>
  <c r="B8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8" i="11"/>
  <c r="B49" i="11"/>
  <c r="B50" i="11"/>
  <c r="B51" i="11"/>
  <c r="B57" i="11"/>
  <c r="B58" i="11"/>
  <c r="B59" i="11"/>
  <c r="B60" i="11"/>
  <c r="B74" i="11"/>
  <c r="B92" i="11"/>
  <c r="B122" i="11"/>
  <c r="B134" i="11"/>
  <c r="B142" i="11"/>
  <c r="B132" i="11"/>
  <c r="B138" i="11"/>
  <c r="B144" i="11"/>
  <c r="B146" i="11"/>
  <c r="B148" i="11"/>
  <c r="B150" i="11"/>
  <c r="B152" i="11"/>
  <c r="B154" i="11"/>
  <c r="B73" i="11"/>
  <c r="B89" i="11"/>
  <c r="B121" i="11"/>
  <c r="B130" i="11"/>
  <c r="B133" i="11"/>
  <c r="B137" i="11"/>
  <c r="B141" i="11"/>
  <c r="B143" i="11"/>
  <c r="B145" i="11"/>
  <c r="B147" i="11"/>
  <c r="B149" i="11"/>
  <c r="B151" i="11"/>
  <c r="B153" i="11"/>
  <c r="B6" i="10"/>
  <c r="B3" i="10"/>
  <c r="B4" i="10"/>
  <c r="B5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N73" i="11"/>
  <c r="O73" i="11" s="1" a="1"/>
  <c r="O73" i="11" s="1"/>
  <c r="N89" i="11"/>
  <c r="P89" i="11" s="1" a="1"/>
  <c r="P89" i="11" s="1"/>
  <c r="N121" i="11"/>
  <c r="O121" i="11" s="1" a="1"/>
  <c r="O121" i="11" s="1"/>
  <c r="N129" i="11"/>
  <c r="O129" i="11" s="1" a="1"/>
  <c r="O129" i="11" s="1"/>
  <c r="N133" i="11"/>
  <c r="O133" i="11" s="1" a="1"/>
  <c r="O133" i="11" s="1"/>
  <c r="N137" i="11"/>
  <c r="P137" i="11" s="1" a="1"/>
  <c r="P137" i="11" s="1"/>
  <c r="N141" i="11"/>
  <c r="P141" i="11" s="1" a="1"/>
  <c r="P141" i="11" s="1"/>
  <c r="N144" i="11"/>
  <c r="P144" i="11" s="1" a="1"/>
  <c r="P144" i="11" s="1"/>
  <c r="N146" i="11"/>
  <c r="P146" i="11" s="1" a="1"/>
  <c r="P146" i="11" s="1"/>
  <c r="N148" i="11"/>
  <c r="P148" i="11" s="1" a="1"/>
  <c r="P148" i="11" s="1"/>
  <c r="N150" i="11"/>
  <c r="O150" i="11" s="1" a="1"/>
  <c r="O150" i="11" s="1"/>
  <c r="N152" i="11"/>
  <c r="O152" i="11" s="1" a="1"/>
  <c r="O152" i="11" s="1"/>
  <c r="N154" i="11"/>
  <c r="O154" i="11" s="1" a="1"/>
  <c r="O154" i="11" s="1"/>
  <c r="C73" i="11"/>
  <c r="E73" i="11" s="1" a="1"/>
  <c r="E73" i="11" s="1"/>
  <c r="C89" i="11"/>
  <c r="D89" i="11" s="1" a="1"/>
  <c r="D89" i="11" s="1"/>
  <c r="C121" i="11"/>
  <c r="E121" i="11" s="1" a="1"/>
  <c r="E121" i="11" s="1"/>
  <c r="C130" i="11"/>
  <c r="D130" i="11" s="1" a="1"/>
  <c r="D130" i="11" s="1"/>
  <c r="C133" i="11"/>
  <c r="D133" i="11" s="1" a="1"/>
  <c r="D133" i="11" s="1"/>
  <c r="C137" i="11"/>
  <c r="E137" i="11" s="1" a="1"/>
  <c r="E137" i="11" s="1"/>
  <c r="C141" i="11"/>
  <c r="E141" i="11" s="1" a="1"/>
  <c r="E141" i="11" s="1"/>
  <c r="C143" i="11"/>
  <c r="E143" i="11" s="1" a="1"/>
  <c r="E143" i="11" s="1"/>
  <c r="C145" i="11"/>
  <c r="E145" i="11" s="1" a="1"/>
  <c r="E145" i="11" s="1"/>
  <c r="C147" i="11"/>
  <c r="E147" i="11" s="1" a="1"/>
  <c r="E147" i="11" s="1"/>
  <c r="C149" i="11"/>
  <c r="D149" i="11" s="1" a="1"/>
  <c r="D149" i="11" s="1"/>
  <c r="C151" i="11"/>
  <c r="D151" i="11" s="1" a="1"/>
  <c r="D151" i="11" s="1"/>
  <c r="C153" i="11"/>
  <c r="D153" i="11" s="1" a="1"/>
  <c r="D153" i="11" s="1"/>
  <c r="N131" i="11"/>
  <c r="O131" i="11" s="1" a="1"/>
  <c r="O131" i="11" s="1"/>
  <c r="N138" i="11"/>
  <c r="O138" i="11" s="1" a="1"/>
  <c r="O138" i="11" s="1"/>
  <c r="N143" i="11"/>
  <c r="O143" i="11" s="1" a="1"/>
  <c r="O143" i="11" s="1"/>
  <c r="N145" i="11"/>
  <c r="P145" i="11" s="1" a="1"/>
  <c r="P145" i="11" s="1"/>
  <c r="N147" i="11"/>
  <c r="O147" i="11" s="1" a="1"/>
  <c r="O147" i="11" s="1"/>
  <c r="N149" i="11"/>
  <c r="P149" i="11" s="1" a="1"/>
  <c r="P149" i="11" s="1"/>
  <c r="N151" i="11"/>
  <c r="O151" i="11" s="1" a="1"/>
  <c r="O151" i="11" s="1"/>
  <c r="N153" i="11"/>
  <c r="O153" i="11" s="1" a="1"/>
  <c r="O153" i="11" s="1"/>
  <c r="C132" i="11"/>
  <c r="D132" i="11" s="1" a="1"/>
  <c r="D132" i="11" s="1"/>
  <c r="C138" i="11"/>
  <c r="D138" i="11" s="1" a="1"/>
  <c r="D138" i="11" s="1"/>
  <c r="C144" i="11"/>
  <c r="D144" i="11" s="1" a="1"/>
  <c r="D144" i="11" s="1"/>
  <c r="C146" i="11"/>
  <c r="D146" i="11" s="1" a="1"/>
  <c r="D146" i="11" s="1"/>
  <c r="C148" i="11"/>
  <c r="D148" i="11" s="1" a="1"/>
  <c r="D148" i="11" s="1"/>
  <c r="C150" i="11"/>
  <c r="D150" i="11" s="1" a="1"/>
  <c r="D150" i="11" s="1"/>
  <c r="C152" i="11"/>
  <c r="E152" i="11" s="1" a="1"/>
  <c r="E152" i="11" s="1"/>
  <c r="C154" i="11"/>
  <c r="D154" i="11" s="1" a="1"/>
  <c r="D154" i="11" s="1"/>
  <c r="AJ15" i="13"/>
  <c r="AK15" i="13" s="1" a="1"/>
  <c r="AK15" i="13" s="1"/>
  <c r="AJ16" i="13"/>
  <c r="AK16" i="13" s="1" a="1"/>
  <c r="AK16" i="13" s="1"/>
  <c r="AJ17" i="13"/>
  <c r="AK17" i="13" s="1" a="1"/>
  <c r="AK17" i="13" s="1"/>
  <c r="AJ18" i="13"/>
  <c r="AL18" i="13" s="1" a="1"/>
  <c r="AL18" i="13" s="1"/>
  <c r="AJ19" i="13"/>
  <c r="AK19" i="13" s="1" a="1"/>
  <c r="AK19" i="13" s="1"/>
  <c r="AJ20" i="13"/>
  <c r="AL20" i="13" s="1" a="1"/>
  <c r="AL20" i="13" s="1"/>
  <c r="AJ21" i="13"/>
  <c r="AK21" i="13" s="1" a="1"/>
  <c r="AK21" i="13" s="1"/>
  <c r="AJ22" i="13"/>
  <c r="AL22" i="13" s="1" a="1"/>
  <c r="AL22" i="13" s="1"/>
  <c r="AJ23" i="13"/>
  <c r="AL23" i="13" s="1" a="1"/>
  <c r="AL23" i="13" s="1"/>
  <c r="AJ24" i="13"/>
  <c r="AK24" i="13" s="1" a="1"/>
  <c r="AK24" i="13" s="1"/>
  <c r="AJ33" i="13"/>
  <c r="AK33" i="13" s="1" a="1"/>
  <c r="AK33" i="13" s="1"/>
  <c r="AJ34" i="13"/>
  <c r="AK34" i="13" s="1" a="1"/>
  <c r="AK34" i="13" s="1"/>
  <c r="AJ35" i="13"/>
  <c r="AK35" i="13" s="1" a="1"/>
  <c r="AK35" i="13" s="1"/>
  <c r="AJ36" i="13"/>
  <c r="AL36" i="13" s="1" a="1"/>
  <c r="AL36" i="13" s="1"/>
  <c r="AJ37" i="13"/>
  <c r="AL37" i="13" s="1" a="1"/>
  <c r="AL37" i="13" s="1"/>
  <c r="AJ38" i="13"/>
  <c r="AL38" i="13" s="1" a="1"/>
  <c r="AL38" i="13" s="1"/>
  <c r="AJ39" i="13"/>
  <c r="AK39" i="13" s="1" a="1"/>
  <c r="AK39" i="13" s="1"/>
  <c r="AJ40" i="13"/>
  <c r="AL40" i="13" s="1" a="1"/>
  <c r="AL40" i="13" s="1"/>
  <c r="AJ41" i="13"/>
  <c r="AK41" i="13" s="1" a="1"/>
  <c r="AK41" i="13" s="1"/>
  <c r="AJ42" i="13"/>
  <c r="AL42" i="13" s="1" a="1"/>
  <c r="AL42" i="13" s="1"/>
  <c r="AJ53" i="13"/>
  <c r="AK53" i="13" s="1" a="1"/>
  <c r="AK53" i="13" s="1"/>
  <c r="AJ54" i="13"/>
  <c r="AK54" i="13" s="1" a="1"/>
  <c r="AK54" i="13" s="1"/>
  <c r="AJ55" i="13"/>
  <c r="AK55" i="13" s="1" a="1"/>
  <c r="AK55" i="13" s="1"/>
  <c r="AJ56" i="13"/>
  <c r="AK56" i="13" s="1" a="1"/>
  <c r="AK56" i="13" s="1"/>
  <c r="AJ57" i="13"/>
  <c r="AK57" i="13" s="1" a="1"/>
  <c r="AK57" i="13" s="1"/>
  <c r="AJ58" i="13"/>
  <c r="AK58" i="13" s="1" a="1"/>
  <c r="AK58" i="13" s="1"/>
  <c r="AJ67" i="13"/>
  <c r="AK67" i="13" s="1" a="1"/>
  <c r="AK67" i="13" s="1"/>
  <c r="AJ68" i="13"/>
  <c r="AL68" i="13" s="1" a="1"/>
  <c r="AL68" i="13" s="1"/>
  <c r="AJ69" i="13"/>
  <c r="AK69" i="13" s="1" a="1"/>
  <c r="AK69" i="13" s="1"/>
  <c r="AJ70" i="13"/>
  <c r="AK70" i="13" s="1" a="1"/>
  <c r="AK70" i="13" s="1"/>
  <c r="AJ71" i="13"/>
  <c r="AL71" i="13" s="1" a="1"/>
  <c r="AL71" i="13" s="1"/>
  <c r="AJ72" i="13"/>
  <c r="AK72" i="13" s="1" a="1"/>
  <c r="AK72" i="13" s="1"/>
  <c r="AJ73" i="13"/>
  <c r="AK73" i="13" s="1" a="1"/>
  <c r="AK73" i="13" s="1"/>
  <c r="AJ74" i="13"/>
  <c r="AK74" i="13" s="1" a="1"/>
  <c r="AK74" i="13" s="1"/>
  <c r="AJ75" i="13"/>
  <c r="AK75" i="13" s="1" a="1"/>
  <c r="AK75" i="13" s="1"/>
  <c r="AJ76" i="13"/>
  <c r="AK76" i="13" s="1" a="1"/>
  <c r="AK76" i="13" s="1"/>
  <c r="AJ77" i="13"/>
  <c r="AK77" i="13" s="1" a="1"/>
  <c r="AK77" i="13" s="1"/>
  <c r="AJ98" i="13"/>
  <c r="AL98" i="13" s="1" a="1"/>
  <c r="AL98" i="13" s="1"/>
  <c r="AJ99" i="13"/>
  <c r="AK99" i="13" s="1" a="1"/>
  <c r="AK99" i="13" s="1"/>
  <c r="AJ100" i="13"/>
  <c r="AL100" i="13" s="1" a="1"/>
  <c r="AL100" i="13" s="1"/>
  <c r="AJ101" i="13"/>
  <c r="AK101" i="13" s="1" a="1"/>
  <c r="AK101" i="13" s="1"/>
  <c r="Y11" i="13"/>
  <c r="Z11" i="13" s="1" a="1"/>
  <c r="Z11" i="13" s="1"/>
  <c r="Y10" i="13"/>
  <c r="AA10" i="13" s="1" a="1"/>
  <c r="AA10" i="13" s="1"/>
  <c r="Y12" i="13"/>
  <c r="AA12" i="13" s="1" a="1"/>
  <c r="AA12" i="13" s="1"/>
  <c r="Y22" i="13"/>
  <c r="Z22" i="13" s="1" a="1"/>
  <c r="Z22" i="13" s="1"/>
  <c r="Y31" i="13"/>
  <c r="AA31" i="13" s="1" a="1"/>
  <c r="AA31" i="13" s="1"/>
  <c r="Y23" i="13"/>
  <c r="Z23" i="13" s="1" a="1"/>
  <c r="Z23" i="13" s="1"/>
  <c r="Y24" i="13"/>
  <c r="Z24" i="13" s="1" a="1"/>
  <c r="Z24" i="13" s="1"/>
  <c r="Y32" i="13"/>
  <c r="AA32" i="13" s="1" a="1"/>
  <c r="AA32" i="13" s="1"/>
  <c r="Y43" i="13"/>
  <c r="AA43" i="13" s="1" a="1"/>
  <c r="AA43" i="13" s="1"/>
  <c r="Y33" i="13"/>
  <c r="AA33" i="13" s="1" a="1"/>
  <c r="AA33" i="13" s="1"/>
  <c r="Y44" i="13"/>
  <c r="AA44" i="13" s="1" a="1"/>
  <c r="AA44" i="13" s="1"/>
  <c r="Y45" i="13"/>
  <c r="AA45" i="13" s="1" a="1"/>
  <c r="AA45" i="13" s="1"/>
  <c r="Y55" i="13"/>
  <c r="AA55" i="13" s="1" a="1"/>
  <c r="AA55" i="13" s="1"/>
  <c r="Y56" i="13"/>
  <c r="AA56" i="13" s="1" a="1"/>
  <c r="AA56" i="13" s="1"/>
  <c r="Y57" i="13"/>
  <c r="AA57" i="13" s="1" a="1"/>
  <c r="AA57" i="13" s="1"/>
  <c r="Y34" i="13"/>
  <c r="AA34" i="13" s="1" a="1"/>
  <c r="AA34" i="13" s="1"/>
  <c r="Y35" i="13"/>
  <c r="AA35" i="13" s="1" a="1"/>
  <c r="AA35" i="13" s="1"/>
  <c r="Y67" i="13"/>
  <c r="Z67" i="13" s="1" a="1"/>
  <c r="Z67" i="13" s="1"/>
  <c r="Y46" i="13"/>
  <c r="AA46" i="13" s="1" a="1"/>
  <c r="AA46" i="13" s="1"/>
  <c r="Y68" i="13"/>
  <c r="Z68" i="13" s="1" a="1"/>
  <c r="Z68" i="13" s="1"/>
  <c r="Y69" i="13"/>
  <c r="Z69" i="13" s="1" a="1"/>
  <c r="Z69" i="13" s="1"/>
  <c r="Y47" i="13"/>
  <c r="Z47" i="13" s="1" a="1"/>
  <c r="Z47" i="13" s="1"/>
  <c r="Y36" i="13"/>
  <c r="Z36" i="13" s="1" a="1"/>
  <c r="Z36" i="13" s="1"/>
  <c r="Y58" i="13"/>
  <c r="AA58" i="13" s="1" a="1"/>
  <c r="AA58" i="13" s="1"/>
  <c r="Y59" i="13"/>
  <c r="AA59" i="13" s="1" a="1"/>
  <c r="AA59" i="13" s="1"/>
  <c r="Y48" i="13"/>
  <c r="AA48" i="13" s="1" a="1"/>
  <c r="AA48" i="13" s="1"/>
  <c r="Y60" i="13"/>
  <c r="AA60" i="13" s="1" a="1"/>
  <c r="AA60" i="13" s="1"/>
  <c r="Y70" i="13"/>
  <c r="AA70" i="13" s="1" a="1"/>
  <c r="AA70" i="13" s="1"/>
  <c r="Y71" i="13"/>
  <c r="AA71" i="13" s="1" a="1"/>
  <c r="AA71" i="13" s="1"/>
  <c r="Y72" i="13"/>
  <c r="AA72" i="13" s="1" a="1"/>
  <c r="AA72" i="13" s="1"/>
  <c r="Y13" i="13"/>
  <c r="AA13" i="13" s="1" a="1"/>
  <c r="AA13" i="13" s="1"/>
  <c r="Y14" i="13"/>
  <c r="AA14" i="13" s="1" a="1"/>
  <c r="AA14" i="13" s="1"/>
  <c r="Y15" i="13"/>
  <c r="AA15" i="13" s="1" a="1"/>
  <c r="AA15" i="13" s="1"/>
  <c r="Y25" i="13"/>
  <c r="Z25" i="13" s="1" a="1"/>
  <c r="Z25" i="13" s="1"/>
  <c r="Y26" i="13"/>
  <c r="Z26" i="13" s="1" a="1"/>
  <c r="Z26" i="13" s="1"/>
  <c r="Y27" i="13"/>
  <c r="Z27" i="13" s="1" a="1"/>
  <c r="Z27" i="13" s="1"/>
  <c r="Y85" i="13"/>
  <c r="Z85" i="13" s="1" a="1"/>
  <c r="Z85" i="13" s="1"/>
  <c r="Y100" i="13"/>
  <c r="Z100" i="13" s="1" a="1"/>
  <c r="Z100" i="13" s="1"/>
  <c r="Y131" i="13"/>
  <c r="Z131" i="13" s="1" a="1"/>
  <c r="Z131" i="13" s="1"/>
  <c r="Y140" i="13"/>
  <c r="AA140" i="13" s="1" a="1"/>
  <c r="AA140" i="13" s="1"/>
  <c r="Y145" i="13"/>
  <c r="AA145" i="13" s="1" a="1"/>
  <c r="AA145" i="13" s="1"/>
  <c r="Y8" i="13"/>
  <c r="AA8" i="13" s="1" a="1"/>
  <c r="AA8" i="13" s="1"/>
  <c r="Y17" i="13"/>
  <c r="AA17" i="13" s="1" a="1"/>
  <c r="AA17" i="13" s="1"/>
  <c r="Y18" i="13"/>
  <c r="AA18" i="13" s="1" a="1"/>
  <c r="AA18" i="13" s="1"/>
  <c r="Y19" i="13"/>
  <c r="AA19" i="13" s="1" a="1"/>
  <c r="AA19" i="13" s="1"/>
  <c r="Y29" i="13"/>
  <c r="AA29" i="13" s="1" a="1"/>
  <c r="AA29" i="13" s="1"/>
  <c r="Y30" i="13"/>
  <c r="AA30" i="13" s="1" a="1"/>
  <c r="AA30" i="13" s="1"/>
  <c r="Y38" i="13"/>
  <c r="AA38" i="13" s="1" a="1"/>
  <c r="AA38" i="13" s="1"/>
  <c r="Y41" i="13"/>
  <c r="Z41" i="13" s="1" a="1"/>
  <c r="Z41" i="13" s="1"/>
  <c r="Y42" i="13"/>
  <c r="Z42" i="13" s="1" a="1"/>
  <c r="Z42" i="13" s="1"/>
  <c r="Y50" i="13"/>
  <c r="Z50" i="13" s="1" a="1"/>
  <c r="Z50" i="13" s="1"/>
  <c r="Y53" i="13"/>
  <c r="Z53" i="13" s="1" a="1"/>
  <c r="Z53" i="13" s="1"/>
  <c r="Y54" i="13"/>
  <c r="Z54" i="13" s="1" a="1"/>
  <c r="Z54" i="13" s="1"/>
  <c r="Y7" i="13"/>
  <c r="Z7" i="13" s="1" a="1"/>
  <c r="Z7" i="13" s="1"/>
  <c r="Y9" i="13"/>
  <c r="Z9" i="13" s="1" a="1"/>
  <c r="Z9" i="13" s="1"/>
  <c r="Y16" i="13"/>
  <c r="AA16" i="13" s="1" a="1"/>
  <c r="AA16" i="13" s="1"/>
  <c r="Y20" i="13"/>
  <c r="AA20" i="13" s="1" a="1"/>
  <c r="AA20" i="13" s="1"/>
  <c r="Y21" i="13"/>
  <c r="AA21" i="13" s="1" a="1"/>
  <c r="AA21" i="13" s="1"/>
  <c r="Y28" i="13"/>
  <c r="AA28" i="13" s="1" a="1"/>
  <c r="AA28" i="13" s="1"/>
  <c r="Y40" i="13"/>
  <c r="Z40" i="13" s="1" a="1"/>
  <c r="Z40" i="13" s="1"/>
  <c r="Y37" i="13"/>
  <c r="AA37" i="13" s="1" a="1"/>
  <c r="AA37" i="13" s="1"/>
  <c r="Y39" i="13"/>
  <c r="AA39" i="13" s="1" a="1"/>
  <c r="AA39" i="13" s="1"/>
  <c r="Y52" i="13"/>
  <c r="Z52" i="13" s="1" a="1"/>
  <c r="Z52" i="13" s="1"/>
  <c r="Y49" i="13"/>
  <c r="Z49" i="13" s="1" a="1"/>
  <c r="Z49" i="13" s="1"/>
  <c r="Y51" i="13"/>
  <c r="Z51" i="13" s="1" a="1"/>
  <c r="Z51" i="13" s="1"/>
  <c r="N10" i="13"/>
  <c r="O10" i="13" s="1" a="1"/>
  <c r="O10" i="13" s="1"/>
  <c r="N11" i="13"/>
  <c r="P11" i="13" s="1" a="1"/>
  <c r="P11" i="13" s="1"/>
  <c r="N12" i="13"/>
  <c r="P12" i="13" s="1" a="1"/>
  <c r="P12" i="13" s="1"/>
  <c r="N13" i="13"/>
  <c r="O13" i="13" s="1" a="1"/>
  <c r="O13" i="13" s="1"/>
  <c r="N20" i="13"/>
  <c r="O20" i="13" s="1" a="1"/>
  <c r="O20" i="13" s="1"/>
  <c r="N21" i="13"/>
  <c r="O21" i="13" s="1" a="1"/>
  <c r="O21" i="13" s="1"/>
  <c r="N22" i="13"/>
  <c r="O22" i="13" s="1" a="1"/>
  <c r="O22" i="13" s="1"/>
  <c r="N23" i="13"/>
  <c r="P23" i="13" s="1" a="1"/>
  <c r="P23" i="13" s="1"/>
  <c r="N28" i="13"/>
  <c r="P28" i="13" s="1" a="1"/>
  <c r="P28" i="13" s="1"/>
  <c r="N37" i="13"/>
  <c r="O37" i="13" s="1" a="1"/>
  <c r="O37" i="13" s="1"/>
  <c r="N47" i="13"/>
  <c r="O47" i="13" s="1" a="1"/>
  <c r="O47" i="13" s="1"/>
  <c r="N29" i="13"/>
  <c r="O29" i="13" s="1" a="1"/>
  <c r="O29" i="13" s="1"/>
  <c r="N38" i="13"/>
  <c r="O38" i="13" s="1" a="1"/>
  <c r="O38" i="13" s="1"/>
  <c r="N48" i="13"/>
  <c r="O48" i="13" s="1" a="1"/>
  <c r="O48" i="13" s="1"/>
  <c r="N57" i="13"/>
  <c r="P57" i="13" s="1" a="1"/>
  <c r="P57" i="13" s="1"/>
  <c r="N31" i="13"/>
  <c r="P31" i="13" s="1" a="1"/>
  <c r="P31" i="13" s="1"/>
  <c r="N39" i="13"/>
  <c r="P39" i="13" s="1" a="1"/>
  <c r="P39" i="13" s="1"/>
  <c r="N58" i="13"/>
  <c r="O58" i="13" s="1" a="1"/>
  <c r="O58" i="13" s="1"/>
  <c r="N49" i="13"/>
  <c r="O49" i="13" s="1" a="1"/>
  <c r="O49" i="13" s="1"/>
  <c r="N73" i="13"/>
  <c r="O73" i="13" s="1" a="1"/>
  <c r="O73" i="13" s="1"/>
  <c r="N32" i="13"/>
  <c r="O32" i="13" s="1" a="1"/>
  <c r="O32" i="13" s="1"/>
  <c r="N40" i="13"/>
  <c r="O40" i="13" s="1" a="1"/>
  <c r="O40" i="13" s="1"/>
  <c r="N59" i="13"/>
  <c r="O59" i="13" s="1" a="1"/>
  <c r="O59" i="13" s="1"/>
  <c r="N50" i="13"/>
  <c r="P50" i="13" s="1" a="1"/>
  <c r="P50" i="13" s="1"/>
  <c r="N60" i="13"/>
  <c r="O60" i="13" s="1" a="1"/>
  <c r="O60" i="13" s="1"/>
  <c r="N88" i="13"/>
  <c r="O88" i="13" s="1" a="1"/>
  <c r="O88" i="13" s="1"/>
  <c r="N119" i="13"/>
  <c r="O119" i="13" s="1" a="1"/>
  <c r="O119" i="13" s="1"/>
  <c r="N128" i="13"/>
  <c r="O128" i="13" s="1" a="1"/>
  <c r="O128" i="13" s="1"/>
  <c r="N133" i="13"/>
  <c r="P133" i="13" s="1" a="1"/>
  <c r="P133" i="13" s="1"/>
  <c r="N8" i="13"/>
  <c r="P8" i="13" s="1" a="1"/>
  <c r="P8" i="13" s="1"/>
  <c r="N15" i="13"/>
  <c r="P15" i="13" s="1" a="1"/>
  <c r="P15" i="13" s="1"/>
  <c r="N16" i="13"/>
  <c r="P16" i="13" s="1" a="1"/>
  <c r="P16" i="13" s="1"/>
  <c r="N18" i="13"/>
  <c r="O18" i="13" s="1" a="1"/>
  <c r="O18" i="13" s="1"/>
  <c r="N25" i="13"/>
  <c r="O25" i="13" s="1" a="1"/>
  <c r="O25" i="13" s="1"/>
  <c r="N26" i="13"/>
  <c r="P26" i="13" s="1" a="1"/>
  <c r="P26" i="13" s="1"/>
  <c r="N33" i="13"/>
  <c r="O33" i="13" s="1" a="1"/>
  <c r="O33" i="13" s="1"/>
  <c r="N35" i="13"/>
  <c r="O35" i="13" s="1" a="1"/>
  <c r="O35" i="13" s="1"/>
  <c r="N36" i="13"/>
  <c r="O36" i="13" s="1" a="1"/>
  <c r="O36" i="13" s="1"/>
  <c r="N43" i="13"/>
  <c r="O43" i="13" s="1" a="1"/>
  <c r="O43" i="13" s="1"/>
  <c r="N42" i="13"/>
  <c r="O42" i="13" s="1" a="1"/>
  <c r="O42" i="13" s="1"/>
  <c r="N45" i="13"/>
  <c r="P45" i="13" s="1" a="1"/>
  <c r="P45" i="13" s="1"/>
  <c r="N7" i="13"/>
  <c r="O7" i="13" s="1" a="1"/>
  <c r="O7" i="13" s="1"/>
  <c r="N9" i="13"/>
  <c r="P9" i="13" s="1" a="1"/>
  <c r="P9" i="13" s="1"/>
  <c r="N14" i="13"/>
  <c r="P14" i="13" s="1" a="1"/>
  <c r="P14" i="13" s="1"/>
  <c r="N19" i="13"/>
  <c r="O19" i="13" s="1" a="1"/>
  <c r="O19" i="13" s="1"/>
  <c r="N17" i="13"/>
  <c r="P17" i="13" s="1" a="1"/>
  <c r="P17" i="13" s="1"/>
  <c r="N24" i="13"/>
  <c r="O24" i="13" s="1" a="1"/>
  <c r="O24" i="13" s="1"/>
  <c r="N34" i="13"/>
  <c r="O34" i="13" s="1" a="1"/>
  <c r="O34" i="13" s="1"/>
  <c r="N27" i="13"/>
  <c r="P27" i="13" s="1" a="1"/>
  <c r="P27" i="13" s="1"/>
  <c r="N30" i="13"/>
  <c r="O30" i="13" s="1" a="1"/>
  <c r="O30" i="13" s="1"/>
  <c r="N44" i="13"/>
  <c r="O44" i="13" s="1" a="1"/>
  <c r="O44" i="13" s="1"/>
  <c r="N41" i="13"/>
  <c r="O41" i="13" s="1" a="1"/>
  <c r="O41" i="13" s="1"/>
  <c r="N46" i="13"/>
  <c r="O46" i="13" s="1" a="1"/>
  <c r="O46" i="13" s="1"/>
  <c r="C10" i="13"/>
  <c r="D10" i="13" s="1" a="1"/>
  <c r="D10" i="13" s="1"/>
  <c r="C11" i="13"/>
  <c r="D11" i="13" s="1" a="1"/>
  <c r="D11" i="13" s="1"/>
  <c r="C12" i="13"/>
  <c r="D12" i="13" s="1" a="1"/>
  <c r="D12" i="13" s="1"/>
  <c r="C13" i="13"/>
  <c r="E13" i="13" s="1" a="1"/>
  <c r="E13" i="13" s="1"/>
  <c r="C20" i="13"/>
  <c r="D20" i="13" s="1" a="1"/>
  <c r="D20" i="13" s="1"/>
  <c r="C21" i="13"/>
  <c r="D21" i="13" s="1" a="1"/>
  <c r="D21" i="13" s="1"/>
  <c r="C29" i="13"/>
  <c r="D29" i="13" s="1" a="1"/>
  <c r="D29" i="13" s="1"/>
  <c r="C30" i="13"/>
  <c r="D30" i="13" s="1" a="1"/>
  <c r="D30" i="13" s="1"/>
  <c r="C38" i="13"/>
  <c r="E38" i="13" s="1" a="1"/>
  <c r="E38" i="13" s="1"/>
  <c r="C39" i="13"/>
  <c r="E39" i="13" s="1" a="1"/>
  <c r="E39" i="13" s="1"/>
  <c r="C47" i="13"/>
  <c r="E47" i="13" s="1" a="1"/>
  <c r="E47" i="13" s="1"/>
  <c r="C48" i="13"/>
  <c r="E48" i="13" s="1" a="1"/>
  <c r="E48" i="13" s="1"/>
  <c r="C57" i="13"/>
  <c r="E57" i="13" s="1" a="1"/>
  <c r="E57" i="13" s="1"/>
  <c r="C58" i="13"/>
  <c r="E58" i="13" s="1" a="1"/>
  <c r="E58" i="13" s="1"/>
  <c r="C32" i="13"/>
  <c r="D32" i="13" s="1" a="1"/>
  <c r="D32" i="13" s="1"/>
  <c r="C33" i="13"/>
  <c r="D33" i="13" s="1" a="1"/>
  <c r="D33" i="13" s="1"/>
  <c r="C40" i="13"/>
  <c r="D40" i="13" s="1" a="1"/>
  <c r="D40" i="13" s="1"/>
  <c r="C41" i="13"/>
  <c r="D41" i="13" s="1" a="1"/>
  <c r="D41" i="13" s="1"/>
  <c r="C49" i="13"/>
  <c r="D49" i="13" s="1" a="1"/>
  <c r="D49" i="13" s="1"/>
  <c r="C50" i="13"/>
  <c r="E50" i="13" s="1" a="1"/>
  <c r="E50" i="13" s="1"/>
  <c r="C59" i="13"/>
  <c r="E59" i="13" s="1" a="1"/>
  <c r="E59" i="13" s="1"/>
  <c r="C60" i="13"/>
  <c r="D60" i="13" s="1" a="1"/>
  <c r="D60" i="13" s="1"/>
  <c r="C73" i="13"/>
  <c r="E73" i="13" s="1" a="1"/>
  <c r="E73" i="13" s="1"/>
  <c r="C22" i="13"/>
  <c r="D22" i="13" s="1" a="1"/>
  <c r="D22" i="13" s="1"/>
  <c r="C23" i="13"/>
  <c r="E23" i="13" s="1" a="1"/>
  <c r="E23" i="13" s="1"/>
  <c r="C89" i="13"/>
  <c r="E89" i="13" s="1" a="1"/>
  <c r="E89" i="13" s="1"/>
  <c r="C119" i="13"/>
  <c r="E119" i="13" s="1" a="1"/>
  <c r="E119" i="13" s="1"/>
  <c r="C128" i="13"/>
  <c r="E128" i="13" s="1" a="1"/>
  <c r="E128" i="13" s="1"/>
  <c r="C133" i="13"/>
  <c r="D133" i="13" s="1" a="1"/>
  <c r="D133" i="13" s="1"/>
  <c r="C8" i="13"/>
  <c r="D8" i="13" s="1" a="1"/>
  <c r="D8" i="13" s="1"/>
  <c r="C15" i="13"/>
  <c r="D15" i="13" s="1" a="1"/>
  <c r="D15" i="13" s="1"/>
  <c r="C16" i="13"/>
  <c r="D16" i="13" s="1" a="1"/>
  <c r="D16" i="13" s="1"/>
  <c r="C17" i="13"/>
  <c r="D17" i="13" s="1" a="1"/>
  <c r="D17" i="13" s="1"/>
  <c r="C24" i="13"/>
  <c r="D24" i="13" s="1" a="1"/>
  <c r="D24" i="13" s="1"/>
  <c r="C26" i="13"/>
  <c r="D26" i="13" s="1" a="1"/>
  <c r="D26" i="13" s="1"/>
  <c r="C27" i="13"/>
  <c r="D27" i="13" s="1" a="1"/>
  <c r="D27" i="13" s="1"/>
  <c r="C35" i="13"/>
  <c r="D35" i="13" s="1" a="1"/>
  <c r="D35" i="13" s="1"/>
  <c r="C36" i="13"/>
  <c r="D36" i="13" s="1" a="1"/>
  <c r="D36" i="13" s="1"/>
  <c r="C37" i="13"/>
  <c r="E37" i="13" s="1" a="1"/>
  <c r="E37" i="13" s="1"/>
  <c r="C45" i="13"/>
  <c r="E45" i="13" s="1" a="1"/>
  <c r="E45" i="13" s="1"/>
  <c r="C46" i="13"/>
  <c r="E46" i="13" s="1" a="1"/>
  <c r="E46" i="13" s="1"/>
  <c r="C7" i="13"/>
  <c r="E7" i="13" s="1" a="1"/>
  <c r="E7" i="13" s="1"/>
  <c r="C9" i="13"/>
  <c r="D9" i="13" s="1" a="1"/>
  <c r="D9" i="13" s="1"/>
  <c r="C14" i="13"/>
  <c r="D14" i="13" s="1" a="1"/>
  <c r="D14" i="13" s="1"/>
  <c r="C18" i="13"/>
  <c r="D18" i="13" s="1" a="1"/>
  <c r="D18" i="13" s="1"/>
  <c r="C19" i="13"/>
  <c r="D19" i="13" s="1" a="1"/>
  <c r="D19" i="13" s="1"/>
  <c r="C25" i="13"/>
  <c r="D25" i="13" s="1" a="1"/>
  <c r="D25" i="13" s="1"/>
  <c r="C31" i="13"/>
  <c r="D31" i="13" s="1" a="1"/>
  <c r="D31" i="13" s="1"/>
  <c r="C28" i="13"/>
  <c r="D28" i="13" s="1" a="1"/>
  <c r="D28" i="13" s="1"/>
  <c r="C34" i="13"/>
  <c r="D34" i="13" s="1" a="1"/>
  <c r="D34" i="13" s="1"/>
  <c r="C44" i="13"/>
  <c r="D44" i="13" s="1" a="1"/>
  <c r="D44" i="13" s="1"/>
  <c r="C42" i="13"/>
  <c r="E42" i="13" s="1" a="1"/>
  <c r="E42" i="13" s="1"/>
  <c r="C43" i="13"/>
  <c r="E43" i="13" s="1" a="1"/>
  <c r="E43" i="13" s="1"/>
  <c r="C75" i="12"/>
  <c r="D75" i="12" s="1" a="1"/>
  <c r="D75" i="12" s="1"/>
  <c r="AJ15" i="12"/>
  <c r="AK15" i="12" s="1" a="1"/>
  <c r="AK15" i="12" s="1"/>
  <c r="AJ16" i="12"/>
  <c r="AK16" i="12" s="1" a="1"/>
  <c r="AK16" i="12" s="1"/>
  <c r="AJ17" i="12"/>
  <c r="AK17" i="12" s="1" a="1"/>
  <c r="AK17" i="12" s="1"/>
  <c r="AJ18" i="12"/>
  <c r="AK18" i="12" s="1" a="1"/>
  <c r="AK18" i="12" s="1"/>
  <c r="AJ33" i="12"/>
  <c r="AK33" i="12" s="1" a="1"/>
  <c r="AK33" i="12" s="1"/>
  <c r="AJ34" i="12"/>
  <c r="AK34" i="12" s="1" a="1"/>
  <c r="AK34" i="12" s="1"/>
  <c r="AJ35" i="12"/>
  <c r="AK35" i="12" s="1" a="1"/>
  <c r="AK35" i="12" s="1"/>
  <c r="AJ36" i="12"/>
  <c r="AK36" i="12" s="1" a="1"/>
  <c r="AK36" i="12" s="1"/>
  <c r="AJ67" i="12"/>
  <c r="AK67" i="12" s="1" a="1"/>
  <c r="AK67" i="12" s="1"/>
  <c r="AJ68" i="12"/>
  <c r="AK68" i="12" s="1" a="1"/>
  <c r="AK68" i="12" s="1"/>
  <c r="AJ69" i="12"/>
  <c r="AK69" i="12" s="1" a="1"/>
  <c r="AK69" i="12" s="1"/>
  <c r="AJ70" i="12"/>
  <c r="AK70" i="12" s="1" a="1"/>
  <c r="AK70" i="12" s="1"/>
  <c r="AJ19" i="12"/>
  <c r="AK19" i="12" s="1" a="1"/>
  <c r="AK19" i="12" s="1"/>
  <c r="AJ20" i="12"/>
  <c r="AK20" i="12" s="1" a="1"/>
  <c r="AK20" i="12" s="1"/>
  <c r="AJ21" i="12"/>
  <c r="AK21" i="12" s="1" a="1"/>
  <c r="AK21" i="12" s="1"/>
  <c r="AJ22" i="12"/>
  <c r="AK22" i="12" s="1" a="1"/>
  <c r="AK22" i="12" s="1"/>
  <c r="AJ23" i="12"/>
  <c r="AK23" i="12" s="1" a="1"/>
  <c r="AK23" i="12" s="1"/>
  <c r="AJ37" i="12"/>
  <c r="AK37" i="12" s="1" a="1"/>
  <c r="AK37" i="12" s="1"/>
  <c r="AJ38" i="12"/>
  <c r="AK38" i="12" s="1" a="1"/>
  <c r="AK38" i="12" s="1"/>
  <c r="AJ53" i="12"/>
  <c r="AK53" i="12" s="1" a="1"/>
  <c r="AK53" i="12" s="1"/>
  <c r="AJ54" i="12"/>
  <c r="AK54" i="12" s="1" a="1"/>
  <c r="AK54" i="12" s="1"/>
  <c r="AJ24" i="12"/>
  <c r="AK24" i="12" s="1" a="1"/>
  <c r="AK24" i="12" s="1"/>
  <c r="AJ71" i="12"/>
  <c r="AK71" i="12" s="1" a="1"/>
  <c r="AK71" i="12" s="1"/>
  <c r="AJ39" i="12"/>
  <c r="AK39" i="12" s="1" a="1"/>
  <c r="AK39" i="12" s="1"/>
  <c r="AJ55" i="12"/>
  <c r="AK55" i="12" s="1" a="1"/>
  <c r="AK55" i="12" s="1"/>
  <c r="AJ72" i="12"/>
  <c r="AK72" i="12" s="1" a="1"/>
  <c r="AK72" i="12" s="1"/>
  <c r="AJ97" i="12"/>
  <c r="AK97" i="12" s="1" a="1"/>
  <c r="AK97" i="12" s="1"/>
  <c r="AJ98" i="12"/>
  <c r="AK98" i="12" s="1" a="1"/>
  <c r="AK98" i="12" s="1"/>
  <c r="AJ40" i="12"/>
  <c r="AK40" i="12" s="1" a="1"/>
  <c r="AK40" i="12" s="1"/>
  <c r="AJ41" i="12"/>
  <c r="AK41" i="12" s="1" a="1"/>
  <c r="AK41" i="12" s="1"/>
  <c r="AJ73" i="12"/>
  <c r="AK73" i="12" s="1" a="1"/>
  <c r="AK73" i="12" s="1"/>
  <c r="AJ56" i="12"/>
  <c r="AK56" i="12" s="1" a="1"/>
  <c r="AK56" i="12" s="1"/>
  <c r="AJ99" i="12"/>
  <c r="AK99" i="12" s="1" a="1"/>
  <c r="AK99" i="12" s="1"/>
  <c r="AJ100" i="12"/>
  <c r="AK100" i="12" s="1" a="1"/>
  <c r="AK100" i="12" s="1"/>
  <c r="AJ42" i="12"/>
  <c r="AK42" i="12" s="1" a="1"/>
  <c r="AK42" i="12" s="1"/>
  <c r="AJ74" i="12"/>
  <c r="AK74" i="12" s="1" a="1"/>
  <c r="AK74" i="12" s="1"/>
  <c r="AJ57" i="12"/>
  <c r="AK57" i="12" s="1" a="1"/>
  <c r="AK57" i="12" s="1"/>
  <c r="AJ75" i="12"/>
  <c r="AK75" i="12" s="1" a="1"/>
  <c r="AK75" i="12" s="1"/>
  <c r="AJ58" i="12"/>
  <c r="AK58" i="12" s="1" a="1"/>
  <c r="AK58" i="12" s="1"/>
  <c r="AJ76" i="12"/>
  <c r="AK76" i="12" s="1" a="1"/>
  <c r="AK76" i="12" s="1"/>
  <c r="Y10" i="12"/>
  <c r="Z10" i="12" s="1" a="1"/>
  <c r="Z10" i="12" s="1"/>
  <c r="Y9" i="12"/>
  <c r="Z9" i="12" s="1" a="1"/>
  <c r="Z9" i="12" s="1"/>
  <c r="Y21" i="12"/>
  <c r="Z21" i="12" s="1" a="1"/>
  <c r="Z21" i="12" s="1"/>
  <c r="Y12" i="12"/>
  <c r="Z12" i="12" s="1" a="1"/>
  <c r="Z12" i="12" s="1"/>
  <c r="Y31" i="12"/>
  <c r="Z31" i="12" s="1" a="1"/>
  <c r="Z31" i="12" s="1"/>
  <c r="Y22" i="12"/>
  <c r="Z22" i="12" s="1" a="1"/>
  <c r="Z22" i="12" s="1"/>
  <c r="Y32" i="12"/>
  <c r="Z32" i="12" s="1" a="1"/>
  <c r="Z32" i="12" s="1"/>
  <c r="Y43" i="12"/>
  <c r="Z43" i="12" s="1" a="1"/>
  <c r="Z43" i="12" s="1"/>
  <c r="Y23" i="12"/>
  <c r="Z23" i="12" s="1" a="1"/>
  <c r="Z23" i="12" s="1"/>
  <c r="Y33" i="12"/>
  <c r="Z33" i="12" s="1" a="1"/>
  <c r="Z33" i="12" s="1"/>
  <c r="Y44" i="12"/>
  <c r="Z44" i="12" s="1" a="1"/>
  <c r="Z44" i="12" s="1"/>
  <c r="Y55" i="12"/>
  <c r="AA55" i="12" s="1" a="1"/>
  <c r="AA55" i="12" s="1"/>
  <c r="Y56" i="12"/>
  <c r="AA56" i="12" s="1" a="1"/>
  <c r="AA56" i="12" s="1"/>
  <c r="Y57" i="12"/>
  <c r="Z57" i="12" s="1" a="1"/>
  <c r="Z57" i="12" s="1"/>
  <c r="Y45" i="12"/>
  <c r="Z45" i="12" s="1" a="1"/>
  <c r="Z45" i="12" s="1"/>
  <c r="Y67" i="12"/>
  <c r="Z67" i="12" s="1" a="1"/>
  <c r="Z67" i="12" s="1"/>
  <c r="Y68" i="12"/>
  <c r="Z68" i="12" s="1" a="1"/>
  <c r="Z68" i="12" s="1"/>
  <c r="Y69" i="12"/>
  <c r="Z69" i="12" s="1" a="1"/>
  <c r="Z69" i="12" s="1"/>
  <c r="Y13" i="12"/>
  <c r="Z13" i="12" s="1" a="1"/>
  <c r="Z13" i="12" s="1"/>
  <c r="Y14" i="12"/>
  <c r="Z14" i="12" s="1" a="1"/>
  <c r="Z14" i="12" s="1"/>
  <c r="Y15" i="12"/>
  <c r="Z15" i="12" s="1" a="1"/>
  <c r="Z15" i="12" s="1"/>
  <c r="Y25" i="12"/>
  <c r="Z25" i="12" s="1" a="1"/>
  <c r="Z25" i="12" s="1"/>
  <c r="Y26" i="12"/>
  <c r="Z26" i="12" s="1" a="1"/>
  <c r="Z26" i="12" s="1"/>
  <c r="Y27" i="12"/>
  <c r="Z27" i="12" s="1" a="1"/>
  <c r="Z27" i="12" s="1"/>
  <c r="Y36" i="12"/>
  <c r="AA36" i="12" s="1" a="1"/>
  <c r="AA36" i="12" s="1"/>
  <c r="Y37" i="12"/>
  <c r="Z37" i="12" s="1" a="1"/>
  <c r="Z37" i="12" s="1"/>
  <c r="Y46" i="12"/>
  <c r="Z46" i="12" s="1" a="1"/>
  <c r="Z46" i="12" s="1"/>
  <c r="Y38" i="12"/>
  <c r="Z38" i="12" s="1" a="1"/>
  <c r="Z38" i="12" s="1"/>
  <c r="Y85" i="12"/>
  <c r="Z85" i="12" s="1" a="1"/>
  <c r="Z85" i="12" s="1"/>
  <c r="Y47" i="12"/>
  <c r="AA47" i="12" s="1" a="1"/>
  <c r="AA47" i="12" s="1"/>
  <c r="Y58" i="12"/>
  <c r="Z58" i="12" s="1" a="1"/>
  <c r="Z58" i="12" s="1"/>
  <c r="Y48" i="12"/>
  <c r="Z48" i="12" s="1" a="1"/>
  <c r="Z48" i="12" s="1"/>
  <c r="Y59" i="12"/>
  <c r="Z59" i="12" s="1" a="1"/>
  <c r="Z59" i="12" s="1"/>
  <c r="Y60" i="12"/>
  <c r="Z60" i="12" s="1" a="1"/>
  <c r="Z60" i="12" s="1"/>
  <c r="Y86" i="12"/>
  <c r="Z86" i="12" s="1" a="1"/>
  <c r="Z86" i="12" s="1"/>
  <c r="Y87" i="12"/>
  <c r="Z87" i="12" s="1" a="1"/>
  <c r="Z87" i="12" s="1"/>
  <c r="Y88" i="12"/>
  <c r="Z88" i="12" s="1" a="1"/>
  <c r="Z88" i="12" s="1"/>
  <c r="Y70" i="12"/>
  <c r="AA70" i="12" s="1" a="1"/>
  <c r="AA70" i="12" s="1"/>
  <c r="Y71" i="12"/>
  <c r="AA71" i="12" s="1" a="1"/>
  <c r="AA71" i="12" s="1"/>
  <c r="Y72" i="12"/>
  <c r="Z72" i="12" s="1" a="1"/>
  <c r="Z72" i="12" s="1"/>
  <c r="Y103" i="12"/>
  <c r="Z103" i="12" s="1" a="1"/>
  <c r="Z103" i="12" s="1"/>
  <c r="Y104" i="12"/>
  <c r="Z104" i="12" s="1" a="1"/>
  <c r="Z104" i="12" s="1"/>
  <c r="Y105" i="12"/>
  <c r="Z105" i="12" s="1" a="1"/>
  <c r="Z105" i="12" s="1"/>
  <c r="Y107" i="12"/>
  <c r="Z107" i="12" s="1" a="1"/>
  <c r="Z107" i="12" s="1"/>
  <c r="Y137" i="12"/>
  <c r="Z137" i="12" s="1" a="1"/>
  <c r="Z137" i="12" s="1"/>
  <c r="Y138" i="12"/>
  <c r="Z138" i="12" s="1" a="1"/>
  <c r="Z138" i="12" s="1"/>
  <c r="Y139" i="12"/>
  <c r="Z139" i="12" s="1" a="1"/>
  <c r="Z139" i="12" s="1"/>
  <c r="Y140" i="12"/>
  <c r="Z140" i="12" s="1" a="1"/>
  <c r="Z140" i="12" s="1"/>
  <c r="Y149" i="12"/>
  <c r="Z149" i="12" s="1" a="1"/>
  <c r="Z149" i="12" s="1"/>
  <c r="Y150" i="12"/>
  <c r="Z150" i="12" s="1" a="1"/>
  <c r="Z150" i="12" s="1"/>
  <c r="Y151" i="12"/>
  <c r="AA151" i="12" s="1" a="1"/>
  <c r="AA151" i="12" s="1"/>
  <c r="Y152" i="12"/>
  <c r="Z152" i="12" s="1" a="1"/>
  <c r="Z152" i="12" s="1"/>
  <c r="Y157" i="12"/>
  <c r="Z157" i="12" s="1" a="1"/>
  <c r="Z157" i="12" s="1"/>
  <c r="Y158" i="12"/>
  <c r="Z158" i="12" s="1" a="1"/>
  <c r="Z158" i="12" s="1"/>
  <c r="Y159" i="12"/>
  <c r="Z159" i="12" s="1" a="1"/>
  <c r="Z159" i="12" s="1"/>
  <c r="Y160" i="12"/>
  <c r="Z160" i="12" s="1" a="1"/>
  <c r="Z160" i="12" s="1"/>
  <c r="Y8" i="12"/>
  <c r="Z8" i="12" s="1" a="1"/>
  <c r="Z8" i="12" s="1"/>
  <c r="Y16" i="12"/>
  <c r="Z16" i="12" s="1" a="1"/>
  <c r="Z16" i="12" s="1"/>
  <c r="Y18" i="12"/>
  <c r="Z18" i="12" s="1" a="1"/>
  <c r="Z18" i="12" s="1"/>
  <c r="Y19" i="12"/>
  <c r="Z19" i="12" s="1" a="1"/>
  <c r="Z19" i="12" s="1"/>
  <c r="Y29" i="12"/>
  <c r="Z29" i="12" s="1" a="1"/>
  <c r="Z29" i="12" s="1"/>
  <c r="Y30" i="12"/>
  <c r="Z30" i="12" s="1" a="1"/>
  <c r="Z30" i="12" s="1"/>
  <c r="Y34" i="12"/>
  <c r="Z34" i="12" s="1" a="1"/>
  <c r="Z34" i="12" s="1"/>
  <c r="Y41" i="12"/>
  <c r="Z41" i="12" s="1" a="1"/>
  <c r="Z41" i="12" s="1"/>
  <c r="Y42" i="12"/>
  <c r="Z42" i="12" s="1" a="1"/>
  <c r="Z42" i="12" s="1"/>
  <c r="Y50" i="12"/>
  <c r="Z50" i="12" s="1" a="1"/>
  <c r="Z50" i="12" s="1"/>
  <c r="Y52" i="12"/>
  <c r="Z52" i="12" s="1" a="1"/>
  <c r="Z52" i="12" s="1"/>
  <c r="Y54" i="12"/>
  <c r="AA54" i="12" s="1" a="1"/>
  <c r="AA54" i="12" s="1"/>
  <c r="Y7" i="12"/>
  <c r="Z7" i="12" s="1" a="1"/>
  <c r="Z7" i="12" s="1"/>
  <c r="Y11" i="12"/>
  <c r="Z11" i="12" s="1" a="1"/>
  <c r="Z11" i="12" s="1"/>
  <c r="Y17" i="12"/>
  <c r="Z17" i="12" s="1" a="1"/>
  <c r="Z17" i="12" s="1"/>
  <c r="Y20" i="12"/>
  <c r="Z20" i="12" s="1" a="1"/>
  <c r="Z20" i="12" s="1"/>
  <c r="Y24" i="12"/>
  <c r="Z24" i="12" s="1" a="1"/>
  <c r="Z24" i="12" s="1"/>
  <c r="Y28" i="12"/>
  <c r="Z28" i="12" s="1" a="1"/>
  <c r="Z28" i="12" s="1"/>
  <c r="Y39" i="12"/>
  <c r="Z39" i="12" s="1" a="1"/>
  <c r="Z39" i="12" s="1"/>
  <c r="Y35" i="12"/>
  <c r="Z35" i="12" s="1" a="1"/>
  <c r="Z35" i="12" s="1"/>
  <c r="Y40" i="12"/>
  <c r="Z40" i="12" s="1" a="1"/>
  <c r="Z40" i="12" s="1"/>
  <c r="Y51" i="12"/>
  <c r="Z51" i="12" s="1" a="1"/>
  <c r="Z51" i="12" s="1"/>
  <c r="Y49" i="12"/>
  <c r="Z49" i="12" s="1" a="1"/>
  <c r="Z49" i="12" s="1"/>
  <c r="Y53" i="12"/>
  <c r="Z53" i="12" s="1" a="1"/>
  <c r="Z53" i="12" s="1"/>
  <c r="N10" i="12"/>
  <c r="P10" i="12" s="1" a="1"/>
  <c r="P10" i="12" s="1"/>
  <c r="N11" i="12"/>
  <c r="O11" i="12" s="1" a="1"/>
  <c r="O11" i="12" s="1"/>
  <c r="N20" i="12"/>
  <c r="O20" i="12" s="1" a="1"/>
  <c r="O20" i="12" s="1"/>
  <c r="N21" i="12"/>
  <c r="O21" i="12" s="1" a="1"/>
  <c r="O21" i="12" s="1"/>
  <c r="N27" i="12"/>
  <c r="O27" i="12" s="1" a="1"/>
  <c r="O27" i="12" s="1"/>
  <c r="N29" i="12"/>
  <c r="O29" i="12" s="1" a="1"/>
  <c r="O29" i="12" s="1"/>
  <c r="N37" i="12"/>
  <c r="O37" i="12" s="1" a="1"/>
  <c r="O37" i="12" s="1"/>
  <c r="N38" i="12"/>
  <c r="O38" i="12" s="1" a="1"/>
  <c r="O38" i="12" s="1"/>
  <c r="N47" i="12"/>
  <c r="O47" i="12" s="1" a="1"/>
  <c r="O47" i="12" s="1"/>
  <c r="N48" i="12"/>
  <c r="O48" i="12" s="1" a="1"/>
  <c r="O48" i="12" s="1"/>
  <c r="N57" i="12"/>
  <c r="O57" i="12" s="1" a="1"/>
  <c r="O57" i="12" s="1"/>
  <c r="N58" i="12"/>
  <c r="O58" i="12" s="1" a="1"/>
  <c r="O58" i="12" s="1"/>
  <c r="N73" i="12"/>
  <c r="O73" i="12" s="1" a="1"/>
  <c r="O73" i="12" s="1"/>
  <c r="N74" i="12"/>
  <c r="O74" i="12" s="1" a="1"/>
  <c r="O74" i="12" s="1"/>
  <c r="N75" i="12"/>
  <c r="P75" i="12" s="1" a="1"/>
  <c r="P75" i="12" s="1"/>
  <c r="N90" i="12"/>
  <c r="O90" i="12" s="1" a="1"/>
  <c r="O90" i="12" s="1"/>
  <c r="N91" i="12"/>
  <c r="O91" i="12" s="1" a="1"/>
  <c r="O91" i="12" s="1"/>
  <c r="N93" i="12"/>
  <c r="O93" i="12" s="1" a="1"/>
  <c r="O93" i="12" s="1"/>
  <c r="N123" i="12"/>
  <c r="O123" i="12" s="1" a="1"/>
  <c r="O123" i="12" s="1"/>
  <c r="N124" i="12"/>
  <c r="O124" i="12" s="1" a="1"/>
  <c r="O124" i="12" s="1"/>
  <c r="N125" i="12"/>
  <c r="O125" i="12" s="1" a="1"/>
  <c r="O125" i="12" s="1"/>
  <c r="N134" i="12"/>
  <c r="O134" i="12" s="1" a="1"/>
  <c r="O134" i="12" s="1"/>
  <c r="N135" i="12"/>
  <c r="O135" i="12" s="1" a="1"/>
  <c r="O135" i="12" s="1"/>
  <c r="N136" i="12"/>
  <c r="O136" i="12" s="1" a="1"/>
  <c r="O136" i="12" s="1"/>
  <c r="N141" i="12"/>
  <c r="O141" i="12" s="1" a="1"/>
  <c r="O141" i="12" s="1"/>
  <c r="N142" i="12"/>
  <c r="P142" i="12" s="1" a="1"/>
  <c r="P142" i="12" s="1"/>
  <c r="N143" i="12"/>
  <c r="P143" i="12" s="1" a="1"/>
  <c r="P143" i="12" s="1"/>
  <c r="N12" i="12"/>
  <c r="P12" i="12" s="1" a="1"/>
  <c r="P12" i="12" s="1"/>
  <c r="N13" i="12"/>
  <c r="P13" i="12" s="1" a="1"/>
  <c r="P13" i="12" s="1"/>
  <c r="N22" i="12"/>
  <c r="O22" i="12" s="1" a="1"/>
  <c r="O22" i="12" s="1"/>
  <c r="N23" i="12"/>
  <c r="O23" i="12" s="1" a="1"/>
  <c r="O23" i="12" s="1"/>
  <c r="N30" i="12"/>
  <c r="O30" i="12" s="1" a="1"/>
  <c r="O30" i="12" s="1"/>
  <c r="N31" i="12"/>
  <c r="O31" i="12" s="1" a="1"/>
  <c r="O31" i="12" s="1"/>
  <c r="N39" i="12"/>
  <c r="O39" i="12" s="1" a="1"/>
  <c r="O39" i="12" s="1"/>
  <c r="N40" i="12"/>
  <c r="O40" i="12" s="1" a="1"/>
  <c r="O40" i="12" s="1"/>
  <c r="N49" i="12"/>
  <c r="O49" i="12" s="1" a="1"/>
  <c r="O49" i="12" s="1"/>
  <c r="N50" i="12"/>
  <c r="O50" i="12" s="1" a="1"/>
  <c r="O50" i="12" s="1"/>
  <c r="N59" i="12"/>
  <c r="O59" i="12" s="1" a="1"/>
  <c r="O59" i="12" s="1"/>
  <c r="N60" i="12"/>
  <c r="O60" i="12" s="1" a="1"/>
  <c r="O60" i="12" s="1"/>
  <c r="N8" i="12"/>
  <c r="O8" i="12" s="1" a="1"/>
  <c r="O8" i="12" s="1"/>
  <c r="N15" i="12"/>
  <c r="O15" i="12" s="1" a="1"/>
  <c r="O15" i="12" s="1"/>
  <c r="N16" i="12"/>
  <c r="O16" i="12" s="1" a="1"/>
  <c r="O16" i="12" s="1"/>
  <c r="N19" i="12"/>
  <c r="O19" i="12" s="1" a="1"/>
  <c r="O19" i="12" s="1"/>
  <c r="N25" i="12"/>
  <c r="O25" i="12" s="1" a="1"/>
  <c r="O25" i="12" s="1"/>
  <c r="N26" i="12"/>
  <c r="O26" i="12" s="1" a="1"/>
  <c r="O26" i="12" s="1"/>
  <c r="N32" i="12"/>
  <c r="O32" i="12" s="1" a="1"/>
  <c r="O32" i="12" s="1"/>
  <c r="N34" i="12"/>
  <c r="O34" i="12" s="1" a="1"/>
  <c r="O34" i="12" s="1"/>
  <c r="N36" i="12"/>
  <c r="O36" i="12" s="1" a="1"/>
  <c r="O36" i="12" s="1"/>
  <c r="N43" i="12"/>
  <c r="O43" i="12" s="1" a="1"/>
  <c r="O43" i="12" s="1"/>
  <c r="N42" i="12"/>
  <c r="O42" i="12" s="1" a="1"/>
  <c r="O42" i="12" s="1"/>
  <c r="N45" i="12"/>
  <c r="O45" i="12" s="1" a="1"/>
  <c r="O45" i="12" s="1"/>
  <c r="N7" i="12"/>
  <c r="O7" i="12" s="1" a="1"/>
  <c r="O7" i="12" s="1"/>
  <c r="N9" i="12"/>
  <c r="O9" i="12" s="1" a="1"/>
  <c r="O9" i="12" s="1"/>
  <c r="N14" i="12"/>
  <c r="O14" i="12" s="1" a="1"/>
  <c r="O14" i="12" s="1"/>
  <c r="N17" i="12"/>
  <c r="O17" i="12" s="1" a="1"/>
  <c r="O17" i="12" s="1"/>
  <c r="N18" i="12"/>
  <c r="O18" i="12" s="1" a="1"/>
  <c r="O18" i="12" s="1"/>
  <c r="N24" i="12"/>
  <c r="O24" i="12" s="1" a="1"/>
  <c r="O24" i="12" s="1"/>
  <c r="N33" i="12"/>
  <c r="O33" i="12" s="1" a="1"/>
  <c r="O33" i="12" s="1"/>
  <c r="N28" i="12"/>
  <c r="O28" i="12" s="1" a="1"/>
  <c r="O28" i="12" s="1"/>
  <c r="N35" i="12"/>
  <c r="O35" i="12" s="1" a="1"/>
  <c r="O35" i="12" s="1"/>
  <c r="N44" i="12"/>
  <c r="O44" i="12" s="1" a="1"/>
  <c r="O44" i="12" s="1"/>
  <c r="N41" i="12"/>
  <c r="O41" i="12" s="1" a="1"/>
  <c r="O41" i="12" s="1"/>
  <c r="N46" i="12"/>
  <c r="O46" i="12" s="1" a="1"/>
  <c r="O46" i="12" s="1"/>
  <c r="C9" i="12"/>
  <c r="D9" i="12" s="1" a="1"/>
  <c r="D9" i="12" s="1"/>
  <c r="C10" i="12"/>
  <c r="D10" i="12" s="1" a="1"/>
  <c r="D10" i="12" s="1"/>
  <c r="C19" i="12"/>
  <c r="D19" i="12" s="1" a="1"/>
  <c r="D19" i="12" s="1"/>
  <c r="C38" i="12"/>
  <c r="D38" i="12" s="1" a="1"/>
  <c r="D38" i="12" s="1"/>
  <c r="C29" i="12"/>
  <c r="D29" i="12" s="1" a="1"/>
  <c r="D29" i="12" s="1"/>
  <c r="C47" i="12"/>
  <c r="D47" i="12" s="1" a="1"/>
  <c r="D47" i="12" s="1"/>
  <c r="C30" i="12"/>
  <c r="D30" i="12" s="1" a="1"/>
  <c r="D30" i="12" s="1"/>
  <c r="C48" i="12"/>
  <c r="D48" i="12" s="1" a="1"/>
  <c r="D48" i="12" s="1"/>
  <c r="C39" i="12"/>
  <c r="D39" i="12" s="1" a="1"/>
  <c r="D39" i="12" s="1"/>
  <c r="C20" i="12"/>
  <c r="D20" i="12" s="1" a="1"/>
  <c r="D20" i="12" s="1"/>
  <c r="C57" i="12"/>
  <c r="D57" i="12" s="1" a="1"/>
  <c r="D57" i="12" s="1"/>
  <c r="C58" i="12"/>
  <c r="E58" i="12" s="1" a="1"/>
  <c r="E58" i="12" s="1"/>
  <c r="C73" i="12"/>
  <c r="D73" i="12" s="1" a="1"/>
  <c r="D73" i="12" s="1"/>
  <c r="C74" i="12"/>
  <c r="E74" i="12" s="1" a="1"/>
  <c r="E74" i="12" s="1"/>
  <c r="C12" i="12"/>
  <c r="D12" i="12" s="1" a="1"/>
  <c r="D12" i="12" s="1"/>
  <c r="C13" i="12"/>
  <c r="D13" i="12" s="1" a="1"/>
  <c r="D13" i="12" s="1"/>
  <c r="C90" i="12"/>
  <c r="E90" i="12" s="1" a="1"/>
  <c r="E90" i="12" s="1"/>
  <c r="C91" i="12"/>
  <c r="D91" i="12" s="1" a="1"/>
  <c r="D91" i="12" s="1"/>
  <c r="C22" i="12"/>
  <c r="D22" i="12" s="1" a="1"/>
  <c r="D22" i="12" s="1"/>
  <c r="C23" i="12"/>
  <c r="D23" i="12" s="1" a="1"/>
  <c r="D23" i="12" s="1"/>
  <c r="C92" i="12"/>
  <c r="D92" i="12" s="1" a="1"/>
  <c r="D92" i="12" s="1"/>
  <c r="C32" i="12"/>
  <c r="D32" i="12" s="1" a="1"/>
  <c r="D32" i="12" s="1"/>
  <c r="C42" i="12"/>
  <c r="D42" i="12" s="1" a="1"/>
  <c r="D42" i="12" s="1"/>
  <c r="C33" i="12"/>
  <c r="E33" i="12" s="1" a="1"/>
  <c r="E33" i="12" s="1"/>
  <c r="C43" i="12"/>
  <c r="E43" i="12" s="1" a="1"/>
  <c r="E43" i="12" s="1"/>
  <c r="C50" i="12"/>
  <c r="D50" i="12" s="1" a="1"/>
  <c r="D50" i="12" s="1"/>
  <c r="C51" i="12"/>
  <c r="D51" i="12" s="1" a="1"/>
  <c r="D51" i="12" s="1"/>
  <c r="C59" i="12"/>
  <c r="D59" i="12" s="1" a="1"/>
  <c r="D59" i="12" s="1"/>
  <c r="C60" i="12"/>
  <c r="D60" i="12" s="1" a="1"/>
  <c r="D60" i="12" s="1"/>
  <c r="C123" i="12"/>
  <c r="D123" i="12" s="1" a="1"/>
  <c r="D123" i="12" s="1"/>
  <c r="C124" i="12"/>
  <c r="D124" i="12" s="1" a="1"/>
  <c r="D124" i="12" s="1"/>
  <c r="C125" i="12"/>
  <c r="D125" i="12" s="1" a="1"/>
  <c r="D125" i="12" s="1"/>
  <c r="C134" i="12"/>
  <c r="D134" i="12" s="1" a="1"/>
  <c r="D134" i="12" s="1"/>
  <c r="C135" i="12"/>
  <c r="D135" i="12" s="1" a="1"/>
  <c r="D135" i="12" s="1"/>
  <c r="C136" i="12"/>
  <c r="D136" i="12" s="1" a="1"/>
  <c r="D136" i="12" s="1"/>
  <c r="C141" i="12"/>
  <c r="D141" i="12" s="1" a="1"/>
  <c r="D141" i="12" s="1"/>
  <c r="C142" i="12"/>
  <c r="D142" i="12" s="1" a="1"/>
  <c r="D142" i="12" s="1"/>
  <c r="C143" i="12"/>
  <c r="D143" i="12" s="1" a="1"/>
  <c r="D143" i="12" s="1"/>
  <c r="C8" i="12"/>
  <c r="D8" i="12" s="1" a="1"/>
  <c r="D8" i="12" s="1"/>
  <c r="C14" i="12"/>
  <c r="D14" i="12" s="1" a="1"/>
  <c r="D14" i="12" s="1"/>
  <c r="C16" i="12"/>
  <c r="D16" i="12" s="1" a="1"/>
  <c r="D16" i="12" s="1"/>
  <c r="C18" i="12"/>
  <c r="D18" i="12" s="1" a="1"/>
  <c r="D18" i="12" s="1"/>
  <c r="C25" i="12"/>
  <c r="D25" i="12" s="1" a="1"/>
  <c r="D25" i="12" s="1"/>
  <c r="C26" i="12"/>
  <c r="D26" i="12" s="1" a="1"/>
  <c r="D26" i="12" s="1"/>
  <c r="C27" i="12"/>
  <c r="D27" i="12" s="1" a="1"/>
  <c r="D27" i="12" s="1"/>
  <c r="C34" i="12"/>
  <c r="E34" i="12" s="1" a="1"/>
  <c r="E34" i="12" s="1"/>
  <c r="C36" i="12"/>
  <c r="E36" i="12" s="1" a="1"/>
  <c r="E36" i="12" s="1"/>
  <c r="C37" i="12"/>
  <c r="D37" i="12" s="1" a="1"/>
  <c r="D37" i="12" s="1"/>
  <c r="C45" i="12"/>
  <c r="D45" i="12" s="1" a="1"/>
  <c r="D45" i="12" s="1"/>
  <c r="C46" i="12"/>
  <c r="D46" i="12" s="1" a="1"/>
  <c r="D46" i="12" s="1"/>
  <c r="C7" i="12"/>
  <c r="D7" i="12" s="1" a="1"/>
  <c r="D7" i="12" s="1"/>
  <c r="C11" i="12"/>
  <c r="D11" i="12" s="1" a="1"/>
  <c r="D11" i="12" s="1"/>
  <c r="C15" i="12"/>
  <c r="D15" i="12" s="1" a="1"/>
  <c r="D15" i="12" s="1"/>
  <c r="C17" i="12"/>
  <c r="D17" i="12" s="1" a="1"/>
  <c r="D17" i="12" s="1"/>
  <c r="C21" i="12"/>
  <c r="D21" i="12" s="1" a="1"/>
  <c r="D21" i="12" s="1"/>
  <c r="C24" i="12"/>
  <c r="D24" i="12" s="1" a="1"/>
  <c r="D24" i="12" s="1"/>
  <c r="C28" i="12"/>
  <c r="D28" i="12" s="1" a="1"/>
  <c r="D28" i="12" s="1"/>
  <c r="C31" i="12"/>
  <c r="D31" i="12" s="1" a="1"/>
  <c r="D31" i="12" s="1"/>
  <c r="C35" i="12"/>
  <c r="D35" i="12" s="1" a="1"/>
  <c r="D35" i="12" s="1"/>
  <c r="C41" i="12"/>
  <c r="D41" i="12" s="1" a="1"/>
  <c r="D41" i="12" s="1"/>
  <c r="C40" i="12"/>
  <c r="D40" i="12" s="1" a="1"/>
  <c r="D40" i="12" s="1"/>
  <c r="C44" i="12"/>
  <c r="D44" i="12" s="1" a="1"/>
  <c r="D44" i="12" s="1"/>
  <c r="C142" i="11"/>
  <c r="E142" i="11" s="1" a="1"/>
  <c r="E142" i="11" s="1"/>
  <c r="AJ15" i="11"/>
  <c r="AL15" i="11" s="1" a="1"/>
  <c r="AL15" i="11" s="1"/>
  <c r="AJ16" i="11"/>
  <c r="AL16" i="11" s="1" a="1"/>
  <c r="AL16" i="11" s="1"/>
  <c r="AJ17" i="11"/>
  <c r="AL17" i="11" s="1" a="1"/>
  <c r="AL17" i="11" s="1"/>
  <c r="AJ18" i="11"/>
  <c r="AL18" i="11" s="1" a="1"/>
  <c r="AL18" i="11" s="1"/>
  <c r="AJ19" i="11"/>
  <c r="AL19" i="11" s="1" a="1"/>
  <c r="AL19" i="11" s="1"/>
  <c r="AJ20" i="11"/>
  <c r="AL20" i="11" s="1" a="1"/>
  <c r="AL20" i="11" s="1"/>
  <c r="AJ21" i="11"/>
  <c r="AL21" i="11" s="1" a="1"/>
  <c r="AL21" i="11" s="1"/>
  <c r="AJ22" i="11"/>
  <c r="AL22" i="11" s="1" a="1"/>
  <c r="AL22" i="11" s="1"/>
  <c r="AJ23" i="11"/>
  <c r="AL23" i="11" s="1" a="1"/>
  <c r="AL23" i="11" s="1"/>
  <c r="AJ24" i="11"/>
  <c r="AL24" i="11" s="1" a="1"/>
  <c r="AL24" i="11" s="1"/>
  <c r="AJ33" i="11"/>
  <c r="AL33" i="11" s="1" a="1"/>
  <c r="AL33" i="11" s="1"/>
  <c r="AJ34" i="11"/>
  <c r="AL34" i="11" s="1" a="1"/>
  <c r="AL34" i="11" s="1"/>
  <c r="AJ35" i="11"/>
  <c r="AL35" i="11" s="1" a="1"/>
  <c r="AL35" i="11" s="1"/>
  <c r="AJ36" i="11"/>
  <c r="AL36" i="11" s="1" a="1"/>
  <c r="AL36" i="11" s="1"/>
  <c r="AJ37" i="11"/>
  <c r="AL37" i="11" s="1" a="1"/>
  <c r="AL37" i="11" s="1"/>
  <c r="AJ38" i="11"/>
  <c r="AL38" i="11" s="1" a="1"/>
  <c r="AL38" i="11" s="1"/>
  <c r="AJ39" i="11"/>
  <c r="AL39" i="11" s="1" a="1"/>
  <c r="AL39" i="11" s="1"/>
  <c r="AJ40" i="11"/>
  <c r="AL40" i="11" s="1" a="1"/>
  <c r="AL40" i="11" s="1"/>
  <c r="AJ41" i="11"/>
  <c r="AL41" i="11" s="1" a="1"/>
  <c r="AL41" i="11" s="1"/>
  <c r="AJ42" i="11"/>
  <c r="AL42" i="11" s="1" a="1"/>
  <c r="AL42" i="11" s="1"/>
  <c r="AJ53" i="11"/>
  <c r="AL53" i="11" s="1" a="1"/>
  <c r="AL53" i="11" s="1"/>
  <c r="AJ54" i="11"/>
  <c r="AL54" i="11" s="1" a="1"/>
  <c r="AL54" i="11" s="1"/>
  <c r="AJ55" i="11"/>
  <c r="AL55" i="11" s="1" a="1"/>
  <c r="AL55" i="11" s="1"/>
  <c r="AJ56" i="11"/>
  <c r="AL56" i="11" s="1" a="1"/>
  <c r="AL56" i="11" s="1"/>
  <c r="AJ57" i="11"/>
  <c r="AL57" i="11" s="1" a="1"/>
  <c r="AL57" i="11" s="1"/>
  <c r="AJ58" i="11"/>
  <c r="AL58" i="11" s="1" a="1"/>
  <c r="AL58" i="11" s="1"/>
  <c r="AJ67" i="11"/>
  <c r="AL67" i="11" s="1" a="1"/>
  <c r="AL67" i="11" s="1"/>
  <c r="AJ68" i="11"/>
  <c r="AL68" i="11" s="1" a="1"/>
  <c r="AL68" i="11" s="1"/>
  <c r="AJ69" i="11"/>
  <c r="AL69" i="11" s="1" a="1"/>
  <c r="AL69" i="11" s="1"/>
  <c r="AJ70" i="11"/>
  <c r="AL70" i="11" s="1" a="1"/>
  <c r="AL70" i="11" s="1"/>
  <c r="AJ71" i="11"/>
  <c r="AL71" i="11" s="1" a="1"/>
  <c r="AL71" i="11" s="1"/>
  <c r="AJ72" i="11"/>
  <c r="AL72" i="11" s="1" a="1"/>
  <c r="AL72" i="11" s="1"/>
  <c r="AJ73" i="11"/>
  <c r="AL73" i="11" s="1" a="1"/>
  <c r="AL73" i="11" s="1"/>
  <c r="AJ74" i="11"/>
  <c r="AL74" i="11" s="1" a="1"/>
  <c r="AL74" i="11" s="1"/>
  <c r="AJ75" i="11"/>
  <c r="AL75" i="11" s="1" a="1"/>
  <c r="AL75" i="11" s="1"/>
  <c r="AJ76" i="11"/>
  <c r="AL76" i="11" s="1" a="1"/>
  <c r="AL76" i="11" s="1"/>
  <c r="AJ97" i="11"/>
  <c r="AL97" i="11" s="1" a="1"/>
  <c r="AL97" i="11" s="1"/>
  <c r="AJ98" i="11"/>
  <c r="AL98" i="11" s="1" a="1"/>
  <c r="AL98" i="11" s="1"/>
  <c r="AJ99" i="11"/>
  <c r="AL99" i="11" s="1" a="1"/>
  <c r="AL99" i="11" s="1"/>
  <c r="AJ100" i="11"/>
  <c r="AL100" i="11" s="1" a="1"/>
  <c r="AL100" i="11" s="1"/>
  <c r="AK15" i="11"/>
  <c r="AK16" i="11"/>
  <c r="AK17" i="11"/>
  <c r="AK18" i="11"/>
  <c r="AK19" i="11"/>
  <c r="AK20" i="11"/>
  <c r="AK21" i="11"/>
  <c r="AK22" i="11"/>
  <c r="AK23" i="11"/>
  <c r="AK24" i="11"/>
  <c r="AK33" i="11"/>
  <c r="AK34" i="11"/>
  <c r="AK35" i="11"/>
  <c r="AK36" i="11"/>
  <c r="AK37" i="11"/>
  <c r="AK38" i="11"/>
  <c r="AK39" i="11"/>
  <c r="AK40" i="11"/>
  <c r="AK41" i="11"/>
  <c r="AK42" i="11"/>
  <c r="AK53" i="11"/>
  <c r="AK54" i="11"/>
  <c r="AK55" i="11"/>
  <c r="AK56" i="11"/>
  <c r="AK57" i="11"/>
  <c r="AK58" i="11"/>
  <c r="AK67" i="11"/>
  <c r="AK68" i="11"/>
  <c r="AK69" i="11"/>
  <c r="AK70" i="11"/>
  <c r="AK71" i="11"/>
  <c r="AK72" i="11"/>
  <c r="AK73" i="11"/>
  <c r="AK74" i="11"/>
  <c r="AK75" i="11"/>
  <c r="AK76" i="11"/>
  <c r="AK97" i="11"/>
  <c r="AK98" i="11"/>
  <c r="AK99" i="11"/>
  <c r="AK100" i="11"/>
  <c r="N7" i="11"/>
  <c r="O7" i="11" s="1" a="1"/>
  <c r="O7" i="11" s="1"/>
  <c r="N8" i="11"/>
  <c r="O8" i="11" s="1" a="1"/>
  <c r="O8" i="11" s="1"/>
  <c r="N9" i="11"/>
  <c r="O9" i="11" s="1" a="1"/>
  <c r="O9" i="11" s="1"/>
  <c r="N10" i="11"/>
  <c r="O10" i="11" s="1" a="1"/>
  <c r="O10" i="11" s="1"/>
  <c r="N11" i="11"/>
  <c r="P11" i="11" s="1" a="1"/>
  <c r="P11" i="11" s="1"/>
  <c r="N12" i="11"/>
  <c r="P12" i="11" s="1" a="1"/>
  <c r="P12" i="11" s="1"/>
  <c r="N13" i="11"/>
  <c r="P13" i="11" s="1" a="1"/>
  <c r="P13" i="11" s="1"/>
  <c r="N14" i="11"/>
  <c r="O14" i="11" s="1" a="1"/>
  <c r="O14" i="11" s="1"/>
  <c r="N15" i="11"/>
  <c r="O15" i="11" s="1" a="1"/>
  <c r="O15" i="11" s="1"/>
  <c r="N16" i="11"/>
  <c r="O16" i="11" s="1" a="1"/>
  <c r="O16" i="11" s="1"/>
  <c r="N17" i="11"/>
  <c r="O17" i="11" s="1" a="1"/>
  <c r="O17" i="11" s="1"/>
  <c r="N18" i="11"/>
  <c r="O18" i="11" s="1" a="1"/>
  <c r="O18" i="11" s="1"/>
  <c r="N19" i="11"/>
  <c r="O19" i="11" s="1" a="1"/>
  <c r="O19" i="11" s="1"/>
  <c r="N20" i="11"/>
  <c r="O20" i="11" s="1" a="1"/>
  <c r="O20" i="11" s="1"/>
  <c r="N21" i="11"/>
  <c r="P21" i="11" s="1" a="1"/>
  <c r="P21" i="11" s="1"/>
  <c r="N22" i="11"/>
  <c r="O22" i="11" s="1" a="1"/>
  <c r="O22" i="11" s="1"/>
  <c r="N23" i="11"/>
  <c r="O23" i="11" s="1" a="1"/>
  <c r="O23" i="11" s="1"/>
  <c r="N24" i="11"/>
  <c r="O24" i="11" s="1" a="1"/>
  <c r="O24" i="11" s="1"/>
  <c r="N25" i="11"/>
  <c r="O25" i="11" s="1" a="1"/>
  <c r="O25" i="11" s="1"/>
  <c r="N26" i="11"/>
  <c r="O26" i="11" s="1" a="1"/>
  <c r="O26" i="11" s="1"/>
  <c r="N27" i="11"/>
  <c r="O27" i="11" s="1" a="1"/>
  <c r="O27" i="11" s="1"/>
  <c r="N28" i="11"/>
  <c r="P28" i="11" s="1" a="1"/>
  <c r="P28" i="11" s="1"/>
  <c r="N29" i="11"/>
  <c r="O29" i="11" s="1" a="1"/>
  <c r="O29" i="11" s="1"/>
  <c r="N30" i="11"/>
  <c r="O30" i="11" s="1" a="1"/>
  <c r="O30" i="11" s="1"/>
  <c r="N31" i="11"/>
  <c r="O31" i="11" s="1" a="1"/>
  <c r="O31" i="11" s="1"/>
  <c r="N32" i="11"/>
  <c r="O32" i="11" s="1" a="1"/>
  <c r="O32" i="11" s="1"/>
  <c r="N33" i="11"/>
  <c r="O33" i="11" s="1" a="1"/>
  <c r="O33" i="11" s="1"/>
  <c r="N34" i="11"/>
  <c r="O34" i="11" s="1" a="1"/>
  <c r="O34" i="11" s="1"/>
  <c r="N35" i="11"/>
  <c r="P35" i="11" s="1" a="1"/>
  <c r="P35" i="11" s="1"/>
  <c r="N36" i="11"/>
  <c r="O36" i="11" s="1" a="1"/>
  <c r="O36" i="11" s="1"/>
  <c r="N37" i="11"/>
  <c r="O37" i="11" s="1" a="1"/>
  <c r="O37" i="11" s="1"/>
  <c r="N38" i="11"/>
  <c r="O38" i="11" s="1" a="1"/>
  <c r="O38" i="11" s="1"/>
  <c r="N39" i="11"/>
  <c r="O39" i="11" s="1" a="1"/>
  <c r="O39" i="11" s="1"/>
  <c r="N40" i="11"/>
  <c r="O40" i="11" s="1" a="1"/>
  <c r="O40" i="11" s="1"/>
  <c r="N41" i="11"/>
  <c r="O41" i="11" s="1" a="1"/>
  <c r="O41" i="11" s="1"/>
  <c r="N42" i="11"/>
  <c r="O42" i="11" s="1" a="1"/>
  <c r="O42" i="11" s="1"/>
  <c r="N43" i="11"/>
  <c r="O43" i="11" s="1" a="1"/>
  <c r="O43" i="11" s="1"/>
  <c r="N44" i="11"/>
  <c r="O44" i="11" s="1" a="1"/>
  <c r="O44" i="11" s="1"/>
  <c r="N45" i="11"/>
  <c r="O45" i="11" s="1" a="1"/>
  <c r="O45" i="11" s="1"/>
  <c r="N46" i="11"/>
  <c r="O46" i="11" s="1" a="1"/>
  <c r="O46" i="11" s="1"/>
  <c r="N47" i="11"/>
  <c r="O47" i="11" s="1" a="1"/>
  <c r="O47" i="11" s="1"/>
  <c r="N49" i="11"/>
  <c r="O49" i="11" s="1" a="1"/>
  <c r="O49" i="11" s="1"/>
  <c r="N50" i="11"/>
  <c r="P50" i="11" s="1" a="1"/>
  <c r="P50" i="11" s="1"/>
  <c r="N51" i="11"/>
  <c r="O51" i="11" s="1" a="1"/>
  <c r="O51" i="11" s="1"/>
  <c r="N57" i="11"/>
  <c r="O57" i="11" s="1" a="1"/>
  <c r="O57" i="11" s="1"/>
  <c r="N58" i="11"/>
  <c r="O58" i="11" s="1" a="1"/>
  <c r="O58" i="11" s="1"/>
  <c r="N59" i="11"/>
  <c r="O59" i="11" s="1" a="1"/>
  <c r="O59" i="11" s="1"/>
  <c r="N60" i="11"/>
  <c r="O60" i="11" s="1" a="1"/>
  <c r="O60" i="11" s="1"/>
  <c r="N74" i="11"/>
  <c r="O74" i="11" s="1" a="1"/>
  <c r="O74" i="11" s="1"/>
  <c r="N91" i="11"/>
  <c r="O91" i="11" s="1" a="1"/>
  <c r="O91" i="11" s="1"/>
  <c r="N122" i="11"/>
  <c r="O122" i="11" s="1" a="1"/>
  <c r="O122" i="11" s="1"/>
  <c r="N134" i="11"/>
  <c r="O134" i="11" s="1" a="1"/>
  <c r="O134" i="11" s="1"/>
  <c r="N142" i="11"/>
  <c r="O142" i="11" s="1" a="1"/>
  <c r="O142" i="11" s="1"/>
  <c r="C7" i="11"/>
  <c r="D7" i="11" s="1" a="1"/>
  <c r="D7" i="11" s="1"/>
  <c r="C8" i="11"/>
  <c r="D8" i="11" s="1" a="1"/>
  <c r="D8" i="11" s="1"/>
  <c r="C9" i="11"/>
  <c r="D9" i="11" s="1" a="1"/>
  <c r="D9" i="11" s="1"/>
  <c r="C10" i="11"/>
  <c r="D10" i="11" s="1" a="1"/>
  <c r="D10" i="11" s="1"/>
  <c r="C11" i="11"/>
  <c r="D11" i="11" s="1" a="1"/>
  <c r="D11" i="11" s="1"/>
  <c r="C12" i="11"/>
  <c r="D12" i="11" s="1" a="1"/>
  <c r="D12" i="11" s="1"/>
  <c r="C13" i="11"/>
  <c r="D13" i="11" s="1" a="1"/>
  <c r="D13" i="11" s="1"/>
  <c r="C14" i="11"/>
  <c r="D14" i="11" s="1" a="1"/>
  <c r="D14" i="11" s="1"/>
  <c r="C15" i="11"/>
  <c r="D15" i="11" s="1" a="1"/>
  <c r="D15" i="11" s="1"/>
  <c r="C16" i="11"/>
  <c r="D16" i="11" s="1" a="1"/>
  <c r="D16" i="11" s="1"/>
  <c r="C17" i="11"/>
  <c r="D17" i="11" s="1" a="1"/>
  <c r="D17" i="11" s="1"/>
  <c r="C18" i="11"/>
  <c r="D18" i="11" s="1" a="1"/>
  <c r="D18" i="11" s="1"/>
  <c r="C19" i="11"/>
  <c r="D19" i="11" s="1" a="1"/>
  <c r="D19" i="11" s="1"/>
  <c r="C20" i="11"/>
  <c r="D20" i="11" s="1" a="1"/>
  <c r="D20" i="11" s="1"/>
  <c r="C21" i="11"/>
  <c r="D21" i="11" s="1" a="1"/>
  <c r="D21" i="11" s="1"/>
  <c r="C22" i="11"/>
  <c r="D22" i="11" s="1" a="1"/>
  <c r="D22" i="11" s="1"/>
  <c r="C23" i="11"/>
  <c r="D23" i="11" s="1" a="1"/>
  <c r="D23" i="11" s="1"/>
  <c r="C24" i="11"/>
  <c r="D24" i="11" s="1" a="1"/>
  <c r="D24" i="11" s="1"/>
  <c r="C25" i="11"/>
  <c r="D25" i="11" s="1" a="1"/>
  <c r="D25" i="11" s="1"/>
  <c r="C26" i="11"/>
  <c r="D26" i="11" s="1" a="1"/>
  <c r="D26" i="11" s="1"/>
  <c r="C27" i="11"/>
  <c r="D27" i="11" s="1" a="1"/>
  <c r="D27" i="11" s="1"/>
  <c r="C28" i="11"/>
  <c r="D28" i="11" s="1" a="1"/>
  <c r="D28" i="11" s="1"/>
  <c r="C29" i="11"/>
  <c r="D29" i="11" s="1" a="1"/>
  <c r="D29" i="11" s="1"/>
  <c r="C30" i="11"/>
  <c r="D30" i="11" s="1" a="1"/>
  <c r="D30" i="11" s="1"/>
  <c r="C31" i="11"/>
  <c r="E31" i="11" s="1" a="1"/>
  <c r="E31" i="11" s="1"/>
  <c r="C32" i="11"/>
  <c r="E32" i="11" s="1" a="1"/>
  <c r="E32" i="11" s="1"/>
  <c r="C33" i="11"/>
  <c r="D33" i="11" s="1" a="1"/>
  <c r="D33" i="11" s="1"/>
  <c r="C34" i="11"/>
  <c r="D34" i="11" s="1" a="1"/>
  <c r="D34" i="11" s="1"/>
  <c r="C35" i="11"/>
  <c r="D35" i="11" s="1" a="1"/>
  <c r="D35" i="11" s="1"/>
  <c r="C36" i="11"/>
  <c r="D36" i="11" s="1" a="1"/>
  <c r="D36" i="11" s="1"/>
  <c r="C37" i="11"/>
  <c r="D37" i="11" s="1" a="1"/>
  <c r="D37" i="11" s="1"/>
  <c r="C38" i="11"/>
  <c r="D38" i="11" s="1" a="1"/>
  <c r="D38" i="11" s="1"/>
  <c r="C39" i="11"/>
  <c r="D39" i="11" s="1" a="1"/>
  <c r="D39" i="11" s="1"/>
  <c r="C40" i="11"/>
  <c r="D40" i="11" s="1" a="1"/>
  <c r="D40" i="11" s="1"/>
  <c r="C41" i="11"/>
  <c r="D41" i="11" s="1" a="1"/>
  <c r="D41" i="11" s="1"/>
  <c r="C42" i="11"/>
  <c r="E42" i="11" s="1" a="1"/>
  <c r="E42" i="11" s="1"/>
  <c r="C43" i="11"/>
  <c r="D43" i="11" s="1" a="1"/>
  <c r="D43" i="11" s="1"/>
  <c r="C44" i="11"/>
  <c r="D44" i="11" s="1" a="1"/>
  <c r="D44" i="11" s="1"/>
  <c r="C45" i="11"/>
  <c r="D45" i="11" s="1" a="1"/>
  <c r="D45" i="11" s="1"/>
  <c r="C46" i="11"/>
  <c r="D46" i="11" s="1" a="1"/>
  <c r="D46" i="11" s="1"/>
  <c r="C48" i="11"/>
  <c r="D48" i="11" s="1" a="1"/>
  <c r="D48" i="11" s="1"/>
  <c r="C49" i="11"/>
  <c r="D49" i="11" s="1" a="1"/>
  <c r="D49" i="11" s="1"/>
  <c r="C50" i="11"/>
  <c r="D50" i="11" s="1" a="1"/>
  <c r="D50" i="11" s="1"/>
  <c r="C51" i="11"/>
  <c r="D51" i="11" s="1" a="1"/>
  <c r="D51" i="11" s="1"/>
  <c r="C57" i="11"/>
  <c r="D57" i="11" s="1" a="1"/>
  <c r="D57" i="11" s="1"/>
  <c r="C58" i="11"/>
  <c r="D58" i="11" s="1" a="1"/>
  <c r="D58" i="11" s="1"/>
  <c r="C59" i="11"/>
  <c r="D59" i="11" s="1" a="1"/>
  <c r="D59" i="11" s="1"/>
  <c r="C60" i="11"/>
  <c r="D60" i="11" s="1" a="1"/>
  <c r="D60" i="11" s="1"/>
  <c r="C74" i="11"/>
  <c r="E74" i="11" s="1" a="1"/>
  <c r="E74" i="11" s="1"/>
  <c r="C92" i="11"/>
  <c r="E92" i="11" s="1" a="1"/>
  <c r="E92" i="11" s="1"/>
  <c r="C122" i="11"/>
  <c r="E122" i="11" s="1" a="1"/>
  <c r="E122" i="11" s="1"/>
  <c r="C134" i="11"/>
  <c r="E134" i="11" s="1" a="1"/>
  <c r="E134" i="11" s="1"/>
  <c r="C4" i="10"/>
  <c r="E4" i="10" s="1" a="1"/>
  <c r="E4" i="10" s="1"/>
  <c r="C3" i="10"/>
  <c r="D3" i="10" s="1" a="1"/>
  <c r="D3" i="10" s="1"/>
  <c r="C5" i="10"/>
  <c r="E5" i="10" s="1" a="1"/>
  <c r="E5" i="10" s="1"/>
  <c r="C6" i="10"/>
  <c r="D6" i="10" s="1" a="1"/>
  <c r="D6" i="10" s="1"/>
  <c r="C7" i="10"/>
  <c r="D7" i="10" s="1" a="1"/>
  <c r="D7" i="10" s="1"/>
  <c r="C8" i="10"/>
  <c r="D8" i="10" s="1" a="1"/>
  <c r="D8" i="10" s="1"/>
  <c r="C9" i="10"/>
  <c r="D9" i="10" s="1" a="1"/>
  <c r="D9" i="10" s="1"/>
  <c r="C10" i="10"/>
  <c r="D10" i="10" s="1" a="1"/>
  <c r="D10" i="10" s="1"/>
  <c r="C11" i="10"/>
  <c r="D11" i="10" s="1" a="1"/>
  <c r="D11" i="10" s="1"/>
  <c r="C12" i="10"/>
  <c r="D12" i="10" s="1" a="1"/>
  <c r="D12" i="10" s="1"/>
  <c r="C13" i="10"/>
  <c r="D13" i="10" s="1" a="1"/>
  <c r="D13" i="10" s="1"/>
  <c r="C14" i="10"/>
  <c r="D14" i="10" s="1" a="1"/>
  <c r="D14" i="10" s="1"/>
  <c r="C15" i="10"/>
  <c r="D15" i="10" s="1" a="1"/>
  <c r="D15" i="10" s="1"/>
  <c r="C16" i="10"/>
  <c r="D16" i="10" s="1" a="1"/>
  <c r="D16" i="10" s="1"/>
  <c r="C17" i="10"/>
  <c r="E17" i="10" s="1" a="1"/>
  <c r="E17" i="10" s="1"/>
  <c r="C18" i="10"/>
  <c r="E18" i="10" s="1" a="1"/>
  <c r="E18" i="10" s="1"/>
  <c r="C19" i="10"/>
  <c r="D19" i="10" s="1" a="1"/>
  <c r="D19" i="10" s="1"/>
  <c r="C20" i="10"/>
  <c r="D20" i="10" s="1" a="1"/>
  <c r="D20" i="10" s="1"/>
  <c r="C21" i="10"/>
  <c r="D21" i="10" s="1" a="1"/>
  <c r="D21" i="10" s="1"/>
  <c r="C22" i="10"/>
  <c r="D22" i="10" s="1" a="1"/>
  <c r="D22" i="10" s="1"/>
  <c r="C23" i="10"/>
  <c r="D23" i="10" s="1" a="1"/>
  <c r="D23" i="10" s="1"/>
  <c r="C24" i="10"/>
  <c r="D24" i="10" s="1" a="1"/>
  <c r="D24" i="10" s="1"/>
  <c r="C25" i="10"/>
  <c r="D25" i="10" s="1" a="1"/>
  <c r="D25" i="10" s="1"/>
  <c r="C26" i="10"/>
  <c r="D26" i="10" s="1" a="1"/>
  <c r="D26" i="10" s="1"/>
  <c r="C27" i="10"/>
  <c r="D27" i="10" s="1" a="1"/>
  <c r="D27" i="10" s="1"/>
  <c r="C28" i="10"/>
  <c r="E28" i="10" s="1" a="1"/>
  <c r="E28" i="10" s="1"/>
  <c r="C29" i="10"/>
  <c r="D29" i="10" s="1" a="1"/>
  <c r="D29" i="10" s="1"/>
  <c r="C30" i="10"/>
  <c r="D30" i="10" s="1" a="1"/>
  <c r="D30" i="10" s="1"/>
  <c r="C31" i="10"/>
  <c r="D31" i="10" s="1" a="1"/>
  <c r="D31" i="10" s="1"/>
  <c r="C32" i="10"/>
  <c r="D32" i="10" s="1" a="1"/>
  <c r="D32" i="10" s="1"/>
  <c r="C33" i="10"/>
  <c r="D33" i="10" s="1" a="1"/>
  <c r="D33" i="10" s="1"/>
  <c r="C34" i="10"/>
  <c r="E34" i="10" s="1" a="1"/>
  <c r="E34" i="10" s="1"/>
  <c r="C35" i="10"/>
  <c r="D35" i="10" s="1" a="1"/>
  <c r="D35" i="10" s="1"/>
  <c r="C36" i="10"/>
  <c r="E36" i="10" s="1" a="1"/>
  <c r="E36" i="10" s="1"/>
  <c r="C37" i="10"/>
  <c r="D37" i="10" s="1" a="1"/>
  <c r="D37" i="10" s="1"/>
  <c r="C38" i="10"/>
  <c r="D38" i="10" s="1" a="1"/>
  <c r="D38" i="10" s="1"/>
  <c r="C39" i="10"/>
  <c r="D39" i="10" s="1" a="1"/>
  <c r="D39" i="10" s="1"/>
  <c r="C40" i="10"/>
  <c r="D40" i="10" s="1" a="1"/>
  <c r="D40" i="10" s="1"/>
  <c r="C41" i="10"/>
  <c r="E41" i="10" s="1" a="1"/>
  <c r="E41" i="10" s="1"/>
  <c r="C42" i="10"/>
  <c r="E42" i="10" s="1" a="1"/>
  <c r="E42" i="10" s="1"/>
  <c r="C43" i="10"/>
  <c r="D43" i="10" s="1" a="1"/>
  <c r="D43" i="10" s="1"/>
  <c r="C44" i="10"/>
  <c r="D44" i="10" s="1" a="1"/>
  <c r="D44" i="10" s="1"/>
  <c r="C45" i="10"/>
  <c r="D45" i="10" s="1" a="1"/>
  <c r="D45" i="10" s="1"/>
  <c r="C46" i="10"/>
  <c r="D46" i="10" s="1" a="1"/>
  <c r="D46" i="10" s="1"/>
  <c r="C47" i="10"/>
  <c r="D47" i="10" s="1" a="1"/>
  <c r="D47" i="10" s="1"/>
  <c r="C48" i="10"/>
  <c r="D48" i="10" s="1" a="1"/>
  <c r="D48" i="10" s="1"/>
  <c r="C49" i="10"/>
  <c r="D49" i="10" s="1" a="1"/>
  <c r="D49" i="10" s="1"/>
  <c r="C50" i="10"/>
  <c r="D50" i="10" s="1" a="1"/>
  <c r="D50" i="10" s="1"/>
  <c r="C51" i="10"/>
  <c r="E51" i="10" s="1" a="1"/>
  <c r="E51" i="10" s="1"/>
  <c r="C52" i="10"/>
  <c r="D52" i="10" s="1" a="1"/>
  <c r="D52" i="10" s="1"/>
  <c r="C53" i="10"/>
  <c r="D53" i="10" s="1" a="1"/>
  <c r="D53" i="10" s="1"/>
  <c r="C54" i="10"/>
  <c r="D54" i="10" s="1" a="1"/>
  <c r="D54" i="10" s="1"/>
  <c r="C55" i="10"/>
  <c r="D55" i="10" s="1" a="1"/>
  <c r="D55" i="10" s="1"/>
  <c r="C56" i="10"/>
  <c r="E56" i="10" s="1" a="1"/>
  <c r="E56" i="10" s="1"/>
  <c r="C57" i="10"/>
  <c r="E57" i="10" s="1" a="1"/>
  <c r="E57" i="10" s="1"/>
  <c r="C58" i="10"/>
  <c r="E58" i="10" s="1" a="1"/>
  <c r="E58" i="10" s="1"/>
  <c r="C59" i="10"/>
  <c r="D59" i="10" s="1" a="1"/>
  <c r="D59" i="10" s="1"/>
  <c r="C60" i="10"/>
  <c r="D60" i="10" s="1" a="1"/>
  <c r="D60" i="10" s="1"/>
  <c r="C61" i="10"/>
  <c r="D61" i="10" s="1" a="1"/>
  <c r="D61" i="10" s="1"/>
  <c r="C62" i="10"/>
  <c r="D62" i="10" s="1" a="1"/>
  <c r="D62" i="10" s="1"/>
  <c r="C63" i="10"/>
  <c r="E63" i="10" s="1" a="1"/>
  <c r="E63" i="10" s="1"/>
  <c r="C64" i="10"/>
  <c r="D64" i="10" s="1" a="1"/>
  <c r="D64" i="10" s="1"/>
  <c r="C65" i="10"/>
  <c r="D65" i="10" s="1" a="1"/>
  <c r="D65" i="10" s="1"/>
  <c r="C66" i="10"/>
  <c r="D66" i="10" s="1" a="1"/>
  <c r="D66" i="10" s="1"/>
  <c r="C67" i="10"/>
  <c r="E67" i="10" s="1" a="1"/>
  <c r="E67" i="10" s="1"/>
  <c r="C68" i="10"/>
  <c r="E68" i="10" s="1" a="1"/>
  <c r="E68" i="10" s="1"/>
  <c r="C69" i="10"/>
  <c r="D69" i="10" s="1" a="1"/>
  <c r="D69" i="10" s="1"/>
  <c r="C70" i="10"/>
  <c r="D70" i="10" s="1" a="1"/>
  <c r="D70" i="10" s="1"/>
  <c r="C71" i="10"/>
  <c r="E71" i="10" s="1" a="1"/>
  <c r="E71" i="10" s="1"/>
  <c r="C72" i="10"/>
  <c r="E72" i="10" s="1" a="1"/>
  <c r="E72" i="10" s="1"/>
  <c r="C73" i="10"/>
  <c r="E73" i="10" s="1" a="1"/>
  <c r="E73" i="10" s="1"/>
  <c r="C74" i="10"/>
  <c r="D74" i="10" s="1" a="1"/>
  <c r="D74" i="10" s="1"/>
  <c r="C75" i="10"/>
  <c r="E75" i="10" s="1" a="1"/>
  <c r="E75" i="10" s="1"/>
  <c r="C76" i="10"/>
  <c r="D76" i="10" s="1" a="1"/>
  <c r="D76" i="10" s="1"/>
  <c r="C77" i="10"/>
  <c r="E77" i="10" s="1" a="1"/>
  <c r="E77" i="10" s="1"/>
  <c r="C78" i="10"/>
  <c r="D78" i="10" s="1" a="1"/>
  <c r="D78" i="10" s="1"/>
  <c r="C79" i="10"/>
  <c r="E79" i="10" s="1" a="1"/>
  <c r="E79" i="10" s="1"/>
  <c r="C80" i="10"/>
  <c r="D80" i="10" s="1" a="1"/>
  <c r="D80" i="10" s="1"/>
  <c r="C81" i="10"/>
  <c r="D81" i="10" s="1" a="1"/>
  <c r="D81" i="10" s="1"/>
  <c r="C82" i="10"/>
  <c r="D82" i="10" s="1" a="1"/>
  <c r="D82" i="10" s="1"/>
  <c r="C83" i="10"/>
  <c r="E83" i="10" s="1" a="1"/>
  <c r="E83" i="10" s="1"/>
  <c r="C84" i="10"/>
  <c r="D84" i="10" s="1" a="1"/>
  <c r="D84" i="10" s="1"/>
  <c r="C85" i="10"/>
  <c r="D85" i="10" s="1" a="1"/>
  <c r="D85" i="10" s="1"/>
  <c r="C86" i="10"/>
  <c r="D86" i="10" s="1" a="1"/>
  <c r="D86" i="10" s="1"/>
  <c r="C87" i="10"/>
  <c r="D87" i="10" s="1" a="1"/>
  <c r="D87" i="10" s="1"/>
  <c r="C88" i="10"/>
  <c r="D88" i="10" s="1" a="1"/>
  <c r="D88" i="10" s="1"/>
  <c r="C89" i="10"/>
  <c r="D89" i="10" s="1" a="1"/>
  <c r="D89" i="10" s="1"/>
  <c r="C90" i="10"/>
  <c r="D90" i="10" s="1" a="1"/>
  <c r="D90" i="10" s="1"/>
  <c r="C91" i="10"/>
  <c r="D91" i="10" s="1" a="1"/>
  <c r="D91" i="10" s="1"/>
  <c r="C92" i="10"/>
  <c r="D92" i="10" s="1" a="1"/>
  <c r="D92" i="10" s="1"/>
  <c r="C93" i="10"/>
  <c r="D93" i="10" s="1" a="1"/>
  <c r="D93" i="10" s="1"/>
  <c r="C94" i="10"/>
  <c r="D94" i="10" s="1" a="1"/>
  <c r="D94" i="10" s="1"/>
  <c r="C95" i="10"/>
  <c r="D95" i="10" s="1" a="1"/>
  <c r="D95" i="10" s="1"/>
  <c r="C96" i="10"/>
  <c r="D96" i="10" s="1" a="1"/>
  <c r="D96" i="10" s="1"/>
  <c r="C97" i="10"/>
  <c r="D97" i="10" s="1" a="1"/>
  <c r="D97" i="10" s="1"/>
  <c r="C98" i="10"/>
  <c r="D98" i="10" s="1" a="1"/>
  <c r="D98" i="10" s="1"/>
  <c r="C99" i="10"/>
  <c r="D99" i="10" s="1" a="1"/>
  <c r="D99" i="10" s="1"/>
  <c r="C100" i="10"/>
  <c r="D100" i="10" s="1" a="1"/>
  <c r="D100" i="10" s="1"/>
  <c r="C101" i="10"/>
  <c r="D101" i="10" s="1" a="1"/>
  <c r="D101" i="10" s="1"/>
  <c r="C102" i="10"/>
  <c r="D102" i="10" s="1" a="1"/>
  <c r="D102" i="10" s="1"/>
  <c r="C103" i="10"/>
  <c r="D103" i="10" s="1" a="1"/>
  <c r="D103" i="10" s="1"/>
  <c r="C104" i="10"/>
  <c r="D104" i="10" s="1" a="1"/>
  <c r="D104" i="10" s="1"/>
  <c r="C105" i="10"/>
  <c r="E105" i="10" s="1" a="1"/>
  <c r="E105" i="10" s="1"/>
  <c r="C106" i="10"/>
  <c r="D106" i="10" s="1" a="1"/>
  <c r="D106" i="10" s="1"/>
  <c r="C107" i="10"/>
  <c r="D107" i="10" s="1" a="1"/>
  <c r="D107" i="10" s="1"/>
  <c r="C108" i="10"/>
  <c r="E108" i="10" s="1" a="1"/>
  <c r="E108" i="10" s="1"/>
  <c r="C109" i="10"/>
  <c r="D109" i="10" s="1" a="1"/>
  <c r="D109" i="10" s="1"/>
  <c r="C110" i="10"/>
  <c r="E110" i="10" s="1" a="1"/>
  <c r="E110" i="10" s="1"/>
  <c r="C111" i="10"/>
  <c r="E111" i="10" s="1" a="1"/>
  <c r="E111" i="10" s="1"/>
  <c r="C112" i="10"/>
  <c r="D112" i="10" s="1" a="1"/>
  <c r="D112" i="10" s="1"/>
  <c r="C113" i="10"/>
  <c r="D113" i="10" s="1" a="1"/>
  <c r="D113" i="10" s="1"/>
  <c r="C114" i="10"/>
  <c r="D114" i="10" s="1" a="1"/>
  <c r="D114" i="10" s="1"/>
  <c r="C115" i="10"/>
  <c r="D115" i="10" s="1" a="1"/>
  <c r="D115" i="10" s="1"/>
  <c r="C116" i="10"/>
  <c r="D116" i="10" s="1" a="1"/>
  <c r="D116" i="10" s="1"/>
  <c r="C117" i="10"/>
  <c r="D117" i="10" s="1" a="1"/>
  <c r="D117" i="10" s="1"/>
  <c r="C118" i="10"/>
  <c r="D118" i="10" s="1" a="1"/>
  <c r="D118" i="10" s="1"/>
  <c r="C119" i="10"/>
  <c r="D119" i="10" s="1" a="1"/>
  <c r="D119" i="10" s="1"/>
  <c r="C120" i="10"/>
  <c r="D120" i="10" s="1" a="1"/>
  <c r="D120" i="10" s="1"/>
  <c r="C121" i="10"/>
  <c r="D121" i="10" s="1" a="1"/>
  <c r="D121" i="10" s="1"/>
  <c r="C122" i="10"/>
  <c r="D122" i="10" s="1" a="1"/>
  <c r="D122" i="10" s="1"/>
  <c r="C123" i="10"/>
  <c r="E123" i="10" s="1" a="1"/>
  <c r="E123" i="10" s="1"/>
  <c r="C124" i="10"/>
  <c r="E124" i="10" s="1" a="1"/>
  <c r="E124" i="10" s="1"/>
  <c r="C125" i="10"/>
  <c r="D125" i="10" s="1" a="1"/>
  <c r="D125" i="10" s="1"/>
  <c r="C126" i="10"/>
  <c r="D126" i="10" s="1" a="1"/>
  <c r="D126" i="10" s="1"/>
  <c r="C127" i="10"/>
  <c r="D127" i="10" s="1" a="1"/>
  <c r="D127" i="10" s="1"/>
  <c r="C128" i="10"/>
  <c r="D128" i="10" s="1" a="1"/>
  <c r="D128" i="10" s="1"/>
  <c r="C129" i="10"/>
  <c r="D129" i="10" s="1" a="1"/>
  <c r="D129" i="10" s="1"/>
  <c r="C130" i="10"/>
  <c r="D130" i="10" s="1" a="1"/>
  <c r="D130" i="10" s="1"/>
  <c r="C131" i="10"/>
  <c r="E131" i="10" s="1" a="1"/>
  <c r="E131" i="10" s="1"/>
  <c r="C132" i="10"/>
  <c r="D132" i="10" s="1" a="1"/>
  <c r="D132" i="10" s="1"/>
  <c r="C133" i="10"/>
  <c r="D133" i="10" s="1" a="1"/>
  <c r="D133" i="10" s="1"/>
  <c r="C134" i="10"/>
  <c r="D134" i="10" s="1" a="1"/>
  <c r="D134" i="10" s="1"/>
  <c r="C135" i="10"/>
  <c r="E135" i="10" s="1" a="1"/>
  <c r="E135" i="10" s="1"/>
  <c r="C136" i="10"/>
  <c r="E136" i="10" s="1" a="1"/>
  <c r="E136" i="10" s="1"/>
  <c r="C137" i="10"/>
  <c r="D137" i="10" s="1" a="1"/>
  <c r="D137" i="10" s="1"/>
  <c r="C138" i="10"/>
  <c r="D138" i="10" s="1" a="1"/>
  <c r="D138" i="10" s="1"/>
  <c r="C139" i="10"/>
  <c r="D139" i="10" s="1" a="1"/>
  <c r="D139" i="10" s="1"/>
  <c r="C140" i="10"/>
  <c r="D140" i="10" s="1" a="1"/>
  <c r="D140" i="10" s="1"/>
  <c r="C141" i="10"/>
  <c r="E141" i="10" s="1" a="1"/>
  <c r="E141" i="10" s="1"/>
  <c r="C142" i="10"/>
  <c r="D142" i="10" s="1" a="1"/>
  <c r="D142" i="10" s="1"/>
  <c r="C143" i="10"/>
  <c r="D143" i="10" s="1" a="1"/>
  <c r="D143" i="10" s="1"/>
  <c r="C144" i="10"/>
  <c r="D144" i="10" s="1" a="1"/>
  <c r="D144" i="10" s="1"/>
  <c r="C145" i="10"/>
  <c r="D145" i="10" s="1" a="1"/>
  <c r="D145" i="10" s="1"/>
  <c r="C146" i="10"/>
  <c r="D146" i="10" s="1" a="1"/>
  <c r="D146" i="10" s="1"/>
  <c r="C147" i="10"/>
  <c r="D147" i="10" s="1" a="1"/>
  <c r="D147" i="10" s="1"/>
  <c r="C148" i="10"/>
  <c r="E148" i="10" s="1" a="1"/>
  <c r="E148" i="10" s="1"/>
  <c r="C149" i="10"/>
  <c r="E149" i="10" s="1" a="1"/>
  <c r="E149" i="10" s="1"/>
  <c r="C150" i="10"/>
  <c r="D150" i="10" s="1" a="1"/>
  <c r="D150" i="10" s="1"/>
  <c r="C151" i="10"/>
  <c r="D151" i="10" s="1" a="1"/>
  <c r="D151" i="10" s="1"/>
  <c r="C152" i="10"/>
  <c r="D152" i="10" s="1" a="1"/>
  <c r="D152" i="10" s="1"/>
  <c r="C153" i="10"/>
  <c r="D153" i="10" s="1" a="1"/>
  <c r="D153" i="10" s="1"/>
  <c r="C154" i="10"/>
  <c r="E154" i="10" s="1" a="1"/>
  <c r="E154" i="10" s="1"/>
  <c r="C155" i="10"/>
  <c r="E155" i="10" s="1" a="1"/>
  <c r="E155" i="10" s="1"/>
  <c r="C156" i="10"/>
  <c r="D156" i="10" s="1" a="1"/>
  <c r="D156" i="10" s="1"/>
  <c r="C157" i="10"/>
  <c r="D157" i="10" s="1" a="1"/>
  <c r="D157" i="10" s="1"/>
  <c r="C158" i="10"/>
  <c r="D158" i="10" s="1" a="1"/>
  <c r="D158" i="10" s="1"/>
  <c r="C159" i="10"/>
  <c r="D159" i="10" s="1" a="1"/>
  <c r="D159" i="10" s="1"/>
  <c r="C160" i="10"/>
  <c r="D160" i="10" s="1" a="1"/>
  <c r="D160" i="10" s="1"/>
  <c r="C161" i="10"/>
  <c r="D161" i="10" s="1" a="1"/>
  <c r="D161" i="10" s="1"/>
  <c r="C162" i="10"/>
  <c r="D162" i="10" s="1" a="1"/>
  <c r="D162" i="10" s="1"/>
  <c r="C163" i="10"/>
  <c r="E163" i="10" s="1" a="1"/>
  <c r="E163" i="10" s="1"/>
  <c r="C164" i="10"/>
  <c r="D164" i="10" s="1" a="1"/>
  <c r="D164" i="10" s="1"/>
  <c r="C165" i="10"/>
  <c r="D165" i="10" s="1" a="1"/>
  <c r="D165" i="10" s="1"/>
  <c r="C166" i="10"/>
  <c r="D166" i="10" s="1" a="1"/>
  <c r="D166" i="10" s="1"/>
  <c r="C167" i="10"/>
  <c r="D167" i="10" s="1" a="1"/>
  <c r="D167" i="10" s="1"/>
  <c r="C168" i="10"/>
  <c r="D168" i="10" s="1" a="1"/>
  <c r="D168" i="10" s="1"/>
  <c r="C169" i="10"/>
  <c r="D169" i="10" s="1" a="1"/>
  <c r="D169" i="10" s="1"/>
  <c r="C170" i="10"/>
  <c r="D170" i="10" s="1" a="1"/>
  <c r="D170" i="10" s="1"/>
  <c r="C171" i="10"/>
  <c r="D171" i="10" s="1" a="1"/>
  <c r="D171" i="10" s="1"/>
  <c r="C172" i="10"/>
  <c r="E172" i="10" s="1" a="1"/>
  <c r="E172" i="10" s="1"/>
  <c r="C173" i="10"/>
  <c r="D173" i="10" s="1" a="1"/>
  <c r="D173" i="10" s="1"/>
  <c r="C174" i="10"/>
  <c r="E174" i="10" s="1" a="1"/>
  <c r="E174" i="10" s="1"/>
  <c r="C175" i="10"/>
  <c r="D175" i="10" s="1" a="1"/>
  <c r="D175" i="10" s="1"/>
  <c r="C176" i="10"/>
  <c r="E176" i="10" s="1" a="1"/>
  <c r="E176" i="10" s="1"/>
  <c r="C177" i="10"/>
  <c r="E177" i="10" s="1" a="1"/>
  <c r="E177" i="10" s="1"/>
  <c r="C178" i="10"/>
  <c r="E178" i="10" s="1" a="1"/>
  <c r="E178" i="10" s="1"/>
  <c r="C179" i="10"/>
  <c r="D179" i="10" s="1" a="1"/>
  <c r="D179" i="10" s="1"/>
  <c r="C180" i="10"/>
  <c r="D180" i="10" s="1" a="1"/>
  <c r="D180" i="10" s="1"/>
  <c r="C181" i="10"/>
  <c r="D181" i="10" s="1" a="1"/>
  <c r="D181" i="10" s="1"/>
  <c r="C182" i="10"/>
  <c r="E182" i="10" s="1" a="1"/>
  <c r="E182" i="10" s="1"/>
  <c r="C183" i="10"/>
  <c r="E183" i="10" s="1" a="1"/>
  <c r="E183" i="10" s="1"/>
  <c r="C184" i="10"/>
  <c r="D184" i="10" s="1" a="1"/>
  <c r="D184" i="10" s="1"/>
  <c r="C185" i="10"/>
  <c r="D185" i="10" s="1" a="1"/>
  <c r="D185" i="10" s="1"/>
  <c r="C186" i="10"/>
  <c r="D186" i="10" s="1" a="1"/>
  <c r="D186" i="10" s="1"/>
  <c r="C187" i="10"/>
  <c r="E187" i="10" s="1" a="1"/>
  <c r="E187" i="10" s="1"/>
  <c r="C188" i="10"/>
  <c r="D188" i="10" s="1" a="1"/>
  <c r="D188" i="10" s="1"/>
  <c r="C189" i="10"/>
  <c r="E189" i="10" s="1" a="1"/>
  <c r="E189" i="10" s="1"/>
  <c r="C190" i="10"/>
  <c r="D190" i="10" s="1" a="1"/>
  <c r="D190" i="10" s="1"/>
  <c r="C191" i="10"/>
  <c r="D191" i="10" s="1" a="1"/>
  <c r="D191" i="10" s="1"/>
  <c r="C192" i="10"/>
  <c r="E192" i="10" s="1" a="1"/>
  <c r="E192" i="10" s="1"/>
  <c r="C193" i="10"/>
  <c r="E193" i="10" s="1" a="1"/>
  <c r="E193" i="10" s="1"/>
  <c r="C194" i="10"/>
  <c r="E194" i="10" s="1" a="1"/>
  <c r="E194" i="10" s="1"/>
  <c r="C195" i="10"/>
  <c r="D195" i="10" s="1" a="1"/>
  <c r="D195" i="10" s="1"/>
  <c r="C196" i="10"/>
  <c r="D196" i="10" s="1" a="1"/>
  <c r="D196" i="10" s="1"/>
  <c r="C197" i="10"/>
  <c r="E197" i="10" s="1" a="1"/>
  <c r="E197" i="10" s="1"/>
  <c r="C198" i="10"/>
  <c r="D198" i="10" s="1" a="1"/>
  <c r="D198" i="10" s="1"/>
  <c r="C199" i="10"/>
  <c r="E199" i="10" s="1" a="1"/>
  <c r="E199" i="10" s="1"/>
  <c r="C200" i="10"/>
  <c r="D200" i="10" s="1" a="1"/>
  <c r="D200" i="10" s="1"/>
  <c r="C201" i="10"/>
  <c r="E201" i="10" s="1" a="1"/>
  <c r="E201" i="10" s="1"/>
  <c r="C202" i="10"/>
  <c r="D202" i="10" s="1" a="1"/>
  <c r="D202" i="10" s="1"/>
  <c r="C203" i="10"/>
  <c r="D203" i="10" s="1" a="1"/>
  <c r="D203" i="10" s="1"/>
  <c r="C204" i="10"/>
  <c r="E204" i="10" s="1" a="1"/>
  <c r="E204" i="10" s="1"/>
  <c r="C205" i="10"/>
  <c r="D205" i="10" s="1" a="1"/>
  <c r="D205" i="10" s="1"/>
  <c r="C206" i="10"/>
  <c r="E206" i="10" s="1" a="1"/>
  <c r="E206" i="10" s="1"/>
  <c r="C207" i="10"/>
  <c r="D207" i="10" s="1" a="1"/>
  <c r="D207" i="10" s="1"/>
  <c r="C208" i="10"/>
  <c r="D208" i="10" s="1" a="1"/>
  <c r="D208" i="10" s="1"/>
  <c r="C209" i="10"/>
  <c r="E209" i="10" s="1" a="1"/>
  <c r="E209" i="10" s="1"/>
  <c r="C210" i="10"/>
  <c r="E210" i="10" s="1" a="1"/>
  <c r="E210" i="10" s="1"/>
  <c r="C211" i="10"/>
  <c r="D211" i="10" s="1" a="1"/>
  <c r="D211" i="10" s="1"/>
  <c r="C212" i="10"/>
  <c r="D212" i="10" s="1" a="1"/>
  <c r="D212" i="10" s="1"/>
  <c r="C213" i="10"/>
  <c r="D213" i="10" s="1" a="1"/>
  <c r="D213" i="10" s="1"/>
  <c r="C214" i="10"/>
  <c r="D214" i="10" s="1" a="1"/>
  <c r="D214" i="10" s="1"/>
  <c r="C215" i="10"/>
  <c r="E215" i="10" s="1" a="1"/>
  <c r="E215" i="10" s="1"/>
  <c r="C216" i="10"/>
  <c r="D216" i="10" s="1" a="1"/>
  <c r="D216" i="10" s="1"/>
  <c r="C217" i="10"/>
  <c r="D217" i="10" s="1" a="1"/>
  <c r="D217" i="10" s="1"/>
  <c r="C218" i="10"/>
  <c r="D218" i="10" s="1" a="1"/>
  <c r="D218" i="10" s="1"/>
  <c r="C219" i="10"/>
  <c r="D219" i="10" s="1" a="1"/>
  <c r="D219" i="10" s="1"/>
  <c r="C220" i="10"/>
  <c r="D220" i="10" s="1" a="1"/>
  <c r="D220" i="10" s="1"/>
  <c r="C221" i="10"/>
  <c r="D221" i="10" s="1" a="1"/>
  <c r="D221" i="10" s="1"/>
  <c r="C222" i="10"/>
  <c r="D222" i="10" s="1" a="1"/>
  <c r="D222" i="10" s="1"/>
  <c r="C223" i="10"/>
  <c r="D223" i="10" s="1" a="1"/>
  <c r="D223" i="10" s="1"/>
  <c r="C224" i="10"/>
  <c r="D224" i="10" s="1" a="1"/>
  <c r="D224" i="10" s="1"/>
  <c r="C225" i="10"/>
  <c r="D225" i="10" s="1" a="1"/>
  <c r="D225" i="10" s="1"/>
  <c r="C226" i="10"/>
  <c r="D226" i="10" s="1" a="1"/>
  <c r="D226" i="10" s="1"/>
  <c r="C227" i="10"/>
  <c r="E227" i="10" s="1" a="1"/>
  <c r="E227" i="10" s="1"/>
  <c r="C228" i="10"/>
  <c r="D228" i="10" s="1" a="1"/>
  <c r="D228" i="10" s="1"/>
  <c r="C229" i="10"/>
  <c r="D229" i="10" s="1" a="1"/>
  <c r="D229" i="10" s="1"/>
  <c r="C230" i="10"/>
  <c r="D230" i="10" s="1" a="1"/>
  <c r="D230" i="10" s="1"/>
  <c r="C231" i="10"/>
  <c r="D231" i="10" s="1" a="1"/>
  <c r="D231" i="10" s="1"/>
  <c r="C232" i="10"/>
  <c r="E232" i="10" s="1" a="1"/>
  <c r="E232" i="10" s="1"/>
  <c r="C233" i="10"/>
  <c r="D233" i="10" s="1" a="1"/>
  <c r="D233" i="10" s="1"/>
  <c r="C234" i="10"/>
  <c r="D234" i="10" s="1" a="1"/>
  <c r="D234" i="10" s="1"/>
  <c r="C235" i="10"/>
  <c r="D235" i="10" s="1" a="1"/>
  <c r="D235" i="10" s="1"/>
  <c r="C236" i="10"/>
  <c r="D236" i="10" s="1" a="1"/>
  <c r="D236" i="10" s="1"/>
  <c r="C237" i="10"/>
  <c r="D237" i="10" s="1" a="1"/>
  <c r="D237" i="10" s="1"/>
  <c r="C238" i="10"/>
  <c r="D238" i="10" s="1" a="1"/>
  <c r="D238" i="10" s="1"/>
  <c r="C239" i="10"/>
  <c r="D239" i="10" s="1" a="1"/>
  <c r="D239" i="10" s="1"/>
  <c r="C240" i="10"/>
  <c r="D240" i="10" s="1" a="1"/>
  <c r="D240" i="10" s="1"/>
  <c r="C241" i="10"/>
  <c r="D241" i="10" s="1" a="1"/>
  <c r="D241" i="10" s="1"/>
  <c r="C242" i="10"/>
  <c r="D242" i="10" s="1" a="1"/>
  <c r="D242" i="10" s="1"/>
  <c r="C243" i="10"/>
  <c r="D243" i="10" s="1" a="1"/>
  <c r="D243" i="10" s="1"/>
  <c r="C244" i="10"/>
  <c r="E244" i="10" s="1" a="1"/>
  <c r="E244" i="10" s="1"/>
  <c r="C245" i="10"/>
  <c r="D245" i="10" s="1" a="1"/>
  <c r="D245" i="10" s="1"/>
  <c r="C246" i="10"/>
  <c r="E246" i="10" s="1" a="1"/>
  <c r="E246" i="10" s="1"/>
  <c r="C247" i="10"/>
  <c r="D247" i="10" s="1" a="1"/>
  <c r="D247" i="10" s="1"/>
  <c r="C248" i="10"/>
  <c r="D248" i="10" s="1" a="1"/>
  <c r="D248" i="10" s="1"/>
  <c r="C249" i="10"/>
  <c r="E249" i="10" s="1" a="1"/>
  <c r="E249" i="10" s="1"/>
  <c r="C250" i="10"/>
  <c r="D250" i="10" s="1" a="1"/>
  <c r="D250" i="10" s="1"/>
  <c r="C251" i="10"/>
  <c r="D251" i="10" s="1" a="1"/>
  <c r="D251" i="10" s="1"/>
  <c r="C252" i="10"/>
  <c r="D252" i="10" s="1" a="1"/>
  <c r="D252" i="10" s="1"/>
  <c r="C253" i="10"/>
  <c r="D253" i="10" s="1" a="1"/>
  <c r="D253" i="10" s="1"/>
  <c r="C254" i="10"/>
  <c r="E254" i="10" s="1" a="1"/>
  <c r="E254" i="10" s="1"/>
  <c r="C255" i="10"/>
  <c r="D255" i="10" s="1" a="1"/>
  <c r="D255" i="10" s="1"/>
  <c r="C256" i="10"/>
  <c r="D256" i="10" s="1" a="1"/>
  <c r="D256" i="10" s="1"/>
  <c r="C257" i="10"/>
  <c r="D257" i="10" s="1" a="1"/>
  <c r="D257" i="10" s="1"/>
  <c r="C258" i="10"/>
  <c r="D258" i="10" s="1" a="1"/>
  <c r="D258" i="10" s="1"/>
  <c r="C259" i="10"/>
  <c r="E259" i="10" s="1" a="1"/>
  <c r="E259" i="10" s="1"/>
  <c r="C260" i="10"/>
  <c r="E260" i="10" s="1" a="1"/>
  <c r="E260" i="10" s="1"/>
  <c r="C261" i="10"/>
  <c r="E261" i="10" s="1" a="1"/>
  <c r="E261" i="10" s="1"/>
  <c r="C262" i="10"/>
  <c r="D262" i="10" s="1" a="1"/>
  <c r="D262" i="10" s="1"/>
  <c r="C263" i="10"/>
  <c r="D263" i="10" s="1" a="1"/>
  <c r="D263" i="10" s="1"/>
  <c r="C264" i="10"/>
  <c r="E264" i="10" s="1" a="1"/>
  <c r="E264" i="10" s="1"/>
  <c r="C265" i="10"/>
  <c r="D265" i="10" s="1" a="1"/>
  <c r="D265" i="10" s="1"/>
  <c r="C266" i="10"/>
  <c r="E266" i="10" s="1" a="1"/>
  <c r="E266" i="10" s="1"/>
  <c r="C267" i="10"/>
  <c r="D267" i="10" s="1" a="1"/>
  <c r="D267" i="10" s="1"/>
  <c r="C268" i="10"/>
  <c r="E268" i="10" s="1" a="1"/>
  <c r="E268" i="10" s="1"/>
  <c r="C269" i="10"/>
  <c r="D269" i="10" s="1" a="1"/>
  <c r="D269" i="10" s="1"/>
  <c r="C270" i="10"/>
  <c r="D270" i="10" s="1" a="1"/>
  <c r="D270" i="10" s="1"/>
  <c r="C271" i="10"/>
  <c r="D271" i="10" s="1" a="1"/>
  <c r="D271" i="10" s="1"/>
  <c r="C272" i="10"/>
  <c r="D272" i="10" s="1" a="1"/>
  <c r="D272" i="10" s="1"/>
  <c r="C273" i="10"/>
  <c r="D273" i="10" s="1" a="1"/>
  <c r="D273" i="10" s="1"/>
  <c r="C274" i="10"/>
  <c r="D274" i="10" s="1" a="1"/>
  <c r="D274" i="10" s="1"/>
  <c r="C275" i="10"/>
  <c r="D275" i="10" s="1" a="1"/>
  <c r="D275" i="10" s="1"/>
  <c r="C276" i="10"/>
  <c r="E276" i="10" s="1" a="1"/>
  <c r="E276" i="10" s="1"/>
  <c r="C277" i="10"/>
  <c r="E277" i="10" s="1" a="1"/>
  <c r="E277" i="10" s="1"/>
  <c r="C278" i="10"/>
  <c r="D278" i="10" s="1" a="1"/>
  <c r="D278" i="10" s="1"/>
  <c r="C279" i="10"/>
  <c r="D279" i="10" s="1" a="1"/>
  <c r="D279" i="10" s="1"/>
  <c r="C280" i="10"/>
  <c r="D280" i="10" s="1" a="1"/>
  <c r="D280" i="10" s="1"/>
  <c r="C281" i="10"/>
  <c r="D281" i="10" s="1" a="1"/>
  <c r="D281" i="10" s="1"/>
  <c r="C282" i="10"/>
  <c r="D282" i="10" s="1" a="1"/>
  <c r="D282" i="10" s="1"/>
  <c r="C283" i="10"/>
  <c r="D283" i="10" s="1" a="1"/>
  <c r="D283" i="10" s="1"/>
  <c r="C284" i="10"/>
  <c r="E284" i="10" s="1" a="1"/>
  <c r="E284" i="10" s="1"/>
  <c r="C285" i="10"/>
  <c r="D285" i="10" s="1" a="1"/>
  <c r="D285" i="10" s="1"/>
  <c r="C286" i="10"/>
  <c r="D286" i="10" s="1" a="1"/>
  <c r="D286" i="10" s="1"/>
  <c r="C287" i="10"/>
  <c r="E287" i="10" s="1" a="1"/>
  <c r="E287" i="10" s="1"/>
  <c r="C288" i="10"/>
  <c r="E288" i="10" s="1" a="1"/>
  <c r="E288" i="10" s="1"/>
  <c r="C289" i="10"/>
  <c r="E289" i="10" s="1" a="1"/>
  <c r="E289" i="10" s="1"/>
  <c r="C290" i="10"/>
  <c r="E290" i="10" s="1" a="1"/>
  <c r="E290" i="10" s="1"/>
  <c r="C291" i="10"/>
  <c r="E291" i="10" s="1" a="1"/>
  <c r="E291" i="10" s="1"/>
  <c r="C292" i="10"/>
  <c r="D292" i="10" s="1" a="1"/>
  <c r="D292" i="10" s="1"/>
  <c r="C293" i="10"/>
  <c r="E293" i="10" s="1" a="1"/>
  <c r="E293" i="10" s="1"/>
  <c r="C294" i="10"/>
  <c r="D294" i="10" s="1" a="1"/>
  <c r="D294" i="10" s="1"/>
  <c r="C295" i="10"/>
  <c r="E295" i="10" s="1" a="1"/>
  <c r="E295" i="10" s="1"/>
  <c r="C296" i="10"/>
  <c r="D296" i="10" s="1" a="1"/>
  <c r="D296" i="10" s="1"/>
  <c r="C297" i="10"/>
  <c r="E297" i="10" s="1" a="1"/>
  <c r="E297" i="10" s="1"/>
  <c r="C298" i="10"/>
  <c r="D298" i="10" s="1" a="1"/>
  <c r="D298" i="10" s="1"/>
  <c r="C299" i="10"/>
  <c r="D299" i="10" s="1" a="1"/>
  <c r="D299" i="10" s="1"/>
  <c r="C300" i="10"/>
  <c r="E300" i="10" s="1" a="1"/>
  <c r="E300" i="10" s="1"/>
  <c r="C301" i="10"/>
  <c r="D301" i="10" s="1" a="1"/>
  <c r="D301" i="10" s="1"/>
  <c r="C302" i="10"/>
  <c r="D302" i="10" s="1" a="1"/>
  <c r="D302" i="10" s="1"/>
  <c r="C303" i="10"/>
  <c r="D303" i="10" s="1" a="1"/>
  <c r="D303" i="10" s="1"/>
  <c r="C304" i="10"/>
  <c r="E304" i="10" s="1" a="1"/>
  <c r="E304" i="10" s="1"/>
  <c r="C305" i="10"/>
  <c r="E305" i="10" s="1" a="1"/>
  <c r="E305" i="10" s="1"/>
  <c r="C306" i="10"/>
  <c r="E306" i="10" s="1" a="1"/>
  <c r="E306" i="10" s="1"/>
  <c r="C307" i="10"/>
  <c r="E307" i="10" s="1" a="1"/>
  <c r="E307" i="10" s="1"/>
  <c r="C308" i="10"/>
  <c r="D308" i="10" s="1" a="1"/>
  <c r="D308" i="10" s="1"/>
  <c r="C309" i="10"/>
  <c r="D309" i="10" s="1" a="1"/>
  <c r="D309" i="10" s="1"/>
  <c r="C310" i="10"/>
  <c r="D310" i="10" s="1" a="1"/>
  <c r="D310" i="10" s="1"/>
  <c r="C311" i="10"/>
  <c r="E311" i="10" s="1" a="1"/>
  <c r="E311" i="10" s="1"/>
  <c r="C312" i="10"/>
  <c r="D312" i="10" s="1" a="1"/>
  <c r="D312" i="10" s="1"/>
  <c r="C313" i="10"/>
  <c r="D313" i="10" s="1" a="1"/>
  <c r="D313" i="10" s="1"/>
  <c r="C314" i="10"/>
  <c r="E314" i="10" s="1" a="1"/>
  <c r="E314" i="10" s="1"/>
  <c r="C315" i="10"/>
  <c r="E315" i="10" s="1" a="1"/>
  <c r="E315" i="10" s="1"/>
  <c r="C316" i="10"/>
  <c r="D316" i="10" s="1" a="1"/>
  <c r="D316" i="10" s="1"/>
  <c r="C317" i="10"/>
  <c r="D317" i="10" s="1" a="1"/>
  <c r="D317" i="10" s="1"/>
  <c r="C318" i="10"/>
  <c r="D318" i="10" s="1" a="1"/>
  <c r="D318" i="10" s="1"/>
  <c r="C319" i="10"/>
  <c r="D319" i="10" s="1" a="1"/>
  <c r="D319" i="10" s="1"/>
  <c r="C320" i="10"/>
  <c r="E320" i="10" s="1" a="1"/>
  <c r="E320" i="10" s="1"/>
  <c r="C321" i="10"/>
  <c r="E321" i="10" s="1" a="1"/>
  <c r="E321" i="10" s="1"/>
  <c r="C322" i="10"/>
  <c r="E322" i="10" s="1" a="1"/>
  <c r="E322" i="10" s="1"/>
  <c r="C323" i="10"/>
  <c r="D323" i="10" s="1" a="1"/>
  <c r="D323" i="10" s="1"/>
  <c r="C324" i="10"/>
  <c r="E324" i="10" s="1" a="1"/>
  <c r="E324" i="10" s="1"/>
  <c r="C325" i="10"/>
  <c r="D325" i="10" s="1" a="1"/>
  <c r="D325" i="10" s="1"/>
  <c r="C326" i="10"/>
  <c r="E326" i="10" s="1" a="1"/>
  <c r="E326" i="10" s="1"/>
  <c r="C327" i="10"/>
  <c r="D327" i="10" s="1" a="1"/>
  <c r="D327" i="10" s="1"/>
  <c r="C328" i="10"/>
  <c r="D328" i="10" s="1" a="1"/>
  <c r="D328" i="10" s="1"/>
  <c r="C329" i="10"/>
  <c r="D329" i="10" s="1" a="1"/>
  <c r="D329" i="10" s="1"/>
  <c r="C330" i="10"/>
  <c r="D330" i="10" s="1" a="1"/>
  <c r="D330" i="10" s="1"/>
  <c r="C331" i="10"/>
  <c r="D331" i="10" s="1" a="1"/>
  <c r="D331" i="10" s="1"/>
  <c r="C332" i="10"/>
  <c r="D332" i="10" s="1" a="1"/>
  <c r="D332" i="10" s="1"/>
  <c r="C333" i="10"/>
  <c r="D333" i="10" s="1" a="1"/>
  <c r="D333" i="10" s="1"/>
  <c r="C334" i="10"/>
  <c r="D334" i="10" s="1" a="1"/>
  <c r="D334" i="10" s="1"/>
  <c r="C335" i="10"/>
  <c r="E335" i="10" s="1" a="1"/>
  <c r="E335" i="10" s="1"/>
  <c r="C336" i="10"/>
  <c r="E336" i="10" s="1" a="1"/>
  <c r="E336" i="10" s="1"/>
  <c r="C337" i="10"/>
  <c r="E337" i="10" s="1" a="1"/>
  <c r="E337" i="10" s="1"/>
  <c r="C338" i="10"/>
  <c r="E338" i="10" s="1" a="1"/>
  <c r="E338" i="10" s="1"/>
  <c r="C339" i="10"/>
  <c r="E339" i="10" s="1" a="1"/>
  <c r="E339" i="10" s="1"/>
  <c r="C340" i="10"/>
  <c r="D340" i="10" s="1" a="1"/>
  <c r="D340" i="10" s="1"/>
  <c r="C341" i="10"/>
  <c r="D341" i="10" s="1" a="1"/>
  <c r="D341" i="10" s="1"/>
  <c r="C342" i="10"/>
  <c r="D342" i="10" s="1" a="1"/>
  <c r="D342" i="10" s="1"/>
  <c r="C343" i="10"/>
  <c r="E343" i="10" s="1" a="1"/>
  <c r="E343" i="10" s="1"/>
  <c r="C344" i="10"/>
  <c r="D344" i="10" s="1" a="1"/>
  <c r="D344" i="10" s="1"/>
  <c r="C345" i="10"/>
  <c r="D345" i="10" s="1" a="1"/>
  <c r="D345" i="10" s="1"/>
  <c r="C346" i="10"/>
  <c r="D346" i="10" s="1" a="1"/>
  <c r="D346" i="10" s="1"/>
  <c r="C347" i="10"/>
  <c r="D347" i="10" s="1" a="1"/>
  <c r="D347" i="10" s="1"/>
  <c r="C348" i="10"/>
  <c r="D348" i="10" s="1" a="1"/>
  <c r="D348" i="10" s="1"/>
  <c r="C349" i="10"/>
  <c r="D349" i="10" s="1" a="1"/>
  <c r="D349" i="10" s="1"/>
  <c r="C350" i="10"/>
  <c r="D350" i="10" s="1" a="1"/>
  <c r="D350" i="10" s="1"/>
  <c r="C351" i="10"/>
  <c r="E351" i="10" s="1" a="1"/>
  <c r="E351" i="10" s="1"/>
  <c r="C352" i="10"/>
  <c r="D352" i="10" s="1" a="1"/>
  <c r="D352" i="10" s="1"/>
  <c r="C353" i="10"/>
  <c r="D353" i="10" s="1" a="1"/>
  <c r="D353" i="10" s="1"/>
  <c r="C354" i="10"/>
  <c r="D354" i="10" s="1" a="1"/>
  <c r="D354" i="10" s="1"/>
  <c r="C355" i="10"/>
  <c r="D355" i="10" s="1" a="1"/>
  <c r="D355" i="10" s="1"/>
  <c r="C356" i="10"/>
  <c r="E356" i="10" s="1" a="1"/>
  <c r="E356" i="10" s="1"/>
  <c r="C357" i="10"/>
  <c r="E357" i="10" s="1" a="1"/>
  <c r="E357" i="10" s="1"/>
  <c r="C358" i="10"/>
  <c r="E358" i="10" s="1" a="1"/>
  <c r="E358" i="10" s="1"/>
  <c r="C359" i="10"/>
  <c r="D359" i="10" s="1" a="1"/>
  <c r="D359" i="10" s="1"/>
  <c r="C360" i="10"/>
  <c r="D360" i="10" s="1" a="1"/>
  <c r="D360" i="10" s="1"/>
  <c r="C361" i="10"/>
  <c r="E361" i="10" s="1" a="1"/>
  <c r="E361" i="10" s="1"/>
  <c r="C362" i="10"/>
  <c r="D362" i="10" s="1" a="1"/>
  <c r="D362" i="10" s="1"/>
  <c r="C363" i="10"/>
  <c r="E363" i="10" s="1" a="1"/>
  <c r="E363" i="10" s="1"/>
  <c r="C364" i="10"/>
  <c r="D364" i="10" s="1" a="1"/>
  <c r="D364" i="10" s="1"/>
  <c r="C365" i="10"/>
  <c r="D365" i="10" s="1" a="1"/>
  <c r="D365" i="10" s="1"/>
  <c r="C366" i="10"/>
  <c r="E366" i="10" s="1" a="1"/>
  <c r="E366" i="10" s="1"/>
  <c r="C367" i="10"/>
  <c r="D367" i="10" s="1" a="1"/>
  <c r="D367" i="10" s="1"/>
  <c r="C368" i="10"/>
  <c r="D368" i="10" s="1" a="1"/>
  <c r="D368" i="10" s="1"/>
  <c r="C369" i="10"/>
  <c r="D369" i="10" s="1" a="1"/>
  <c r="D369" i="10" s="1"/>
  <c r="C370" i="10"/>
  <c r="D370" i="10" s="1" a="1"/>
  <c r="D370" i="10" s="1"/>
  <c r="C371" i="10"/>
  <c r="D371" i="10" s="1" a="1"/>
  <c r="D371" i="10" s="1"/>
  <c r="C372" i="10"/>
  <c r="D372" i="10" s="1" a="1"/>
  <c r="D372" i="10" s="1"/>
  <c r="C373" i="10"/>
  <c r="D373" i="10" s="1" a="1"/>
  <c r="D373" i="10" s="1"/>
  <c r="C374" i="10"/>
  <c r="E374" i="10" s="1" a="1"/>
  <c r="E374" i="10" s="1"/>
  <c r="C375" i="10"/>
  <c r="D375" i="10" s="1" a="1"/>
  <c r="D375" i="10" s="1"/>
  <c r="C376" i="10"/>
  <c r="D376" i="10" s="1" a="1"/>
  <c r="D376" i="10" s="1"/>
  <c r="C377" i="10"/>
  <c r="D377" i="10" s="1" a="1"/>
  <c r="D377" i="10" s="1"/>
  <c r="C378" i="10"/>
  <c r="D378" i="10" s="1" a="1"/>
  <c r="D378" i="10" s="1"/>
  <c r="C379" i="10"/>
  <c r="E379" i="10" s="1" a="1"/>
  <c r="E379" i="10" s="1"/>
  <c r="C380" i="10"/>
  <c r="E380" i="10" s="1" a="1"/>
  <c r="E380" i="10" s="1"/>
  <c r="C381" i="10"/>
  <c r="E381" i="10" s="1" a="1"/>
  <c r="E381" i="10" s="1"/>
  <c r="C382" i="10"/>
  <c r="D382" i="10" s="1" a="1"/>
  <c r="D382" i="10" s="1"/>
  <c r="C383" i="10"/>
  <c r="E383" i="10" s="1" a="1"/>
  <c r="E383" i="10" s="1"/>
  <c r="C384" i="10"/>
  <c r="D384" i="10" s="1" a="1"/>
  <c r="D384" i="10" s="1"/>
  <c r="C385" i="10"/>
  <c r="D385" i="10" s="1" a="1"/>
  <c r="D385" i="10" s="1"/>
  <c r="C386" i="10"/>
  <c r="D386" i="10" s="1" a="1"/>
  <c r="D386" i="10" s="1"/>
  <c r="C387" i="10"/>
  <c r="E387" i="10" s="1" a="1"/>
  <c r="E387" i="10" s="1"/>
  <c r="C388" i="10"/>
  <c r="D388" i="10" s="1" a="1"/>
  <c r="D388" i="10" s="1"/>
  <c r="C389" i="10"/>
  <c r="D389" i="10" s="1" a="1"/>
  <c r="D389" i="10" s="1"/>
  <c r="C390" i="10"/>
  <c r="D390" i="10" s="1" a="1"/>
  <c r="D390" i="10" s="1"/>
  <c r="C391" i="10"/>
  <c r="D391" i="10" s="1" a="1"/>
  <c r="D391" i="10" s="1"/>
  <c r="C392" i="10"/>
  <c r="E392" i="10" s="1" a="1"/>
  <c r="E392" i="10" s="1"/>
  <c r="C393" i="10"/>
  <c r="D393" i="10" s="1" a="1"/>
  <c r="D393" i="10" s="1"/>
  <c r="C394" i="10"/>
  <c r="D394" i="10" s="1" a="1"/>
  <c r="D394" i="10" s="1"/>
  <c r="C395" i="10"/>
  <c r="D395" i="10" s="1" a="1"/>
  <c r="D395" i="10" s="1"/>
  <c r="C396" i="10"/>
  <c r="E396" i="10" s="1" a="1"/>
  <c r="E396" i="10" s="1"/>
  <c r="C397" i="10"/>
  <c r="E397" i="10" s="1" a="1"/>
  <c r="E397" i="10" s="1"/>
  <c r="C398" i="10"/>
  <c r="E398" i="10" s="1" a="1"/>
  <c r="E398" i="10" s="1"/>
  <c r="C399" i="10"/>
  <c r="D399" i="10" s="1" a="1"/>
  <c r="D399" i="10" s="1"/>
  <c r="C400" i="10"/>
  <c r="E400" i="10" s="1" a="1"/>
  <c r="E400" i="10" s="1"/>
  <c r="C401" i="10"/>
  <c r="E401" i="10" s="1" a="1"/>
  <c r="E401" i="10" s="1"/>
  <c r="C402" i="10"/>
  <c r="E402" i="10" s="1" a="1"/>
  <c r="E402" i="10" s="1"/>
  <c r="C403" i="10"/>
  <c r="E403" i="10" s="1" a="1"/>
  <c r="E403" i="10" s="1"/>
  <c r="C404" i="10"/>
  <c r="D404" i="10" s="1" a="1"/>
  <c r="D404" i="10" s="1"/>
  <c r="C405" i="10"/>
  <c r="D405" i="10" s="1" a="1"/>
  <c r="D405" i="10" s="1"/>
  <c r="C406" i="10"/>
  <c r="D406" i="10" s="1" a="1"/>
  <c r="D406" i="10" s="1"/>
  <c r="C407" i="10"/>
  <c r="D407" i="10" s="1" a="1"/>
  <c r="D407" i="10" s="1"/>
  <c r="C408" i="10"/>
  <c r="D408" i="10" s="1" a="1"/>
  <c r="D408" i="10" s="1"/>
  <c r="C409" i="10"/>
  <c r="D409" i="10" s="1" a="1"/>
  <c r="D409" i="10" s="1"/>
  <c r="C410" i="10"/>
  <c r="E410" i="10" s="1" a="1"/>
  <c r="E410" i="10" s="1"/>
  <c r="C411" i="10"/>
  <c r="D411" i="10" s="1" a="1"/>
  <c r="D411" i="10" s="1"/>
  <c r="C412" i="10"/>
  <c r="E412" i="10" s="1" a="1"/>
  <c r="E412" i="10" s="1"/>
  <c r="C413" i="10"/>
  <c r="D413" i="10" s="1" a="1"/>
  <c r="D413" i="10" s="1"/>
  <c r="C414" i="10"/>
  <c r="D414" i="10" s="1" a="1"/>
  <c r="D414" i="10" s="1"/>
  <c r="C415" i="10"/>
  <c r="D415" i="10" s="1" a="1"/>
  <c r="D415" i="10" s="1"/>
  <c r="C416" i="10"/>
  <c r="E416" i="10" s="1" a="1"/>
  <c r="E416" i="10" s="1"/>
  <c r="C417" i="10"/>
  <c r="E417" i="10" s="1" a="1"/>
  <c r="E417" i="10" s="1"/>
  <c r="C418" i="10"/>
  <c r="E418" i="10" s="1" a="1"/>
  <c r="E418" i="10" s="1"/>
  <c r="C419" i="10"/>
  <c r="D419" i="10" s="1" a="1"/>
  <c r="D419" i="10" s="1"/>
  <c r="C420" i="10"/>
  <c r="E420" i="10" s="1" a="1"/>
  <c r="E420" i="10" s="1"/>
  <c r="C421" i="10"/>
  <c r="D421" i="10" s="1" a="1"/>
  <c r="D421" i="10" s="1"/>
  <c r="C422" i="10"/>
  <c r="E422" i="10" s="1" a="1"/>
  <c r="E422" i="10" s="1"/>
  <c r="C423" i="10"/>
  <c r="E423" i="10" s="1" a="1"/>
  <c r="E423" i="10" s="1"/>
  <c r="C424" i="10"/>
  <c r="D424" i="10" s="1" a="1"/>
  <c r="D424" i="10" s="1"/>
  <c r="C425" i="10"/>
  <c r="D425" i="10" s="1" a="1"/>
  <c r="D425" i="10" s="1"/>
  <c r="C426" i="10"/>
  <c r="D426" i="10" s="1" a="1"/>
  <c r="D426" i="10" s="1"/>
  <c r="C427" i="10"/>
  <c r="D427" i="10" s="1" a="1"/>
  <c r="D427" i="10" s="1"/>
  <c r="C428" i="10"/>
  <c r="D428" i="10" s="1" a="1"/>
  <c r="D428" i="10" s="1"/>
  <c r="C429" i="10"/>
  <c r="E429" i="10" s="1" a="1"/>
  <c r="E429" i="10" s="1"/>
  <c r="C430" i="10"/>
  <c r="D430" i="10" s="1" a="1"/>
  <c r="D430" i="10" s="1"/>
  <c r="C431" i="10"/>
  <c r="E431" i="10" s="1" a="1"/>
  <c r="E431" i="10" s="1"/>
  <c r="C432" i="10"/>
  <c r="E432" i="10" s="1" a="1"/>
  <c r="E432" i="10" s="1"/>
  <c r="C433" i="10"/>
  <c r="E433" i="10" s="1" a="1"/>
  <c r="E433" i="10" s="1"/>
  <c r="C434" i="10"/>
  <c r="E434" i="10" s="1" a="1"/>
  <c r="E434" i="10" s="1"/>
  <c r="C435" i="10"/>
  <c r="D435" i="10" s="1" a="1"/>
  <c r="D435" i="10" s="1"/>
  <c r="C436" i="10"/>
  <c r="D436" i="10" s="1" a="1"/>
  <c r="D436" i="10" s="1"/>
  <c r="C437" i="10"/>
  <c r="D437" i="10" s="1" a="1"/>
  <c r="D437" i="10" s="1"/>
  <c r="C438" i="10"/>
  <c r="D438" i="10" s="1" a="1"/>
  <c r="D438" i="10" s="1"/>
  <c r="C439" i="10"/>
  <c r="D439" i="10" s="1" a="1"/>
  <c r="D439" i="10" s="1"/>
  <c r="C440" i="10"/>
  <c r="D440" i="10" s="1" a="1"/>
  <c r="D440" i="10" s="1"/>
  <c r="C441" i="10"/>
  <c r="D441" i="10" s="1" a="1"/>
  <c r="D441" i="10" s="1"/>
  <c r="C442" i="10"/>
  <c r="E442" i="10" s="1" a="1"/>
  <c r="E442" i="10" s="1"/>
  <c r="C443" i="10"/>
  <c r="E443" i="10" s="1" a="1"/>
  <c r="E443" i="10" s="1"/>
  <c r="C444" i="10"/>
  <c r="D444" i="10" s="1" a="1"/>
  <c r="D444" i="10" s="1"/>
  <c r="C445" i="10"/>
  <c r="E445" i="10" s="1" a="1"/>
  <c r="E445" i="10" s="1"/>
  <c r="C446" i="10"/>
  <c r="D446" i="10" s="1" a="1"/>
  <c r="D446" i="10" s="1"/>
  <c r="C447" i="10"/>
  <c r="D447" i="10" s="1" a="1"/>
  <c r="D447" i="10" s="1"/>
  <c r="C448" i="10"/>
  <c r="E448" i="10" s="1" a="1"/>
  <c r="E448" i="10" s="1"/>
  <c r="C449" i="10"/>
  <c r="E449" i="10" s="1" a="1"/>
  <c r="E449" i="10" s="1"/>
  <c r="C450" i="10"/>
  <c r="E450" i="10" s="1" a="1"/>
  <c r="E450" i="10" s="1"/>
  <c r="C451" i="10"/>
  <c r="E451" i="10" s="1" a="1"/>
  <c r="E451" i="10" s="1"/>
  <c r="C452" i="10"/>
  <c r="D452" i="10" s="1" a="1"/>
  <c r="D452" i="10" s="1"/>
  <c r="C453" i="10"/>
  <c r="E453" i="10" s="1" a="1"/>
  <c r="E453" i="10" s="1"/>
  <c r="C454" i="10"/>
  <c r="E454" i="10" s="1" a="1"/>
  <c r="E454" i="10" s="1"/>
  <c r="C455" i="10"/>
  <c r="D455" i="10" s="1" a="1"/>
  <c r="D455" i="10" s="1"/>
  <c r="C456" i="10"/>
  <c r="E456" i="10" s="1" a="1"/>
  <c r="E456" i="10" s="1"/>
  <c r="C457" i="10"/>
  <c r="D457" i="10" s="1" a="1"/>
  <c r="D457" i="10" s="1"/>
  <c r="C458" i="10"/>
  <c r="D458" i="10" s="1" a="1"/>
  <c r="D458" i="10" s="1"/>
  <c r="C459" i="10"/>
  <c r="D459" i="10" s="1" a="1"/>
  <c r="D459" i="10" s="1"/>
  <c r="C460" i="10"/>
  <c r="D460" i="10" s="1" a="1"/>
  <c r="D460" i="10" s="1"/>
  <c r="C461" i="10"/>
  <c r="D461" i="10" s="1" a="1"/>
  <c r="D461" i="10" s="1"/>
  <c r="C462" i="10"/>
  <c r="D462" i="10" s="1" a="1"/>
  <c r="D462" i="10" s="1"/>
  <c r="C463" i="10"/>
  <c r="E463" i="10" s="1" a="1"/>
  <c r="E463" i="10" s="1"/>
  <c r="C464" i="10"/>
  <c r="D464" i="10" s="1" a="1"/>
  <c r="D464" i="10" s="1"/>
  <c r="C465" i="10"/>
  <c r="D465" i="10" s="1" a="1"/>
  <c r="D465" i="10" s="1"/>
  <c r="C466" i="10"/>
  <c r="D466" i="10" s="1" a="1"/>
  <c r="D466" i="10" s="1"/>
  <c r="C467" i="10"/>
  <c r="E467" i="10" s="1" a="1"/>
  <c r="E467" i="10" s="1"/>
  <c r="C468" i="10"/>
  <c r="D468" i="10" s="1" a="1"/>
  <c r="D468" i="10" s="1"/>
  <c r="C469" i="10"/>
  <c r="E469" i="10" s="1" a="1"/>
  <c r="E469" i="10" s="1"/>
  <c r="C470" i="10"/>
  <c r="E470" i="10" s="1" a="1"/>
  <c r="E470" i="10" s="1"/>
  <c r="C471" i="10"/>
  <c r="E471" i="10" s="1" a="1"/>
  <c r="E471" i="10" s="1"/>
  <c r="C472" i="10"/>
  <c r="E472" i="10" s="1" a="1"/>
  <c r="E472" i="10" s="1"/>
  <c r="C473" i="10"/>
  <c r="D473" i="10" s="1" a="1"/>
  <c r="D473" i="10" s="1"/>
  <c r="C474" i="10"/>
  <c r="D474" i="10" s="1" a="1"/>
  <c r="D474" i="10" s="1"/>
  <c r="C475" i="10"/>
  <c r="E475" i="10" s="1" a="1"/>
  <c r="E475" i="10" s="1"/>
  <c r="C476" i="10"/>
  <c r="E476" i="10" s="1" a="1"/>
  <c r="E476" i="10" s="1"/>
  <c r="C477" i="10"/>
  <c r="E477" i="10" s="1" a="1"/>
  <c r="E477" i="10" s="1"/>
  <c r="C478" i="10"/>
  <c r="D478" i="10" s="1" a="1"/>
  <c r="D478" i="10" s="1"/>
  <c r="C479" i="10"/>
  <c r="D479" i="10" s="1" a="1"/>
  <c r="D479" i="10" s="1"/>
  <c r="C480" i="10"/>
  <c r="D480" i="10" s="1" a="1"/>
  <c r="D480" i="10" s="1"/>
  <c r="C481" i="10"/>
  <c r="D481" i="10" s="1" a="1"/>
  <c r="D481" i="10" s="1"/>
  <c r="C482" i="10"/>
  <c r="D482" i="10" s="1" a="1"/>
  <c r="D482" i="10" s="1"/>
  <c r="C483" i="10"/>
  <c r="E483" i="10" s="1" a="1"/>
  <c r="E483" i="10" s="1"/>
  <c r="C484" i="10"/>
  <c r="E484" i="10" s="1" a="1"/>
  <c r="E484" i="10" s="1"/>
  <c r="C485" i="10"/>
  <c r="D485" i="10" s="1" a="1"/>
  <c r="D485" i="10" s="1"/>
  <c r="C486" i="10"/>
  <c r="D486" i="10" s="1" a="1"/>
  <c r="D486" i="10" s="1"/>
  <c r="C487" i="10"/>
  <c r="E487" i="10" s="1" a="1"/>
  <c r="E487" i="10" s="1"/>
  <c r="C488" i="10"/>
  <c r="E488" i="10" s="1" a="1"/>
  <c r="E488" i="10" s="1"/>
  <c r="C489" i="10"/>
  <c r="D489" i="10" s="1" a="1"/>
  <c r="D489" i="10" s="1"/>
  <c r="C490" i="10"/>
  <c r="D490" i="10" s="1" a="1"/>
  <c r="D490" i="10" s="1"/>
  <c r="C491" i="10"/>
  <c r="E491" i="10" s="1" a="1"/>
  <c r="E491" i="10" s="1"/>
  <c r="C492" i="10"/>
  <c r="D492" i="10" s="1" a="1"/>
  <c r="D492" i="10" s="1"/>
  <c r="C493" i="10"/>
  <c r="D493" i="10" s="1" a="1"/>
  <c r="D493" i="10" s="1"/>
  <c r="C494" i="10"/>
  <c r="D494" i="10" s="1" a="1"/>
  <c r="D494" i="10" s="1"/>
  <c r="C495" i="10"/>
  <c r="D495" i="10" s="1" a="1"/>
  <c r="D495" i="10" s="1"/>
  <c r="C496" i="10"/>
  <c r="D496" i="10" s="1" a="1"/>
  <c r="D496" i="10" s="1"/>
  <c r="C497" i="10"/>
  <c r="D497" i="10" s="1" a="1"/>
  <c r="D497" i="10" s="1"/>
  <c r="C498" i="10"/>
  <c r="D498" i="10" s="1" a="1"/>
  <c r="D498" i="10" s="1"/>
  <c r="C499" i="10"/>
  <c r="E499" i="10" s="1" a="1"/>
  <c r="E499" i="10" s="1"/>
  <c r="C500" i="10"/>
  <c r="D500" i="10" s="1" a="1"/>
  <c r="D500" i="10" s="1"/>
  <c r="C501" i="10"/>
  <c r="E501" i="10" s="1" a="1"/>
  <c r="E501" i="10" s="1"/>
  <c r="C502" i="10"/>
  <c r="E502" i="10" s="1" a="1"/>
  <c r="E502" i="10" s="1"/>
  <c r="C503" i="10"/>
  <c r="D503" i="10" s="1" a="1"/>
  <c r="D503" i="10" s="1"/>
  <c r="C504" i="10"/>
  <c r="D504" i="10" s="1" a="1"/>
  <c r="D504" i="10" s="1"/>
  <c r="C505" i="10"/>
  <c r="D505" i="10" s="1" a="1"/>
  <c r="D505" i="10" s="1"/>
  <c r="C506" i="10"/>
  <c r="D506" i="10" s="1" a="1"/>
  <c r="D506" i="10" s="1"/>
  <c r="C507" i="10"/>
  <c r="E507" i="10" s="1" a="1"/>
  <c r="E507" i="10" s="1"/>
  <c r="C508" i="10"/>
  <c r="E508" i="10" s="1" a="1"/>
  <c r="E508" i="10" s="1"/>
  <c r="C509" i="10"/>
  <c r="E509" i="10" s="1" a="1"/>
  <c r="E509" i="10" s="1"/>
  <c r="C510" i="10"/>
  <c r="E510" i="10" s="1" a="1"/>
  <c r="E510" i="10" s="1"/>
  <c r="C511" i="10"/>
  <c r="E511" i="10" s="1" a="1"/>
  <c r="E511" i="10" s="1"/>
  <c r="C512" i="10"/>
  <c r="D512" i="10" s="1" a="1"/>
  <c r="D512" i="10" s="1"/>
  <c r="C513" i="10"/>
  <c r="E513" i="10" s="1" a="1"/>
  <c r="E513" i="10" s="1"/>
  <c r="C514" i="10"/>
  <c r="E514" i="10" s="1" a="1"/>
  <c r="E514" i="10" s="1"/>
  <c r="C515" i="10"/>
  <c r="D515" i="10" s="1" a="1"/>
  <c r="D515" i="10" s="1"/>
  <c r="C516" i="10"/>
  <c r="D516" i="10" s="1" a="1"/>
  <c r="D516" i="10" s="1"/>
  <c r="C517" i="10"/>
  <c r="D517" i="10" s="1" a="1"/>
  <c r="D517" i="10" s="1"/>
  <c r="C518" i="10"/>
  <c r="E518" i="10" s="1" a="1"/>
  <c r="E518" i="10" s="1"/>
  <c r="C519" i="10"/>
  <c r="D519" i="10" s="1" a="1"/>
  <c r="D519" i="10" s="1"/>
  <c r="C520" i="10"/>
  <c r="D520" i="10" s="1" a="1"/>
  <c r="D520" i="10" s="1"/>
  <c r="C521" i="10"/>
  <c r="D521" i="10" s="1" a="1"/>
  <c r="D521" i="10" s="1"/>
  <c r="C522" i="10"/>
  <c r="E522" i="10" s="1" a="1"/>
  <c r="E522" i="10" s="1"/>
  <c r="C523" i="10"/>
  <c r="D523" i="10" s="1" a="1"/>
  <c r="D523" i="10" s="1"/>
  <c r="C524" i="10"/>
  <c r="E524" i="10" s="1" a="1"/>
  <c r="E524" i="10" s="1"/>
  <c r="C525" i="10"/>
  <c r="D525" i="10" s="1" a="1"/>
  <c r="D525" i="10" s="1"/>
  <c r="C526" i="10"/>
  <c r="E526" i="10" s="1" a="1"/>
  <c r="E526" i="10" s="1"/>
  <c r="C527" i="10"/>
  <c r="D527" i="10" s="1" a="1"/>
  <c r="D527" i="10" s="1"/>
  <c r="C528" i="10"/>
  <c r="E528" i="10" s="1" a="1"/>
  <c r="E528" i="10" s="1"/>
  <c r="C529" i="10"/>
  <c r="E529" i="10" s="1" a="1"/>
  <c r="E529" i="10" s="1"/>
  <c r="C530" i="10"/>
  <c r="E530" i="10" s="1" a="1"/>
  <c r="E530" i="10" s="1"/>
  <c r="C531" i="10"/>
  <c r="D531" i="10" s="1" a="1"/>
  <c r="D531" i="10" s="1"/>
  <c r="C532" i="10"/>
  <c r="D532" i="10" s="1" a="1"/>
  <c r="D532" i="10" s="1"/>
  <c r="C533" i="10"/>
  <c r="E533" i="10" s="1" a="1"/>
  <c r="E533" i="10" s="1"/>
  <c r="C534" i="10"/>
  <c r="D534" i="10" s="1" a="1"/>
  <c r="D534" i="10" s="1"/>
  <c r="C535" i="10"/>
  <c r="D535" i="10" s="1" a="1"/>
  <c r="D535" i="10" s="1"/>
  <c r="C536" i="10"/>
  <c r="D536" i="10" s="1" a="1"/>
  <c r="D536" i="10" s="1"/>
  <c r="C537" i="10"/>
  <c r="E537" i="10" s="1" a="1"/>
  <c r="E537" i="10" s="1"/>
  <c r="C538" i="10"/>
  <c r="E538" i="10" s="1" a="1"/>
  <c r="E538" i="10" s="1"/>
  <c r="C539" i="10"/>
  <c r="D539" i="10" s="1" a="1"/>
  <c r="D539" i="10" s="1"/>
  <c r="C540" i="10"/>
  <c r="E540" i="10" s="1" a="1"/>
  <c r="E540" i="10" s="1"/>
  <c r="C541" i="10"/>
  <c r="E541" i="10" s="1" a="1"/>
  <c r="E541" i="10" s="1"/>
  <c r="C542" i="10"/>
  <c r="D542" i="10" s="1" a="1"/>
  <c r="D542" i="10" s="1"/>
  <c r="C543" i="10"/>
  <c r="D543" i="10" s="1" a="1"/>
  <c r="D543" i="10" s="1"/>
  <c r="C544" i="10"/>
  <c r="E544" i="10" s="1" a="1"/>
  <c r="E544" i="10" s="1"/>
  <c r="C545" i="10"/>
  <c r="E545" i="10" s="1" a="1"/>
  <c r="E545" i="10" s="1"/>
  <c r="C546" i="10"/>
  <c r="E546" i="10" s="1" a="1"/>
  <c r="E546" i="10" s="1"/>
  <c r="C547" i="10"/>
  <c r="D547" i="10" s="1" a="1"/>
  <c r="D547" i="10" s="1"/>
  <c r="C548" i="10"/>
  <c r="E548" i="10" s="1" a="1"/>
  <c r="E548" i="10" s="1"/>
  <c r="C549" i="10"/>
  <c r="D549" i="10" s="1" a="1"/>
  <c r="D549" i="10" s="1"/>
  <c r="C550" i="10"/>
  <c r="E550" i="10" s="1" a="1"/>
  <c r="E550" i="10" s="1"/>
  <c r="C551" i="10"/>
  <c r="D551" i="10" s="1" a="1"/>
  <c r="D551" i="10" s="1"/>
  <c r="C552" i="10"/>
  <c r="E552" i="10" s="1" a="1"/>
  <c r="E552" i="10" s="1"/>
  <c r="C553" i="10"/>
  <c r="D553" i="10" s="1" a="1"/>
  <c r="D553" i="10" s="1"/>
  <c r="C554" i="10"/>
  <c r="D554" i="10" s="1" a="1"/>
  <c r="D554" i="10" s="1"/>
  <c r="C555" i="10"/>
  <c r="D555" i="10" s="1" a="1"/>
  <c r="D555" i="10" s="1"/>
  <c r="C556" i="10"/>
  <c r="D556" i="10" s="1" a="1"/>
  <c r="D556" i="10" s="1"/>
  <c r="C557" i="10"/>
  <c r="D557" i="10" s="1" a="1"/>
  <c r="D557" i="10" s="1"/>
  <c r="C558" i="10"/>
  <c r="E558" i="10" s="1" a="1"/>
  <c r="E558" i="10" s="1"/>
  <c r="C559" i="10"/>
  <c r="E559" i="10" s="1" a="1"/>
  <c r="E559" i="10" s="1"/>
  <c r="C560" i="10"/>
  <c r="E560" i="10" s="1" a="1"/>
  <c r="E560" i="10" s="1"/>
  <c r="C561" i="10"/>
  <c r="E561" i="10" s="1" a="1"/>
  <c r="E561" i="10" s="1"/>
  <c r="C562" i="10"/>
  <c r="E562" i="10" s="1" a="1"/>
  <c r="E562" i="10" s="1"/>
  <c r="C563" i="10"/>
  <c r="D563" i="10" s="1" a="1"/>
  <c r="D563" i="10" s="1"/>
  <c r="C564" i="10"/>
  <c r="D564" i="10" s="1" a="1"/>
  <c r="D564" i="10" s="1"/>
  <c r="C565" i="10"/>
  <c r="D565" i="10" s="1" a="1"/>
  <c r="D565" i="10" s="1"/>
  <c r="C566" i="10"/>
  <c r="D566" i="10" s="1" a="1"/>
  <c r="D566" i="10" s="1"/>
  <c r="C567" i="10"/>
  <c r="D567" i="10" s="1" a="1"/>
  <c r="D567" i="10" s="1"/>
  <c r="C568" i="10"/>
  <c r="E568" i="10" s="1" a="1"/>
  <c r="E568" i="10" s="1"/>
  <c r="C569" i="10"/>
  <c r="D569" i="10" s="1" a="1"/>
  <c r="D569" i="10" s="1"/>
  <c r="C570" i="10"/>
  <c r="D570" i="10" s="1" a="1"/>
  <c r="D570" i="10" s="1"/>
  <c r="C571" i="10"/>
  <c r="E571" i="10" s="1" a="1"/>
  <c r="E571" i="10" s="1"/>
  <c r="C572" i="10"/>
  <c r="D572" i="10" s="1" a="1"/>
  <c r="D572" i="10" s="1"/>
  <c r="C573" i="10"/>
  <c r="E573" i="10" s="1" a="1"/>
  <c r="E573" i="10" s="1"/>
  <c r="C574" i="10"/>
  <c r="D574" i="10" s="1" a="1"/>
  <c r="D574" i="10" s="1"/>
  <c r="C575" i="10"/>
  <c r="D575" i="10" s="1" a="1"/>
  <c r="D575" i="10" s="1"/>
  <c r="C576" i="10"/>
  <c r="E576" i="10" s="1" a="1"/>
  <c r="E576" i="10" s="1"/>
  <c r="C577" i="10"/>
  <c r="E577" i="10" s="1" a="1"/>
  <c r="E577" i="10" s="1"/>
  <c r="C578" i="10"/>
  <c r="E578" i="10" s="1" a="1"/>
  <c r="E578" i="10" s="1"/>
  <c r="C579" i="10"/>
  <c r="D579" i="10" s="1" a="1"/>
  <c r="D579" i="10" s="1"/>
  <c r="C580" i="10"/>
  <c r="E580" i="10" s="1" a="1"/>
  <c r="E580" i="10" s="1"/>
  <c r="C581" i="10"/>
  <c r="D581" i="10" s="1" a="1"/>
  <c r="D581" i="10" s="1"/>
  <c r="C582" i="10"/>
  <c r="E582" i="10" s="1" a="1"/>
  <c r="E582" i="10" s="1"/>
  <c r="C583" i="10"/>
  <c r="D583" i="10" s="1" a="1"/>
  <c r="D583" i="10" s="1"/>
  <c r="C584" i="10"/>
  <c r="E584" i="10" s="1" a="1"/>
  <c r="E584" i="10" s="1"/>
  <c r="C585" i="10"/>
  <c r="D585" i="10" s="1" a="1"/>
  <c r="D585" i="10" s="1"/>
  <c r="C586" i="10"/>
  <c r="D586" i="10" s="1" a="1"/>
  <c r="D586" i="10" s="1"/>
  <c r="C587" i="10"/>
  <c r="E587" i="10" s="1" a="1"/>
  <c r="E587" i="10" s="1"/>
  <c r="C588" i="10"/>
  <c r="E588" i="10" s="1" a="1"/>
  <c r="E588" i="10" s="1"/>
  <c r="C589" i="10"/>
  <c r="E589" i="10" s="1" a="1"/>
  <c r="E589" i="10" s="1"/>
  <c r="C590" i="10"/>
  <c r="E590" i="10" s="1" a="1"/>
  <c r="E590" i="10" s="1"/>
  <c r="C591" i="10"/>
  <c r="E591" i="10" s="1" a="1"/>
  <c r="E591" i="10" s="1"/>
  <c r="C592" i="10"/>
  <c r="E592" i="10" s="1" a="1"/>
  <c r="E592" i="10" s="1"/>
  <c r="C593" i="10"/>
  <c r="E593" i="10" s="1" a="1"/>
  <c r="E593" i="10" s="1"/>
  <c r="C594" i="10"/>
  <c r="E594" i="10" s="1" a="1"/>
  <c r="E594" i="10" s="1"/>
  <c r="C595" i="10"/>
  <c r="E595" i="10" s="1" a="1"/>
  <c r="E595" i="10" s="1"/>
  <c r="C596" i="10"/>
  <c r="D596" i="10" s="1" a="1"/>
  <c r="D596" i="10" s="1"/>
  <c r="C597" i="10"/>
  <c r="D597" i="10" s="1" a="1"/>
  <c r="D597" i="10" s="1"/>
  <c r="C598" i="10"/>
  <c r="D598" i="10" s="1" a="1"/>
  <c r="D598" i="10" s="1"/>
  <c r="C599" i="10"/>
  <c r="E599" i="10" s="1" a="1"/>
  <c r="E599" i="10" s="1"/>
  <c r="C600" i="10"/>
  <c r="D600" i="10" s="1" a="1"/>
  <c r="D600" i="10" s="1"/>
  <c r="C601" i="10"/>
  <c r="D601" i="10" s="1" a="1"/>
  <c r="D601" i="10" s="1"/>
  <c r="C602" i="10"/>
  <c r="D602" i="10" s="1" a="1"/>
  <c r="D602" i="10" s="1"/>
  <c r="C603" i="10"/>
  <c r="E603" i="10" s="1" a="1"/>
  <c r="E603" i="10" s="1"/>
  <c r="C604" i="10"/>
  <c r="D604" i="10" s="1" a="1"/>
  <c r="D604" i="10" s="1"/>
  <c r="C605" i="10"/>
  <c r="D605" i="10" s="1" a="1"/>
  <c r="D605" i="10" s="1"/>
  <c r="C606" i="10"/>
  <c r="E606" i="10" s="1" a="1"/>
  <c r="E606" i="10" s="1"/>
  <c r="C607" i="10"/>
  <c r="D607" i="10" s="1" a="1"/>
  <c r="D607" i="10" s="1"/>
  <c r="C608" i="10"/>
  <c r="E608" i="10" s="1" a="1"/>
  <c r="E608" i="10" s="1"/>
  <c r="C609" i="10"/>
  <c r="E609" i="10" s="1" a="1"/>
  <c r="E609" i="10" s="1"/>
  <c r="C610" i="10"/>
  <c r="E610" i="10" s="1" a="1"/>
  <c r="E610" i="10" s="1"/>
  <c r="C611" i="10"/>
  <c r="E611" i="10" s="1" a="1"/>
  <c r="E611" i="10" s="1"/>
  <c r="C612" i="10"/>
  <c r="E612" i="10" s="1" a="1"/>
  <c r="E612" i="10" s="1"/>
  <c r="C613" i="10"/>
  <c r="E613" i="10" s="1" a="1"/>
  <c r="E613" i="10" s="1"/>
  <c r="C614" i="10"/>
  <c r="E614" i="10" s="1" a="1"/>
  <c r="E614" i="10" s="1"/>
  <c r="C615" i="10"/>
  <c r="D615" i="10" s="1" a="1"/>
  <c r="D615" i="10" s="1"/>
  <c r="C616" i="10"/>
  <c r="E616" i="10" s="1" a="1"/>
  <c r="E616" i="10" s="1"/>
  <c r="C617" i="10"/>
  <c r="E617" i="10" s="1" a="1"/>
  <c r="E617" i="10" s="1"/>
  <c r="C618" i="10"/>
  <c r="D618" i="10" s="1" a="1"/>
  <c r="D618" i="10" s="1"/>
  <c r="C619" i="10"/>
  <c r="D619" i="10" s="1" a="1"/>
  <c r="D619" i="10" s="1"/>
  <c r="C620" i="10"/>
  <c r="E620" i="10" s="1" a="1"/>
  <c r="E620" i="10" s="1"/>
  <c r="C621" i="10"/>
  <c r="D621" i="10" s="1" a="1"/>
  <c r="D621" i="10" s="1"/>
  <c r="C622" i="10"/>
  <c r="D622" i="10" s="1" a="1"/>
  <c r="D622" i="10" s="1"/>
  <c r="C623" i="10"/>
  <c r="D623" i="10" s="1" a="1"/>
  <c r="D623" i="10" s="1"/>
  <c r="C624" i="10"/>
  <c r="E624" i="10" s="1" a="1"/>
  <c r="E624" i="10" s="1"/>
  <c r="C625" i="10"/>
  <c r="E625" i="10" s="1" a="1"/>
  <c r="E625" i="10" s="1"/>
  <c r="C626" i="10"/>
  <c r="E626" i="10" s="1" a="1"/>
  <c r="E626" i="10" s="1"/>
  <c r="C627" i="10"/>
  <c r="E627" i="10" s="1" a="1"/>
  <c r="E627" i="10" s="1"/>
  <c r="C628" i="10"/>
  <c r="E628" i="10" s="1" a="1"/>
  <c r="E628" i="10" s="1"/>
  <c r="C629" i="10"/>
  <c r="D629" i="10" s="1" a="1"/>
  <c r="D629" i="10" s="1"/>
  <c r="C630" i="10"/>
  <c r="E630" i="10" s="1" a="1"/>
  <c r="E630" i="10" s="1"/>
  <c r="C631" i="10"/>
  <c r="D631" i="10" s="1" a="1"/>
  <c r="D631" i="10" s="1"/>
  <c r="C632" i="10"/>
  <c r="D632" i="10" s="1" a="1"/>
  <c r="D632" i="10" s="1"/>
  <c r="C633" i="10"/>
  <c r="D633" i="10" s="1" a="1"/>
  <c r="D633" i="10" s="1"/>
  <c r="C634" i="10"/>
  <c r="E634" i="10" s="1" a="1"/>
  <c r="E634" i="10" s="1"/>
  <c r="C635" i="10"/>
  <c r="E635" i="10" s="1" a="1"/>
  <c r="E635" i="10" s="1"/>
  <c r="C636" i="10"/>
  <c r="D636" i="10" s="1" a="1"/>
  <c r="D636" i="10" s="1"/>
  <c r="C637" i="10"/>
  <c r="D637" i="10" s="1" a="1"/>
  <c r="D637" i="10" s="1"/>
  <c r="C638" i="10"/>
  <c r="D638" i="10" s="1" a="1"/>
  <c r="D638" i="10" s="1"/>
  <c r="C639" i="10"/>
  <c r="D639" i="10" s="1" a="1"/>
  <c r="D639" i="10" s="1"/>
  <c r="C640" i="10"/>
  <c r="D640" i="10" s="1" a="1"/>
  <c r="D640" i="10" s="1"/>
  <c r="C641" i="10"/>
  <c r="D641" i="10" s="1" a="1"/>
  <c r="D641" i="10" s="1"/>
  <c r="C642" i="10"/>
  <c r="E642" i="10" s="1" a="1"/>
  <c r="E642" i="10" s="1"/>
  <c r="C643" i="10"/>
  <c r="D643" i="10" s="1" a="1"/>
  <c r="D643" i="10" s="1"/>
  <c r="C644" i="10"/>
  <c r="E644" i="10" s="1" a="1"/>
  <c r="E644" i="10" s="1"/>
  <c r="C645" i="10"/>
  <c r="D645" i="10" s="1" a="1"/>
  <c r="D645" i="10" s="1"/>
  <c r="C646" i="10"/>
  <c r="D646" i="10" s="1" a="1"/>
  <c r="D646" i="10" s="1"/>
  <c r="C647" i="10"/>
  <c r="E647" i="10" s="1" a="1"/>
  <c r="E647" i="10" s="1"/>
  <c r="C648" i="10"/>
  <c r="D648" i="10" s="1" a="1"/>
  <c r="D648" i="10" s="1"/>
  <c r="C649" i="10"/>
  <c r="D649" i="10" s="1" a="1"/>
  <c r="D649" i="10" s="1"/>
  <c r="C650" i="10"/>
  <c r="D650" i="10" s="1" a="1"/>
  <c r="D650" i="10" s="1"/>
  <c r="C651" i="10"/>
  <c r="D651" i="10" s="1" a="1"/>
  <c r="D651" i="10" s="1"/>
  <c r="C652" i="10"/>
  <c r="E652" i="10" s="1" a="1"/>
  <c r="E652" i="10" s="1"/>
  <c r="C653" i="10"/>
  <c r="D653" i="10" s="1" a="1"/>
  <c r="D653" i="10" s="1"/>
  <c r="C654" i="10"/>
  <c r="D654" i="10" s="1" a="1"/>
  <c r="D654" i="10" s="1"/>
  <c r="C655" i="10"/>
  <c r="E655" i="10" s="1" a="1"/>
  <c r="E655" i="10" s="1"/>
  <c r="C656" i="10"/>
  <c r="D656" i="10" s="1" a="1"/>
  <c r="D656" i="10" s="1"/>
  <c r="C657" i="10"/>
  <c r="D657" i="10" s="1" a="1"/>
  <c r="D657" i="10" s="1"/>
  <c r="C658" i="10"/>
  <c r="D658" i="10" s="1" a="1"/>
  <c r="D658" i="10" s="1"/>
  <c r="C659" i="10"/>
  <c r="E659" i="10" s="1" a="1"/>
  <c r="E659" i="10" s="1"/>
  <c r="C660" i="10"/>
  <c r="E660" i="10" s="1" a="1"/>
  <c r="E660" i="10" s="1"/>
  <c r="C661" i="10"/>
  <c r="E661" i="10" s="1" a="1"/>
  <c r="E661" i="10" s="1"/>
  <c r="C662" i="10"/>
  <c r="D662" i="10" s="1" a="1"/>
  <c r="D662" i="10" s="1"/>
  <c r="C663" i="10"/>
  <c r="D663" i="10" s="1" a="1"/>
  <c r="D663" i="10" s="1"/>
  <c r="C664" i="10"/>
  <c r="D664" i="10" s="1" a="1"/>
  <c r="D664" i="10" s="1"/>
  <c r="C665" i="10"/>
  <c r="D665" i="10" s="1" a="1"/>
  <c r="D665" i="10" s="1"/>
  <c r="C666" i="10"/>
  <c r="D666" i="10" s="1" a="1"/>
  <c r="D666" i="10" s="1"/>
  <c r="C667" i="10"/>
  <c r="E667" i="10" s="1" a="1"/>
  <c r="E667" i="10" s="1"/>
  <c r="C668" i="10"/>
  <c r="D668" i="10" s="1" a="1"/>
  <c r="D668" i="10" s="1"/>
  <c r="C669" i="10"/>
  <c r="E669" i="10" s="1" a="1"/>
  <c r="E669" i="10" s="1"/>
  <c r="C670" i="10"/>
  <c r="D670" i="10" s="1" a="1"/>
  <c r="D670" i="10" s="1"/>
  <c r="C671" i="10"/>
  <c r="E671" i="10" s="1" a="1"/>
  <c r="E671" i="10" s="1"/>
  <c r="Z197" i="12" l="1" a="1"/>
  <c r="Z197" i="12" s="1"/>
  <c r="Z181" i="12" a="1"/>
  <c r="Z181" i="12" s="1"/>
  <c r="AA175" i="12" a="1"/>
  <c r="AA175" i="12" s="1"/>
  <c r="Z180" i="12" a="1"/>
  <c r="Z180" i="12" s="1"/>
  <c r="Z179" i="12" a="1"/>
  <c r="Z179" i="12" s="1"/>
  <c r="Z178" i="12" a="1"/>
  <c r="Z178" i="12" s="1"/>
  <c r="AA171" i="12" a="1"/>
  <c r="AA171" i="12" s="1"/>
  <c r="AA166" i="12" a="1"/>
  <c r="AA166" i="12" s="1"/>
  <c r="AA165" i="12" a="1"/>
  <c r="AA165" i="12" s="1"/>
  <c r="Z170" i="12" a="1"/>
  <c r="Z170" i="12" s="1"/>
  <c r="Z133" i="12" a="1"/>
  <c r="Z133" i="12" s="1"/>
  <c r="E1220" i="10" a="1"/>
  <c r="E1220" i="10" s="1"/>
  <c r="E1116" i="10" a="1"/>
  <c r="E1116" i="10" s="1"/>
  <c r="E1499" i="10" a="1"/>
  <c r="E1499" i="10" s="1"/>
  <c r="E1421" i="10" a="1"/>
  <c r="E1421" i="10" s="1"/>
  <c r="D1581" i="10" a="1"/>
  <c r="D1581" i="10" s="1"/>
  <c r="D1555" i="10" a="1"/>
  <c r="D1555" i="10" s="1"/>
  <c r="D1469" i="10" a="1"/>
  <c r="D1469" i="10" s="1"/>
  <c r="E1461" i="10" a="1"/>
  <c r="E1461" i="10" s="1"/>
  <c r="D1381" i="10" a="1"/>
  <c r="D1381" i="10" s="1"/>
  <c r="D1349" i="10" a="1"/>
  <c r="D1349" i="10" s="1"/>
  <c r="D1317" i="10" a="1"/>
  <c r="D1317" i="10" s="1"/>
  <c r="E1196" i="10" a="1"/>
  <c r="E1196" i="10" s="1"/>
  <c r="E1100" i="10" a="1"/>
  <c r="E1100" i="10" s="1"/>
  <c r="D1299" i="10" a="1"/>
  <c r="D1299" i="10" s="1"/>
  <c r="E1557" i="10" a="1"/>
  <c r="E1557" i="10" s="1"/>
  <c r="E1341" i="10" a="1"/>
  <c r="E1341" i="10" s="1"/>
  <c r="D1605" i="10" a="1"/>
  <c r="D1605" i="10" s="1"/>
  <c r="D1549" i="10" a="1"/>
  <c r="D1549" i="10" s="1"/>
  <c r="D1493" i="10" a="1"/>
  <c r="D1493" i="10" s="1"/>
  <c r="E1180" i="10" a="1"/>
  <c r="E1180" i="10" s="1"/>
  <c r="E1092" i="10" a="1"/>
  <c r="E1092" i="10" s="1"/>
  <c r="E1613" i="10" a="1"/>
  <c r="E1613" i="10" s="1"/>
  <c r="E1596" i="10" a="1"/>
  <c r="E1596" i="10" s="1"/>
  <c r="E1575" i="10" a="1"/>
  <c r="E1575" i="10" s="1"/>
  <c r="E1514" i="10" a="1"/>
  <c r="E1514" i="10" s="1"/>
  <c r="E1436" i="10" a="1"/>
  <c r="E1436" i="10" s="1"/>
  <c r="E1397" i="10" a="1"/>
  <c r="E1397" i="10" s="1"/>
  <c r="E1339" i="10" a="1"/>
  <c r="E1339" i="10" s="1"/>
  <c r="E1357" i="10" a="1"/>
  <c r="E1357" i="10" s="1"/>
  <c r="E1277" i="10" a="1"/>
  <c r="E1277" i="10" s="1"/>
  <c r="E1170" i="10" a="1"/>
  <c r="E1170" i="10" s="1"/>
  <c r="E1611" i="10" a="1"/>
  <c r="E1611" i="10" s="1"/>
  <c r="E1573" i="10" a="1"/>
  <c r="E1573" i="10" s="1"/>
  <c r="E1511" i="10" a="1"/>
  <c r="E1511" i="10" s="1"/>
  <c r="E1453" i="10" a="1"/>
  <c r="E1453" i="10" s="1"/>
  <c r="E1395" i="10" a="1"/>
  <c r="E1395" i="10" s="1"/>
  <c r="D1541" i="10" a="1"/>
  <c r="D1541" i="10" s="1"/>
  <c r="D1485" i="10" a="1"/>
  <c r="D1485" i="10" s="1"/>
  <c r="D1429" i="10" a="1"/>
  <c r="D1429" i="10" s="1"/>
  <c r="D1373" i="10" a="1"/>
  <c r="D1373" i="10" s="1"/>
  <c r="D1633" i="10" a="1"/>
  <c r="D1633" i="10" s="1"/>
  <c r="E1276" i="10" a="1"/>
  <c r="E1276" i="10" s="1"/>
  <c r="E1413" i="10" a="1"/>
  <c r="E1413" i="10" s="1"/>
  <c r="D1660" i="10" a="1"/>
  <c r="D1660" i="10" s="1"/>
  <c r="D1644" i="10" a="1"/>
  <c r="D1644" i="10" s="1"/>
  <c r="E1150" i="10" a="1"/>
  <c r="E1150" i="10" s="1"/>
  <c r="E1571" i="10" a="1"/>
  <c r="E1571" i="10" s="1"/>
  <c r="E1509" i="10" a="1"/>
  <c r="E1509" i="10" s="1"/>
  <c r="E1451" i="10" a="1"/>
  <c r="E1451" i="10" s="1"/>
  <c r="E1431" i="10" a="1"/>
  <c r="E1431" i="10" s="1"/>
  <c r="D1333" i="10" a="1"/>
  <c r="D1333" i="10" s="1"/>
  <c r="E1260" i="10" a="1"/>
  <c r="E1260" i="10" s="1"/>
  <c r="D1164" i="10" a="1"/>
  <c r="D1164" i="10" s="1"/>
  <c r="D1621" i="10" a="1"/>
  <c r="D1621" i="10" s="1"/>
  <c r="D1631" i="10" a="1"/>
  <c r="D1631" i="10" s="1"/>
  <c r="E1144" i="10" a="1"/>
  <c r="E1144" i="10" s="1"/>
  <c r="E1589" i="10" a="1"/>
  <c r="E1589" i="10" s="1"/>
  <c r="D1365" i="10" a="1"/>
  <c r="D1365" i="10" s="1"/>
  <c r="E1244" i="10" a="1"/>
  <c r="E1244" i="10" s="1"/>
  <c r="E1132" i="10" a="1"/>
  <c r="E1132" i="10" s="1"/>
  <c r="D1094" i="10" a="1"/>
  <c r="D1094" i="10" s="1"/>
  <c r="E1525" i="10" a="1"/>
  <c r="E1525" i="10" s="1"/>
  <c r="E1445" i="10" a="1"/>
  <c r="E1445" i="10" s="1"/>
  <c r="D1501" i="10" a="1"/>
  <c r="D1501" i="10" s="1"/>
  <c r="E1224" i="10" a="1"/>
  <c r="E1224" i="10" s="1"/>
  <c r="Z156" i="13" a="1"/>
  <c r="Z156" i="13" s="1"/>
  <c r="Z155" i="13" a="1"/>
  <c r="Z155" i="13" s="1"/>
  <c r="Z152" i="13" a="1"/>
  <c r="Z152" i="13" s="1"/>
  <c r="Z117" i="13" a="1"/>
  <c r="Z117" i="13" s="1"/>
  <c r="AA109" i="12" a="1"/>
  <c r="AA109" i="12" s="1"/>
  <c r="Z169" i="12" a="1"/>
  <c r="Z169" i="12" s="1"/>
  <c r="Z168" i="12" a="1"/>
  <c r="Z168" i="12" s="1"/>
  <c r="Z167" i="12" a="1"/>
  <c r="Z167" i="12" s="1"/>
  <c r="Z126" i="12" a="1"/>
  <c r="Z126" i="12" s="1"/>
  <c r="E1174" i="10" a="1"/>
  <c r="E1174" i="10" s="1"/>
  <c r="E1534" i="10" a="1"/>
  <c r="E1534" i="10" s="1"/>
  <c r="E1406" i="10" a="1"/>
  <c r="E1406" i="10" s="1"/>
  <c r="E1240" i="10" a="1"/>
  <c r="E1240" i="10" s="1"/>
  <c r="E1171" i="10" a="1"/>
  <c r="E1171" i="10" s="1"/>
  <c r="E1107" i="10" a="1"/>
  <c r="E1107" i="10" s="1"/>
  <c r="D1200" i="10" a="1"/>
  <c r="D1200" i="10" s="1"/>
  <c r="E1568" i="10" a="1"/>
  <c r="E1568" i="10" s="1"/>
  <c r="E1238" i="10" a="1"/>
  <c r="E1238" i="10" s="1"/>
  <c r="D1198" i="10" a="1"/>
  <c r="D1198" i="10" s="1"/>
  <c r="E1298" i="10" a="1"/>
  <c r="E1298" i="10" s="1"/>
  <c r="E1550" i="10" a="1"/>
  <c r="E1550" i="10" s="1"/>
  <c r="E1422" i="10" a="1"/>
  <c r="E1422" i="10" s="1"/>
  <c r="E1235" i="10" a="1"/>
  <c r="E1235" i="10" s="1"/>
  <c r="E1584" i="10" a="1"/>
  <c r="E1584" i="10" s="1"/>
  <c r="E1566" i="10" a="1"/>
  <c r="E1566" i="10" s="1"/>
  <c r="D1623" i="10" a="1"/>
  <c r="D1623" i="10" s="1"/>
  <c r="E1155" i="10" a="1"/>
  <c r="E1155" i="10" s="1"/>
  <c r="E1093" i="10" a="1"/>
  <c r="E1093" i="10" s="1"/>
  <c r="E1292" i="10" a="1"/>
  <c r="E1292" i="10" s="1"/>
  <c r="E1456" i="10" a="1"/>
  <c r="E1456" i="10" s="1"/>
  <c r="E1438" i="10" a="1"/>
  <c r="E1438" i="10" s="1"/>
  <c r="E1617" i="10" a="1"/>
  <c r="E1617" i="10" s="1"/>
  <c r="E1582" i="10" a="1"/>
  <c r="E1582" i="10" s="1"/>
  <c r="D1518" i="10" a="1"/>
  <c r="D1518" i="10" s="1"/>
  <c r="E1278" i="10" a="1"/>
  <c r="E1278" i="10" s="1"/>
  <c r="E1222" i="10" a="1"/>
  <c r="E1222" i="10" s="1"/>
  <c r="E1091" i="10" a="1"/>
  <c r="E1091" i="10" s="1"/>
  <c r="D1166" i="10" a="1"/>
  <c r="D1166" i="10" s="1"/>
  <c r="E1454" i="10" a="1"/>
  <c r="E1454" i="10" s="1"/>
  <c r="D1569" i="10" a="1"/>
  <c r="D1569" i="10" s="1"/>
  <c r="E1219" i="10" a="1"/>
  <c r="E1219" i="10" s="1"/>
  <c r="E1139" i="10" a="1"/>
  <c r="E1139" i="10" s="1"/>
  <c r="E1270" i="10" a="1"/>
  <c r="E1270" i="10" s="1"/>
  <c r="E1206" i="10" a="1"/>
  <c r="E1206" i="10" s="1"/>
  <c r="E1342" i="10" a="1"/>
  <c r="E1342" i="10" s="1"/>
  <c r="E1358" i="10" a="1"/>
  <c r="E1358" i="10" s="1"/>
  <c r="E1120" i="10" a="1"/>
  <c r="E1120" i="10" s="1"/>
  <c r="D1230" i="10" a="1"/>
  <c r="D1230" i="10" s="1"/>
  <c r="D1104" i="10" a="1"/>
  <c r="D1104" i="10" s="1"/>
  <c r="E1520" i="10" a="1"/>
  <c r="E1520" i="10" s="1"/>
  <c r="E1502" i="10" a="1"/>
  <c r="E1502" i="10" s="1"/>
  <c r="E1392" i="10" a="1"/>
  <c r="E1392" i="10" s="1"/>
  <c r="E1374" i="10" a="1"/>
  <c r="E1374" i="10" s="1"/>
  <c r="E1246" i="10" a="1"/>
  <c r="E1246" i="10" s="1"/>
  <c r="E1553" i="10" a="1"/>
  <c r="E1553" i="10" s="1"/>
  <c r="E1177" i="10" a="1"/>
  <c r="E1177" i="10" s="1"/>
  <c r="E1561" i="10" a="1"/>
  <c r="E1561" i="10" s="1"/>
  <c r="E1465" i="10" a="1"/>
  <c r="E1465" i="10" s="1"/>
  <c r="D1369" i="10" a="1"/>
  <c r="D1369" i="10" s="1"/>
  <c r="E1272" i="10" a="1"/>
  <c r="E1272" i="10" s="1"/>
  <c r="E1225" i="10" a="1"/>
  <c r="E1225" i="10" s="1"/>
  <c r="E1305" i="10" a="1"/>
  <c r="E1305" i="10" s="1"/>
  <c r="E1577" i="10" a="1"/>
  <c r="E1577" i="10" s="1"/>
  <c r="E1545" i="10" a="1"/>
  <c r="E1545" i="10" s="1"/>
  <c r="E1497" i="10" a="1"/>
  <c r="E1497" i="10" s="1"/>
  <c r="E1481" i="10" a="1"/>
  <c r="E1481" i="10" s="1"/>
  <c r="E1609" i="10" a="1"/>
  <c r="E1609" i="10" s="1"/>
  <c r="E1593" i="10" a="1"/>
  <c r="E1593" i="10" s="1"/>
  <c r="E1529" i="10" a="1"/>
  <c r="E1529" i="10" s="1"/>
  <c r="E1513" i="10" a="1"/>
  <c r="E1513" i="10" s="1"/>
  <c r="E1266" i="10" a="1"/>
  <c r="E1266" i="10" s="1"/>
  <c r="E1168" i="10" a="1"/>
  <c r="E1168" i="10" s="1"/>
  <c r="D1385" i="10" a="1"/>
  <c r="D1385" i="10" s="1"/>
  <c r="E1212" i="10" a="1"/>
  <c r="E1212" i="10" s="1"/>
  <c r="E1160" i="10" a="1"/>
  <c r="E1160" i="10" s="1"/>
  <c r="D1228" i="10" a="1"/>
  <c r="D1228" i="10" s="1"/>
  <c r="D1134" i="10" a="1"/>
  <c r="D1134" i="10" s="1"/>
  <c r="E1283" i="10" a="1"/>
  <c r="E1283" i="10" s="1"/>
  <c r="E1257" i="10" a="1"/>
  <c r="E1257" i="10" s="1"/>
  <c r="E1112" i="10" a="1"/>
  <c r="E1112" i="10" s="1"/>
  <c r="E1280" i="10" a="1"/>
  <c r="E1280" i="10" s="1"/>
  <c r="D1449" i="10" a="1"/>
  <c r="D1449" i="10" s="1"/>
  <c r="D1337" i="10" a="1"/>
  <c r="D1337" i="10" s="1"/>
  <c r="D1315" i="10" a="1"/>
  <c r="D1315" i="10" s="1"/>
  <c r="D1401" i="10" a="1"/>
  <c r="D1401" i="10" s="1"/>
  <c r="E1250" i="10" a="1"/>
  <c r="E1250" i="10" s="1"/>
  <c r="E1202" i="10" a="1"/>
  <c r="E1202" i="10" s="1"/>
  <c r="E1149" i="10" a="1"/>
  <c r="E1149" i="10" s="1"/>
  <c r="E1102" i="10" a="1"/>
  <c r="E1102" i="10" s="1"/>
  <c r="D1213" i="10" a="1"/>
  <c r="D1213" i="10" s="1"/>
  <c r="D1308" i="10" a="1"/>
  <c r="D1308" i="10" s="1"/>
  <c r="E1353" i="10" a="1"/>
  <c r="E1353" i="10" s="1"/>
  <c r="E1321" i="10" a="1"/>
  <c r="E1321" i="10" s="1"/>
  <c r="D1294" i="10" a="1"/>
  <c r="D1294" i="10" s="1"/>
  <c r="E1193" i="10" a="1"/>
  <c r="E1193" i="10" s="1"/>
  <c r="E1136" i="10" a="1"/>
  <c r="E1136" i="10" s="1"/>
  <c r="E1417" i="10" a="1"/>
  <c r="E1417" i="10" s="1"/>
  <c r="E1433" i="10" a="1"/>
  <c r="E1433" i="10" s="1"/>
  <c r="D1176" i="10" a="1"/>
  <c r="D1176" i="10" s="1"/>
  <c r="E1239" i="10" a="1"/>
  <c r="E1239" i="10" s="1"/>
  <c r="E1264" i="10" a="1"/>
  <c r="E1264" i="10" s="1"/>
  <c r="E1234" i="10" a="1"/>
  <c r="E1234" i="10" s="1"/>
  <c r="E1158" i="10" a="1"/>
  <c r="E1158" i="10" s="1"/>
  <c r="E1095" i="10" a="1"/>
  <c r="E1095" i="10" s="1"/>
  <c r="D1314" i="10" a="1"/>
  <c r="D1314" i="10" s="1"/>
  <c r="D1457" i="10" a="1"/>
  <c r="D1457" i="10" s="1"/>
  <c r="E1263" i="10" a="1"/>
  <c r="E1263" i="10" s="1"/>
  <c r="E1232" i="10" a="1"/>
  <c r="E1232" i="10" s="1"/>
  <c r="E1128" i="10" a="1"/>
  <c r="E1128" i="10" s="1"/>
  <c r="D1311" i="10" a="1"/>
  <c r="D1311" i="10" s="1"/>
  <c r="E1190" i="10" a="1"/>
  <c r="E1190" i="10" s="1"/>
  <c r="E1154" i="10" a="1"/>
  <c r="E1154" i="10" s="1"/>
  <c r="E1127" i="10" a="1"/>
  <c r="E1127" i="10" s="1"/>
  <c r="D1310" i="10" a="1"/>
  <c r="D1310" i="10" s="1"/>
  <c r="E1151" i="10" a="1"/>
  <c r="E1151" i="10" s="1"/>
  <c r="E1126" i="10" a="1"/>
  <c r="E1126" i="10" s="1"/>
  <c r="E1313" i="10" a="1"/>
  <c r="E1313" i="10" s="1"/>
  <c r="D1489" i="10" a="1"/>
  <c r="D1489" i="10" s="1"/>
  <c r="E1183" i="10" a="1"/>
  <c r="E1183" i="10" s="1"/>
  <c r="D1304" i="10" a="1"/>
  <c r="D1304" i="10" s="1"/>
  <c r="E1256" i="10" a="1"/>
  <c r="E1256" i="10" s="1"/>
  <c r="E1223" i="10" a="1"/>
  <c r="E1223" i="10" s="1"/>
  <c r="E1182" i="10" a="1"/>
  <c r="E1182" i="10" s="1"/>
  <c r="E1119" i="10" a="1"/>
  <c r="E1119" i="10" s="1"/>
  <c r="E1090" i="10" a="1"/>
  <c r="E1090" i="10" s="1"/>
  <c r="D1208" i="10" a="1"/>
  <c r="D1208" i="10" s="1"/>
  <c r="D1142" i="10" a="1"/>
  <c r="D1142" i="10" s="1"/>
  <c r="E1143" i="10" a="1"/>
  <c r="E1143" i="10" s="1"/>
  <c r="E1214" i="10" a="1"/>
  <c r="E1214" i="10" s="1"/>
  <c r="D1254" i="10" a="1"/>
  <c r="D1254" i="10" s="1"/>
  <c r="D1192" i="10" a="1"/>
  <c r="D1192" i="10" s="1"/>
  <c r="D1279" i="10" a="1"/>
  <c r="D1279" i="10" s="1"/>
  <c r="E1242" i="10" a="1"/>
  <c r="E1242" i="10" s="1"/>
  <c r="E1138" i="10" a="1"/>
  <c r="E1138" i="10" s="1"/>
  <c r="E1110" i="10" a="1"/>
  <c r="E1110" i="10" s="1"/>
  <c r="D1248" i="10" a="1"/>
  <c r="D1248" i="10" s="1"/>
  <c r="E1289" i="10" a="1"/>
  <c r="E1289" i="10" s="1"/>
  <c r="AA120" i="11" a="1"/>
  <c r="AA120" i="11" s="1"/>
  <c r="AA132" i="11" a="1"/>
  <c r="AA132" i="11" s="1"/>
  <c r="E109" i="11" a="1"/>
  <c r="E109" i="11" s="1"/>
  <c r="E108" i="11" a="1"/>
  <c r="E108" i="11" s="1"/>
  <c r="Z104" i="13" a="1"/>
  <c r="Z104" i="13" s="1"/>
  <c r="AA137" i="13" a="1"/>
  <c r="AA137" i="13" s="1"/>
  <c r="AA126" i="13" a="1"/>
  <c r="AA126" i="13" s="1"/>
  <c r="Z103" i="13" a="1"/>
  <c r="Z103" i="13" s="1"/>
  <c r="AA128" i="13" a="1"/>
  <c r="AA128" i="13" s="1"/>
  <c r="Z106" i="13" a="1"/>
  <c r="Z106" i="13" s="1"/>
  <c r="AA113" i="13" a="1"/>
  <c r="AA113" i="13" s="1"/>
  <c r="P94" i="13" a="1"/>
  <c r="P94" i="13" s="1"/>
  <c r="P120" i="13" a="1"/>
  <c r="P120" i="13" s="1"/>
  <c r="E113" i="13" a="1"/>
  <c r="E113" i="13" s="1"/>
  <c r="E101" i="13" a="1"/>
  <c r="E101" i="13" s="1"/>
  <c r="D115" i="13" a="1"/>
  <c r="D115" i="13" s="1"/>
  <c r="AK91" i="12" a="1"/>
  <c r="AK91" i="12" s="1"/>
  <c r="AL80" i="12" a="1"/>
  <c r="AL80" i="12" s="1"/>
  <c r="O95" i="12" a="1"/>
  <c r="O95" i="12" s="1"/>
  <c r="P126" i="12" a="1"/>
  <c r="P126" i="12" s="1"/>
  <c r="O98" i="12" a="1"/>
  <c r="O98" i="12" s="1"/>
  <c r="P109" i="12" a="1"/>
  <c r="P109" i="12" s="1"/>
  <c r="E97" i="12" a="1"/>
  <c r="E97" i="12" s="1"/>
  <c r="E111" i="12" a="1"/>
  <c r="E111" i="12" s="1"/>
  <c r="AA117" i="11" a="1"/>
  <c r="AA117" i="11" s="1"/>
  <c r="Z136" i="11" a="1"/>
  <c r="Z136" i="11" s="1"/>
  <c r="P128" i="11" a="1"/>
  <c r="P128" i="11" s="1"/>
  <c r="P118" i="11" a="1"/>
  <c r="P118" i="11" s="1"/>
  <c r="P119" i="11" a="1"/>
  <c r="P119" i="11" s="1"/>
  <c r="P120" i="11" a="1"/>
  <c r="P120" i="11" s="1"/>
  <c r="O115" i="11" a="1"/>
  <c r="O115" i="11" s="1"/>
  <c r="O112" i="11" a="1"/>
  <c r="O112" i="11" s="1"/>
  <c r="E97" i="11" a="1"/>
  <c r="E97" i="11" s="1"/>
  <c r="AK91" i="13" a="1"/>
  <c r="AK91" i="13" s="1"/>
  <c r="AL93" i="13" a="1"/>
  <c r="AL93" i="13" s="1"/>
  <c r="AL83" i="13" a="1"/>
  <c r="AL83" i="13" s="1"/>
  <c r="AA146" i="12" a="1"/>
  <c r="AA146" i="12" s="1"/>
  <c r="AA131" i="12" a="1"/>
  <c r="AA131" i="12" s="1"/>
  <c r="Z118" i="12" a="1"/>
  <c r="Z118" i="12" s="1"/>
  <c r="AA124" i="12" a="1"/>
  <c r="AA124" i="12" s="1"/>
  <c r="Z135" i="12" a="1"/>
  <c r="Z135" i="12" s="1"/>
  <c r="Z114" i="12" a="1"/>
  <c r="Z114" i="12" s="1"/>
  <c r="AA144" i="11" a="1"/>
  <c r="AA144" i="11" s="1"/>
  <c r="AA128" i="11" a="1"/>
  <c r="AA128" i="11" s="1"/>
  <c r="AA152" i="11" a="1"/>
  <c r="AA152" i="11" s="1"/>
  <c r="AA122" i="11" a="1"/>
  <c r="AA122" i="11" s="1"/>
  <c r="Z142" i="11" a="1"/>
  <c r="Z142" i="11" s="1"/>
  <c r="AA119" i="11" a="1"/>
  <c r="AA119" i="11" s="1"/>
  <c r="E108" i="13" a="1"/>
  <c r="E108" i="13" s="1"/>
  <c r="AK80" i="13" a="1"/>
  <c r="AK80" i="13" s="1"/>
  <c r="AK92" i="13" a="1"/>
  <c r="AK92" i="13" s="1"/>
  <c r="E91" i="13" a="1"/>
  <c r="E91" i="13" s="1"/>
  <c r="AA130" i="13" a="1"/>
  <c r="AA130" i="13" s="1"/>
  <c r="Z112" i="13" a="1"/>
  <c r="Z112" i="13" s="1"/>
  <c r="Z114" i="13" a="1"/>
  <c r="Z114" i="13" s="1"/>
  <c r="AK82" i="13" a="1"/>
  <c r="AK82" i="13" s="1"/>
  <c r="P123" i="13" a="1"/>
  <c r="P123" i="13" s="1"/>
  <c r="AK84" i="13" a="1"/>
  <c r="AK84" i="13" s="1"/>
  <c r="D102" i="13" a="1"/>
  <c r="D102" i="13" s="1"/>
  <c r="P118" i="13" a="1"/>
  <c r="P118" i="13" s="1"/>
  <c r="P102" i="13" a="1"/>
  <c r="P102" i="13" s="1"/>
  <c r="AL59" i="13" a="1"/>
  <c r="AL59" i="13" s="1"/>
  <c r="AL8" i="13" a="1"/>
  <c r="AL8" i="13" s="1"/>
  <c r="O116" i="13" a="1"/>
  <c r="O116" i="13" s="1"/>
  <c r="E109" i="12" a="1"/>
  <c r="E109" i="12" s="1"/>
  <c r="Z117" i="12" a="1"/>
  <c r="Z117" i="12" s="1"/>
  <c r="AK79" i="12" a="1"/>
  <c r="AK79" i="12" s="1"/>
  <c r="D100" i="12" a="1"/>
  <c r="D100" i="12" s="1"/>
  <c r="Z120" i="12" a="1"/>
  <c r="Z120" i="12" s="1"/>
  <c r="AK92" i="12" a="1"/>
  <c r="AK92" i="12" s="1"/>
  <c r="AK81" i="12" a="1"/>
  <c r="AK81" i="12" s="1"/>
  <c r="P122" i="12" a="1"/>
  <c r="P122" i="12" s="1"/>
  <c r="AA128" i="12" a="1"/>
  <c r="AA128" i="12" s="1"/>
  <c r="P112" i="12" a="1"/>
  <c r="P112" i="12" s="1"/>
  <c r="AA145" i="12" a="1"/>
  <c r="AA145" i="12" s="1"/>
  <c r="Z144" i="12" a="1"/>
  <c r="Z144" i="12" s="1"/>
  <c r="P96" i="12" a="1"/>
  <c r="P96" i="12" s="1"/>
  <c r="Z133" i="11" a="1"/>
  <c r="Z133" i="11" s="1"/>
  <c r="E120" i="11" a="1"/>
  <c r="E120" i="11" s="1"/>
  <c r="Z134" i="11" a="1"/>
  <c r="Z134" i="11" s="1"/>
  <c r="O93" i="11" a="1"/>
  <c r="O93" i="11" s="1"/>
  <c r="Z123" i="11" a="1"/>
  <c r="Z123" i="11" s="1"/>
  <c r="P107" i="11" a="1"/>
  <c r="P107" i="11" s="1"/>
  <c r="P110" i="11" a="1"/>
  <c r="P110" i="11" s="1"/>
  <c r="AA126" i="11" a="1"/>
  <c r="AA126" i="11" s="1"/>
  <c r="AL79" i="13" a="1"/>
  <c r="AL79" i="13" s="1"/>
  <c r="Z108" i="13" a="1"/>
  <c r="Z108" i="13" s="1"/>
  <c r="O110" i="13" a="1"/>
  <c r="O110" i="13" s="1"/>
  <c r="O97" i="13" a="1"/>
  <c r="O97" i="13" s="1"/>
  <c r="P91" i="13" a="1"/>
  <c r="P91" i="13" s="1"/>
  <c r="AA136" i="13" a="1"/>
  <c r="AA136" i="13" s="1"/>
  <c r="D96" i="13" a="1"/>
  <c r="D96" i="13" s="1"/>
  <c r="Z133" i="13" a="1"/>
  <c r="Z133" i="13" s="1"/>
  <c r="Z122" i="13" a="1"/>
  <c r="Z122" i="13" s="1"/>
  <c r="P93" i="13" a="1"/>
  <c r="P93" i="13" s="1"/>
  <c r="AA127" i="13" a="1"/>
  <c r="AA127" i="13" s="1"/>
  <c r="O92" i="13" a="1"/>
  <c r="O92" i="13" s="1"/>
  <c r="AA118" i="13" a="1"/>
  <c r="AA118" i="13" s="1"/>
  <c r="Z135" i="13" a="1"/>
  <c r="Z135" i="13" s="1"/>
  <c r="Z110" i="13" a="1"/>
  <c r="Z110" i="13" s="1"/>
  <c r="P108" i="13" a="1"/>
  <c r="P108" i="13" s="1"/>
  <c r="E125" i="13" a="1"/>
  <c r="E125" i="13" s="1"/>
  <c r="O121" i="13" a="1"/>
  <c r="O121" i="13" s="1"/>
  <c r="O96" i="13" a="1"/>
  <c r="O96" i="13" s="1"/>
  <c r="AL60" i="13" a="1"/>
  <c r="AL60" i="13" s="1"/>
  <c r="D110" i="13" a="1"/>
  <c r="D110" i="13" s="1"/>
  <c r="Z111" i="13" a="1"/>
  <c r="Z111" i="13" s="1"/>
  <c r="D100" i="13" a="1"/>
  <c r="D100" i="13" s="1"/>
  <c r="Z107" i="13" a="1"/>
  <c r="Z107" i="13" s="1"/>
  <c r="D94" i="13" a="1"/>
  <c r="D94" i="13" s="1"/>
  <c r="P106" i="13" a="1"/>
  <c r="P106" i="13" s="1"/>
  <c r="P109" i="13" a="1"/>
  <c r="P109" i="13" s="1"/>
  <c r="O122" i="13" a="1"/>
  <c r="O122" i="13" s="1"/>
  <c r="O113" i="13" a="1"/>
  <c r="O113" i="13" s="1"/>
  <c r="Z148" i="13" a="1"/>
  <c r="Z148" i="13" s="1"/>
  <c r="AA129" i="13" a="1"/>
  <c r="AA129" i="13" s="1"/>
  <c r="Z119" i="13" a="1"/>
  <c r="Z119" i="13" s="1"/>
  <c r="E117" i="13" a="1"/>
  <c r="E117" i="13" s="1"/>
  <c r="E107" i="13" a="1"/>
  <c r="E107" i="13" s="1"/>
  <c r="E106" i="13" a="1"/>
  <c r="E106" i="13" s="1"/>
  <c r="AA125" i="13" a="1"/>
  <c r="AA125" i="13" s="1"/>
  <c r="D122" i="13" a="1"/>
  <c r="D122" i="13" s="1"/>
  <c r="E98" i="13" a="1"/>
  <c r="E98" i="13" s="1"/>
  <c r="Z105" i="13" a="1"/>
  <c r="Z105" i="13" s="1"/>
  <c r="D123" i="13" a="1"/>
  <c r="D123" i="13" s="1"/>
  <c r="D97" i="13" a="1"/>
  <c r="D97" i="13" s="1"/>
  <c r="D92" i="13" a="1"/>
  <c r="D92" i="13" s="1"/>
  <c r="P117" i="13" a="1"/>
  <c r="P117" i="13" s="1"/>
  <c r="P107" i="13" a="1"/>
  <c r="P107" i="13" s="1"/>
  <c r="AL87" i="13" a="1"/>
  <c r="AL87" i="13" s="1"/>
  <c r="O124" i="13" a="1"/>
  <c r="O124" i="13" s="1"/>
  <c r="O98" i="13" a="1"/>
  <c r="O98" i="13" s="1"/>
  <c r="O99" i="13" a="1"/>
  <c r="O99" i="13" s="1"/>
  <c r="Z132" i="13" a="1"/>
  <c r="Z132" i="13" s="1"/>
  <c r="Z121" i="13" a="1"/>
  <c r="Z121" i="13" s="1"/>
  <c r="AK104" i="13" a="1"/>
  <c r="AK104" i="13" s="1"/>
  <c r="O101" i="13" a="1"/>
  <c r="O101" i="13" s="1"/>
  <c r="AK26" i="13" a="1"/>
  <c r="AK26" i="13" s="1"/>
  <c r="Z134" i="13" a="1"/>
  <c r="Z134" i="13" s="1"/>
  <c r="Z109" i="13" a="1"/>
  <c r="Z109" i="13" s="1"/>
  <c r="Z149" i="13" a="1"/>
  <c r="Z149" i="13" s="1"/>
  <c r="AL103" i="13" a="1"/>
  <c r="AL103" i="13" s="1"/>
  <c r="AL95" i="13" a="1"/>
  <c r="AL95" i="13" s="1"/>
  <c r="O95" i="13" a="1"/>
  <c r="O95" i="13" s="1"/>
  <c r="D99" i="13" a="1"/>
  <c r="D99" i="13" s="1"/>
  <c r="E109" i="13" a="1"/>
  <c r="E109" i="13" s="1"/>
  <c r="AL94" i="13" a="1"/>
  <c r="AL94" i="13" s="1"/>
  <c r="D93" i="13" a="1"/>
  <c r="D93" i="13" s="1"/>
  <c r="AL43" i="13" a="1"/>
  <c r="AL43" i="13" s="1"/>
  <c r="O114" i="13" a="1"/>
  <c r="O114" i="13" s="1"/>
  <c r="E137" i="13" a="1"/>
  <c r="E137" i="13" s="1"/>
  <c r="O115" i="13" a="1"/>
  <c r="O115" i="13" s="1"/>
  <c r="AK25" i="13" a="1"/>
  <c r="AK25" i="13" s="1"/>
  <c r="E114" i="13" a="1"/>
  <c r="E114" i="13" s="1"/>
  <c r="Z144" i="13" a="1"/>
  <c r="Z144" i="13" s="1"/>
  <c r="D95" i="13" a="1"/>
  <c r="D95" i="13" s="1"/>
  <c r="AK7" i="13" a="1"/>
  <c r="AK7" i="13" s="1"/>
  <c r="D121" i="13" a="1"/>
  <c r="D121" i="13" s="1"/>
  <c r="D120" i="13" a="1"/>
  <c r="D120" i="13" s="1"/>
  <c r="D124" i="13" a="1"/>
  <c r="D124" i="13" s="1"/>
  <c r="AL51" i="13" a="1"/>
  <c r="AL51" i="13" s="1"/>
  <c r="AA125" i="12" a="1"/>
  <c r="AA125" i="12" s="1"/>
  <c r="O101" i="12" a="1"/>
  <c r="O101" i="12" s="1"/>
  <c r="O104" i="12" a="1"/>
  <c r="O104" i="12" s="1"/>
  <c r="Z141" i="12" a="1"/>
  <c r="Z141" i="12" s="1"/>
  <c r="Z110" i="12" a="1"/>
  <c r="Z110" i="12" s="1"/>
  <c r="E122" i="12" a="1"/>
  <c r="E122" i="12" s="1"/>
  <c r="P106" i="12" a="1"/>
  <c r="P106" i="12" s="1"/>
  <c r="E101" i="12" a="1"/>
  <c r="E101" i="12" s="1"/>
  <c r="P121" i="12" a="1"/>
  <c r="P121" i="12" s="1"/>
  <c r="P110" i="12" a="1"/>
  <c r="P110" i="12" s="1"/>
  <c r="Z134" i="12" a="1"/>
  <c r="Z134" i="12" s="1"/>
  <c r="D112" i="12" a="1"/>
  <c r="D112" i="12" s="1"/>
  <c r="P97" i="12" a="1"/>
  <c r="P97" i="12" s="1"/>
  <c r="AA132" i="12" a="1"/>
  <c r="AA132" i="12" s="1"/>
  <c r="P117" i="12" a="1"/>
  <c r="P117" i="12" s="1"/>
  <c r="E98" i="12" a="1"/>
  <c r="E98" i="12" s="1"/>
  <c r="O100" i="12" a="1"/>
  <c r="O100" i="12" s="1"/>
  <c r="D130" i="12" a="1"/>
  <c r="D130" i="12" s="1"/>
  <c r="D114" i="12" a="1"/>
  <c r="D114" i="12" s="1"/>
  <c r="P111" i="12" a="1"/>
  <c r="P111" i="12" s="1"/>
  <c r="D103" i="12" a="1"/>
  <c r="D103" i="12" s="1"/>
  <c r="D105" i="12" a="1"/>
  <c r="D105" i="12" s="1"/>
  <c r="O103" i="12" a="1"/>
  <c r="O103" i="12" s="1"/>
  <c r="O129" i="12" a="1"/>
  <c r="O129" i="12" s="1"/>
  <c r="O131" i="12" a="1"/>
  <c r="O131" i="12" s="1"/>
  <c r="E95" i="12" a="1"/>
  <c r="E95" i="12" s="1"/>
  <c r="D119" i="12" a="1"/>
  <c r="D119" i="12" s="1"/>
  <c r="Z119" i="12" a="1"/>
  <c r="Z119" i="12" s="1"/>
  <c r="P127" i="12" a="1"/>
  <c r="P127" i="12" s="1"/>
  <c r="D126" i="12" a="1"/>
  <c r="D126" i="12" s="1"/>
  <c r="AA116" i="12" a="1"/>
  <c r="AA116" i="12" s="1"/>
  <c r="Z111" i="12" a="1"/>
  <c r="Z111" i="12" s="1"/>
  <c r="D129" i="12" a="1"/>
  <c r="D129" i="12" s="1"/>
  <c r="D106" i="12" a="1"/>
  <c r="D106" i="12" s="1"/>
  <c r="P99" i="12" a="1"/>
  <c r="P99" i="12" s="1"/>
  <c r="D120" i="12" a="1"/>
  <c r="D120" i="12" s="1"/>
  <c r="E121" i="12" a="1"/>
  <c r="E121" i="12" s="1"/>
  <c r="O113" i="12" a="1"/>
  <c r="O113" i="12" s="1"/>
  <c r="Z113" i="12" a="1"/>
  <c r="Z113" i="12" s="1"/>
  <c r="O102" i="12" a="1"/>
  <c r="O102" i="12" s="1"/>
  <c r="O105" i="12" a="1"/>
  <c r="O105" i="12" s="1"/>
  <c r="Z142" i="12" a="1"/>
  <c r="Z142" i="12" s="1"/>
  <c r="Z127" i="12" a="1"/>
  <c r="Z127" i="12" s="1"/>
  <c r="Z143" i="12" a="1"/>
  <c r="Z143" i="12" s="1"/>
  <c r="Z115" i="12" a="1"/>
  <c r="Z115" i="12" s="1"/>
  <c r="E110" i="12" a="1"/>
  <c r="E110" i="12" s="1"/>
  <c r="E113" i="12" a="1"/>
  <c r="E113" i="12" s="1"/>
  <c r="D102" i="12" a="1"/>
  <c r="D102" i="12" s="1"/>
  <c r="D96" i="12" a="1"/>
  <c r="D96" i="12" s="1"/>
  <c r="D99" i="12" a="1"/>
  <c r="D99" i="12" s="1"/>
  <c r="O128" i="12" a="1"/>
  <c r="O128" i="12" s="1"/>
  <c r="E104" i="12" a="1"/>
  <c r="E104" i="12" s="1"/>
  <c r="O130" i="12" a="1"/>
  <c r="O130" i="12" s="1"/>
  <c r="O118" i="12" a="1"/>
  <c r="O118" i="12" s="1"/>
  <c r="O119" i="12" a="1"/>
  <c r="O119" i="12" s="1"/>
  <c r="E128" i="12" a="1"/>
  <c r="E128" i="12" s="1"/>
  <c r="E118" i="12" a="1"/>
  <c r="E118" i="12" s="1"/>
  <c r="O145" i="12" a="1"/>
  <c r="O145" i="12" s="1"/>
  <c r="D127" i="12" a="1"/>
  <c r="D127" i="12" s="1"/>
  <c r="D117" i="12" a="1"/>
  <c r="D117" i="12" s="1"/>
  <c r="O104" i="11" a="1"/>
  <c r="O104" i="11" s="1"/>
  <c r="E119" i="11" a="1"/>
  <c r="E119" i="11" s="1"/>
  <c r="Z148" i="11" a="1"/>
  <c r="Z148" i="11" s="1"/>
  <c r="P102" i="11" a="1"/>
  <c r="P102" i="11" s="1"/>
  <c r="O96" i="11" a="1"/>
  <c r="O96" i="11" s="1"/>
  <c r="Z150" i="11" a="1"/>
  <c r="Z150" i="11" s="1"/>
  <c r="E94" i="11" a="1"/>
  <c r="E94" i="11" s="1"/>
  <c r="D111" i="11" a="1"/>
  <c r="D111" i="11" s="1"/>
  <c r="O98" i="11" a="1"/>
  <c r="O98" i="11" s="1"/>
  <c r="P117" i="11" a="1"/>
  <c r="P117" i="11" s="1"/>
  <c r="D100" i="11" a="1"/>
  <c r="D100" i="11" s="1"/>
  <c r="D96" i="11" a="1"/>
  <c r="D96" i="11" s="1"/>
  <c r="D103" i="11" a="1"/>
  <c r="D103" i="11" s="1"/>
  <c r="O123" i="11" a="1"/>
  <c r="O123" i="11" s="1"/>
  <c r="E112" i="11" a="1"/>
  <c r="E112" i="11" s="1"/>
  <c r="P109" i="11" a="1"/>
  <c r="P109" i="11" s="1"/>
  <c r="AA151" i="11" a="1"/>
  <c r="AA151" i="11" s="1"/>
  <c r="O126" i="11" a="1"/>
  <c r="O126" i="11" s="1"/>
  <c r="O99" i="11" a="1"/>
  <c r="O99" i="11" s="1"/>
  <c r="Z140" i="11" a="1"/>
  <c r="Z140" i="11" s="1"/>
  <c r="E104" i="11" a="1"/>
  <c r="E104" i="11" s="1"/>
  <c r="Z127" i="11" a="1"/>
  <c r="Z127" i="11" s="1"/>
  <c r="D127" i="11" a="1"/>
  <c r="D127" i="11" s="1"/>
  <c r="Z118" i="11" a="1"/>
  <c r="Z118" i="11" s="1"/>
  <c r="E117" i="11" a="1"/>
  <c r="E117" i="11" s="1"/>
  <c r="D98" i="11" a="1"/>
  <c r="D98" i="11" s="1"/>
  <c r="P101" i="11" a="1"/>
  <c r="P101" i="11" s="1"/>
  <c r="O100" i="11" a="1"/>
  <c r="O100" i="11" s="1"/>
  <c r="D125" i="11" a="1"/>
  <c r="D125" i="11" s="1"/>
  <c r="AA143" i="11" a="1"/>
  <c r="AA143" i="11" s="1"/>
  <c r="AA125" i="11" a="1"/>
  <c r="AA125" i="11" s="1"/>
  <c r="D128" i="11" a="1"/>
  <c r="D128" i="11" s="1"/>
  <c r="E118" i="11" a="1"/>
  <c r="E118" i="11" s="1"/>
  <c r="D99" i="11" a="1"/>
  <c r="D99" i="11" s="1"/>
  <c r="P125" i="11" a="1"/>
  <c r="P125" i="11" s="1"/>
  <c r="P133" i="12" a="1"/>
  <c r="P133" i="12" s="1"/>
  <c r="Z162" i="12" a="1"/>
  <c r="Z162" i="12" s="1"/>
  <c r="O147" i="12" a="1"/>
  <c r="O147" i="12" s="1"/>
  <c r="Z164" i="12" a="1"/>
  <c r="Z164" i="12" s="1"/>
  <c r="AL86" i="12" a="1"/>
  <c r="AL86" i="12" s="1"/>
  <c r="AL78" i="12" a="1"/>
  <c r="AL78" i="12" s="1"/>
  <c r="O140" i="12" a="1"/>
  <c r="O140" i="12" s="1"/>
  <c r="O144" i="12" a="1"/>
  <c r="O144" i="12" s="1"/>
  <c r="AL96" i="12" a="1"/>
  <c r="AL96" i="12" s="1"/>
  <c r="AL94" i="12" a="1"/>
  <c r="AL94" i="12" s="1"/>
  <c r="D107" i="11" a="1"/>
  <c r="D107" i="11" s="1"/>
  <c r="D95" i="11" a="1"/>
  <c r="D95" i="11" s="1"/>
  <c r="O103" i="11" a="1"/>
  <c r="O103" i="11" s="1"/>
  <c r="Z147" i="11" a="1"/>
  <c r="Z147" i="11" s="1"/>
  <c r="Z135" i="11" a="1"/>
  <c r="Z135" i="11" s="1"/>
  <c r="O94" i="11" a="1"/>
  <c r="O94" i="11" s="1"/>
  <c r="O95" i="11" a="1"/>
  <c r="O95" i="11" s="1"/>
  <c r="Z149" i="11" a="1"/>
  <c r="Z149" i="11" s="1"/>
  <c r="Z124" i="11" a="1"/>
  <c r="Z124" i="11" s="1"/>
  <c r="Z141" i="11" a="1"/>
  <c r="Z141" i="11" s="1"/>
  <c r="E93" i="11" a="1"/>
  <c r="E93" i="11" s="1"/>
  <c r="D110" i="11" a="1"/>
  <c r="D110" i="11" s="1"/>
  <c r="O108" i="11" a="1"/>
  <c r="O108" i="11" s="1"/>
  <c r="O97" i="11" a="1"/>
  <c r="O97" i="11" s="1"/>
  <c r="D101" i="11" a="1"/>
  <c r="D101" i="11" s="1"/>
  <c r="D102" i="11" a="1"/>
  <c r="D102" i="11" s="1"/>
  <c r="O124" i="11" a="1"/>
  <c r="O124" i="11" s="1"/>
  <c r="O111" i="11" a="1"/>
  <c r="O111" i="11" s="1"/>
  <c r="O127" i="11" a="1"/>
  <c r="O127" i="11" s="1"/>
  <c r="D124" i="11" a="1"/>
  <c r="D124" i="11" s="1"/>
  <c r="O116" i="11" a="1"/>
  <c r="O116" i="11" s="1"/>
  <c r="D126" i="11" a="1"/>
  <c r="D126" i="11" s="1"/>
  <c r="E115" i="11" a="1"/>
  <c r="E115" i="11" s="1"/>
  <c r="D123" i="11" a="1"/>
  <c r="D123" i="11" s="1"/>
  <c r="D116" i="11" a="1"/>
  <c r="D116" i="11" s="1"/>
  <c r="D1229" i="10" a="1"/>
  <c r="D1229" i="10" s="1"/>
  <c r="D1133" i="10" a="1"/>
  <c r="D1133" i="10" s="1"/>
  <c r="E1316" i="10" a="1"/>
  <c r="E1316" i="10" s="1"/>
  <c r="D1282" i="10" a="1"/>
  <c r="D1282" i="10" s="1"/>
  <c r="E1282" i="10" a="1"/>
  <c r="E1282" i="10" s="1"/>
  <c r="D1281" i="10" a="1"/>
  <c r="D1281" i="10" s="1"/>
  <c r="E1281" i="10" a="1"/>
  <c r="E1281" i="10" s="1"/>
  <c r="E1197" i="10" a="1"/>
  <c r="E1197" i="10" s="1"/>
  <c r="D1129" i="10" a="1"/>
  <c r="D1129" i="10" s="1"/>
  <c r="E1505" i="10" a="1"/>
  <c r="E1505" i="10" s="1"/>
  <c r="E1441" i="10" a="1"/>
  <c r="E1441" i="10" s="1"/>
  <c r="E1377" i="10" a="1"/>
  <c r="E1377" i="10" s="1"/>
  <c r="D1473" i="10" a="1"/>
  <c r="D1473" i="10" s="1"/>
  <c r="E1165" i="10" a="1"/>
  <c r="E1165" i="10" s="1"/>
  <c r="E1309" i="10" a="1"/>
  <c r="E1309" i="10" s="1"/>
  <c r="E1161" i="10" a="1"/>
  <c r="E1161" i="10" s="1"/>
  <c r="D1262" i="10" a="1"/>
  <c r="D1262" i="10" s="1"/>
  <c r="D1261" i="10" a="1"/>
  <c r="D1261" i="10" s="1"/>
  <c r="E1425" i="10" a="1"/>
  <c r="E1425" i="10" s="1"/>
  <c r="E1361" i="10" a="1"/>
  <c r="E1361" i="10" s="1"/>
  <c r="E1273" i="10" a="1"/>
  <c r="E1273" i="10" s="1"/>
  <c r="E1245" i="10" a="1"/>
  <c r="E1245" i="10" s="1"/>
  <c r="E1184" i="10" a="1"/>
  <c r="E1184" i="10" s="1"/>
  <c r="E1159" i="10" a="1"/>
  <c r="E1159" i="10" s="1"/>
  <c r="E1101" i="10" a="1"/>
  <c r="E1101" i="10" s="1"/>
  <c r="D1123" i="10" a="1"/>
  <c r="D1123" i="10" s="1"/>
  <c r="E1123" i="10" a="1"/>
  <c r="E1123" i="10" s="1"/>
  <c r="E1297" i="10" a="1"/>
  <c r="E1297" i="10" s="1"/>
  <c r="D1537" i="10" a="1"/>
  <c r="D1537" i="10" s="1"/>
  <c r="E1295" i="10" a="1"/>
  <c r="E1295" i="10" s="1"/>
  <c r="E1181" i="10" a="1"/>
  <c r="E1181" i="10" s="1"/>
  <c r="E1097" i="10" a="1"/>
  <c r="E1097" i="10" s="1"/>
  <c r="E1601" i="10" a="1"/>
  <c r="E1601" i="10" s="1"/>
  <c r="E1409" i="10" a="1"/>
  <c r="E1409" i="10" s="1"/>
  <c r="E1345" i="10" a="1"/>
  <c r="E1345" i="10" s="1"/>
  <c r="D1521" i="10" a="1"/>
  <c r="D1521" i="10" s="1"/>
  <c r="E1241" i="10" a="1"/>
  <c r="E1241" i="10" s="1"/>
  <c r="E1293" i="10" a="1"/>
  <c r="E1293" i="10" s="1"/>
  <c r="D1145" i="10" a="1"/>
  <c r="D1145" i="10" s="1"/>
  <c r="E1300" i="10" a="1"/>
  <c r="E1300" i="10" s="1"/>
  <c r="D1300" i="10" a="1"/>
  <c r="D1300" i="10" s="1"/>
  <c r="D1148" i="10" a="1"/>
  <c r="D1148" i="10" s="1"/>
  <c r="E1148" i="10" a="1"/>
  <c r="E1148" i="10" s="1"/>
  <c r="E1585" i="10" a="1"/>
  <c r="E1585" i="10" s="1"/>
  <c r="E1393" i="10" a="1"/>
  <c r="E1393" i="10" s="1"/>
  <c r="E1329" i="10" a="1"/>
  <c r="E1329" i="10" s="1"/>
  <c r="E1312" i="10" a="1"/>
  <c r="E1312" i="10" s="1"/>
  <c r="E1306" i="10" a="1"/>
  <c r="E1306" i="10" s="1"/>
  <c r="E1237" i="10" a="1"/>
  <c r="E1237" i="10" s="1"/>
  <c r="E1216" i="10" a="1"/>
  <c r="E1216" i="10" s="1"/>
  <c r="E1195" i="10" a="1"/>
  <c r="E1195" i="10" s="1"/>
  <c r="E1173" i="10" a="1"/>
  <c r="E1173" i="10" s="1"/>
  <c r="E1152" i="10" a="1"/>
  <c r="E1152" i="10" s="1"/>
  <c r="E1111" i="10" a="1"/>
  <c r="E1111" i="10" s="1"/>
  <c r="D1253" i="10" a="1"/>
  <c r="D1253" i="10" s="1"/>
  <c r="E135" i="13" a="1"/>
  <c r="E135" i="13" s="1"/>
  <c r="AL97" i="13" a="1"/>
  <c r="AL97" i="13" s="1"/>
  <c r="P116" i="12" a="1"/>
  <c r="P116" i="12" s="1"/>
  <c r="E1236" i="10" a="1"/>
  <c r="E1236" i="10" s="1"/>
  <c r="E1172" i="10" a="1"/>
  <c r="E1172" i="10" s="1"/>
  <c r="D1252" i="10" a="1"/>
  <c r="D1252" i="10" s="1"/>
  <c r="E1109" i="10" a="1"/>
  <c r="E1109" i="10" s="1"/>
  <c r="D1221" i="10" a="1"/>
  <c r="D1221" i="10" s="1"/>
  <c r="E1189" i="10" a="1"/>
  <c r="E1189" i="10" s="1"/>
  <c r="E1108" i="10" a="1"/>
  <c r="E1108" i="10" s="1"/>
  <c r="D1157" i="10" a="1"/>
  <c r="D1157" i="10" s="1"/>
  <c r="AK105" i="13" a="1"/>
  <c r="AK105" i="13" s="1"/>
  <c r="AL26" i="12" a="1"/>
  <c r="AL26" i="12" s="1"/>
  <c r="E1188" i="10" a="1"/>
  <c r="E1188" i="10" s="1"/>
  <c r="D1156" i="10" a="1"/>
  <c r="D1156" i="10" s="1"/>
  <c r="D1125" i="10" a="1"/>
  <c r="D1125" i="10" s="1"/>
  <c r="AL8" i="12" a="1"/>
  <c r="AL8" i="12" s="1"/>
  <c r="E1269" i="10" a="1"/>
  <c r="E1269" i="10" s="1"/>
  <c r="E1231" i="10" a="1"/>
  <c r="E1231" i="10" s="1"/>
  <c r="E1209" i="10" a="1"/>
  <c r="E1209" i="10" s="1"/>
  <c r="E1167" i="10" a="1"/>
  <c r="E1167" i="10" s="1"/>
  <c r="E1106" i="10" a="1"/>
  <c r="E1106" i="10" s="1"/>
  <c r="D1124" i="10" a="1"/>
  <c r="D1124" i="10" s="1"/>
  <c r="Z164" i="11" a="1"/>
  <c r="Z164" i="11" s="1"/>
  <c r="AL52" i="13" a="1"/>
  <c r="AL52" i="13" s="1"/>
  <c r="E1291" i="10" a="1"/>
  <c r="E1291" i="10" s="1"/>
  <c r="E1268" i="10" a="1"/>
  <c r="E1268" i="10" s="1"/>
  <c r="E1247" i="10" a="1"/>
  <c r="E1247" i="10" s="1"/>
  <c r="E1186" i="10" a="1"/>
  <c r="E1186" i="10" s="1"/>
  <c r="E1103" i="10" a="1"/>
  <c r="E1103" i="10" s="1"/>
  <c r="AL44" i="13" a="1"/>
  <c r="AL44" i="13" s="1"/>
  <c r="E1290" i="10" a="1"/>
  <c r="E1290" i="10" s="1"/>
  <c r="AA147" i="13" a="1"/>
  <c r="AA147" i="13" s="1"/>
  <c r="E1307" i="10" a="1"/>
  <c r="E1307" i="10" s="1"/>
  <c r="E1205" i="10" a="1"/>
  <c r="E1205" i="10" s="1"/>
  <c r="E1204" i="10" a="1"/>
  <c r="E1204" i="10" s="1"/>
  <c r="E1141" i="10" a="1"/>
  <c r="E1141" i="10" s="1"/>
  <c r="E1285" i="10" a="1"/>
  <c r="E1285" i="10" s="1"/>
  <c r="D1265" i="10" a="1"/>
  <c r="D1265" i="10" s="1"/>
  <c r="AL96" i="13" a="1"/>
  <c r="AL96" i="13" s="1"/>
  <c r="E1301" i="10" a="1"/>
  <c r="E1301" i="10" s="1"/>
  <c r="E1284" i="10" a="1"/>
  <c r="E1284" i="10" s="1"/>
  <c r="E145" i="12" a="1"/>
  <c r="E145" i="12" s="1"/>
  <c r="Z181" i="11" a="1"/>
  <c r="Z181" i="11" s="1"/>
  <c r="E1199" i="10" a="1"/>
  <c r="E1199" i="10" s="1"/>
  <c r="D1140" i="10" a="1"/>
  <c r="D1140" i="10" s="1"/>
  <c r="Z179" i="11" a="1"/>
  <c r="Z179" i="11" s="1"/>
  <c r="AL102" i="12" a="1"/>
  <c r="AL102" i="12" s="1"/>
  <c r="AK60" i="12" a="1"/>
  <c r="AK60" i="12" s="1"/>
  <c r="AL85" i="12" a="1"/>
  <c r="AL85" i="12" s="1"/>
  <c r="AK52" i="12" a="1"/>
  <c r="AK52" i="12" s="1"/>
  <c r="AK104" i="12" a="1"/>
  <c r="AK104" i="12" s="1"/>
  <c r="AK44" i="12" a="1"/>
  <c r="AK44" i="12" s="1"/>
  <c r="E147" i="12" a="1"/>
  <c r="E147" i="12" s="1"/>
  <c r="D146" i="12" a="1"/>
  <c r="D146" i="12" s="1"/>
  <c r="D140" i="12" a="1"/>
  <c r="D140" i="12" s="1"/>
  <c r="AA148" i="12" a="1"/>
  <c r="AA148" i="12" s="1"/>
  <c r="P107" i="12" a="1"/>
  <c r="P107" i="12" s="1"/>
  <c r="P138" i="12" a="1"/>
  <c r="P138" i="12" s="1"/>
  <c r="O146" i="12" a="1"/>
  <c r="O146" i="12" s="1"/>
  <c r="Z156" i="12" a="1"/>
  <c r="Z156" i="12" s="1"/>
  <c r="Z154" i="12" a="1"/>
  <c r="Z154" i="12" s="1"/>
  <c r="E108" i="12" a="1"/>
  <c r="E108" i="12" s="1"/>
  <c r="AA130" i="12" a="1"/>
  <c r="AA130" i="12" s="1"/>
  <c r="E94" i="12" a="1"/>
  <c r="E94" i="12" s="1"/>
  <c r="E83" i="12" a="1"/>
  <c r="E83" i="12" s="1"/>
  <c r="AA122" i="12" a="1"/>
  <c r="AA122" i="12" s="1"/>
  <c r="AL93" i="12" a="1"/>
  <c r="AL93" i="12" s="1"/>
  <c r="AA108" i="12" a="1"/>
  <c r="AA108" i="12" s="1"/>
  <c r="AL77" i="12" a="1"/>
  <c r="AL77" i="12" s="1"/>
  <c r="D116" i="12" a="1"/>
  <c r="D116" i="12" s="1"/>
  <c r="AA96" i="12" a="1"/>
  <c r="AA96" i="12" s="1"/>
  <c r="AL7" i="12" a="1"/>
  <c r="AL7" i="12" s="1"/>
  <c r="AK95" i="12" a="1"/>
  <c r="AK95" i="12" s="1"/>
  <c r="P137" i="12" a="1"/>
  <c r="P137" i="12" s="1"/>
  <c r="P108" i="12" a="1"/>
  <c r="P108" i="12" s="1"/>
  <c r="AA163" i="12" a="1"/>
  <c r="AA163" i="12" s="1"/>
  <c r="AK51" i="12" a="1"/>
  <c r="AK51" i="12" s="1"/>
  <c r="AA161" i="12" a="1"/>
  <c r="AA161" i="12" s="1"/>
  <c r="P94" i="12" a="1"/>
  <c r="P94" i="12" s="1"/>
  <c r="P83" i="12" a="1"/>
  <c r="P83" i="12" s="1"/>
  <c r="E137" i="12" a="1"/>
  <c r="E137" i="12" s="1"/>
  <c r="AL101" i="12" a="1"/>
  <c r="AL101" i="12" s="1"/>
  <c r="E138" i="12" a="1"/>
  <c r="E138" i="12" s="1"/>
  <c r="E133" i="12" a="1"/>
  <c r="E133" i="12" s="1"/>
  <c r="E115" i="12" a="1"/>
  <c r="E115" i="12" s="1"/>
  <c r="E1226" i="10" a="1"/>
  <c r="E1226" i="10" s="1"/>
  <c r="D1274" i="10" a="1"/>
  <c r="D1274" i="10" s="1"/>
  <c r="E1258" i="10" a="1"/>
  <c r="E1258" i="10" s="1"/>
  <c r="D1130" i="10" a="1"/>
  <c r="D1130" i="10" s="1"/>
  <c r="D1303" i="10" a="1"/>
  <c r="D1303" i="10" s="1"/>
  <c r="D1287" i="10" a="1"/>
  <c r="D1287" i="10" s="1"/>
  <c r="E1098" i="10" a="1"/>
  <c r="E1098" i="10" s="1"/>
  <c r="E1255" i="10" a="1"/>
  <c r="E1255" i="10" s="1"/>
  <c r="E1114" i="10" a="1"/>
  <c r="E1114" i="10" s="1"/>
  <c r="D1302" i="10" a="1"/>
  <c r="D1302" i="10" s="1"/>
  <c r="D1286" i="10" a="1"/>
  <c r="D1286" i="10" s="1"/>
  <c r="E1271" i="10" a="1"/>
  <c r="E1271" i="10" s="1"/>
  <c r="E1113" i="10" a="1"/>
  <c r="E1113" i="10" s="1"/>
  <c r="E1218" i="10" a="1"/>
  <c r="E1218" i="10" s="1"/>
  <c r="E1146" i="10" a="1"/>
  <c r="E1146" i="10" s="1"/>
  <c r="D1194" i="10" a="1"/>
  <c r="D1194" i="10" s="1"/>
  <c r="D1096" i="10" a="1"/>
  <c r="D1096" i="10" s="1"/>
  <c r="E1162" i="10" a="1"/>
  <c r="E1162" i="10" s="1"/>
  <c r="E1178" i="10" a="1"/>
  <c r="E1178" i="10" s="1"/>
  <c r="D1210" i="10" a="1"/>
  <c r="D1210" i="10" s="1"/>
  <c r="E1175" i="10" a="1"/>
  <c r="E1175" i="10" s="1"/>
  <c r="E1191" i="10" a="1"/>
  <c r="E1191" i="10" s="1"/>
  <c r="D1201" i="10" a="1"/>
  <c r="D1201" i="10" s="1"/>
  <c r="D1217" i="10" a="1"/>
  <c r="D1217" i="10" s="1"/>
  <c r="D1233" i="10" a="1"/>
  <c r="D1233" i="10" s="1"/>
  <c r="E1249" i="10" a="1"/>
  <c r="E1249" i="10" s="1"/>
  <c r="E1215" i="10" a="1"/>
  <c r="E1215" i="10" s="1"/>
  <c r="E1207" i="10" a="1"/>
  <c r="E1207" i="10" s="1"/>
  <c r="E1122" i="10" a="1"/>
  <c r="E1122" i="10" s="1"/>
  <c r="AK102" i="13" a="1"/>
  <c r="AK102" i="13" s="1"/>
  <c r="AA141" i="13" a="1"/>
  <c r="AA141" i="13" s="1"/>
  <c r="AA92" i="13" a="1"/>
  <c r="AA92" i="13" s="1"/>
  <c r="AK86" i="13" a="1"/>
  <c r="AK86" i="13" s="1"/>
  <c r="E111" i="13" a="1"/>
  <c r="E111" i="13" s="1"/>
  <c r="AK78" i="13" a="1"/>
  <c r="AK78" i="13" s="1"/>
  <c r="Z101" i="13" a="1"/>
  <c r="Z101" i="13" s="1"/>
  <c r="P137" i="13" a="1"/>
  <c r="P137" i="13" s="1"/>
  <c r="P135" i="13" a="1"/>
  <c r="P135" i="13" s="1"/>
  <c r="P103" i="13" a="1"/>
  <c r="P103" i="13" s="1"/>
  <c r="P127" i="13" a="1"/>
  <c r="P127" i="13" s="1"/>
  <c r="P132" i="12" a="1"/>
  <c r="P132" i="12" s="1"/>
  <c r="AL25" i="12" a="1"/>
  <c r="AL25" i="12" s="1"/>
  <c r="AK59" i="12" a="1"/>
  <c r="AK59" i="12" s="1"/>
  <c r="AK103" i="12" a="1"/>
  <c r="AK103" i="12" s="1"/>
  <c r="AK43" i="12" a="1"/>
  <c r="AK43" i="12" s="1"/>
  <c r="Z155" i="12" a="1"/>
  <c r="Z155" i="12" s="1"/>
  <c r="O156" i="11" a="1"/>
  <c r="O156" i="11" s="1"/>
  <c r="P82" i="11" a="1"/>
  <c r="P82" i="11" s="1"/>
  <c r="P158" i="11" a="1"/>
  <c r="P158" i="11" s="1"/>
  <c r="AA159" i="11" a="1"/>
  <c r="AA159" i="11" s="1"/>
  <c r="AA182" i="11" a="1"/>
  <c r="AA182" i="11" s="1"/>
  <c r="AA154" i="11" a="1"/>
  <c r="AA154" i="11" s="1"/>
  <c r="AA105" i="11" a="1"/>
  <c r="AA105" i="11" s="1"/>
  <c r="Z130" i="11" a="1"/>
  <c r="Z130" i="11" s="1"/>
  <c r="E135" i="11" a="1"/>
  <c r="E135" i="11" s="1"/>
  <c r="Z114" i="11" a="1"/>
  <c r="Z114" i="11" s="1"/>
  <c r="E129" i="11" a="1"/>
  <c r="E129" i="11" s="1"/>
  <c r="P130" i="13" a="1"/>
  <c r="P130" i="13" s="1"/>
  <c r="AA139" i="13" a="1"/>
  <c r="AA139" i="13" s="1"/>
  <c r="Z142" i="13" a="1"/>
  <c r="Z142" i="13" s="1"/>
  <c r="AA124" i="13" a="1"/>
  <c r="AA124" i="13" s="1"/>
  <c r="O132" i="13" a="1"/>
  <c r="O132" i="13" s="1"/>
  <c r="AA116" i="13" a="1"/>
  <c r="AA116" i="13" s="1"/>
  <c r="E130" i="13" a="1"/>
  <c r="E130" i="13" s="1"/>
  <c r="E127" i="13" a="1"/>
  <c r="E127" i="13" s="1"/>
  <c r="O134" i="13" a="1"/>
  <c r="O134" i="13" s="1"/>
  <c r="O131" i="13" a="1"/>
  <c r="O131" i="13" s="1"/>
  <c r="P112" i="13" a="1"/>
  <c r="P112" i="13" s="1"/>
  <c r="P104" i="13" a="1"/>
  <c r="P104" i="13" s="1"/>
  <c r="AA146" i="13" a="1"/>
  <c r="AA146" i="13" s="1"/>
  <c r="P89" i="13" a="1"/>
  <c r="P89" i="13" s="1"/>
  <c r="P80" i="13" a="1"/>
  <c r="P80" i="13" s="1"/>
  <c r="D132" i="13" a="1"/>
  <c r="D132" i="13" s="1"/>
  <c r="D134" i="13" a="1"/>
  <c r="D134" i="13" s="1"/>
  <c r="Z143" i="13" a="1"/>
  <c r="Z143" i="13" s="1"/>
  <c r="E103" i="13" a="1"/>
  <c r="E103" i="13" s="1"/>
  <c r="E88" i="13" a="1"/>
  <c r="E88" i="13" s="1"/>
  <c r="P129" i="13" a="1"/>
  <c r="P129" i="13" s="1"/>
  <c r="E80" i="13" a="1"/>
  <c r="E80" i="13" s="1"/>
  <c r="P111" i="13" a="1"/>
  <c r="P111" i="13" s="1"/>
  <c r="AA138" i="13" a="1"/>
  <c r="AA138" i="13" s="1"/>
  <c r="O136" i="13" a="1"/>
  <c r="O136" i="13" s="1"/>
  <c r="AA123" i="13" a="1"/>
  <c r="AA123" i="13" s="1"/>
  <c r="AA115" i="13" a="1"/>
  <c r="AA115" i="13" s="1"/>
  <c r="E136" i="13" a="1"/>
  <c r="E136" i="13" s="1"/>
  <c r="E131" i="13" a="1"/>
  <c r="E131" i="13" s="1"/>
  <c r="AA102" i="13" a="1"/>
  <c r="AA102" i="13" s="1"/>
  <c r="AA93" i="13" a="1"/>
  <c r="AA93" i="13" s="1"/>
  <c r="P126" i="13" a="1"/>
  <c r="P126" i="13" s="1"/>
  <c r="E126" i="13" a="1"/>
  <c r="E126" i="13" s="1"/>
  <c r="P90" i="13" a="1"/>
  <c r="P90" i="13" s="1"/>
  <c r="P81" i="13" a="1"/>
  <c r="P81" i="13" s="1"/>
  <c r="D129" i="13" a="1"/>
  <c r="D129" i="13" s="1"/>
  <c r="E112" i="13" a="1"/>
  <c r="E112" i="13" s="1"/>
  <c r="E104" i="13" a="1"/>
  <c r="E104" i="13" s="1"/>
  <c r="E90" i="13" a="1"/>
  <c r="E90" i="13" s="1"/>
  <c r="E81" i="13" a="1"/>
  <c r="E81" i="13" s="1"/>
  <c r="AA147" i="12" a="1"/>
  <c r="AA147" i="12" s="1"/>
  <c r="Z153" i="12" a="1"/>
  <c r="Z153" i="12" s="1"/>
  <c r="E132" i="12" a="1"/>
  <c r="E132" i="12" s="1"/>
  <c r="AA129" i="12" a="1"/>
  <c r="AA129" i="12" s="1"/>
  <c r="D144" i="12" a="1"/>
  <c r="D144" i="12" s="1"/>
  <c r="AA121" i="12" a="1"/>
  <c r="AA121" i="12" s="1"/>
  <c r="AA106" i="12" a="1"/>
  <c r="AA106" i="12" s="1"/>
  <c r="AA95" i="12" a="1"/>
  <c r="AA95" i="12" s="1"/>
  <c r="O139" i="12" a="1"/>
  <c r="O139" i="12" s="1"/>
  <c r="E82" i="12" a="1"/>
  <c r="E82" i="12" s="1"/>
  <c r="P115" i="12" a="1"/>
  <c r="P115" i="12" s="1"/>
  <c r="P92" i="12" a="1"/>
  <c r="P92" i="12" s="1"/>
  <c r="P82" i="12" a="1"/>
  <c r="P82" i="12" s="1"/>
  <c r="D139" i="12" a="1"/>
  <c r="D139" i="12" s="1"/>
  <c r="E107" i="12" a="1"/>
  <c r="E107" i="12" s="1"/>
  <c r="E93" i="12" a="1"/>
  <c r="E93" i="12" s="1"/>
  <c r="Z163" i="11" a="1"/>
  <c r="Z163" i="11" s="1"/>
  <c r="P135" i="11" a="1"/>
  <c r="P135" i="11" s="1"/>
  <c r="P81" i="11" a="1"/>
  <c r="P81" i="11" s="1"/>
  <c r="AA137" i="11" a="1"/>
  <c r="AA137" i="11" s="1"/>
  <c r="O90" i="11" a="1"/>
  <c r="O90" i="11" s="1"/>
  <c r="AA129" i="11" a="1"/>
  <c r="AA129" i="11" s="1"/>
  <c r="E157" i="11" a="1"/>
  <c r="E157" i="11" s="1"/>
  <c r="E155" i="11" a="1"/>
  <c r="E155" i="11" s="1"/>
  <c r="E105" i="11" a="1"/>
  <c r="E105" i="11" s="1"/>
  <c r="P157" i="11" a="1"/>
  <c r="P157" i="11" s="1"/>
  <c r="O139" i="11" a="1"/>
  <c r="O139" i="11" s="1"/>
  <c r="E81" i="11" a="1"/>
  <c r="E81" i="11" s="1"/>
  <c r="P130" i="11" a="1"/>
  <c r="P130" i="11" s="1"/>
  <c r="AA180" i="11" a="1"/>
  <c r="AA180" i="11" s="1"/>
  <c r="P113" i="11" a="1"/>
  <c r="P113" i="11" s="1"/>
  <c r="AA160" i="11" a="1"/>
  <c r="AA160" i="11" s="1"/>
  <c r="AA116" i="11" a="1"/>
  <c r="AA116" i="11" s="1"/>
  <c r="D139" i="11" a="1"/>
  <c r="D139" i="11" s="1"/>
  <c r="P105" i="11" a="1"/>
  <c r="P105" i="11" s="1"/>
  <c r="E158" i="11" a="1"/>
  <c r="E158" i="11" s="1"/>
  <c r="E113" i="11" a="1"/>
  <c r="E113" i="11" s="1"/>
  <c r="E90" i="11" a="1"/>
  <c r="E90" i="11" s="1"/>
  <c r="P136" i="11" a="1"/>
  <c r="P136" i="11" s="1"/>
  <c r="AA156" i="11" a="1"/>
  <c r="AA156" i="11" s="1"/>
  <c r="AA138" i="11" a="1"/>
  <c r="AA138" i="11" s="1"/>
  <c r="O155" i="11" a="1"/>
  <c r="O155" i="11" s="1"/>
  <c r="AA106" i="11" a="1"/>
  <c r="AA106" i="11" s="1"/>
  <c r="E156" i="11" a="1"/>
  <c r="E156" i="11" s="1"/>
  <c r="O140" i="11" a="1"/>
  <c r="O140" i="11" s="1"/>
  <c r="B33" i="14"/>
  <c r="E136" i="11" a="1"/>
  <c r="E136" i="11" s="1"/>
  <c r="P132" i="11" a="1"/>
  <c r="P132" i="11" s="1"/>
  <c r="E82" i="11" a="1"/>
  <c r="E82" i="11" s="1"/>
  <c r="P114" i="11" a="1"/>
  <c r="P114" i="11" s="1"/>
  <c r="P106" i="11" a="1"/>
  <c r="P106" i="11" s="1"/>
  <c r="P92" i="11" a="1"/>
  <c r="P92" i="11" s="1"/>
  <c r="D140" i="11" a="1"/>
  <c r="D140" i="11" s="1"/>
  <c r="E131" i="11" a="1"/>
  <c r="E131" i="11" s="1"/>
  <c r="E114" i="11" a="1"/>
  <c r="E114" i="11" s="1"/>
  <c r="E106" i="11" a="1"/>
  <c r="E106" i="11" s="1"/>
  <c r="E91" i="11" a="1"/>
  <c r="E91" i="11" s="1"/>
  <c r="D1185" i="10" a="1"/>
  <c r="D1185" i="10" s="1"/>
  <c r="D1169" i="10" a="1"/>
  <c r="D1169" i="10" s="1"/>
  <c r="D1153" i="10" a="1"/>
  <c r="D1153" i="10" s="1"/>
  <c r="D1137" i="10" a="1"/>
  <c r="D1137" i="10" s="1"/>
  <c r="D1121" i="10" a="1"/>
  <c r="D1121" i="10" s="1"/>
  <c r="D1105" i="10" a="1"/>
  <c r="D1105" i="10" s="1"/>
  <c r="D1089" i="10" a="1"/>
  <c r="D1089" i="10" s="1"/>
  <c r="E805" i="10" a="1"/>
  <c r="E805" i="10" s="1"/>
  <c r="D786" i="10" a="1"/>
  <c r="D786" i="10" s="1"/>
  <c r="E853" i="10" a="1"/>
  <c r="E853" i="10" s="1"/>
  <c r="E837" i="10" a="1"/>
  <c r="E837" i="10" s="1"/>
  <c r="E798" i="10" a="1"/>
  <c r="E798" i="10" s="1"/>
  <c r="D789" i="10" a="1"/>
  <c r="D789" i="10" s="1"/>
  <c r="E783" i="10" a="1"/>
  <c r="E783" i="10" s="1"/>
  <c r="E767" i="10" a="1"/>
  <c r="E767" i="10" s="1"/>
  <c r="E861" i="10" a="1"/>
  <c r="E861" i="10" s="1"/>
  <c r="E749" i="10" a="1"/>
  <c r="E749" i="10" s="1"/>
  <c r="E750" i="10" a="1"/>
  <c r="E750" i="10" s="1"/>
  <c r="E919" i="10" a="1"/>
  <c r="E919" i="10" s="1"/>
  <c r="E773" i="10" a="1"/>
  <c r="E773" i="10" s="1"/>
  <c r="E926" i="10" a="1"/>
  <c r="E926" i="10" s="1"/>
  <c r="K32" i="14"/>
  <c r="E947" i="10" a="1"/>
  <c r="E947" i="10" s="1"/>
  <c r="E867" i="10" a="1"/>
  <c r="E867" i="10" s="1"/>
  <c r="E834" i="10" a="1"/>
  <c r="E834" i="10" s="1"/>
  <c r="E914" i="10" a="1"/>
  <c r="E914" i="10" s="1"/>
  <c r="E866" i="10" a="1"/>
  <c r="E866" i="10" s="1"/>
  <c r="D978" i="10" a="1"/>
  <c r="D978" i="10" s="1"/>
  <c r="D818" i="10" a="1"/>
  <c r="D818" i="10" s="1"/>
  <c r="E850" i="10" a="1"/>
  <c r="E850" i="10" s="1"/>
  <c r="D802" i="10" a="1"/>
  <c r="D802" i="10" s="1"/>
  <c r="D754" i="10" a="1"/>
  <c r="D754" i="10" s="1"/>
  <c r="E994" i="10" a="1"/>
  <c r="E994" i="10" s="1"/>
  <c r="S19" i="14"/>
  <c r="S8" i="14"/>
  <c r="E991" i="10" a="1"/>
  <c r="E991" i="10" s="1"/>
  <c r="E949" i="10" a="1"/>
  <c r="E949" i="10" s="1"/>
  <c r="E12" i="10" a="1"/>
  <c r="E12" i="10" s="1"/>
  <c r="E815" i="10" a="1"/>
  <c r="E815" i="10" s="1"/>
  <c r="D933" i="10" a="1"/>
  <c r="D933" i="10" s="1"/>
  <c r="E1045" i="10" a="1"/>
  <c r="E1045" i="10" s="1"/>
  <c r="D901" i="10" a="1"/>
  <c r="D901" i="10" s="1"/>
  <c r="D877" i="10" a="1"/>
  <c r="D877" i="10" s="1"/>
  <c r="D28" i="10" a="1"/>
  <c r="D28" i="10" s="1"/>
  <c r="E917" i="10" a="1"/>
  <c r="E917" i="10" s="1"/>
  <c r="E20" i="10" a="1"/>
  <c r="E20" i="10" s="1"/>
  <c r="E869" i="10" a="1"/>
  <c r="E869" i="10" s="1"/>
  <c r="D1013" i="10" a="1"/>
  <c r="D1013" i="10" s="1"/>
  <c r="D997" i="10" a="1"/>
  <c r="D997" i="10" s="1"/>
  <c r="E965" i="10" a="1"/>
  <c r="E965" i="10" s="1"/>
  <c r="E794" i="10" a="1"/>
  <c r="E794" i="10" s="1"/>
  <c r="D790" i="10" a="1"/>
  <c r="D790" i="10" s="1"/>
  <c r="E758" i="10" a="1"/>
  <c r="E758" i="10" s="1"/>
  <c r="D774" i="10" a="1"/>
  <c r="D774" i="10" s="1"/>
  <c r="E1077" i="10" a="1"/>
  <c r="E1077" i="10" s="1"/>
  <c r="E784" i="10" a="1"/>
  <c r="E784" i="10" s="1"/>
  <c r="E848" i="10" a="1"/>
  <c r="E848" i="10" s="1"/>
  <c r="E838" i="10" a="1"/>
  <c r="E838" i="10" s="1"/>
  <c r="D768" i="10" a="1"/>
  <c r="D768" i="10" s="1"/>
  <c r="E912" i="10" a="1"/>
  <c r="E912" i="10" s="1"/>
  <c r="E886" i="10" a="1"/>
  <c r="E886" i="10" s="1"/>
  <c r="E855" i="10" a="1"/>
  <c r="E855" i="10" s="1"/>
  <c r="D791" i="10" a="1"/>
  <c r="D791" i="10" s="1"/>
  <c r="E776" i="10" a="1"/>
  <c r="E776" i="10" s="1"/>
  <c r="E1063" i="10" a="1"/>
  <c r="E1063" i="10" s="1"/>
  <c r="E775" i="10" a="1"/>
  <c r="E775" i="10" s="1"/>
  <c r="E904" i="10" a="1"/>
  <c r="E904" i="10" s="1"/>
  <c r="D871" i="10" a="1"/>
  <c r="D871" i="10" s="1"/>
  <c r="E1029" i="10" a="1"/>
  <c r="E1029" i="10" s="1"/>
  <c r="E824" i="10" a="1"/>
  <c r="E824" i="10" s="1"/>
  <c r="D856" i="10" a="1"/>
  <c r="D856" i="10" s="1"/>
  <c r="E1021" i="10" a="1"/>
  <c r="E1021" i="10" s="1"/>
  <c r="E888" i="10" a="1"/>
  <c r="E888" i="10" s="1"/>
  <c r="E821" i="10" a="1"/>
  <c r="E821" i="10" s="1"/>
  <c r="E759" i="10" a="1"/>
  <c r="E759" i="10" s="1"/>
  <c r="D839" i="10" a="1"/>
  <c r="D839" i="10" s="1"/>
  <c r="E95" i="10" a="1"/>
  <c r="E95" i="10" s="1"/>
  <c r="E885" i="10" a="1"/>
  <c r="E885" i="10" s="1"/>
  <c r="E983" i="10" a="1"/>
  <c r="E983" i="10" s="1"/>
  <c r="E967" i="10" a="1"/>
  <c r="E967" i="10" s="1"/>
  <c r="D808" i="10" a="1"/>
  <c r="D808" i="10" s="1"/>
  <c r="D807" i="10" a="1"/>
  <c r="D807" i="10" s="1"/>
  <c r="E981" i="10" a="1"/>
  <c r="E981" i="10" s="1"/>
  <c r="E879" i="10" a="1"/>
  <c r="E879" i="10" s="1"/>
  <c r="D829" i="10" a="1"/>
  <c r="D829" i="10" s="1"/>
  <c r="E50" i="10" a="1"/>
  <c r="E50" i="10" s="1"/>
  <c r="E973" i="10" a="1"/>
  <c r="E973" i="10" s="1"/>
  <c r="E951" i="10" a="1"/>
  <c r="E951" i="10" s="1"/>
  <c r="E870" i="10" a="1"/>
  <c r="E870" i="10" s="1"/>
  <c r="D832" i="10" a="1"/>
  <c r="D832" i="10" s="1"/>
  <c r="E769" i="10" a="1"/>
  <c r="E769" i="10" s="1"/>
  <c r="E1048" i="10" a="1"/>
  <c r="E1048" i="10" s="1"/>
  <c r="E812" i="10" a="1"/>
  <c r="E812" i="10" s="1"/>
  <c r="E936" i="10" a="1"/>
  <c r="E936" i="10" s="1"/>
  <c r="E271" i="10" a="1"/>
  <c r="E271" i="10" s="1"/>
  <c r="E1032" i="10" a="1"/>
  <c r="E1032" i="10" s="1"/>
  <c r="E935" i="10" a="1"/>
  <c r="E935" i="10" s="1"/>
  <c r="E253" i="10" a="1"/>
  <c r="E253" i="10" s="1"/>
  <c r="D79" i="10" a="1"/>
  <c r="D79" i="10" s="1"/>
  <c r="E1026" i="10" a="1"/>
  <c r="E1026" i="10" s="1"/>
  <c r="D1080" i="10" a="1"/>
  <c r="D1080" i="10" s="1"/>
  <c r="E1000" i="10" a="1"/>
  <c r="E1000" i="10" s="1"/>
  <c r="D946" i="10" a="1"/>
  <c r="D946" i="10" s="1"/>
  <c r="E24" i="10" a="1"/>
  <c r="E24" i="10" s="1"/>
  <c r="E1005" i="10" a="1"/>
  <c r="E1005" i="10" s="1"/>
  <c r="E934" i="10" a="1"/>
  <c r="E934" i="10" s="1"/>
  <c r="E876" i="10" a="1"/>
  <c r="E876" i="10" s="1"/>
  <c r="D908" i="10" a="1"/>
  <c r="D908" i="10" s="1"/>
  <c r="E932" i="10" a="1"/>
  <c r="E932" i="10" s="1"/>
  <c r="E984" i="10" a="1"/>
  <c r="E984" i="10" s="1"/>
  <c r="E972" i="10" a="1"/>
  <c r="E972" i="10" s="1"/>
  <c r="D1010" i="10" a="1"/>
  <c r="D1010" i="10" s="1"/>
  <c r="D1074" i="10" a="1"/>
  <c r="D1074" i="10" s="1"/>
  <c r="E902" i="10" a="1"/>
  <c r="E902" i="10" s="1"/>
  <c r="E849" i="10" a="1"/>
  <c r="E849" i="10" s="1"/>
  <c r="E399" i="10" a="1"/>
  <c r="E399" i="10" s="1"/>
  <c r="D817" i="10" a="1"/>
  <c r="D817" i="10" s="1"/>
  <c r="E929" i="10" a="1"/>
  <c r="E929" i="10" s="1"/>
  <c r="E85" i="10" a="1"/>
  <c r="E85" i="10" s="1"/>
  <c r="E69" i="10" a="1"/>
  <c r="E69" i="10" s="1"/>
  <c r="E173" i="10" a="1"/>
  <c r="E173" i="10" s="1"/>
  <c r="E1036" i="10" a="1"/>
  <c r="E1036" i="10" s="1"/>
  <c r="D5" i="10" a="1"/>
  <c r="D5" i="10" s="1"/>
  <c r="E53" i="10" a="1"/>
  <c r="E53" i="10" s="1"/>
  <c r="E988" i="10" a="1"/>
  <c r="E988" i="10" s="1"/>
  <c r="AK45" i="13" a="1"/>
  <c r="AK45" i="13" s="1"/>
  <c r="E985" i="10" a="1"/>
  <c r="E985" i="10" s="1"/>
  <c r="E822" i="10" a="1"/>
  <c r="E822" i="10" s="1"/>
  <c r="E777" i="10" a="1"/>
  <c r="E777" i="10" s="1"/>
  <c r="D998" i="10" a="1"/>
  <c r="D998" i="10" s="1"/>
  <c r="E921" i="10" a="1"/>
  <c r="E921" i="10" s="1"/>
  <c r="E1033" i="10" a="1"/>
  <c r="E1033" i="10" s="1"/>
  <c r="E969" i="10" a="1"/>
  <c r="E969" i="10" s="1"/>
  <c r="E761" i="10" a="1"/>
  <c r="E761" i="10" s="1"/>
  <c r="E950" i="10" a="1"/>
  <c r="E950" i="10" s="1"/>
  <c r="E1001" i="10" a="1"/>
  <c r="E1001" i="10" s="1"/>
  <c r="E793" i="10" a="1"/>
  <c r="E793" i="10" s="1"/>
  <c r="E367" i="10" a="1"/>
  <c r="E367" i="10" s="1"/>
  <c r="D1061" i="10" a="1"/>
  <c r="D1061" i="10" s="1"/>
  <c r="E1019" i="10" a="1"/>
  <c r="E1019" i="10" s="1"/>
  <c r="E952" i="10" a="1"/>
  <c r="E952" i="10" s="1"/>
  <c r="E7" i="10" a="1"/>
  <c r="E7" i="10" s="1"/>
  <c r="E907" i="10" a="1"/>
  <c r="E907" i="10" s="1"/>
  <c r="E940" i="10" a="1"/>
  <c r="E940" i="10" s="1"/>
  <c r="D755" i="10" a="1"/>
  <c r="D755" i="10" s="1"/>
  <c r="E863" i="10" a="1"/>
  <c r="E863" i="10" s="1"/>
  <c r="D963" i="10" a="1"/>
  <c r="D963" i="10" s="1"/>
  <c r="D803" i="10" a="1"/>
  <c r="D803" i="10" s="1"/>
  <c r="E1027" i="10" a="1"/>
  <c r="E1027" i="10" s="1"/>
  <c r="D1059" i="10" a="1"/>
  <c r="D1059" i="10" s="1"/>
  <c r="D851" i="10" a="1"/>
  <c r="D851" i="10" s="1"/>
  <c r="E899" i="10" a="1"/>
  <c r="E899" i="10" s="1"/>
  <c r="D1043" i="10" a="1"/>
  <c r="D1043" i="10" s="1"/>
  <c r="E1023" i="10" a="1"/>
  <c r="E1023" i="10" s="1"/>
  <c r="E895" i="10" a="1"/>
  <c r="E895" i="10" s="1"/>
  <c r="D1042" i="10" a="1"/>
  <c r="D1042" i="10" s="1"/>
  <c r="D943" i="10" a="1"/>
  <c r="D943" i="10" s="1"/>
  <c r="E1087" i="10" a="1"/>
  <c r="E1087" i="10" s="1"/>
  <c r="E771" i="10" a="1"/>
  <c r="E771" i="10" s="1"/>
  <c r="E222" i="10" a="1"/>
  <c r="E222" i="10" s="1"/>
  <c r="D927" i="10" a="1"/>
  <c r="D927" i="10" s="1"/>
  <c r="D835" i="10" a="1"/>
  <c r="D835" i="10" s="1"/>
  <c r="D787" i="10" a="1"/>
  <c r="D787" i="10" s="1"/>
  <c r="E1075" i="10" a="1"/>
  <c r="E1075" i="10" s="1"/>
  <c r="E1011" i="10" a="1"/>
  <c r="E1011" i="10" s="1"/>
  <c r="D287" i="10" a="1"/>
  <c r="D287" i="10" s="1"/>
  <c r="E1071" i="10" a="1"/>
  <c r="E1071" i="10" s="1"/>
  <c r="E1007" i="10" a="1"/>
  <c r="E1007" i="10" s="1"/>
  <c r="E920" i="10" a="1"/>
  <c r="E920" i="10" s="1"/>
  <c r="E883" i="10" a="1"/>
  <c r="E883" i="10" s="1"/>
  <c r="E847" i="10" a="1"/>
  <c r="E847" i="10" s="1"/>
  <c r="E799" i="10" a="1"/>
  <c r="E799" i="10" s="1"/>
  <c r="D915" i="10" a="1"/>
  <c r="D915" i="10" s="1"/>
  <c r="D831" i="10" a="1"/>
  <c r="D831" i="10" s="1"/>
  <c r="D819" i="10" a="1"/>
  <c r="D819" i="10" s="1"/>
  <c r="E995" i="10" a="1"/>
  <c r="E995" i="10" s="1"/>
  <c r="E751" i="10" a="1"/>
  <c r="E751" i="10" s="1"/>
  <c r="D898" i="10" a="1"/>
  <c r="D898" i="10" s="1"/>
  <c r="D154" i="10" a="1"/>
  <c r="D154" i="10" s="1"/>
  <c r="D111" i="10" a="1"/>
  <c r="D111" i="10" s="1"/>
  <c r="E1064" i="10" a="1"/>
  <c r="E1064" i="10" s="1"/>
  <c r="E975" i="10" a="1"/>
  <c r="E975" i="10" s="1"/>
  <c r="E939" i="10" a="1"/>
  <c r="E939" i="10" s="1"/>
  <c r="E911" i="10" a="1"/>
  <c r="E911" i="10" s="1"/>
  <c r="E873" i="10" a="1"/>
  <c r="E873" i="10" s="1"/>
  <c r="E843" i="10" a="1"/>
  <c r="E843" i="10" s="1"/>
  <c r="D977" i="10" a="1"/>
  <c r="D977" i="10" s="1"/>
  <c r="D887" i="10" a="1"/>
  <c r="D887" i="10" s="1"/>
  <c r="E971" i="10" a="1"/>
  <c r="E971" i="10" s="1"/>
  <c r="E1003" i="10" a="1"/>
  <c r="E1003" i="10" s="1"/>
  <c r="E968" i="10" a="1"/>
  <c r="E968" i="10" s="1"/>
  <c r="E827" i="10" a="1"/>
  <c r="E827" i="10" s="1"/>
  <c r="E763" i="10" a="1"/>
  <c r="E763" i="10" s="1"/>
  <c r="D859" i="10" a="1"/>
  <c r="D859" i="10" s="1"/>
  <c r="E207" i="10" a="1"/>
  <c r="E207" i="10" s="1"/>
  <c r="E191" i="10" a="1"/>
  <c r="E191" i="10" s="1"/>
  <c r="E175" i="10" a="1"/>
  <c r="E175" i="10" s="1"/>
  <c r="E1035" i="10" a="1"/>
  <c r="E1035" i="10" s="1"/>
  <c r="E999" i="10" a="1"/>
  <c r="E999" i="10" s="1"/>
  <c r="E966" i="10" a="1"/>
  <c r="E966" i="10" s="1"/>
  <c r="E860" i="10" a="1"/>
  <c r="E860" i="10" s="1"/>
  <c r="E823" i="10" a="1"/>
  <c r="E823" i="10" s="1"/>
  <c r="E792" i="10" a="1"/>
  <c r="E792" i="10" s="1"/>
  <c r="E760" i="10" a="1"/>
  <c r="E760" i="10" s="1"/>
  <c r="D941" i="10" a="1"/>
  <c r="D941" i="10" s="1"/>
  <c r="D757" i="10" a="1"/>
  <c r="D757" i="10" s="1"/>
  <c r="E811" i="10" a="1"/>
  <c r="E811" i="10" s="1"/>
  <c r="E779" i="10" a="1"/>
  <c r="E779" i="10" s="1"/>
  <c r="E747" i="10" a="1"/>
  <c r="E747" i="10" s="1"/>
  <c r="D58" i="10" a="1"/>
  <c r="D58" i="10" s="1"/>
  <c r="E1067" i="10" a="1"/>
  <c r="E1067" i="10" s="1"/>
  <c r="E923" i="10" a="1"/>
  <c r="E923" i="10" s="1"/>
  <c r="E891" i="10" a="1"/>
  <c r="E891" i="10" s="1"/>
  <c r="D976" i="10" a="1"/>
  <c r="D976" i="10" s="1"/>
  <c r="E49" i="10" a="1"/>
  <c r="E49" i="10" s="1"/>
  <c r="E255" i="10" a="1"/>
  <c r="E255" i="10" s="1"/>
  <c r="D896" i="10" a="1"/>
  <c r="D896" i="10" s="1"/>
  <c r="D800" i="10" a="1"/>
  <c r="D800" i="10" s="1"/>
  <c r="E31" i="10" a="1"/>
  <c r="E31" i="10" s="1"/>
  <c r="E1046" i="10" a="1"/>
  <c r="E1046" i="10" s="1"/>
  <c r="E816" i="10" a="1"/>
  <c r="E816" i="10" s="1"/>
  <c r="D1024" i="10" a="1"/>
  <c r="D1024" i="10" s="1"/>
  <c r="E248" i="10" a="1"/>
  <c r="E248" i="10" s="1"/>
  <c r="E1008" i="10" a="1"/>
  <c r="E1008" i="10" s="1"/>
  <c r="E880" i="10" a="1"/>
  <c r="E880" i="10" s="1"/>
  <c r="D1015" i="10" a="1"/>
  <c r="D1015" i="10" s="1"/>
  <c r="D875" i="10" a="1"/>
  <c r="D875" i="10" s="1"/>
  <c r="E90" i="10" a="1"/>
  <c r="E90" i="10" s="1"/>
  <c r="D155" i="10" a="1"/>
  <c r="D155" i="10" s="1"/>
  <c r="E1085" i="10" a="1"/>
  <c r="E1085" i="10" s="1"/>
  <c r="E1030" i="10" a="1"/>
  <c r="E1030" i="10" s="1"/>
  <c r="E93" i="10" a="1"/>
  <c r="E93" i="10" s="1"/>
  <c r="E239" i="10" a="1"/>
  <c r="E239" i="10" s="1"/>
  <c r="E1009" i="10" a="1"/>
  <c r="E1009" i="10" s="1"/>
  <c r="E982" i="10" a="1"/>
  <c r="E982" i="10" s="1"/>
  <c r="E962" i="10" a="1"/>
  <c r="E962" i="10" s="1"/>
  <c r="E930" i="10" a="1"/>
  <c r="E930" i="10" s="1"/>
  <c r="E905" i="10" a="1"/>
  <c r="E905" i="10" s="1"/>
  <c r="E882" i="10" a="1"/>
  <c r="E882" i="10" s="1"/>
  <c r="E770" i="10" a="1"/>
  <c r="E770" i="10" s="1"/>
  <c r="D1079" i="10" a="1"/>
  <c r="D1079" i="10" s="1"/>
  <c r="D788" i="10" a="1"/>
  <c r="D788" i="10" s="1"/>
  <c r="E1073" i="10" a="1"/>
  <c r="E1073" i="10" s="1"/>
  <c r="E852" i="10" a="1"/>
  <c r="E852" i="10" s="1"/>
  <c r="E980" i="10" a="1"/>
  <c r="E980" i="10" s="1"/>
  <c r="D820" i="10" a="1"/>
  <c r="D820" i="10" s="1"/>
  <c r="D945" i="10" a="1"/>
  <c r="D945" i="10" s="1"/>
  <c r="E575" i="10" a="1"/>
  <c r="E575" i="10" s="1"/>
  <c r="E900" i="10" a="1"/>
  <c r="E900" i="10" s="1"/>
  <c r="E127" i="10" a="1"/>
  <c r="E127" i="10" s="1"/>
  <c r="E639" i="10" a="1"/>
  <c r="E639" i="10" s="1"/>
  <c r="E948" i="10" a="1"/>
  <c r="E948" i="10" s="1"/>
  <c r="D1060" i="10" a="1"/>
  <c r="D1060" i="10" s="1"/>
  <c r="D889" i="10" a="1"/>
  <c r="D889" i="10" s="1"/>
  <c r="E45" i="10" a="1"/>
  <c r="E45" i="10" s="1"/>
  <c r="E1025" i="10" a="1"/>
  <c r="E1025" i="10" s="1"/>
  <c r="E897" i="10" a="1"/>
  <c r="E897" i="10" s="1"/>
  <c r="E47" i="10" a="1"/>
  <c r="E47" i="10" s="1"/>
  <c r="E125" i="10" a="1"/>
  <c r="E125" i="10" s="1"/>
  <c r="E245" i="10" a="1"/>
  <c r="E245" i="10" s="1"/>
  <c r="E117" i="10" a="1"/>
  <c r="E117" i="10" s="1"/>
  <c r="E37" i="10" a="1"/>
  <c r="E37" i="10" s="1"/>
  <c r="D335" i="10" a="1"/>
  <c r="D335" i="10" s="1"/>
  <c r="E1058" i="10" a="1"/>
  <c r="E1058" i="10" s="1"/>
  <c r="E996" i="10" a="1"/>
  <c r="E996" i="10" s="1"/>
  <c r="E868" i="10" a="1"/>
  <c r="E868" i="10" s="1"/>
  <c r="E841" i="10" a="1"/>
  <c r="E841" i="10" s="1"/>
  <c r="D1044" i="10" a="1"/>
  <c r="D1044" i="10" s="1"/>
  <c r="D979" i="10" a="1"/>
  <c r="D979" i="10" s="1"/>
  <c r="E916" i="10" a="1"/>
  <c r="E916" i="10" s="1"/>
  <c r="E756" i="10" a="1"/>
  <c r="E756" i="10" s="1"/>
  <c r="E1017" i="10" a="1"/>
  <c r="E1017" i="10" s="1"/>
  <c r="AK48" i="13" a="1"/>
  <c r="AK48" i="13" s="1"/>
  <c r="D110" i="10" a="1"/>
  <c r="D110" i="10" s="1"/>
  <c r="E1076" i="10" a="1"/>
  <c r="E1076" i="10" s="1"/>
  <c r="E964" i="10" a="1"/>
  <c r="E964" i="10" s="1"/>
  <c r="E884" i="10" a="1"/>
  <c r="E884" i="10" s="1"/>
  <c r="E825" i="10" a="1"/>
  <c r="E825" i="10" s="1"/>
  <c r="E772" i="10" a="1"/>
  <c r="E772" i="10" s="1"/>
  <c r="D864" i="10" a="1"/>
  <c r="D864" i="10" s="1"/>
  <c r="E91" i="10" a="1"/>
  <c r="E91" i="10" s="1"/>
  <c r="E87" i="10" a="1"/>
  <c r="E87" i="10" s="1"/>
  <c r="E890" i="10" a="1"/>
  <c r="E890" i="10" s="1"/>
  <c r="E762" i="10" a="1"/>
  <c r="E762" i="10" s="1"/>
  <c r="E727" i="10" a="1"/>
  <c r="E727" i="10" s="1"/>
  <c r="E810" i="10" a="1"/>
  <c r="E810" i="10" s="1"/>
  <c r="E713" i="10" a="1"/>
  <c r="E713" i="10" s="1"/>
  <c r="E683" i="10" a="1"/>
  <c r="E683" i="10" s="1"/>
  <c r="E1082" i="10" a="1"/>
  <c r="E1082" i="10" s="1"/>
  <c r="E1055" i="10" a="1"/>
  <c r="E1055" i="10" s="1"/>
  <c r="E1004" i="10" a="1"/>
  <c r="E1004" i="10" s="1"/>
  <c r="E959" i="10" a="1"/>
  <c r="E959" i="10" s="1"/>
  <c r="D922" i="10" a="1"/>
  <c r="D922" i="10" s="1"/>
  <c r="E39" i="10" a="1"/>
  <c r="E39" i="10" s="1"/>
  <c r="E679" i="10" a="1"/>
  <c r="E679" i="10" s="1"/>
  <c r="E1081" i="10" a="1"/>
  <c r="E1081" i="10" s="1"/>
  <c r="E1053" i="10" a="1"/>
  <c r="E1053" i="10" s="1"/>
  <c r="E956" i="10" a="1"/>
  <c r="E956" i="10" s="1"/>
  <c r="E858" i="10" a="1"/>
  <c r="E858" i="10" s="1"/>
  <c r="E806" i="10" a="1"/>
  <c r="E806" i="10" s="1"/>
  <c r="E778" i="10" a="1"/>
  <c r="E778" i="10" s="1"/>
  <c r="E129" i="10" a="1"/>
  <c r="E129" i="10" s="1"/>
  <c r="D743" i="10" a="1"/>
  <c r="D743" i="10" s="1"/>
  <c r="E1078" i="10" a="1"/>
  <c r="E1078" i="10" s="1"/>
  <c r="E1002" i="10" a="1"/>
  <c r="E1002" i="10" s="1"/>
  <c r="D960" i="10" a="1"/>
  <c r="D960" i="10" s="1"/>
  <c r="D725" i="10" a="1"/>
  <c r="D725" i="10" s="1"/>
  <c r="E1018" i="10" a="1"/>
  <c r="E1018" i="10" s="1"/>
  <c r="D187" i="10" a="1"/>
  <c r="D187" i="10" s="1"/>
  <c r="E970" i="10" a="1"/>
  <c r="E970" i="10" s="1"/>
  <c r="D1034" i="10" a="1"/>
  <c r="D1034" i="10" s="1"/>
  <c r="E1072" i="10" a="1"/>
  <c r="E1072" i="10" s="1"/>
  <c r="E1039" i="10" a="1"/>
  <c r="E1039" i="10" s="1"/>
  <c r="E1014" i="10" a="1"/>
  <c r="E1014" i="10" s="1"/>
  <c r="D944" i="10" a="1"/>
  <c r="D944" i="10" s="1"/>
  <c r="D906" i="10" a="1"/>
  <c r="D906" i="10" s="1"/>
  <c r="D443" i="10" a="1"/>
  <c r="D443" i="10" s="1"/>
  <c r="E159" i="10" a="1"/>
  <c r="E159" i="10" s="1"/>
  <c r="E223" i="10" a="1"/>
  <c r="E223" i="10" s="1"/>
  <c r="D383" i="10" a="1"/>
  <c r="D383" i="10" s="1"/>
  <c r="E918" i="10" a="1"/>
  <c r="E918" i="10" s="1"/>
  <c r="D893" i="10" a="1"/>
  <c r="D893" i="10" s="1"/>
  <c r="D781" i="10" a="1"/>
  <c r="D781" i="10" s="1"/>
  <c r="E733" i="10" a="1"/>
  <c r="E733" i="10" s="1"/>
  <c r="D892" i="10" a="1"/>
  <c r="D892" i="10" s="1"/>
  <c r="D1037" i="10" a="1"/>
  <c r="D1037" i="10" s="1"/>
  <c r="E139" i="10" a="1"/>
  <c r="E139" i="10" s="1"/>
  <c r="E11" i="10" a="1"/>
  <c r="E11" i="10" s="1"/>
  <c r="E717" i="10" a="1"/>
  <c r="E717" i="10" s="1"/>
  <c r="D1069" i="10" a="1"/>
  <c r="D1069" i="10" s="1"/>
  <c r="E495" i="10" a="1"/>
  <c r="E495" i="10" s="1"/>
  <c r="E479" i="10" a="1"/>
  <c r="E479" i="10" s="1"/>
  <c r="E701" i="10" a="1"/>
  <c r="E701" i="10" s="1"/>
  <c r="E1062" i="10" a="1"/>
  <c r="E1062" i="10" s="1"/>
  <c r="E1038" i="10" a="1"/>
  <c r="E1038" i="10" s="1"/>
  <c r="E955" i="10" a="1"/>
  <c r="E955" i="10" s="1"/>
  <c r="E845" i="10" a="1"/>
  <c r="E845" i="10" s="1"/>
  <c r="E797" i="10" a="1"/>
  <c r="E797" i="10" s="1"/>
  <c r="D1031" i="10" a="1"/>
  <c r="D1031" i="10" s="1"/>
  <c r="D854" i="10" a="1"/>
  <c r="D854" i="10" s="1"/>
  <c r="E107" i="10" a="1"/>
  <c r="E107" i="10" s="1"/>
  <c r="E115" i="10" a="1"/>
  <c r="E115" i="10" s="1"/>
  <c r="E527" i="10" a="1"/>
  <c r="E527" i="10" s="1"/>
  <c r="E685" i="10" a="1"/>
  <c r="E685" i="10" s="1"/>
  <c r="E1016" i="10" a="1"/>
  <c r="E1016" i="10" s="1"/>
  <c r="E953" i="10" a="1"/>
  <c r="E953" i="10" s="1"/>
  <c r="E931" i="10" a="1"/>
  <c r="E931" i="10" s="1"/>
  <c r="E844" i="10" a="1"/>
  <c r="E844" i="10" s="1"/>
  <c r="E795" i="10" a="1"/>
  <c r="E795" i="10" s="1"/>
  <c r="D909" i="10" a="1"/>
  <c r="D909" i="10" s="1"/>
  <c r="K2" i="14"/>
  <c r="D123" i="10" a="1"/>
  <c r="D123" i="10" s="1"/>
  <c r="D958" i="10" a="1"/>
  <c r="D958" i="10" s="1"/>
  <c r="D671" i="10" a="1"/>
  <c r="D671" i="10" s="1"/>
  <c r="E1054" i="10" a="1"/>
  <c r="E1054" i="10" s="1"/>
  <c r="E989" i="10" a="1"/>
  <c r="E989" i="10" s="1"/>
  <c r="E925" i="10" a="1"/>
  <c r="E925" i="10" s="1"/>
  <c r="D1052" i="10" a="1"/>
  <c r="D1052" i="10" s="1"/>
  <c r="D957" i="10" a="1"/>
  <c r="D957" i="10" s="1"/>
  <c r="D463" i="10" a="1"/>
  <c r="D463" i="10" s="1"/>
  <c r="E987" i="10" a="1"/>
  <c r="E987" i="10" s="1"/>
  <c r="D1083" i="10" a="1"/>
  <c r="D1083" i="10" s="1"/>
  <c r="D1047" i="10" a="1"/>
  <c r="D1047" i="10" s="1"/>
  <c r="D813" i="10" a="1"/>
  <c r="D813" i="10" s="1"/>
  <c r="P52" i="12" a="1"/>
  <c r="P52" i="12" s="1"/>
  <c r="AA94" i="12" a="1"/>
  <c r="AA94" i="12" s="1"/>
  <c r="O51" i="12" a="1"/>
  <c r="O51" i="12" s="1"/>
  <c r="AA61" i="12" a="1"/>
  <c r="AA61" i="12" s="1"/>
  <c r="E251" i="10" a="1"/>
  <c r="E251" i="10" s="1"/>
  <c r="D397" i="10" a="1"/>
  <c r="D397" i="10" s="1"/>
  <c r="E1022" i="10" a="1"/>
  <c r="E1022" i="10" s="1"/>
  <c r="E830" i="10" a="1"/>
  <c r="E830" i="10" s="1"/>
  <c r="D1084" i="10" a="1"/>
  <c r="D1084" i="10" s="1"/>
  <c r="D1028" i="10" a="1"/>
  <c r="D1028" i="10" s="1"/>
  <c r="E712" i="10" a="1"/>
  <c r="E712" i="10" s="1"/>
  <c r="E1020" i="10" a="1"/>
  <c r="E1020" i="10" s="1"/>
  <c r="E862" i="10" a="1"/>
  <c r="E862" i="10" s="1"/>
  <c r="E846" i="10" a="1"/>
  <c r="E846" i="10" s="1"/>
  <c r="E828" i="10" a="1"/>
  <c r="E828" i="10" s="1"/>
  <c r="E809" i="10" a="1"/>
  <c r="E809" i="10" s="1"/>
  <c r="D924" i="10" a="1"/>
  <c r="D924" i="10" s="1"/>
  <c r="D836" i="10" a="1"/>
  <c r="D836" i="10" s="1"/>
  <c r="D804" i="10" a="1"/>
  <c r="D804" i="10" s="1"/>
  <c r="D942" i="10" a="1"/>
  <c r="D942" i="10" s="1"/>
  <c r="E157" i="10" a="1"/>
  <c r="E157" i="10" s="1"/>
  <c r="D77" i="10" a="1"/>
  <c r="D77" i="10" s="1"/>
  <c r="E237" i="10" a="1"/>
  <c r="E237" i="10" s="1"/>
  <c r="E109" i="10" a="1"/>
  <c r="E109" i="10" s="1"/>
  <c r="E30" i="10" a="1"/>
  <c r="E30" i="10" s="1"/>
  <c r="E43" i="10" a="1"/>
  <c r="E43" i="10" s="1"/>
  <c r="D75" i="10" a="1"/>
  <c r="D75" i="10" s="1"/>
  <c r="E1088" i="10" a="1"/>
  <c r="E1088" i="10" s="1"/>
  <c r="E1051" i="10" a="1"/>
  <c r="E1051" i="10" s="1"/>
  <c r="E928" i="10" a="1"/>
  <c r="E928" i="10" s="1"/>
  <c r="E910" i="10" a="1"/>
  <c r="E910" i="10" s="1"/>
  <c r="E857" i="10" a="1"/>
  <c r="E857" i="10" s="1"/>
  <c r="E840" i="10" a="1"/>
  <c r="E840" i="10" s="1"/>
  <c r="E752" i="10" a="1"/>
  <c r="E752" i="10" s="1"/>
  <c r="D937" i="10" a="1"/>
  <c r="D937" i="10" s="1"/>
  <c r="D780" i="10" a="1"/>
  <c r="D780" i="10" s="1"/>
  <c r="E56" i="12" a="1"/>
  <c r="E56" i="12" s="1"/>
  <c r="P61" i="12" a="1"/>
  <c r="P61" i="12" s="1"/>
  <c r="E221" i="10" a="1"/>
  <c r="E221" i="10" s="1"/>
  <c r="E205" i="10" a="1"/>
  <c r="E205" i="10" s="1"/>
  <c r="E219" i="10" a="1"/>
  <c r="E219" i="10" s="1"/>
  <c r="E27" i="10" a="1"/>
  <c r="E27" i="10" s="1"/>
  <c r="E203" i="10" a="1"/>
  <c r="E203" i="10" s="1"/>
  <c r="E333" i="10" a="1"/>
  <c r="E333" i="10" s="1"/>
  <c r="E29" i="10" a="1"/>
  <c r="E29" i="10" s="1"/>
  <c r="D63" i="10" a="1"/>
  <c r="D63" i="10" s="1"/>
  <c r="E1068" i="10" a="1"/>
  <c r="E1068" i="10" s="1"/>
  <c r="E1049" i="10" a="1"/>
  <c r="E1049" i="10" s="1"/>
  <c r="E874" i="10" a="1"/>
  <c r="E874" i="10" s="1"/>
  <c r="D903" i="10" a="1"/>
  <c r="D903" i="10" s="1"/>
  <c r="D814" i="10" a="1"/>
  <c r="D814" i="10" s="1"/>
  <c r="D796" i="10" a="1"/>
  <c r="D796" i="10" s="1"/>
  <c r="D765" i="10" a="1"/>
  <c r="D765" i="10" s="1"/>
  <c r="E52" i="12" a="1"/>
  <c r="E52" i="12" s="1"/>
  <c r="P66" i="12" a="1"/>
  <c r="P66" i="12" s="1"/>
  <c r="D693" i="10" a="1"/>
  <c r="D693" i="10" s="1"/>
  <c r="E1066" i="10" a="1"/>
  <c r="E1066" i="10" s="1"/>
  <c r="E1012" i="10" a="1"/>
  <c r="E1012" i="10" s="1"/>
  <c r="E766" i="10" a="1"/>
  <c r="E766" i="10" s="1"/>
  <c r="D764" i="10" a="1"/>
  <c r="D764" i="10" s="1"/>
  <c r="AA81" i="12" a="1"/>
  <c r="AA81" i="12" s="1"/>
  <c r="E317" i="10" a="1"/>
  <c r="E317" i="10" s="1"/>
  <c r="E61" i="10" a="1"/>
  <c r="E61" i="10" s="1"/>
  <c r="E299" i="10" a="1"/>
  <c r="E299" i="10" s="1"/>
  <c r="E59" i="10" a="1"/>
  <c r="E59" i="10" s="1"/>
  <c r="E415" i="10" a="1"/>
  <c r="E415" i="10" s="1"/>
  <c r="D199" i="10" a="1"/>
  <c r="D199" i="10" s="1"/>
  <c r="E1065" i="10" a="1"/>
  <c r="E1065" i="10" s="1"/>
  <c r="E974" i="10" a="1"/>
  <c r="E974" i="10" s="1"/>
  <c r="E748" i="10" a="1"/>
  <c r="E748" i="10" s="1"/>
  <c r="D1070" i="10" a="1"/>
  <c r="D1070" i="10" s="1"/>
  <c r="D990" i="10" a="1"/>
  <c r="D990" i="10" s="1"/>
  <c r="AA73" i="12" a="1"/>
  <c r="AA73" i="12" s="1"/>
  <c r="D379" i="10" a="1"/>
  <c r="D379" i="10" s="1"/>
  <c r="E411" i="10" a="1"/>
  <c r="E411" i="10" s="1"/>
  <c r="D475" i="10" a="1"/>
  <c r="D475" i="10" s="1"/>
  <c r="E267" i="10" a="1"/>
  <c r="E267" i="10" s="1"/>
  <c r="D189" i="10" a="1"/>
  <c r="D189" i="10" s="1"/>
  <c r="D878" i="10" a="1"/>
  <c r="D878" i="10" s="1"/>
  <c r="E726" i="10" a="1"/>
  <c r="E726" i="10" s="1"/>
  <c r="E954" i="10" a="1"/>
  <c r="E954" i="10" s="1"/>
  <c r="D1086" i="10" a="1"/>
  <c r="D1086" i="10" s="1"/>
  <c r="AA62" i="13" a="1"/>
  <c r="AA62" i="13" s="1"/>
  <c r="E63" i="13" a="1"/>
  <c r="E63" i="13" s="1"/>
  <c r="AK30" i="13" a="1"/>
  <c r="AK30" i="13" s="1"/>
  <c r="E66" i="13" a="1"/>
  <c r="E66" i="13" s="1"/>
  <c r="E52" i="13" a="1"/>
  <c r="E52" i="13" s="1"/>
  <c r="AA89" i="13" a="1"/>
  <c r="AA89" i="13" s="1"/>
  <c r="AL27" i="13" a="1"/>
  <c r="AL27" i="13" s="1"/>
  <c r="E79" i="13" a="1"/>
  <c r="E79" i="13" s="1"/>
  <c r="P77" i="13" a="1"/>
  <c r="P77" i="13" s="1"/>
  <c r="D67" i="13" a="1"/>
  <c r="D67" i="13" s="1"/>
  <c r="P61" i="13" a="1"/>
  <c r="P61" i="13" s="1"/>
  <c r="AA91" i="13" a="1"/>
  <c r="AA91" i="13" s="1"/>
  <c r="Z82" i="13" a="1"/>
  <c r="Z82" i="13" s="1"/>
  <c r="AA87" i="11" a="1"/>
  <c r="AA87" i="11" s="1"/>
  <c r="O66" i="11" a="1"/>
  <c r="O66" i="11" s="1"/>
  <c r="Z96" i="11" a="1"/>
  <c r="Z96" i="11" s="1"/>
  <c r="D71" i="11" a="1"/>
  <c r="D71" i="11" s="1"/>
  <c r="AA93" i="11" a="1"/>
  <c r="AA93" i="11" s="1"/>
  <c r="Z85" i="11" a="1"/>
  <c r="Z85" i="11" s="1"/>
  <c r="D842" i="10" a="1"/>
  <c r="D842" i="10" s="1"/>
  <c r="AA80" i="12" a="1"/>
  <c r="AA80" i="12" s="1"/>
  <c r="E53" i="13" a="1"/>
  <c r="E53" i="13" s="1"/>
  <c r="E785" i="10" a="1"/>
  <c r="E785" i="10" s="1"/>
  <c r="D961" i="10" a="1"/>
  <c r="D961" i="10" s="1"/>
  <c r="D894" i="10" a="1"/>
  <c r="D894" i="10" s="1"/>
  <c r="D801" i="10" a="1"/>
  <c r="D801" i="10" s="1"/>
  <c r="E16" i="10" a="1"/>
  <c r="E16" i="10" s="1"/>
  <c r="E319" i="10" a="1"/>
  <c r="E319" i="10" s="1"/>
  <c r="E143" i="10" a="1"/>
  <c r="E143" i="10" s="1"/>
  <c r="E1041" i="10" a="1"/>
  <c r="E1041" i="10" s="1"/>
  <c r="E1006" i="10" a="1"/>
  <c r="E1006" i="10" s="1"/>
  <c r="E938" i="10" a="1"/>
  <c r="E938" i="10" s="1"/>
  <c r="E872" i="10" a="1"/>
  <c r="E872" i="10" s="1"/>
  <c r="D865" i="10" a="1"/>
  <c r="D865" i="10" s="1"/>
  <c r="P66" i="13" a="1"/>
  <c r="P66" i="13" s="1"/>
  <c r="E714" i="10" a="1"/>
  <c r="E714" i="10" s="1"/>
  <c r="D682" i="10" a="1"/>
  <c r="D682" i="10" s="1"/>
  <c r="E1050" i="10" a="1"/>
  <c r="E1050" i="10" s="1"/>
  <c r="E826" i="10" a="1"/>
  <c r="E826" i="10" s="1"/>
  <c r="E782" i="10" a="1"/>
  <c r="E782" i="10" s="1"/>
  <c r="D986" i="10" a="1"/>
  <c r="D986" i="10" s="1"/>
  <c r="D1057" i="10" a="1"/>
  <c r="D1057" i="10" s="1"/>
  <c r="K8" i="14"/>
  <c r="E711" i="10" a="1"/>
  <c r="E711" i="10" s="1"/>
  <c r="E993" i="10" a="1"/>
  <c r="E993" i="10" s="1"/>
  <c r="E881" i="10" a="1"/>
  <c r="E881" i="10" s="1"/>
  <c r="K7" i="14"/>
  <c r="D753" i="10" a="1"/>
  <c r="D753" i="10" s="1"/>
  <c r="D591" i="10" a="1"/>
  <c r="D591" i="10" s="1"/>
  <c r="E696" i="10" a="1"/>
  <c r="E696" i="10" s="1"/>
  <c r="E913" i="10" a="1"/>
  <c r="E913" i="10" s="1"/>
  <c r="K4" i="14"/>
  <c r="E447" i="10" a="1"/>
  <c r="E447" i="10" s="1"/>
  <c r="D559" i="10" a="1"/>
  <c r="D559" i="10" s="1"/>
  <c r="E53" i="11" a="1"/>
  <c r="E53" i="11" s="1"/>
  <c r="AK50" i="13" a="1"/>
  <c r="AK50" i="13" s="1"/>
  <c r="D833" i="10" a="1"/>
  <c r="D833" i="10" s="1"/>
  <c r="D75" i="11" a="1"/>
  <c r="D75" i="11" s="1"/>
  <c r="K3" i="14"/>
  <c r="E224" i="10" a="1"/>
  <c r="E224" i="10" s="1"/>
  <c r="E543" i="10" a="1"/>
  <c r="E543" i="10" s="1"/>
  <c r="E677" i="10" a="1"/>
  <c r="E677" i="10" s="1"/>
  <c r="D72" i="11" a="1"/>
  <c r="D72" i="11" s="1"/>
  <c r="AK32" i="13" a="1"/>
  <c r="AK32" i="13" s="1"/>
  <c r="E746" i="10" a="1"/>
  <c r="E746" i="10" s="1"/>
  <c r="O52" i="11" a="1"/>
  <c r="O52" i="11" s="1"/>
  <c r="AL62" i="13" a="1"/>
  <c r="AL62" i="13" s="1"/>
  <c r="AL64" i="13" a="1"/>
  <c r="AL64" i="13" s="1"/>
  <c r="AA78" i="13" a="1"/>
  <c r="AA78" i="13" s="1"/>
  <c r="Z84" i="13" a="1"/>
  <c r="Z84" i="13" s="1"/>
  <c r="AA73" i="13" a="1"/>
  <c r="AA73" i="13" s="1"/>
  <c r="Z61" i="13" a="1"/>
  <c r="Z61" i="13" s="1"/>
  <c r="P51" i="13" a="1"/>
  <c r="P51" i="13" s="1"/>
  <c r="O72" i="13" a="1"/>
  <c r="O72" i="13" s="1"/>
  <c r="P75" i="13" a="1"/>
  <c r="P75" i="13" s="1"/>
  <c r="P74" i="13" a="1"/>
  <c r="P74" i="13" s="1"/>
  <c r="P79" i="13" a="1"/>
  <c r="P79" i="13" s="1"/>
  <c r="O52" i="13" a="1"/>
  <c r="O52" i="13" s="1"/>
  <c r="AK50" i="12" a="1"/>
  <c r="AK50" i="12" s="1"/>
  <c r="AK45" i="12" a="1"/>
  <c r="AK45" i="12" s="1"/>
  <c r="AK31" i="12" a="1"/>
  <c r="AK31" i="12" s="1"/>
  <c r="AK29" i="12" a="1"/>
  <c r="AK29" i="12" s="1"/>
  <c r="AL64" i="12" a="1"/>
  <c r="AL64" i="12" s="1"/>
  <c r="AL66" i="12" a="1"/>
  <c r="AL66" i="12" s="1"/>
  <c r="AL48" i="12" a="1"/>
  <c r="AL48" i="12" s="1"/>
  <c r="AK62" i="12" a="1"/>
  <c r="AK62" i="12" s="1"/>
  <c r="AA78" i="12" a="1"/>
  <c r="AA78" i="12" s="1"/>
  <c r="E61" i="12" a="1"/>
  <c r="E61" i="12" s="1"/>
  <c r="E67" i="12" a="1"/>
  <c r="E67" i="12" s="1"/>
  <c r="E68" i="12" a="1"/>
  <c r="E68" i="12" s="1"/>
  <c r="E72" i="12" a="1"/>
  <c r="E72" i="12" s="1"/>
  <c r="E64" i="12" a="1"/>
  <c r="E64" i="12" s="1"/>
  <c r="AA112" i="11" a="1"/>
  <c r="AA112" i="11" s="1"/>
  <c r="Z90" i="11" a="1"/>
  <c r="Z90" i="11" s="1"/>
  <c r="Z74" i="11" a="1"/>
  <c r="Z74" i="11" s="1"/>
  <c r="Z91" i="11" a="1"/>
  <c r="Z91" i="11" s="1"/>
  <c r="P70" i="11" a="1"/>
  <c r="P70" i="11" s="1"/>
  <c r="O72" i="11" a="1"/>
  <c r="O72" i="11" s="1"/>
  <c r="P67" i="11" a="1"/>
  <c r="P67" i="11" s="1"/>
  <c r="P61" i="11" a="1"/>
  <c r="P61" i="11" s="1"/>
  <c r="E80" i="11" a="1"/>
  <c r="E80" i="11" s="1"/>
  <c r="AK11" i="13" a="1"/>
  <c r="AK11" i="13" s="1"/>
  <c r="AK66" i="13" a="1"/>
  <c r="AK66" i="13" s="1"/>
  <c r="AK9" i="13" a="1"/>
  <c r="AK9" i="13" s="1"/>
  <c r="AK13" i="13" a="1"/>
  <c r="AK13" i="13" s="1"/>
  <c r="E70" i="13" a="1"/>
  <c r="E70" i="13" s="1"/>
  <c r="P64" i="13" a="1"/>
  <c r="P64" i="13" s="1"/>
  <c r="P65" i="13" a="1"/>
  <c r="P65" i="13" s="1"/>
  <c r="Z96" i="13" a="1"/>
  <c r="Z96" i="13" s="1"/>
  <c r="O67" i="13" a="1"/>
  <c r="O67" i="13" s="1"/>
  <c r="Z79" i="13" a="1"/>
  <c r="Z79" i="13" s="1"/>
  <c r="Z65" i="13" a="1"/>
  <c r="Z65" i="13" s="1"/>
  <c r="Z97" i="13" a="1"/>
  <c r="Z97" i="13" s="1"/>
  <c r="Z99" i="13" a="1"/>
  <c r="Z99" i="13" s="1"/>
  <c r="Z74" i="13" a="1"/>
  <c r="Z74" i="13" s="1"/>
  <c r="Z88" i="13" a="1"/>
  <c r="Z88" i="13" s="1"/>
  <c r="AA76" i="13" a="1"/>
  <c r="AA76" i="13" s="1"/>
  <c r="P54" i="13" a="1"/>
  <c r="P54" i="13" s="1"/>
  <c r="AA66" i="13" a="1"/>
  <c r="AA66" i="13" s="1"/>
  <c r="AL29" i="13" a="1"/>
  <c r="AL29" i="13" s="1"/>
  <c r="D87" i="13" a="1"/>
  <c r="D87" i="13" s="1"/>
  <c r="AA64" i="13" a="1"/>
  <c r="AA64" i="13" s="1"/>
  <c r="D69" i="13" a="1"/>
  <c r="D69" i="13" s="1"/>
  <c r="O82" i="13" a="1"/>
  <c r="O82" i="13" s="1"/>
  <c r="O85" i="13" a="1"/>
  <c r="O85" i="13" s="1"/>
  <c r="O87" i="13" a="1"/>
  <c r="O87" i="13" s="1"/>
  <c r="P69" i="13" a="1"/>
  <c r="P69" i="13" s="1"/>
  <c r="O56" i="13" a="1"/>
  <c r="O56" i="13" s="1"/>
  <c r="P53" i="13" a="1"/>
  <c r="P53" i="13" s="1"/>
  <c r="O63" i="13" a="1"/>
  <c r="O63" i="13" s="1"/>
  <c r="P62" i="13" a="1"/>
  <c r="P62" i="13" s="1"/>
  <c r="AA90" i="13" a="1"/>
  <c r="AA90" i="13" s="1"/>
  <c r="D55" i="13" a="1"/>
  <c r="D55" i="13" s="1"/>
  <c r="AL47" i="13" a="1"/>
  <c r="AL47" i="13" s="1"/>
  <c r="AL49" i="13" a="1"/>
  <c r="AL49" i="13" s="1"/>
  <c r="D85" i="13" a="1"/>
  <c r="D85" i="13" s="1"/>
  <c r="E54" i="13" a="1"/>
  <c r="E54" i="13" s="1"/>
  <c r="AL28" i="13" a="1"/>
  <c r="AL28" i="13" s="1"/>
  <c r="AK61" i="13" a="1"/>
  <c r="AK61" i="13" s="1"/>
  <c r="E74" i="13" a="1"/>
  <c r="E74" i="13" s="1"/>
  <c r="AK65" i="13" a="1"/>
  <c r="AK65" i="13" s="1"/>
  <c r="AK46" i="13" a="1"/>
  <c r="AK46" i="13" s="1"/>
  <c r="D72" i="13" a="1"/>
  <c r="D72" i="13" s="1"/>
  <c r="AA95" i="13" a="1"/>
  <c r="AA95" i="13" s="1"/>
  <c r="D61" i="13" a="1"/>
  <c r="D61" i="13" s="1"/>
  <c r="AA98" i="13" a="1"/>
  <c r="AA98" i="13" s="1"/>
  <c r="AA86" i="13" a="1"/>
  <c r="AA86" i="13" s="1"/>
  <c r="E56" i="13" a="1"/>
  <c r="E56" i="13" s="1"/>
  <c r="D82" i="13" a="1"/>
  <c r="D82" i="13" s="1"/>
  <c r="D77" i="13" a="1"/>
  <c r="D77" i="13" s="1"/>
  <c r="Z87" i="13" a="1"/>
  <c r="Z87" i="13" s="1"/>
  <c r="Z80" i="13" a="1"/>
  <c r="Z80" i="13" s="1"/>
  <c r="AK10" i="13" a="1"/>
  <c r="AK10" i="13" s="1"/>
  <c r="AA77" i="13" a="1"/>
  <c r="AA77" i="13" s="1"/>
  <c r="AA75" i="13" a="1"/>
  <c r="AA75" i="13" s="1"/>
  <c r="AK31" i="13" a="1"/>
  <c r="AK31" i="13" s="1"/>
  <c r="AK63" i="13" a="1"/>
  <c r="AK63" i="13" s="1"/>
  <c r="AK14" i="13" a="1"/>
  <c r="AK14" i="13" s="1"/>
  <c r="AK12" i="13" a="1"/>
  <c r="AK12" i="13" s="1"/>
  <c r="P76" i="13" a="1"/>
  <c r="P76" i="13" s="1"/>
  <c r="AA83" i="13" a="1"/>
  <c r="AA83" i="13" s="1"/>
  <c r="E83" i="13" a="1"/>
  <c r="E83" i="13" s="1"/>
  <c r="O68" i="13" a="1"/>
  <c r="O68" i="13" s="1"/>
  <c r="E86" i="13" a="1"/>
  <c r="E86" i="13" s="1"/>
  <c r="O70" i="13" a="1"/>
  <c r="O70" i="13" s="1"/>
  <c r="Z81" i="13" a="1"/>
  <c r="Z81" i="13" s="1"/>
  <c r="D64" i="13" a="1"/>
  <c r="D64" i="13" s="1"/>
  <c r="P86" i="13" a="1"/>
  <c r="P86" i="13" s="1"/>
  <c r="Z63" i="13" a="1"/>
  <c r="Z63" i="13" s="1"/>
  <c r="Z94" i="13" a="1"/>
  <c r="Z94" i="13" s="1"/>
  <c r="O55" i="13" a="1"/>
  <c r="O55" i="13" s="1"/>
  <c r="D76" i="13" a="1"/>
  <c r="D76" i="13" s="1"/>
  <c r="D71" i="13" a="1"/>
  <c r="D71" i="13" s="1"/>
  <c r="D65" i="13" a="1"/>
  <c r="D65" i="13" s="1"/>
  <c r="P84" i="13" a="1"/>
  <c r="P84" i="13" s="1"/>
  <c r="O71" i="13" a="1"/>
  <c r="O71" i="13" s="1"/>
  <c r="P78" i="13" a="1"/>
  <c r="P78" i="13" s="1"/>
  <c r="E75" i="13" a="1"/>
  <c r="E75" i="13" s="1"/>
  <c r="O83" i="13" a="1"/>
  <c r="O83" i="13" s="1"/>
  <c r="D51" i="13" a="1"/>
  <c r="D51" i="13" s="1"/>
  <c r="D68" i="13" a="1"/>
  <c r="D68" i="13" s="1"/>
  <c r="D62" i="13" a="1"/>
  <c r="D62" i="13" s="1"/>
  <c r="D84" i="13" a="1"/>
  <c r="D84" i="13" s="1"/>
  <c r="D78" i="13" a="1"/>
  <c r="D78" i="13" s="1"/>
  <c r="AK32" i="12" a="1"/>
  <c r="AK32" i="12" s="1"/>
  <c r="AK13" i="12" a="1"/>
  <c r="AK13" i="12" s="1"/>
  <c r="AK10" i="12" a="1"/>
  <c r="AK10" i="12" s="1"/>
  <c r="AK12" i="12" a="1"/>
  <c r="AK12" i="12" s="1"/>
  <c r="AL47" i="12" a="1"/>
  <c r="AL47" i="12" s="1"/>
  <c r="AL28" i="12" a="1"/>
  <c r="AL28" i="12" s="1"/>
  <c r="P62" i="12" a="1"/>
  <c r="P62" i="12" s="1"/>
  <c r="E88" i="12" a="1"/>
  <c r="E88" i="12" s="1"/>
  <c r="O89" i="12" a="1"/>
  <c r="O89" i="12" s="1"/>
  <c r="Z97" i="12" a="1"/>
  <c r="Z97" i="12" s="1"/>
  <c r="O69" i="12" a="1"/>
  <c r="O69" i="12" s="1"/>
  <c r="Z100" i="12" a="1"/>
  <c r="Z100" i="12" s="1"/>
  <c r="AL49" i="12" a="1"/>
  <c r="AL49" i="12" s="1"/>
  <c r="E62" i="12" a="1"/>
  <c r="E62" i="12" s="1"/>
  <c r="AK46" i="12" a="1"/>
  <c r="AK46" i="12" s="1"/>
  <c r="Z84" i="12" a="1"/>
  <c r="Z84" i="12" s="1"/>
  <c r="Z77" i="12" a="1"/>
  <c r="Z77" i="12" s="1"/>
  <c r="P67" i="12" a="1"/>
  <c r="P67" i="12" s="1"/>
  <c r="Z65" i="12" a="1"/>
  <c r="Z65" i="12" s="1"/>
  <c r="AA83" i="12" a="1"/>
  <c r="AA83" i="12" s="1"/>
  <c r="Z76" i="12" a="1"/>
  <c r="Z76" i="12" s="1"/>
  <c r="Z102" i="12" a="1"/>
  <c r="Z102" i="12" s="1"/>
  <c r="Z92" i="12" a="1"/>
  <c r="Z92" i="12" s="1"/>
  <c r="Z90" i="12" a="1"/>
  <c r="Z90" i="12" s="1"/>
  <c r="Z62" i="12" a="1"/>
  <c r="Z62" i="12" s="1"/>
  <c r="P86" i="12" a="1"/>
  <c r="P86" i="12" s="1"/>
  <c r="O56" i="12" a="1"/>
  <c r="O56" i="12" s="1"/>
  <c r="O84" i="12" a="1"/>
  <c r="O84" i="12" s="1"/>
  <c r="O78" i="12" a="1"/>
  <c r="O78" i="12" s="1"/>
  <c r="D66" i="12" a="1"/>
  <c r="D66" i="12" s="1"/>
  <c r="O72" i="12" a="1"/>
  <c r="O72" i="12" s="1"/>
  <c r="P81" i="12" a="1"/>
  <c r="P81" i="12" s="1"/>
  <c r="E89" i="12" a="1"/>
  <c r="E89" i="12" s="1"/>
  <c r="O87" i="12" a="1"/>
  <c r="O87" i="12" s="1"/>
  <c r="O76" i="12" a="1"/>
  <c r="O76" i="12" s="1"/>
  <c r="O65" i="12" a="1"/>
  <c r="O65" i="12" s="1"/>
  <c r="D53" i="12" a="1"/>
  <c r="D53" i="12" s="1"/>
  <c r="D55" i="12" a="1"/>
  <c r="D55" i="12" s="1"/>
  <c r="P80" i="12" a="1"/>
  <c r="P80" i="12" s="1"/>
  <c r="AK27" i="12" a="1"/>
  <c r="AK27" i="12" s="1"/>
  <c r="O64" i="12" a="1"/>
  <c r="O64" i="12" s="1"/>
  <c r="AA79" i="12" a="1"/>
  <c r="AA79" i="12" s="1"/>
  <c r="Z98" i="12" a="1"/>
  <c r="Z98" i="12" s="1"/>
  <c r="Z82" i="12" a="1"/>
  <c r="Z82" i="12" s="1"/>
  <c r="AL61" i="12" a="1"/>
  <c r="AL61" i="12" s="1"/>
  <c r="E80" i="12" a="1"/>
  <c r="E80" i="12" s="1"/>
  <c r="D85" i="12" a="1"/>
  <c r="D85" i="12" s="1"/>
  <c r="D81" i="12" a="1"/>
  <c r="D81" i="12" s="1"/>
  <c r="D76" i="12" a="1"/>
  <c r="D76" i="12" s="1"/>
  <c r="P71" i="12" a="1"/>
  <c r="P71" i="12" s="1"/>
  <c r="Z64" i="12" a="1"/>
  <c r="Z64" i="12" s="1"/>
  <c r="Z63" i="12" a="1"/>
  <c r="Z63" i="12" s="1"/>
  <c r="AK30" i="12" a="1"/>
  <c r="AK30" i="12" s="1"/>
  <c r="AK11" i="12" a="1"/>
  <c r="AK11" i="12" s="1"/>
  <c r="O53" i="12" a="1"/>
  <c r="O53" i="12" s="1"/>
  <c r="AA93" i="12" a="1"/>
  <c r="AA93" i="12" s="1"/>
  <c r="AA75" i="12" a="1"/>
  <c r="AA75" i="12" s="1"/>
  <c r="AK63" i="12" a="1"/>
  <c r="AK63" i="12" s="1"/>
  <c r="AK65" i="12" a="1"/>
  <c r="AK65" i="12" s="1"/>
  <c r="Z99" i="12" a="1"/>
  <c r="Z99" i="12" s="1"/>
  <c r="AK9" i="12" a="1"/>
  <c r="AK9" i="12" s="1"/>
  <c r="AK14" i="12" a="1"/>
  <c r="AK14" i="12" s="1"/>
  <c r="P70" i="12" a="1"/>
  <c r="P70" i="12" s="1"/>
  <c r="P63" i="12" a="1"/>
  <c r="P63" i="12" s="1"/>
  <c r="Z101" i="12" a="1"/>
  <c r="Z101" i="12" s="1"/>
  <c r="O77" i="12" a="1"/>
  <c r="O77" i="12" s="1"/>
  <c r="O68" i="12" a="1"/>
  <c r="O68" i="12" s="1"/>
  <c r="Z89" i="12" a="1"/>
  <c r="Z89" i="12" s="1"/>
  <c r="E70" i="12" a="1"/>
  <c r="E70" i="12" s="1"/>
  <c r="Z74" i="12" a="1"/>
  <c r="Z74" i="12" s="1"/>
  <c r="E63" i="12" a="1"/>
  <c r="E63" i="12" s="1"/>
  <c r="Z91" i="12" a="1"/>
  <c r="Z91" i="12" s="1"/>
  <c r="Z66" i="12" a="1"/>
  <c r="Z66" i="12" s="1"/>
  <c r="O55" i="12" a="1"/>
  <c r="O55" i="12" s="1"/>
  <c r="E78" i="12" a="1"/>
  <c r="E78" i="12" s="1"/>
  <c r="E71" i="12" a="1"/>
  <c r="E71" i="12" s="1"/>
  <c r="O88" i="12" a="1"/>
  <c r="O88" i="12" s="1"/>
  <c r="E54" i="12" a="1"/>
  <c r="E54" i="12" s="1"/>
  <c r="O85" i="12" a="1"/>
  <c r="O85" i="12" s="1"/>
  <c r="O79" i="12" a="1"/>
  <c r="O79" i="12" s="1"/>
  <c r="O54" i="12" a="1"/>
  <c r="O54" i="12" s="1"/>
  <c r="D79" i="12" a="1"/>
  <c r="D79" i="12" s="1"/>
  <c r="D77" i="12" a="1"/>
  <c r="D77" i="12" s="1"/>
  <c r="E86" i="12" a="1"/>
  <c r="E86" i="12" s="1"/>
  <c r="D49" i="12" a="1"/>
  <c r="D49" i="12" s="1"/>
  <c r="D87" i="12" a="1"/>
  <c r="D87" i="12" s="1"/>
  <c r="D69" i="12" a="1"/>
  <c r="D69" i="12" s="1"/>
  <c r="D84" i="12" a="1"/>
  <c r="D84" i="12" s="1"/>
  <c r="D65" i="12" a="1"/>
  <c r="D65" i="12" s="1"/>
  <c r="Z78" i="11" a="1"/>
  <c r="Z78" i="11" s="1"/>
  <c r="O56" i="11" a="1"/>
  <c r="O56" i="11" s="1"/>
  <c r="AA104" i="11" a="1"/>
  <c r="AA104" i="11" s="1"/>
  <c r="Z107" i="11" a="1"/>
  <c r="Z107" i="11" s="1"/>
  <c r="Z110" i="11" a="1"/>
  <c r="Z110" i="11" s="1"/>
  <c r="Z99" i="11" a="1"/>
  <c r="Z99" i="11" s="1"/>
  <c r="Z102" i="11" a="1"/>
  <c r="Z102" i="11" s="1"/>
  <c r="Z73" i="11" a="1"/>
  <c r="Z73" i="11" s="1"/>
  <c r="E62" i="11" a="1"/>
  <c r="E62" i="11" s="1"/>
  <c r="E66" i="11" a="1"/>
  <c r="E66" i="11" s="1"/>
  <c r="E52" i="11" a="1"/>
  <c r="E52" i="11" s="1"/>
  <c r="D88" i="11" a="1"/>
  <c r="D88" i="11" s="1"/>
  <c r="O83" i="11" a="1"/>
  <c r="O83" i="11" s="1"/>
  <c r="Z94" i="11" a="1"/>
  <c r="Z94" i="11" s="1"/>
  <c r="D56" i="11" a="1"/>
  <c r="D56" i="11" s="1"/>
  <c r="P80" i="11" a="1"/>
  <c r="P80" i="11" s="1"/>
  <c r="O86" i="11" a="1"/>
  <c r="O86" i="11" s="1"/>
  <c r="O88" i="11" a="1"/>
  <c r="O88" i="11" s="1"/>
  <c r="O64" i="11" a="1"/>
  <c r="O64" i="11" s="1"/>
  <c r="O75" i="11" a="1"/>
  <c r="O75" i="11" s="1"/>
  <c r="O78" i="11" a="1"/>
  <c r="O78" i="11" s="1"/>
  <c r="O48" i="11" a="1"/>
  <c r="O48" i="11" s="1"/>
  <c r="E64" i="11" a="1"/>
  <c r="E64" i="11" s="1"/>
  <c r="D84" i="11" a="1"/>
  <c r="D84" i="11" s="1"/>
  <c r="D87" i="11" a="1"/>
  <c r="D87" i="11" s="1"/>
  <c r="D79" i="11" a="1"/>
  <c r="D79" i="11" s="1"/>
  <c r="D67" i="11" a="1"/>
  <c r="D67" i="11" s="1"/>
  <c r="D61" i="11" a="1"/>
  <c r="D61" i="11" s="1"/>
  <c r="E70" i="11" a="1"/>
  <c r="E70" i="11" s="1"/>
  <c r="P71" i="11" a="1"/>
  <c r="P71" i="11" s="1"/>
  <c r="Z92" i="11" a="1"/>
  <c r="Z92" i="11" s="1"/>
  <c r="P65" i="11" a="1"/>
  <c r="P65" i="11" s="1"/>
  <c r="P54" i="11" a="1"/>
  <c r="P54" i="11" s="1"/>
  <c r="AA76" i="11" a="1"/>
  <c r="AA76" i="11" s="1"/>
  <c r="O53" i="11" a="1"/>
  <c r="O53" i="11" s="1"/>
  <c r="Z101" i="11" a="1"/>
  <c r="Z101" i="11" s="1"/>
  <c r="Z77" i="11" a="1"/>
  <c r="Z77" i="11" s="1"/>
  <c r="E68" i="11" a="1"/>
  <c r="E68" i="11" s="1"/>
  <c r="E69" i="11" a="1"/>
  <c r="E69" i="11" s="1"/>
  <c r="D85" i="11" a="1"/>
  <c r="D85" i="11" s="1"/>
  <c r="P62" i="11" a="1"/>
  <c r="P62" i="11" s="1"/>
  <c r="AA109" i="11" a="1"/>
  <c r="AA109" i="11" s="1"/>
  <c r="AA86" i="11" a="1"/>
  <c r="AA86" i="11" s="1"/>
  <c r="AA89" i="11" a="1"/>
  <c r="AA89" i="11" s="1"/>
  <c r="AA95" i="11" a="1"/>
  <c r="AA95" i="11" s="1"/>
  <c r="Z75" i="11" a="1"/>
  <c r="Z75" i="11" s="1"/>
  <c r="AA88" i="11" a="1"/>
  <c r="AA88" i="11" s="1"/>
  <c r="O77" i="11" a="1"/>
  <c r="O77" i="11" s="1"/>
  <c r="O68" i="11" a="1"/>
  <c r="O68" i="11" s="1"/>
  <c r="E63" i="11" a="1"/>
  <c r="E63" i="11" s="1"/>
  <c r="O69" i="11" a="1"/>
  <c r="O69" i="11" s="1"/>
  <c r="Z111" i="11" a="1"/>
  <c r="Z111" i="11" s="1"/>
  <c r="E55" i="11" a="1"/>
  <c r="E55" i="11" s="1"/>
  <c r="P84" i="11" a="1"/>
  <c r="P84" i="11" s="1"/>
  <c r="D54" i="11" a="1"/>
  <c r="D54" i="11" s="1"/>
  <c r="AA103" i="11" a="1"/>
  <c r="AA103" i="11" s="1"/>
  <c r="Z108" i="11" a="1"/>
  <c r="Z108" i="11" s="1"/>
  <c r="Z100" i="11" a="1"/>
  <c r="Z100" i="11" s="1"/>
  <c r="E78" i="11" a="1"/>
  <c r="E78" i="11" s="1"/>
  <c r="P79" i="11" a="1"/>
  <c r="P79" i="11" s="1"/>
  <c r="E76" i="11" a="1"/>
  <c r="E76" i="11" s="1"/>
  <c r="O63" i="11" a="1"/>
  <c r="O63" i="11" s="1"/>
  <c r="O55" i="11" a="1"/>
  <c r="O55" i="11" s="1"/>
  <c r="O85" i="11" a="1"/>
  <c r="O85" i="11" s="1"/>
  <c r="O87" i="11" a="1"/>
  <c r="O87" i="11" s="1"/>
  <c r="O76" i="11" a="1"/>
  <c r="O76" i="11" s="1"/>
  <c r="E86" i="11" a="1"/>
  <c r="E86" i="11" s="1"/>
  <c r="E77" i="11" a="1"/>
  <c r="E77" i="11" s="1"/>
  <c r="D47" i="11" a="1"/>
  <c r="D47" i="11" s="1"/>
  <c r="D83" i="11" a="1"/>
  <c r="D83" i="11" s="1"/>
  <c r="D65" i="11" a="1"/>
  <c r="D65" i="11" s="1"/>
  <c r="E709" i="10" a="1"/>
  <c r="E709" i="10" s="1"/>
  <c r="E706" i="10" a="1"/>
  <c r="E706" i="10" s="1"/>
  <c r="E699" i="10" a="1"/>
  <c r="E699" i="10" s="1"/>
  <c r="D700" i="10" a="1"/>
  <c r="D700" i="10" s="1"/>
  <c r="D172" i="10" a="1"/>
  <c r="D172" i="10" s="1"/>
  <c r="E741" i="10" a="1"/>
  <c r="E741" i="10" s="1"/>
  <c r="D690" i="10" a="1"/>
  <c r="D690" i="10" s="1"/>
  <c r="D1040" i="10" a="1"/>
  <c r="D1040" i="10" s="1"/>
  <c r="E992" i="10" a="1"/>
  <c r="E992" i="10" s="1"/>
  <c r="E48" i="10" a="1"/>
  <c r="E48" i="10" s="1"/>
  <c r="E505" i="10" a="1"/>
  <c r="E505" i="10" s="1"/>
  <c r="D655" i="10" a="1"/>
  <c r="D655" i="10" s="1"/>
  <c r="D295" i="10" a="1"/>
  <c r="D295" i="10" s="1"/>
  <c r="E681" i="10" a="1"/>
  <c r="E681" i="10" s="1"/>
  <c r="D1056" i="10" a="1"/>
  <c r="D1056" i="10" s="1"/>
  <c r="E722" i="10" a="1"/>
  <c r="E722" i="10" s="1"/>
  <c r="D674" i="10" a="1"/>
  <c r="D674" i="10" s="1"/>
  <c r="E623" i="10" a="1"/>
  <c r="E623" i="10" s="1"/>
  <c r="E607" i="10" a="1"/>
  <c r="E607" i="10" s="1"/>
  <c r="Z79" i="11" a="1"/>
  <c r="Z79" i="11" s="1"/>
  <c r="Z12" i="11" a="1"/>
  <c r="Z12" i="11" s="1"/>
  <c r="Z71" i="11" a="1"/>
  <c r="Z71" i="11" s="1"/>
  <c r="Z7" i="11" a="1"/>
  <c r="Z7" i="11" s="1"/>
  <c r="Z62" i="11" a="1"/>
  <c r="Z62" i="11" s="1"/>
  <c r="AA177" i="11" a="1"/>
  <c r="AA177" i="11" s="1"/>
  <c r="Z35" i="11" a="1"/>
  <c r="Z35" i="11" s="1"/>
  <c r="Z61" i="11" a="1"/>
  <c r="Z61" i="11" s="1"/>
  <c r="AA175" i="11" a="1"/>
  <c r="AA175" i="11" s="1"/>
  <c r="Z36" i="11" a="1"/>
  <c r="Z36" i="11" s="1"/>
  <c r="Z60" i="11" a="1"/>
  <c r="Z60" i="11" s="1"/>
  <c r="AA174" i="11" a="1"/>
  <c r="AA174" i="11" s="1"/>
  <c r="Z20" i="11" a="1"/>
  <c r="Z20" i="11" s="1"/>
  <c r="Z57" i="11" a="1"/>
  <c r="Z57" i="11" s="1"/>
  <c r="AA172" i="11" a="1"/>
  <c r="AA172" i="11" s="1"/>
  <c r="Z56" i="11" a="1"/>
  <c r="Z56" i="11" s="1"/>
  <c r="AA170" i="11" a="1"/>
  <c r="AA170" i="11" s="1"/>
  <c r="Z48" i="11" a="1"/>
  <c r="Z48" i="11" s="1"/>
  <c r="AA80" i="11" a="1"/>
  <c r="AA80" i="11" s="1"/>
  <c r="Z157" i="11" a="1"/>
  <c r="Z157" i="11" s="1"/>
  <c r="Z47" i="11" a="1"/>
  <c r="Z47" i="11" s="1"/>
  <c r="Z46" i="11" a="1"/>
  <c r="Z46" i="11" s="1"/>
  <c r="AA72" i="11" a="1"/>
  <c r="AA72" i="11" s="1"/>
  <c r="Z176" i="11" a="1"/>
  <c r="Z176" i="11" s="1"/>
  <c r="Z45" i="11" a="1"/>
  <c r="Z45" i="11" s="1"/>
  <c r="Z29" i="11" a="1"/>
  <c r="Z29" i="11" s="1"/>
  <c r="Z24" i="11" a="1"/>
  <c r="Z24" i="11" s="1"/>
  <c r="Z23" i="11" a="1"/>
  <c r="Z23" i="11" s="1"/>
  <c r="Z83" i="11" a="1"/>
  <c r="Z83" i="11" s="1"/>
  <c r="Z22" i="11" a="1"/>
  <c r="Z22" i="11" s="1"/>
  <c r="AA44" i="11" a="1"/>
  <c r="AA44" i="11" s="1"/>
  <c r="Z82" i="11" a="1"/>
  <c r="Z82" i="11" s="1"/>
  <c r="Z13" i="11" a="1"/>
  <c r="Z13" i="11" s="1"/>
  <c r="D73" i="10" a="1"/>
  <c r="D73" i="10" s="1"/>
  <c r="E153" i="10" a="1"/>
  <c r="E153" i="10" s="1"/>
  <c r="E185" i="10" a="1"/>
  <c r="E185" i="10" s="1"/>
  <c r="E217" i="10" a="1"/>
  <c r="E217" i="10" s="1"/>
  <c r="E489" i="10" a="1"/>
  <c r="E489" i="10" s="1"/>
  <c r="E89" i="10" a="1"/>
  <c r="E89" i="10" s="1"/>
  <c r="D297" i="10" a="1"/>
  <c r="D297" i="10" s="1"/>
  <c r="E137" i="10" a="1"/>
  <c r="E137" i="10" s="1"/>
  <c r="D617" i="10" a="1"/>
  <c r="D617" i="10" s="1"/>
  <c r="D57" i="10" a="1"/>
  <c r="D57" i="10" s="1"/>
  <c r="D41" i="10" a="1"/>
  <c r="D41" i="10" s="1"/>
  <c r="E672" i="10" a="1"/>
  <c r="E672" i="10" s="1"/>
  <c r="E521" i="10" a="1"/>
  <c r="E521" i="10" s="1"/>
  <c r="E25" i="10" a="1"/>
  <c r="E25" i="10" s="1"/>
  <c r="E281" i="10" a="1"/>
  <c r="E281" i="10" s="1"/>
  <c r="E313" i="10" a="1"/>
  <c r="E313" i="10" s="1"/>
  <c r="E121" i="10" a="1"/>
  <c r="E121" i="10" s="1"/>
  <c r="D249" i="10" a="1"/>
  <c r="D249" i="10" s="1"/>
  <c r="E744" i="10" a="1"/>
  <c r="E744" i="10" s="1"/>
  <c r="E9" i="10" a="1"/>
  <c r="E9" i="10" s="1"/>
  <c r="E742" i="10" a="1"/>
  <c r="E742" i="10" s="1"/>
  <c r="E698" i="10" a="1"/>
  <c r="E698" i="10" s="1"/>
  <c r="D105" i="10" a="1"/>
  <c r="D105" i="10" s="1"/>
  <c r="E345" i="10" a="1"/>
  <c r="E345" i="10" s="1"/>
  <c r="D201" i="10" a="1"/>
  <c r="D201" i="10" s="1"/>
  <c r="E169" i="10" a="1"/>
  <c r="E169" i="10" s="1"/>
  <c r="E441" i="10" a="1"/>
  <c r="E441" i="10" s="1"/>
  <c r="E731" i="10" a="1"/>
  <c r="E731" i="10" s="1"/>
  <c r="E694" i="10" a="1"/>
  <c r="E694" i="10" s="1"/>
  <c r="Z19" i="11" a="1"/>
  <c r="Z19" i="11" s="1"/>
  <c r="Z178" i="11" a="1"/>
  <c r="Z178" i="11" s="1"/>
  <c r="Z63" i="11" a="1"/>
  <c r="Z63" i="11" s="1"/>
  <c r="Z49" i="11" a="1"/>
  <c r="Z49" i="11" s="1"/>
  <c r="Z8" i="11" a="1"/>
  <c r="Z8" i="11" s="1"/>
  <c r="AA81" i="11" a="1"/>
  <c r="AA81" i="11" s="1"/>
  <c r="AA41" i="11" a="1"/>
  <c r="AA41" i="11" s="1"/>
  <c r="AA173" i="11" a="1"/>
  <c r="AA173" i="11" s="1"/>
  <c r="AA59" i="11" a="1"/>
  <c r="AA59" i="11" s="1"/>
  <c r="AA21" i="11" a="1"/>
  <c r="AA21" i="11" s="1"/>
  <c r="AA42" i="11" a="1"/>
  <c r="AA42" i="11" s="1"/>
  <c r="AA171" i="11" a="1"/>
  <c r="AA171" i="11" s="1"/>
  <c r="AA58" i="11" a="1"/>
  <c r="AA58" i="11" s="1"/>
  <c r="AA18" i="11" a="1"/>
  <c r="AA18" i="11" s="1"/>
  <c r="AA39" i="11" a="1"/>
  <c r="AA39" i="11" s="1"/>
  <c r="AA169" i="11" a="1"/>
  <c r="AA169" i="11" s="1"/>
  <c r="AA168" i="11" a="1"/>
  <c r="AA168" i="11" s="1"/>
  <c r="AA43" i="11" a="1"/>
  <c r="AA43" i="11" s="1"/>
  <c r="AA17" i="11" a="1"/>
  <c r="AA17" i="11" s="1"/>
  <c r="AA167" i="11" a="1"/>
  <c r="AA167" i="11" s="1"/>
  <c r="AA162" i="11" a="1"/>
  <c r="AA162" i="11" s="1"/>
  <c r="AA32" i="11" a="1"/>
  <c r="AA32" i="11" s="1"/>
  <c r="AA16" i="11" a="1"/>
  <c r="AA16" i="11" s="1"/>
  <c r="AA40" i="11" a="1"/>
  <c r="AA40" i="11" s="1"/>
  <c r="AA165" i="11" a="1"/>
  <c r="AA165" i="11" s="1"/>
  <c r="AA155" i="11" a="1"/>
  <c r="AA155" i="11" s="1"/>
  <c r="AA70" i="11" a="1"/>
  <c r="AA70" i="11" s="1"/>
  <c r="AA15" i="11" a="1"/>
  <c r="AA15" i="11" s="1"/>
  <c r="AA37" i="11" a="1"/>
  <c r="AA37" i="11" s="1"/>
  <c r="AA166" i="11" a="1"/>
  <c r="AA166" i="11" s="1"/>
  <c r="AA69" i="11" a="1"/>
  <c r="AA69" i="11" s="1"/>
  <c r="AA55" i="11" a="1"/>
  <c r="AA55" i="11" s="1"/>
  <c r="AA31" i="11" a="1"/>
  <c r="AA31" i="11" s="1"/>
  <c r="AA14" i="11" a="1"/>
  <c r="AA14" i="11" s="1"/>
  <c r="AA38" i="11" a="1"/>
  <c r="AA38" i="11" s="1"/>
  <c r="AA161" i="11" a="1"/>
  <c r="AA161" i="11" s="1"/>
  <c r="AA158" i="11" a="1"/>
  <c r="AA158" i="11" s="1"/>
  <c r="AA68" i="11" a="1"/>
  <c r="AA68" i="11" s="1"/>
  <c r="AA54" i="11" a="1"/>
  <c r="AA54" i="11" s="1"/>
  <c r="AA30" i="11" a="1"/>
  <c r="AA30" i="11" s="1"/>
  <c r="AA67" i="11" a="1"/>
  <c r="AA67" i="11" s="1"/>
  <c r="AA53" i="11" a="1"/>
  <c r="AA53" i="11" s="1"/>
  <c r="AA153" i="11" a="1"/>
  <c r="AA153" i="11" s="1"/>
  <c r="AA146" i="11" a="1"/>
  <c r="AA146" i="11" s="1"/>
  <c r="AA66" i="11" a="1"/>
  <c r="AA66" i="11" s="1"/>
  <c r="AA52" i="11" a="1"/>
  <c r="AA52" i="11" s="1"/>
  <c r="AA28" i="11" a="1"/>
  <c r="AA28" i="11" s="1"/>
  <c r="AA33" i="11" a="1"/>
  <c r="AA33" i="11" s="1"/>
  <c r="AA145" i="11" a="1"/>
  <c r="AA145" i="11" s="1"/>
  <c r="AA115" i="11" a="1"/>
  <c r="AA115" i="11" s="1"/>
  <c r="AA51" i="11" a="1"/>
  <c r="AA51" i="11" s="1"/>
  <c r="AA27" i="11" a="1"/>
  <c r="AA27" i="11" s="1"/>
  <c r="AA11" i="11" a="1"/>
  <c r="AA11" i="11" s="1"/>
  <c r="AA34" i="11" a="1"/>
  <c r="AA34" i="11" s="1"/>
  <c r="AA113" i="11" a="1"/>
  <c r="AA113" i="11" s="1"/>
  <c r="AA98" i="11" a="1"/>
  <c r="AA98" i="11" s="1"/>
  <c r="AA65" i="11" a="1"/>
  <c r="AA65" i="11" s="1"/>
  <c r="AA50" i="11" a="1"/>
  <c r="AA50" i="11" s="1"/>
  <c r="AA26" i="11" a="1"/>
  <c r="AA26" i="11" s="1"/>
  <c r="AA10" i="11" a="1"/>
  <c r="AA10" i="11" s="1"/>
  <c r="AA97" i="11" a="1"/>
  <c r="AA97" i="11" s="1"/>
  <c r="AA84" i="11" a="1"/>
  <c r="AA84" i="11" s="1"/>
  <c r="AA64" i="11" a="1"/>
  <c r="AA64" i="11" s="1"/>
  <c r="AA25" i="11" a="1"/>
  <c r="AA25" i="11" s="1"/>
  <c r="AA9" i="11" a="1"/>
  <c r="AA9" i="11" s="1"/>
  <c r="E303" i="10" a="1"/>
  <c r="E303" i="10" s="1"/>
  <c r="E15" i="10" a="1"/>
  <c r="E15" i="10" s="1"/>
  <c r="D431" i="10" a="1"/>
  <c r="D431" i="10" s="1"/>
  <c r="D684" i="10" a="1"/>
  <c r="D684" i="10" s="1"/>
  <c r="E226" i="10" a="1"/>
  <c r="E226" i="10" s="1"/>
  <c r="D351" i="10" a="1"/>
  <c r="D351" i="10" s="1"/>
  <c r="E732" i="10" a="1"/>
  <c r="E732" i="10" s="1"/>
  <c r="E728" i="10" a="1"/>
  <c r="E728" i="10" s="1"/>
  <c r="D716" i="10" a="1"/>
  <c r="D716" i="10" s="1"/>
  <c r="E33" i="10" a="1"/>
  <c r="E33" i="10" s="1"/>
  <c r="E171" i="10" a="1"/>
  <c r="E171" i="10" s="1"/>
  <c r="D511" i="10" a="1"/>
  <c r="D511" i="10" s="1"/>
  <c r="E730" i="10" a="1"/>
  <c r="E730" i="10" s="1"/>
  <c r="D266" i="10" a="1"/>
  <c r="D266" i="10" s="1"/>
  <c r="E282" i="10" a="1"/>
  <c r="E282" i="10" s="1"/>
  <c r="D410" i="10" a="1"/>
  <c r="D410" i="10" s="1"/>
  <c r="D42" i="10" a="1"/>
  <c r="D42" i="10" s="1"/>
  <c r="E298" i="10" a="1"/>
  <c r="E298" i="10" s="1"/>
  <c r="E426" i="10" a="1"/>
  <c r="E426" i="10" s="1"/>
  <c r="E409" i="10" a="1"/>
  <c r="E409" i="10" s="1"/>
  <c r="E186" i="10" a="1"/>
  <c r="E186" i="10" s="1"/>
  <c r="E10" i="10" a="1"/>
  <c r="E10" i="10" s="1"/>
  <c r="E633" i="10" a="1"/>
  <c r="E633" i="10" s="1"/>
  <c r="E122" i="10" a="1"/>
  <c r="E122" i="10" s="1"/>
  <c r="E218" i="10" a="1"/>
  <c r="E218" i="10" s="1"/>
  <c r="E474" i="10" a="1"/>
  <c r="E474" i="10" s="1"/>
  <c r="D361" i="10" a="1"/>
  <c r="D361" i="10" s="1"/>
  <c r="E265" i="10" a="1"/>
  <c r="E265" i="10" s="1"/>
  <c r="E138" i="10" a="1"/>
  <c r="E138" i="10" s="1"/>
  <c r="E74" i="10" a="1"/>
  <c r="E74" i="10" s="1"/>
  <c r="E473" i="10" a="1"/>
  <c r="E473" i="10" s="1"/>
  <c r="E106" i="10" a="1"/>
  <c r="E106" i="10" s="1"/>
  <c r="E330" i="10" a="1"/>
  <c r="E330" i="10" s="1"/>
  <c r="E378" i="10" a="1"/>
  <c r="E378" i="10" s="1"/>
  <c r="E557" i="10" a="1"/>
  <c r="E557" i="10" s="1"/>
  <c r="E745" i="10" a="1"/>
  <c r="E745" i="10" s="1"/>
  <c r="E689" i="10" a="1"/>
  <c r="E689" i="10" s="1"/>
  <c r="E329" i="10" a="1"/>
  <c r="E329" i="10" s="1"/>
  <c r="E26" i="10" a="1"/>
  <c r="E26" i="10" s="1"/>
  <c r="E346" i="10" a="1"/>
  <c r="E346" i="10" s="1"/>
  <c r="E737" i="10" a="1"/>
  <c r="E737" i="10" s="1"/>
  <c r="E710" i="10" a="1"/>
  <c r="E710" i="10" s="1"/>
  <c r="E680" i="10" a="1"/>
  <c r="E680" i="10" s="1"/>
  <c r="E6" i="10" a="1"/>
  <c r="E6" i="10" s="1"/>
  <c r="E734" i="10" a="1"/>
  <c r="E734" i="10" s="1"/>
  <c r="E275" i="10" a="1"/>
  <c r="E275" i="10" s="1"/>
  <c r="D687" i="10" a="1"/>
  <c r="D687" i="10" s="1"/>
  <c r="E705" i="10" a="1"/>
  <c r="E705" i="10" s="1"/>
  <c r="D719" i="10" a="1"/>
  <c r="D719" i="10" s="1"/>
  <c r="E702" i="10" a="1"/>
  <c r="E702" i="10" s="1"/>
  <c r="E22" i="10" a="1"/>
  <c r="E22" i="10" s="1"/>
  <c r="D483" i="10" a="1"/>
  <c r="D483" i="10" s="1"/>
  <c r="E310" i="10" a="1"/>
  <c r="E310" i="10" s="1"/>
  <c r="E516" i="10" a="1"/>
  <c r="E516" i="10" s="1"/>
  <c r="E718" i="10" a="1"/>
  <c r="E718" i="10" s="1"/>
  <c r="D703" i="10" a="1"/>
  <c r="D703" i="10" s="1"/>
  <c r="E150" i="10" a="1"/>
  <c r="E150" i="10" s="1"/>
  <c r="E697" i="10" a="1"/>
  <c r="E697" i="10" s="1"/>
  <c r="E673" i="10" a="1"/>
  <c r="E673" i="10" s="1"/>
  <c r="D83" i="10" a="1"/>
  <c r="D83" i="10" s="1"/>
  <c r="E715" i="10" a="1"/>
  <c r="E715" i="10" s="1"/>
  <c r="E695" i="10" a="1"/>
  <c r="E695" i="10" s="1"/>
  <c r="D163" i="10" a="1"/>
  <c r="D163" i="10" s="1"/>
  <c r="D627" i="10" a="1"/>
  <c r="D627" i="10" s="1"/>
  <c r="D4" i="10" a="1"/>
  <c r="D4" i="10" s="1"/>
  <c r="D467" i="10" a="1"/>
  <c r="D467" i="10" s="1"/>
  <c r="E35" i="10" a="1"/>
  <c r="E35" i="10" s="1"/>
  <c r="E208" i="10" a="1"/>
  <c r="E208" i="10" s="1"/>
  <c r="E280" i="10" a="1"/>
  <c r="E280" i="10" s="1"/>
  <c r="E563" i="10" a="1"/>
  <c r="E563" i="10" s="1"/>
  <c r="E643" i="10" a="1"/>
  <c r="E643" i="10" s="1"/>
  <c r="D232" i="10" a="1"/>
  <c r="D232" i="10" s="1"/>
  <c r="D451" i="10" a="1"/>
  <c r="D451" i="10" s="1"/>
  <c r="D339" i="10" a="1"/>
  <c r="D339" i="10" s="1"/>
  <c r="D227" i="10" a="1"/>
  <c r="D227" i="10" s="1"/>
  <c r="D67" i="10" a="1"/>
  <c r="D67" i="10" s="1"/>
  <c r="D595" i="10" a="1"/>
  <c r="D595" i="10" s="1"/>
  <c r="E147" i="10" a="1"/>
  <c r="E147" i="10" s="1"/>
  <c r="E547" i="10" a="1"/>
  <c r="E547" i="10" s="1"/>
  <c r="E211" i="10" a="1"/>
  <c r="E211" i="10" s="1"/>
  <c r="D131" i="10" a="1"/>
  <c r="D131" i="10" s="1"/>
  <c r="D307" i="10" a="1"/>
  <c r="D307" i="10" s="1"/>
  <c r="E738" i="10" a="1"/>
  <c r="E738" i="10" s="1"/>
  <c r="E355" i="10" a="1"/>
  <c r="E355" i="10" s="1"/>
  <c r="E419" i="10" a="1"/>
  <c r="E419" i="10" s="1"/>
  <c r="E195" i="10" a="1"/>
  <c r="E195" i="10" s="1"/>
  <c r="E323" i="10" a="1"/>
  <c r="E323" i="10" s="1"/>
  <c r="E435" i="10" a="1"/>
  <c r="E435" i="10" s="1"/>
  <c r="D51" i="10" a="1"/>
  <c r="D51" i="10" s="1"/>
  <c r="E243" i="10" a="1"/>
  <c r="E243" i="10" s="1"/>
  <c r="D403" i="10" a="1"/>
  <c r="D403" i="10" s="1"/>
  <c r="D291" i="10" a="1"/>
  <c r="D291" i="10" s="1"/>
  <c r="E99" i="10" a="1"/>
  <c r="E99" i="10" s="1"/>
  <c r="E19" i="10" a="1"/>
  <c r="E19" i="10" s="1"/>
  <c r="D387" i="10" a="1"/>
  <c r="D387" i="10" s="1"/>
  <c r="E179" i="10" a="1"/>
  <c r="E179" i="10" s="1"/>
  <c r="E371" i="10" a="1"/>
  <c r="E371" i="10" s="1"/>
  <c r="E729" i="10" a="1"/>
  <c r="E729" i="10" s="1"/>
  <c r="E686" i="10" a="1"/>
  <c r="E686" i="10" s="1"/>
  <c r="D735" i="10" a="1"/>
  <c r="D735" i="10" s="1"/>
  <c r="D148" i="10" a="1"/>
  <c r="D148" i="10" s="1"/>
  <c r="D739" i="10" a="1"/>
  <c r="D739" i="10" s="1"/>
  <c r="E132" i="10" a="1"/>
  <c r="E132" i="10" s="1"/>
  <c r="E225" i="10" a="1"/>
  <c r="E225" i="10" s="1"/>
  <c r="E341" i="10" a="1"/>
  <c r="E341" i="10" s="1"/>
  <c r="D276" i="10" a="1"/>
  <c r="D276" i="10" s="1"/>
  <c r="D707" i="10" a="1"/>
  <c r="D707" i="10" s="1"/>
  <c r="E468" i="10" a="1"/>
  <c r="E468" i="10" s="1"/>
  <c r="E308" i="10" a="1"/>
  <c r="E308" i="10" s="1"/>
  <c r="E340" i="10" a="1"/>
  <c r="E340" i="10" s="1"/>
  <c r="E452" i="10" a="1"/>
  <c r="E452" i="10" s="1"/>
  <c r="E601" i="10" a="1"/>
  <c r="E601" i="10" s="1"/>
  <c r="E388" i="10" a="1"/>
  <c r="E388" i="10" s="1"/>
  <c r="E596" i="10" a="1"/>
  <c r="E596" i="10" s="1"/>
  <c r="D260" i="10" a="1"/>
  <c r="D260" i="10" s="1"/>
  <c r="E196" i="10" a="1"/>
  <c r="E196" i="10" s="1"/>
  <c r="E84" i="10" a="1"/>
  <c r="E84" i="10" s="1"/>
  <c r="E164" i="10" a="1"/>
  <c r="E164" i="10" s="1"/>
  <c r="D324" i="10" a="1"/>
  <c r="D324" i="10" s="1"/>
  <c r="D675" i="10" a="1"/>
  <c r="D675" i="10" s="1"/>
  <c r="D723" i="10" a="1"/>
  <c r="D723" i="10" s="1"/>
  <c r="E116" i="10" a="1"/>
  <c r="E116" i="10" s="1"/>
  <c r="E292" i="10" a="1"/>
  <c r="E292" i="10" s="1"/>
  <c r="E585" i="10" a="1"/>
  <c r="E585" i="10" s="1"/>
  <c r="E100" i="10" a="1"/>
  <c r="E100" i="10" s="1"/>
  <c r="D244" i="10" a="1"/>
  <c r="D244" i="10" s="1"/>
  <c r="E181" i="10" a="1"/>
  <c r="E181" i="10" s="1"/>
  <c r="E377" i="10" a="1"/>
  <c r="E377" i="10" s="1"/>
  <c r="E553" i="10" a="1"/>
  <c r="E553" i="10" s="1"/>
  <c r="E579" i="10" a="1"/>
  <c r="E579" i="10" s="1"/>
  <c r="D537" i="10" a="1"/>
  <c r="D537" i="10" s="1"/>
  <c r="E691" i="10" a="1"/>
  <c r="E691" i="10" s="1"/>
  <c r="E180" i="10" a="1"/>
  <c r="E180" i="10" s="1"/>
  <c r="E372" i="10" a="1"/>
  <c r="E372" i="10" s="1"/>
  <c r="D68" i="10" a="1"/>
  <c r="D68" i="10" s="1"/>
  <c r="E404" i="10" a="1"/>
  <c r="E404" i="10" s="1"/>
  <c r="E52" i="10" a="1"/>
  <c r="E52" i="10" s="1"/>
  <c r="D36" i="10" a="1"/>
  <c r="D36" i="10" s="1"/>
  <c r="E212" i="10" a="1"/>
  <c r="E212" i="10" s="1"/>
  <c r="E532" i="10" a="1"/>
  <c r="E532" i="10" s="1"/>
  <c r="E233" i="10" a="1"/>
  <c r="E233" i="10" s="1"/>
  <c r="E362" i="10" a="1"/>
  <c r="E362" i="10" s="1"/>
  <c r="E500" i="10" a="1"/>
  <c r="E500" i="10" s="1"/>
  <c r="E531" i="10" a="1"/>
  <c r="E531" i="10" s="1"/>
  <c r="E649" i="10" a="1"/>
  <c r="E649" i="10" s="1"/>
  <c r="D659" i="10" a="1"/>
  <c r="D659" i="10" s="1"/>
  <c r="D499" i="10" a="1"/>
  <c r="D499" i="10" s="1"/>
  <c r="E736" i="10" a="1"/>
  <c r="E736" i="10" s="1"/>
  <c r="E721" i="10" a="1"/>
  <c r="E721" i="10" s="1"/>
  <c r="E704" i="10" a="1"/>
  <c r="E704" i="10" s="1"/>
  <c r="E688" i="10" a="1"/>
  <c r="E688" i="10" s="1"/>
  <c r="E228" i="10" a="1"/>
  <c r="E228" i="10" s="1"/>
  <c r="E720" i="10" a="1"/>
  <c r="E720" i="10" s="1"/>
  <c r="E436" i="10" a="1"/>
  <c r="E436" i="10" s="1"/>
  <c r="D548" i="10" a="1"/>
  <c r="D548" i="10" s="1"/>
  <c r="D356" i="10" a="1"/>
  <c r="D356" i="10" s="1"/>
  <c r="D420" i="10" a="1"/>
  <c r="D420" i="10" s="1"/>
  <c r="D484" i="10" a="1"/>
  <c r="D484" i="10" s="1"/>
  <c r="D740" i="10" a="1"/>
  <c r="D740" i="10" s="1"/>
  <c r="D724" i="10" a="1"/>
  <c r="D724" i="10" s="1"/>
  <c r="D708" i="10" a="1"/>
  <c r="D708" i="10" s="1"/>
  <c r="D692" i="10" a="1"/>
  <c r="D692" i="10" s="1"/>
  <c r="D676" i="10" a="1"/>
  <c r="D676" i="10" s="1"/>
  <c r="E78" i="10" a="1"/>
  <c r="E78" i="10" s="1"/>
  <c r="E158" i="10" a="1"/>
  <c r="E158" i="10" s="1"/>
  <c r="E554" i="10" a="1"/>
  <c r="E554" i="10" s="1"/>
  <c r="E678" i="10" a="1"/>
  <c r="E678" i="10" s="1"/>
  <c r="E46" i="10" a="1"/>
  <c r="E46" i="10" s="1"/>
  <c r="E14" i="10" a="1"/>
  <c r="E14" i="10" s="1"/>
  <c r="E506" i="10" a="1"/>
  <c r="E506" i="10" s="1"/>
  <c r="E94" i="10" a="1"/>
  <c r="E94" i="10" s="1"/>
  <c r="E62" i="10" a="1"/>
  <c r="E62" i="10" s="1"/>
  <c r="E570" i="10" a="1"/>
  <c r="E570" i="10" s="1"/>
  <c r="D509" i="10" a="1"/>
  <c r="D509" i="10" s="1"/>
  <c r="E230" i="10" a="1"/>
  <c r="E230" i="10" s="1"/>
  <c r="E438" i="10" a="1"/>
  <c r="E438" i="10" s="1"/>
  <c r="E262" i="10" a="1"/>
  <c r="E262" i="10" s="1"/>
  <c r="E318" i="10" a="1"/>
  <c r="E318" i="10" s="1"/>
  <c r="E278" i="10" a="1"/>
  <c r="E278" i="10" s="1"/>
  <c r="D374" i="10" a="1"/>
  <c r="D374" i="10" s="1"/>
  <c r="E190" i="10" a="1"/>
  <c r="E190" i="10" s="1"/>
  <c r="E414" i="10" a="1"/>
  <c r="E414" i="10" s="1"/>
  <c r="E302" i="10" a="1"/>
  <c r="E302" i="10" s="1"/>
  <c r="E142" i="10" a="1"/>
  <c r="E142" i="10" s="1"/>
  <c r="E334" i="10" a="1"/>
  <c r="E334" i="10" s="1"/>
  <c r="D326" i="10" a="1"/>
  <c r="D326" i="10" s="1"/>
  <c r="E622" i="10" a="1"/>
  <c r="E622" i="10" s="1"/>
  <c r="D590" i="10" a="1"/>
  <c r="D590" i="10" s="1"/>
  <c r="D582" i="10" a="1"/>
  <c r="D582" i="10" s="1"/>
  <c r="D568" i="10" a="1"/>
  <c r="D568" i="10" s="1"/>
  <c r="E168" i="10" a="1"/>
  <c r="E168" i="10" s="1"/>
  <c r="E126" i="10" a="1"/>
  <c r="E126" i="10" s="1"/>
  <c r="E202" i="10" a="1"/>
  <c r="E202" i="10" s="1"/>
  <c r="E269" i="10" a="1"/>
  <c r="E269" i="10" s="1"/>
  <c r="E231" i="10" a="1"/>
  <c r="E231" i="10" s="1"/>
  <c r="E331" i="10" a="1"/>
  <c r="E331" i="10" s="1"/>
  <c r="E395" i="10" a="1"/>
  <c r="E395" i="10" s="1"/>
  <c r="E457" i="10" a="1"/>
  <c r="E457" i="10" s="1"/>
  <c r="D381" i="10" a="1"/>
  <c r="D381" i="10" s="1"/>
  <c r="E536" i="10" a="1"/>
  <c r="E536" i="10" s="1"/>
  <c r="E312" i="10" a="1"/>
  <c r="E312" i="10" s="1"/>
  <c r="E632" i="10" a="1"/>
  <c r="E632" i="10" s="1"/>
  <c r="E216" i="10" a="1"/>
  <c r="E216" i="10" s="1"/>
  <c r="E104" i="10" a="1"/>
  <c r="E104" i="10" s="1"/>
  <c r="D72" i="10" a="1"/>
  <c r="D72" i="10" s="1"/>
  <c r="E413" i="10" a="1"/>
  <c r="E413" i="10" s="1"/>
  <c r="E440" i="10" a="1"/>
  <c r="E440" i="10" s="1"/>
  <c r="E525" i="10" a="1"/>
  <c r="E525" i="10" s="1"/>
  <c r="E200" i="10" a="1"/>
  <c r="E200" i="10" s="1"/>
  <c r="D630" i="10" a="1"/>
  <c r="D630" i="10" s="1"/>
  <c r="D472" i="10" a="1"/>
  <c r="D472" i="10" s="1"/>
  <c r="E40" i="10" a="1"/>
  <c r="E40" i="10" s="1"/>
  <c r="E376" i="10" a="1"/>
  <c r="E376" i="10" s="1"/>
  <c r="D456" i="10" a="1"/>
  <c r="D456" i="10" s="1"/>
  <c r="D264" i="10" a="1"/>
  <c r="D264" i="10" s="1"/>
  <c r="E152" i="10" a="1"/>
  <c r="E152" i="10" s="1"/>
  <c r="E120" i="10" a="1"/>
  <c r="E120" i="10" s="1"/>
  <c r="E520" i="10" a="1"/>
  <c r="E520" i="10" s="1"/>
  <c r="D392" i="10" a="1"/>
  <c r="D392" i="10" s="1"/>
  <c r="E360" i="10" a="1"/>
  <c r="E360" i="10" s="1"/>
  <c r="E461" i="10" a="1"/>
  <c r="E461" i="10" s="1"/>
  <c r="E665" i="10" a="1"/>
  <c r="E665" i="10" s="1"/>
  <c r="D611" i="10" a="1"/>
  <c r="D611" i="10" s="1"/>
  <c r="E8" i="10" a="1"/>
  <c r="E8" i="10" s="1"/>
  <c r="E88" i="10" a="1"/>
  <c r="E88" i="10" s="1"/>
  <c r="E664" i="10" a="1"/>
  <c r="E664" i="10" s="1"/>
  <c r="D56" i="10" a="1"/>
  <c r="D56" i="10" s="1"/>
  <c r="D136" i="10" a="1"/>
  <c r="D136" i="10" s="1"/>
  <c r="E328" i="10" a="1"/>
  <c r="E328" i="10" s="1"/>
  <c r="E296" i="10" a="1"/>
  <c r="E296" i="10" s="1"/>
  <c r="E184" i="10" a="1"/>
  <c r="E184" i="10" s="1"/>
  <c r="D584" i="10" a="1"/>
  <c r="D584" i="10" s="1"/>
  <c r="E344" i="10" a="1"/>
  <c r="E344" i="10" s="1"/>
  <c r="E504" i="10" a="1"/>
  <c r="E504" i="10" s="1"/>
  <c r="E648" i="10" a="1"/>
  <c r="E648" i="10" s="1"/>
  <c r="E600" i="10" a="1"/>
  <c r="E600" i="10" s="1"/>
  <c r="D429" i="10" a="1"/>
  <c r="D429" i="10" s="1"/>
  <c r="E653" i="10" a="1"/>
  <c r="E653" i="10" s="1"/>
  <c r="D469" i="10" a="1"/>
  <c r="D469" i="10" s="1"/>
  <c r="D589" i="10" a="1"/>
  <c r="D589" i="10" s="1"/>
  <c r="E325" i="10" a="1"/>
  <c r="E325" i="10" s="1"/>
  <c r="E21" i="10" a="1"/>
  <c r="E21" i="10" s="1"/>
  <c r="E165" i="10" a="1"/>
  <c r="E165" i="10" s="1"/>
  <c r="E133" i="10" a="1"/>
  <c r="E133" i="10" s="1"/>
  <c r="E250" i="10" a="1"/>
  <c r="E250" i="10" s="1"/>
  <c r="E285" i="10" a="1"/>
  <c r="E285" i="10" s="1"/>
  <c r="E393" i="10" a="1"/>
  <c r="E393" i="10" s="1"/>
  <c r="E347" i="10" a="1"/>
  <c r="E347" i="10" s="1"/>
  <c r="E425" i="10" a="1"/>
  <c r="E425" i="10" s="1"/>
  <c r="E564" i="10" a="1"/>
  <c r="E564" i="10" s="1"/>
  <c r="E515" i="10" a="1"/>
  <c r="E515" i="10" s="1"/>
  <c r="E569" i="10" a="1"/>
  <c r="E569" i="10" s="1"/>
  <c r="E309" i="10" a="1"/>
  <c r="E309" i="10" s="1"/>
  <c r="D363" i="10" a="1"/>
  <c r="D363" i="10" s="1"/>
  <c r="D246" i="10" a="1"/>
  <c r="D246" i="10" s="1"/>
  <c r="D141" i="10" a="1"/>
  <c r="D141" i="10" s="1"/>
  <c r="E605" i="10" a="1"/>
  <c r="E605" i="10" s="1"/>
  <c r="D541" i="10" a="1"/>
  <c r="D541" i="10" s="1"/>
  <c r="D343" i="10" a="1"/>
  <c r="D343" i="10" s="1"/>
  <c r="E327" i="10" a="1"/>
  <c r="E327" i="10" s="1"/>
  <c r="E375" i="10" a="1"/>
  <c r="E375" i="10" s="1"/>
  <c r="E486" i="10" a="1"/>
  <c r="E486" i="10" s="1"/>
  <c r="E646" i="10" a="1"/>
  <c r="E646" i="10" s="1"/>
  <c r="E86" i="10" a="1"/>
  <c r="E86" i="10" s="1"/>
  <c r="D628" i="10" a="1"/>
  <c r="D628" i="10" s="1"/>
  <c r="D422" i="10" a="1"/>
  <c r="D422" i="10" s="1"/>
  <c r="D182" i="10" a="1"/>
  <c r="D182" i="10" s="1"/>
  <c r="E103" i="10" a="1"/>
  <c r="E103" i="10" s="1"/>
  <c r="E119" i="10" a="1"/>
  <c r="E119" i="10" s="1"/>
  <c r="E247" i="10" a="1"/>
  <c r="E247" i="10" s="1"/>
  <c r="D571" i="10" a="1"/>
  <c r="D571" i="10" s="1"/>
  <c r="D518" i="10" a="1"/>
  <c r="D518" i="10" s="1"/>
  <c r="D471" i="10" a="1"/>
  <c r="D471" i="10" s="1"/>
  <c r="D135" i="10" a="1"/>
  <c r="D135" i="10" s="1"/>
  <c r="E102" i="10" a="1"/>
  <c r="E102" i="10" s="1"/>
  <c r="E167" i="10" a="1"/>
  <c r="E167" i="10" s="1"/>
  <c r="E118" i="10" a="1"/>
  <c r="E118" i="10" s="1"/>
  <c r="E198" i="10" a="1"/>
  <c r="E198" i="10" s="1"/>
  <c r="E294" i="10" a="1"/>
  <c r="E294" i="10" s="1"/>
  <c r="E407" i="10" a="1"/>
  <c r="E407" i="10" s="1"/>
  <c r="E342" i="10" a="1"/>
  <c r="E342" i="10" s="1"/>
  <c r="E427" i="10" a="1"/>
  <c r="E427" i="10" s="1"/>
  <c r="E619" i="10" a="1"/>
  <c r="E619" i="10" s="1"/>
  <c r="D315" i="10" a="1"/>
  <c r="D315" i="10" s="1"/>
  <c r="D215" i="10" a="1"/>
  <c r="D215" i="10" s="1"/>
  <c r="E583" i="10" a="1"/>
  <c r="E583" i="10" s="1"/>
  <c r="E459" i="10" a="1"/>
  <c r="E459" i="10" s="1"/>
  <c r="E615" i="10" a="1"/>
  <c r="E615" i="10" s="1"/>
  <c r="D614" i="10" a="1"/>
  <c r="D614" i="10" s="1"/>
  <c r="D507" i="10" a="1"/>
  <c r="D507" i="10" s="1"/>
  <c r="AL35" i="12" a="1"/>
  <c r="AL35" i="12" s="1"/>
  <c r="E406" i="10" a="1"/>
  <c r="E406" i="10" s="1"/>
  <c r="E539" i="10" a="1"/>
  <c r="E539" i="10" s="1"/>
  <c r="D412" i="10" a="1"/>
  <c r="D412" i="10" s="1"/>
  <c r="D358" i="10" a="1"/>
  <c r="D358" i="10" s="1"/>
  <c r="E55" i="10" a="1"/>
  <c r="E55" i="10" s="1"/>
  <c r="E70" i="10" a="1"/>
  <c r="E70" i="10" s="1"/>
  <c r="E364" i="10" a="1"/>
  <c r="E364" i="10" s="1"/>
  <c r="E38" i="10" a="1"/>
  <c r="E38" i="10" s="1"/>
  <c r="E535" i="10" a="1"/>
  <c r="E535" i="10" s="1"/>
  <c r="E54" i="10" a="1"/>
  <c r="E54" i="10" s="1"/>
  <c r="E235" i="10" a="1"/>
  <c r="E235" i="10" s="1"/>
  <c r="E283" i="10" a="1"/>
  <c r="E283" i="10" s="1"/>
  <c r="E534" i="10" a="1"/>
  <c r="E534" i="10" s="1"/>
  <c r="E566" i="10" a="1"/>
  <c r="E566" i="10" s="1"/>
  <c r="D669" i="10" a="1"/>
  <c r="D669" i="10" s="1"/>
  <c r="D552" i="10" a="1"/>
  <c r="D552" i="10" s="1"/>
  <c r="D502" i="10" a="1"/>
  <c r="D502" i="10" s="1"/>
  <c r="D454" i="10" a="1"/>
  <c r="D454" i="10" s="1"/>
  <c r="D259" i="10" a="1"/>
  <c r="D259" i="10" s="1"/>
  <c r="D423" i="10" a="1"/>
  <c r="D423" i="10" s="1"/>
  <c r="E166" i="10" a="1"/>
  <c r="E166" i="10" s="1"/>
  <c r="E134" i="10" a="1"/>
  <c r="E134" i="10" s="1"/>
  <c r="E214" i="10" a="1"/>
  <c r="E214" i="10" s="1"/>
  <c r="D667" i="10" a="1"/>
  <c r="D667" i="10" s="1"/>
  <c r="D599" i="10" a="1"/>
  <c r="D599" i="10" s="1"/>
  <c r="E263" i="10" a="1"/>
  <c r="E263" i="10" s="1"/>
  <c r="D487" i="10" a="1"/>
  <c r="D487" i="10" s="1"/>
  <c r="E359" i="10" a="1"/>
  <c r="E359" i="10" s="1"/>
  <c r="D644" i="10" a="1"/>
  <c r="D644" i="10" s="1"/>
  <c r="D71" i="10" a="1"/>
  <c r="D71" i="10" s="1"/>
  <c r="E503" i="10" a="1"/>
  <c r="E503" i="10" s="1"/>
  <c r="E151" i="10" a="1"/>
  <c r="E151" i="10" s="1"/>
  <c r="E439" i="10" a="1"/>
  <c r="E439" i="10" s="1"/>
  <c r="E651" i="10" a="1"/>
  <c r="E651" i="10" s="1"/>
  <c r="D587" i="10" a="1"/>
  <c r="D587" i="10" s="1"/>
  <c r="E279" i="10" a="1"/>
  <c r="E279" i="10" s="1"/>
  <c r="E555" i="10" a="1"/>
  <c r="E555" i="10" s="1"/>
  <c r="E523" i="10" a="1"/>
  <c r="E523" i="10" s="1"/>
  <c r="E602" i="10" a="1"/>
  <c r="E602" i="10" s="1"/>
  <c r="D612" i="10" a="1"/>
  <c r="D612" i="10" s="1"/>
  <c r="D573" i="10" a="1"/>
  <c r="D573" i="10" s="1"/>
  <c r="E391" i="10" a="1"/>
  <c r="E391" i="10" s="1"/>
  <c r="E455" i="10" a="1"/>
  <c r="E455" i="10" s="1"/>
  <c r="E567" i="10" a="1"/>
  <c r="E567" i="10" s="1"/>
  <c r="D647" i="10" a="1"/>
  <c r="D647" i="10" s="1"/>
  <c r="D603" i="10" a="1"/>
  <c r="D603" i="10" s="1"/>
  <c r="E551" i="10" a="1"/>
  <c r="E551" i="10" s="1"/>
  <c r="E519" i="10" a="1"/>
  <c r="E519" i="10" s="1"/>
  <c r="E637" i="10" a="1"/>
  <c r="E637" i="10" s="1"/>
  <c r="D311" i="10" a="1"/>
  <c r="D311" i="10" s="1"/>
  <c r="E631" i="10" a="1"/>
  <c r="E631" i="10" s="1"/>
  <c r="E349" i="10" a="1"/>
  <c r="E349" i="10" s="1"/>
  <c r="E663" i="10" a="1"/>
  <c r="E663" i="10" s="1"/>
  <c r="E629" i="10" a="1"/>
  <c r="E629" i="10" s="1"/>
  <c r="D183" i="10" a="1"/>
  <c r="D183" i="10" s="1"/>
  <c r="E23" i="10" a="1"/>
  <c r="E23" i="10" s="1"/>
  <c r="E332" i="10" a="1"/>
  <c r="E332" i="10" s="1"/>
  <c r="E365" i="10" a="1"/>
  <c r="E365" i="10" s="1"/>
  <c r="D660" i="10" a="1"/>
  <c r="D660" i="10" s="1"/>
  <c r="D538" i="10" a="1"/>
  <c r="D538" i="10" s="1"/>
  <c r="E597" i="10" a="1"/>
  <c r="E597" i="10" s="1"/>
  <c r="D277" i="10" a="1"/>
  <c r="D277" i="10" s="1"/>
  <c r="E581" i="10" a="1"/>
  <c r="E581" i="10" s="1"/>
  <c r="D661" i="10" a="1"/>
  <c r="D661" i="10" s="1"/>
  <c r="D453" i="10" a="1"/>
  <c r="D453" i="10" s="1"/>
  <c r="E650" i="10" a="1"/>
  <c r="E650" i="10" s="1"/>
  <c r="E565" i="10" a="1"/>
  <c r="E565" i="10" s="1"/>
  <c r="E213" i="10" a="1"/>
  <c r="E213" i="10" s="1"/>
  <c r="E234" i="10" a="1"/>
  <c r="E234" i="10" s="1"/>
  <c r="E437" i="10" a="1"/>
  <c r="E437" i="10" s="1"/>
  <c r="D616" i="10" a="1"/>
  <c r="D616" i="10" s="1"/>
  <c r="D477" i="10" a="1"/>
  <c r="D477" i="10" s="1"/>
  <c r="D445" i="10" a="1"/>
  <c r="D445" i="10" s="1"/>
  <c r="E421" i="10" a="1"/>
  <c r="E421" i="10" s="1"/>
  <c r="E405" i="10" a="1"/>
  <c r="E405" i="10" s="1"/>
  <c r="D442" i="10" a="1"/>
  <c r="D442" i="10" s="1"/>
  <c r="D197" i="10" a="1"/>
  <c r="D197" i="10" s="1"/>
  <c r="E373" i="10" a="1"/>
  <c r="E373" i="10" s="1"/>
  <c r="D293" i="10" a="1"/>
  <c r="D293" i="10" s="1"/>
  <c r="E666" i="10" a="1"/>
  <c r="E666" i="10" s="1"/>
  <c r="D261" i="10" a="1"/>
  <c r="D261" i="10" s="1"/>
  <c r="AK36" i="13" a="1"/>
  <c r="AK36" i="13" s="1"/>
  <c r="D149" i="10" a="1"/>
  <c r="D149" i="10" s="1"/>
  <c r="E394" i="10" a="1"/>
  <c r="E394" i="10" s="1"/>
  <c r="D501" i="10" a="1"/>
  <c r="D501" i="10" s="1"/>
  <c r="E618" i="10" a="1"/>
  <c r="E618" i="10" s="1"/>
  <c r="E586" i="10" a="1"/>
  <c r="E586" i="10" s="1"/>
  <c r="E458" i="10" a="1"/>
  <c r="E458" i="10" s="1"/>
  <c r="E662" i="10" a="1"/>
  <c r="E662" i="10" s="1"/>
  <c r="D635" i="10" a="1"/>
  <c r="D635" i="10" s="1"/>
  <c r="D533" i="10" a="1"/>
  <c r="D533" i="10" s="1"/>
  <c r="D620" i="10" a="1"/>
  <c r="D620" i="10" s="1"/>
  <c r="D204" i="10" a="1"/>
  <c r="D204" i="10" s="1"/>
  <c r="AK38" i="13" a="1"/>
  <c r="AK38" i="13" s="1"/>
  <c r="E549" i="10" a="1"/>
  <c r="E549" i="10" s="1"/>
  <c r="D314" i="10" a="1"/>
  <c r="D314" i="10" s="1"/>
  <c r="AL56" i="13" a="1"/>
  <c r="AL56" i="13" s="1"/>
  <c r="E493" i="10" a="1"/>
  <c r="E493" i="10" s="1"/>
  <c r="D634" i="10" a="1"/>
  <c r="D634" i="10" s="1"/>
  <c r="D522" i="10" a="1"/>
  <c r="D522" i="10" s="1"/>
  <c r="D491" i="10" a="1"/>
  <c r="D491" i="10" s="1"/>
  <c r="E13" i="10" a="1"/>
  <c r="E13" i="10" s="1"/>
  <c r="E101" i="10" a="1"/>
  <c r="E101" i="10" s="1"/>
  <c r="E76" i="10" a="1"/>
  <c r="E76" i="10" s="1"/>
  <c r="E170" i="10" a="1"/>
  <c r="E170" i="10" s="1"/>
  <c r="E408" i="10" a="1"/>
  <c r="E408" i="10" s="1"/>
  <c r="E424" i="10" a="1"/>
  <c r="E424" i="10" s="1"/>
  <c r="E598" i="10" a="1"/>
  <c r="E598" i="10" s="1"/>
  <c r="E517" i="10" a="1"/>
  <c r="E517" i="10" s="1"/>
  <c r="D580" i="10" a="1"/>
  <c r="D580" i="10" s="1"/>
  <c r="D550" i="10" a="1"/>
  <c r="D550" i="10" s="1"/>
  <c r="P152" i="11" a="1"/>
  <c r="P152" i="11" s="1"/>
  <c r="E490" i="10" a="1"/>
  <c r="E490" i="10" s="1"/>
  <c r="D396" i="10" a="1"/>
  <c r="D396" i="10" s="1"/>
  <c r="D300" i="10" a="1"/>
  <c r="D300" i="10" s="1"/>
  <c r="E382" i="10" a="1"/>
  <c r="E382" i="10" s="1"/>
  <c r="E430" i="10" a="1"/>
  <c r="E430" i="10" s="1"/>
  <c r="D254" i="10" a="1"/>
  <c r="D254" i="10" s="1"/>
  <c r="AL34" i="12" a="1"/>
  <c r="AL34" i="12" s="1"/>
  <c r="AL54" i="13" a="1"/>
  <c r="AL54" i="13" s="1"/>
  <c r="E286" i="10" a="1"/>
  <c r="E286" i="10" s="1"/>
  <c r="E638" i="10" a="1"/>
  <c r="E638" i="10" s="1"/>
  <c r="D606" i="10" a="1"/>
  <c r="D606" i="10" s="1"/>
  <c r="D526" i="10" a="1"/>
  <c r="D526" i="10" s="1"/>
  <c r="O89" i="11" a="1"/>
  <c r="O89" i="11" s="1"/>
  <c r="E494" i="10" a="1"/>
  <c r="E494" i="10" s="1"/>
  <c r="D652" i="10" a="1"/>
  <c r="D652" i="10" s="1"/>
  <c r="E350" i="10" a="1"/>
  <c r="E350" i="10" s="1"/>
  <c r="E542" i="10" a="1"/>
  <c r="E542" i="10" s="1"/>
  <c r="E574" i="10" a="1"/>
  <c r="E574" i="10" s="1"/>
  <c r="E270" i="10" a="1"/>
  <c r="E270" i="10" s="1"/>
  <c r="Z10" i="13" a="1"/>
  <c r="Z10" i="13" s="1"/>
  <c r="E446" i="10" a="1"/>
  <c r="E446" i="10" s="1"/>
  <c r="E654" i="10" a="1"/>
  <c r="E654" i="10" s="1"/>
  <c r="AK68" i="13" a="1"/>
  <c r="AK68" i="13" s="1"/>
  <c r="E462" i="10" a="1"/>
  <c r="E462" i="10" s="1"/>
  <c r="D206" i="10" a="1"/>
  <c r="D206" i="10" s="1"/>
  <c r="E238" i="10" a="1"/>
  <c r="E238" i="10" s="1"/>
  <c r="AK18" i="13" a="1"/>
  <c r="AK18" i="13" s="1"/>
  <c r="AL76" i="13" a="1"/>
  <c r="AL76" i="13" s="1"/>
  <c r="AL72" i="13" a="1"/>
  <c r="AL72" i="13" s="1"/>
  <c r="AL74" i="12" a="1"/>
  <c r="AL74" i="12" s="1"/>
  <c r="AL70" i="13" a="1"/>
  <c r="AL70" i="13" s="1"/>
  <c r="D366" i="10" a="1"/>
  <c r="D366" i="10" s="1"/>
  <c r="E478" i="10" a="1"/>
  <c r="E478" i="10" s="1"/>
  <c r="E670" i="10" a="1"/>
  <c r="E670" i="10" s="1"/>
  <c r="D558" i="10" a="1"/>
  <c r="D558" i="10" s="1"/>
  <c r="E3" i="10" a="1"/>
  <c r="E3" i="10" s="1"/>
  <c r="AL24" i="12" a="1"/>
  <c r="AL24" i="12" s="1"/>
  <c r="AL69" i="13" a="1"/>
  <c r="AL69" i="13" s="1"/>
  <c r="E44" i="10" a="1"/>
  <c r="E44" i="10" s="1"/>
  <c r="E220" i="10" a="1"/>
  <c r="E220" i="10" s="1"/>
  <c r="D268" i="10" a="1"/>
  <c r="D268" i="10" s="1"/>
  <c r="AL100" i="12" a="1"/>
  <c r="AL100" i="12" s="1"/>
  <c r="AK37" i="13" a="1"/>
  <c r="AK37" i="13" s="1"/>
  <c r="AL55" i="13" a="1"/>
  <c r="AL55" i="13" s="1"/>
  <c r="E140" i="10" a="1"/>
  <c r="E140" i="10" s="1"/>
  <c r="E236" i="10" a="1"/>
  <c r="E236" i="10" s="1"/>
  <c r="E556" i="10" a="1"/>
  <c r="E556" i="10" s="1"/>
  <c r="AL98" i="12" a="1"/>
  <c r="AL98" i="12" s="1"/>
  <c r="E428" i="10" a="1"/>
  <c r="E428" i="10" s="1"/>
  <c r="AL72" i="12" a="1"/>
  <c r="AL72" i="12" s="1"/>
  <c r="AK23" i="13" a="1"/>
  <c r="AK23" i="13" s="1"/>
  <c r="AL39" i="13" a="1"/>
  <c r="AL39" i="13" s="1"/>
  <c r="E572" i="10" a="1"/>
  <c r="E572" i="10" s="1"/>
  <c r="E636" i="10" a="1"/>
  <c r="E636" i="10" s="1"/>
  <c r="D476" i="10" a="1"/>
  <c r="D476" i="10" s="1"/>
  <c r="AK100" i="13" a="1"/>
  <c r="AK100" i="13" s="1"/>
  <c r="E348" i="10" a="1"/>
  <c r="E348" i="10" s="1"/>
  <c r="D380" i="10" a="1"/>
  <c r="D380" i="10" s="1"/>
  <c r="AL53" i="12" a="1"/>
  <c r="AL53" i="12" s="1"/>
  <c r="AK98" i="13" a="1"/>
  <c r="AK98" i="13" s="1"/>
  <c r="AK22" i="13" a="1"/>
  <c r="AK22" i="13" s="1"/>
  <c r="AL37" i="12" a="1"/>
  <c r="AL37" i="12" s="1"/>
  <c r="AK20" i="13" a="1"/>
  <c r="AK20" i="13" s="1"/>
  <c r="D524" i="10" a="1"/>
  <c r="D524" i="10" s="1"/>
  <c r="E252" i="10" a="1"/>
  <c r="E252" i="10" s="1"/>
  <c r="D284" i="10" a="1"/>
  <c r="D284" i="10" s="1"/>
  <c r="AL70" i="12" a="1"/>
  <c r="AL70" i="12" s="1"/>
  <c r="AK71" i="13" a="1"/>
  <c r="AK71" i="13" s="1"/>
  <c r="E316" i="10" a="1"/>
  <c r="E316" i="10" s="1"/>
  <c r="E444" i="10" a="1"/>
  <c r="E444" i="10" s="1"/>
  <c r="E492" i="10" a="1"/>
  <c r="E492" i="10" s="1"/>
  <c r="D540" i="10" a="1"/>
  <c r="D540" i="10" s="1"/>
  <c r="D108" i="10" a="1"/>
  <c r="D108" i="10" s="1"/>
  <c r="AL68" i="12" a="1"/>
  <c r="AL68" i="12" s="1"/>
  <c r="Z45" i="13" a="1"/>
  <c r="Z45" i="13" s="1"/>
  <c r="AL17" i="13" a="1"/>
  <c r="AL17" i="13" s="1"/>
  <c r="D588" i="10" a="1"/>
  <c r="D588" i="10" s="1"/>
  <c r="E60" i="10" a="1"/>
  <c r="E60" i="10" s="1"/>
  <c r="E156" i="10" a="1"/>
  <c r="E156" i="10" s="1"/>
  <c r="D470" i="10" a="1"/>
  <c r="D470" i="10" s="1"/>
  <c r="D398" i="10" a="1"/>
  <c r="D398" i="10" s="1"/>
  <c r="D152" i="11" a="1"/>
  <c r="D152" i="11" s="1"/>
  <c r="AL18" i="12" a="1"/>
  <c r="AL18" i="12" s="1"/>
  <c r="AL16" i="12" a="1"/>
  <c r="AL16" i="12" s="1"/>
  <c r="E188" i="10" a="1"/>
  <c r="E188" i="10" s="1"/>
  <c r="E460" i="10" a="1"/>
  <c r="E460" i="10" s="1"/>
  <c r="E668" i="10" a="1"/>
  <c r="E668" i="10" s="1"/>
  <c r="D510" i="10" a="1"/>
  <c r="D510" i="10" s="1"/>
  <c r="D488" i="10" a="1"/>
  <c r="D488" i="10" s="1"/>
  <c r="D124" i="10" a="1"/>
  <c r="D124" i="10" s="1"/>
  <c r="P150" i="11" a="1"/>
  <c r="P150" i="11" s="1"/>
  <c r="AA9" i="12" a="1"/>
  <c r="AA9" i="12" s="1"/>
  <c r="AK42" i="13" a="1"/>
  <c r="AK42" i="13" s="1"/>
  <c r="D121" i="11" a="1"/>
  <c r="D121" i="11" s="1"/>
  <c r="P129" i="11" a="1"/>
  <c r="P129" i="11" s="1"/>
  <c r="E92" i="10" a="1"/>
  <c r="E92" i="10" s="1"/>
  <c r="E604" i="10" a="1"/>
  <c r="E604" i="10" s="1"/>
  <c r="D508" i="10" a="1"/>
  <c r="D508" i="10" s="1"/>
  <c r="AL75" i="12" a="1"/>
  <c r="AL75" i="12" s="1"/>
  <c r="AK40" i="13" a="1"/>
  <c r="AK40" i="13" s="1"/>
  <c r="E390" i="10" a="1"/>
  <c r="E390" i="10" s="1"/>
  <c r="E485" i="10" a="1"/>
  <c r="E485" i="10" s="1"/>
  <c r="E229" i="10" a="1"/>
  <c r="E229" i="10" s="1"/>
  <c r="D613" i="10" a="1"/>
  <c r="D613" i="10" s="1"/>
  <c r="D357" i="10" a="1"/>
  <c r="D357" i="10" s="1"/>
  <c r="AL97" i="12" a="1"/>
  <c r="AL97" i="12" s="1"/>
  <c r="AL69" i="12" a="1"/>
  <c r="AL69" i="12" s="1"/>
  <c r="D58" i="12" a="1"/>
  <c r="D58" i="12" s="1"/>
  <c r="AL16" i="13" a="1"/>
  <c r="AL16" i="13" s="1"/>
  <c r="E20" i="12" a="1"/>
  <c r="E20" i="12" s="1"/>
  <c r="AL15" i="13" a="1"/>
  <c r="AL15" i="13" s="1"/>
  <c r="AL55" i="12" a="1"/>
  <c r="AL55" i="12" s="1"/>
  <c r="AL67" i="12" a="1"/>
  <c r="AL67" i="12" s="1"/>
  <c r="D174" i="10" a="1"/>
  <c r="D174" i="10" s="1"/>
  <c r="AL76" i="12" a="1"/>
  <c r="AL76" i="12" s="1"/>
  <c r="AL39" i="12" a="1"/>
  <c r="AL39" i="12" s="1"/>
  <c r="AL36" i="12" a="1"/>
  <c r="AL36" i="12" s="1"/>
  <c r="AL58" i="12" a="1"/>
  <c r="AL58" i="12" s="1"/>
  <c r="AL71" i="12" a="1"/>
  <c r="AL71" i="12" s="1"/>
  <c r="AL101" i="13" a="1"/>
  <c r="AL101" i="13" s="1"/>
  <c r="AL67" i="13" a="1"/>
  <c r="AL67" i="13" s="1"/>
  <c r="AL35" i="13" a="1"/>
  <c r="AL35" i="13" s="1"/>
  <c r="AL58" i="13" a="1"/>
  <c r="AL58" i="13" s="1"/>
  <c r="AL34" i="13" a="1"/>
  <c r="AL34" i="13" s="1"/>
  <c r="E301" i="10" a="1"/>
  <c r="E301" i="10" s="1"/>
  <c r="E645" i="10" a="1"/>
  <c r="E645" i="10" s="1"/>
  <c r="E389" i="10" a="1"/>
  <c r="E389" i="10" s="1"/>
  <c r="AL57" i="12" a="1"/>
  <c r="AL57" i="12" s="1"/>
  <c r="AL54" i="12" a="1"/>
  <c r="AL54" i="12" s="1"/>
  <c r="AL33" i="12" a="1"/>
  <c r="AL33" i="12" s="1"/>
  <c r="AL57" i="13" a="1"/>
  <c r="AL57" i="13" s="1"/>
  <c r="AL33" i="13" a="1"/>
  <c r="AL33" i="13" s="1"/>
  <c r="AL99" i="13" a="1"/>
  <c r="AL99" i="13" s="1"/>
  <c r="AL24" i="13" a="1"/>
  <c r="AL24" i="13" s="1"/>
  <c r="E32" i="10" a="1"/>
  <c r="E32" i="10" s="1"/>
  <c r="E621" i="10" a="1"/>
  <c r="E621" i="10" s="1"/>
  <c r="AL42" i="12" a="1"/>
  <c r="AL42" i="12" s="1"/>
  <c r="AL38" i="12" a="1"/>
  <c r="AL38" i="12" s="1"/>
  <c r="AL17" i="12" a="1"/>
  <c r="AL17" i="12" s="1"/>
  <c r="AL77" i="13" a="1"/>
  <c r="AL77" i="13" s="1"/>
  <c r="AL99" i="12" a="1"/>
  <c r="AL99" i="12" s="1"/>
  <c r="AL23" i="12" a="1"/>
  <c r="AL23" i="12" s="1"/>
  <c r="AL15" i="12" a="1"/>
  <c r="AL15" i="12" s="1"/>
  <c r="AL56" i="12" a="1"/>
  <c r="AL56" i="12" s="1"/>
  <c r="AL22" i="12" a="1"/>
  <c r="AL22" i="12" s="1"/>
  <c r="AL75" i="13" a="1"/>
  <c r="AL75" i="13" s="1"/>
  <c r="AL53" i="13" a="1"/>
  <c r="AL53" i="13" s="1"/>
  <c r="AL21" i="13" a="1"/>
  <c r="AL21" i="13" s="1"/>
  <c r="P143" i="11" a="1"/>
  <c r="P143" i="11" s="1"/>
  <c r="AL73" i="12" a="1"/>
  <c r="AL73" i="12" s="1"/>
  <c r="AL21" i="12" a="1"/>
  <c r="AL21" i="12" s="1"/>
  <c r="AL74" i="13" a="1"/>
  <c r="AL74" i="13" s="1"/>
  <c r="O145" i="11" a="1"/>
  <c r="O145" i="11" s="1"/>
  <c r="AL41" i="12" a="1"/>
  <c r="AL41" i="12" s="1"/>
  <c r="AL20" i="12" a="1"/>
  <c r="AL20" i="12" s="1"/>
  <c r="AL73" i="13" a="1"/>
  <c r="AL73" i="13" s="1"/>
  <c r="AL41" i="13" a="1"/>
  <c r="AL41" i="13" s="1"/>
  <c r="AL19" i="13" a="1"/>
  <c r="AL19" i="13" s="1"/>
  <c r="AL40" i="12" a="1"/>
  <c r="AL40" i="12" s="1"/>
  <c r="AL19" i="12" a="1"/>
  <c r="AL19" i="12" s="1"/>
  <c r="E153" i="11" a="1"/>
  <c r="E153" i="11" s="1"/>
  <c r="E151" i="11" a="1"/>
  <c r="E151" i="11" s="1"/>
  <c r="E130" i="11" a="1"/>
  <c r="E130" i="11" s="1"/>
  <c r="E89" i="11" a="1"/>
  <c r="E89" i="11" s="1"/>
  <c r="D147" i="11" a="1"/>
  <c r="D147" i="11" s="1"/>
  <c r="D73" i="11" a="1"/>
  <c r="D73" i="11" s="1"/>
  <c r="P133" i="11" a="1"/>
  <c r="P133" i="11" s="1"/>
  <c r="P121" i="11" a="1"/>
  <c r="P121" i="11" s="1"/>
  <c r="O141" i="11" a="1"/>
  <c r="O141" i="11" s="1"/>
  <c r="O149" i="11" a="1"/>
  <c r="O149" i="11" s="1"/>
  <c r="E149" i="11" a="1"/>
  <c r="E149" i="11" s="1"/>
  <c r="E133" i="11" a="1"/>
  <c r="E133" i="11" s="1"/>
  <c r="D145" i="11" a="1"/>
  <c r="D145" i="11" s="1"/>
  <c r="D143" i="11" a="1"/>
  <c r="D143" i="11" s="1"/>
  <c r="D141" i="11" a="1"/>
  <c r="D141" i="11" s="1"/>
  <c r="P73" i="11" a="1"/>
  <c r="P73" i="11" s="1"/>
  <c r="D137" i="11" a="1"/>
  <c r="D137" i="11" s="1"/>
  <c r="O148" i="11" a="1"/>
  <c r="O148" i="11" s="1"/>
  <c r="O146" i="11" a="1"/>
  <c r="O146" i="11" s="1"/>
  <c r="O144" i="11" a="1"/>
  <c r="O144" i="11" s="1"/>
  <c r="P154" i="11" a="1"/>
  <c r="P154" i="11" s="1"/>
  <c r="O137" i="11" a="1"/>
  <c r="O137" i="11" s="1"/>
  <c r="P131" i="11" a="1"/>
  <c r="P131" i="11" s="1"/>
  <c r="P138" i="11" a="1"/>
  <c r="P138" i="11" s="1"/>
  <c r="E146" i="11" a="1"/>
  <c r="E146" i="11" s="1"/>
  <c r="E144" i="11" a="1"/>
  <c r="E144" i="11" s="1"/>
  <c r="E138" i="11" a="1"/>
  <c r="E138" i="11" s="1"/>
  <c r="E132" i="11" a="1"/>
  <c r="E132" i="11" s="1"/>
  <c r="P153" i="11" a="1"/>
  <c r="P153" i="11" s="1"/>
  <c r="P151" i="11" a="1"/>
  <c r="P151" i="11" s="1"/>
  <c r="P147" i="11" a="1"/>
  <c r="P147" i="11" s="1"/>
  <c r="E154" i="11" a="1"/>
  <c r="E154" i="11" s="1"/>
  <c r="E150" i="11" a="1"/>
  <c r="E150" i="11" s="1"/>
  <c r="E148" i="11" a="1"/>
  <c r="E148" i="11" s="1"/>
  <c r="D142" i="11" a="1"/>
  <c r="D142" i="11" s="1"/>
  <c r="Z18" i="13" a="1"/>
  <c r="Z18" i="13" s="1"/>
  <c r="AA40" i="13" a="1"/>
  <c r="AA40" i="13" s="1"/>
  <c r="AA67" i="13" a="1"/>
  <c r="AA67" i="13" s="1"/>
  <c r="AA24" i="13" a="1"/>
  <c r="AA24" i="13" s="1"/>
  <c r="Z13" i="13" a="1"/>
  <c r="Z13" i="13" s="1"/>
  <c r="Z72" i="13" a="1"/>
  <c r="Z72" i="13" s="1"/>
  <c r="Z35" i="13" a="1"/>
  <c r="Z35" i="13" s="1"/>
  <c r="Z56" i="13" a="1"/>
  <c r="Z56" i="13" s="1"/>
  <c r="Z15" i="13" a="1"/>
  <c r="Z15" i="13" s="1"/>
  <c r="P10" i="13" a="1"/>
  <c r="P10" i="13" s="1"/>
  <c r="AA51" i="13" a="1"/>
  <c r="AA51" i="13" s="1"/>
  <c r="Z71" i="13" a="1"/>
  <c r="Z71" i="13" s="1"/>
  <c r="AA9" i="13" a="1"/>
  <c r="AA9" i="13" s="1"/>
  <c r="AA22" i="13" a="1"/>
  <c r="AA22" i="13" s="1"/>
  <c r="Z70" i="13" a="1"/>
  <c r="Z70" i="13" s="1"/>
  <c r="AA53" i="13" a="1"/>
  <c r="AA53" i="13" s="1"/>
  <c r="AA11" i="13" a="1"/>
  <c r="AA11" i="13" s="1"/>
  <c r="Z46" i="13" a="1"/>
  <c r="Z46" i="13" s="1"/>
  <c r="AA42" i="13" a="1"/>
  <c r="AA42" i="13" s="1"/>
  <c r="Z39" i="13" a="1"/>
  <c r="Z39" i="13" s="1"/>
  <c r="AA41" i="13" a="1"/>
  <c r="AA41" i="13" s="1"/>
  <c r="Z37" i="13" a="1"/>
  <c r="Z37" i="13" s="1"/>
  <c r="Z57" i="13" a="1"/>
  <c r="Z57" i="13" s="1"/>
  <c r="AA131" i="13" a="1"/>
  <c r="AA131" i="13" s="1"/>
  <c r="Z20" i="13" a="1"/>
  <c r="Z20" i="13" s="1"/>
  <c r="AA27" i="13" a="1"/>
  <c r="AA27" i="13" s="1"/>
  <c r="Z55" i="13" a="1"/>
  <c r="Z55" i="13" s="1"/>
  <c r="AA25" i="13" a="1"/>
  <c r="AA25" i="13" s="1"/>
  <c r="Z38" i="13" a="1"/>
  <c r="Z38" i="13" s="1"/>
  <c r="Z30" i="13" a="1"/>
  <c r="Z30" i="13" s="1"/>
  <c r="Z31" i="13" a="1"/>
  <c r="Z31" i="13" s="1"/>
  <c r="Z29" i="13" a="1"/>
  <c r="Z29" i="13" s="1"/>
  <c r="AA36" i="13" a="1"/>
  <c r="AA36" i="13" s="1"/>
  <c r="Z19" i="13" a="1"/>
  <c r="Z19" i="13" s="1"/>
  <c r="AA68" i="13" a="1"/>
  <c r="AA68" i="13" s="1"/>
  <c r="AA7" i="13" a="1"/>
  <c r="AA7" i="13" s="1"/>
  <c r="AA100" i="13" a="1"/>
  <c r="AA100" i="13" s="1"/>
  <c r="AA47" i="13" a="1"/>
  <c r="AA47" i="13" s="1"/>
  <c r="AA23" i="13" a="1"/>
  <c r="AA23" i="13" s="1"/>
  <c r="Z14" i="13" a="1"/>
  <c r="Z14" i="13" s="1"/>
  <c r="Z12" i="13" a="1"/>
  <c r="Z12" i="13" s="1"/>
  <c r="AA54" i="13" a="1"/>
  <c r="AA54" i="13" s="1"/>
  <c r="AA85" i="13" a="1"/>
  <c r="AA85" i="13" s="1"/>
  <c r="AA69" i="13" a="1"/>
  <c r="AA69" i="13" s="1"/>
  <c r="Z28" i="13" a="1"/>
  <c r="Z28" i="13" s="1"/>
  <c r="Z21" i="13" a="1"/>
  <c r="Z21" i="13" s="1"/>
  <c r="Z34" i="13" a="1"/>
  <c r="Z34" i="13" s="1"/>
  <c r="AA50" i="13" a="1"/>
  <c r="AA50" i="13" s="1"/>
  <c r="AA26" i="13" a="1"/>
  <c r="AA26" i="13" s="1"/>
  <c r="Z17" i="13" a="1"/>
  <c r="Z17" i="13" s="1"/>
  <c r="Z8" i="13" a="1"/>
  <c r="Z8" i="13" s="1"/>
  <c r="Z16" i="13" a="1"/>
  <c r="Z16" i="13" s="1"/>
  <c r="Z145" i="13" a="1"/>
  <c r="Z145" i="13" s="1"/>
  <c r="Z60" i="13" a="1"/>
  <c r="Z60" i="13" s="1"/>
  <c r="AA49" i="13" a="1"/>
  <c r="AA49" i="13" s="1"/>
  <c r="Z48" i="13" a="1"/>
  <c r="Z48" i="13" s="1"/>
  <c r="AA52" i="13" a="1"/>
  <c r="AA52" i="13" s="1"/>
  <c r="Z140" i="13" a="1"/>
  <c r="Z140" i="13" s="1"/>
  <c r="Z59" i="13" a="1"/>
  <c r="Z59" i="13" s="1"/>
  <c r="Z44" i="13" a="1"/>
  <c r="Z44" i="13" s="1"/>
  <c r="Z33" i="13" a="1"/>
  <c r="Z33" i="13" s="1"/>
  <c r="Z58" i="13" a="1"/>
  <c r="Z58" i="13" s="1"/>
  <c r="Z43" i="13" a="1"/>
  <c r="Z43" i="13" s="1"/>
  <c r="Z32" i="13" a="1"/>
  <c r="Z32" i="13" s="1"/>
  <c r="O45" i="13" a="1"/>
  <c r="O45" i="13" s="1"/>
  <c r="O57" i="13" a="1"/>
  <c r="O57" i="13" s="1"/>
  <c r="O14" i="13" a="1"/>
  <c r="O14" i="13" s="1"/>
  <c r="O9" i="13" a="1"/>
  <c r="O9" i="13" s="1"/>
  <c r="O12" i="13" a="1"/>
  <c r="O12" i="13" s="1"/>
  <c r="E10" i="13" a="1"/>
  <c r="E10" i="13" s="1"/>
  <c r="O26" i="13" a="1"/>
  <c r="O26" i="13" s="1"/>
  <c r="P19" i="13" a="1"/>
  <c r="P19" i="13" s="1"/>
  <c r="O16" i="13" a="1"/>
  <c r="O16" i="13" s="1"/>
  <c r="P7" i="13" a="1"/>
  <c r="P7" i="13" s="1"/>
  <c r="O15" i="13" a="1"/>
  <c r="O15" i="13" s="1"/>
  <c r="O8" i="13" a="1"/>
  <c r="O8" i="13" s="1"/>
  <c r="P42" i="13" a="1"/>
  <c r="P42" i="13" s="1"/>
  <c r="O133" i="13" a="1"/>
  <c r="O133" i="13" s="1"/>
  <c r="O50" i="13" a="1"/>
  <c r="O50" i="13" s="1"/>
  <c r="P128" i="13" a="1"/>
  <c r="P128" i="13" s="1"/>
  <c r="O39" i="13" a="1"/>
  <c r="O39" i="13" s="1"/>
  <c r="P60" i="13" a="1"/>
  <c r="P60" i="13" s="1"/>
  <c r="O31" i="13" a="1"/>
  <c r="O31" i="13" s="1"/>
  <c r="P48" i="13" a="1"/>
  <c r="P48" i="13" s="1"/>
  <c r="P38" i="13" a="1"/>
  <c r="P38" i="13" s="1"/>
  <c r="O27" i="13" a="1"/>
  <c r="O27" i="13" s="1"/>
  <c r="P47" i="13" a="1"/>
  <c r="P47" i="13" s="1"/>
  <c r="O17" i="13" a="1"/>
  <c r="O17" i="13" s="1"/>
  <c r="O28" i="13" a="1"/>
  <c r="O28" i="13" s="1"/>
  <c r="O23" i="13" a="1"/>
  <c r="O23" i="13" s="1"/>
  <c r="O11" i="13" a="1"/>
  <c r="O11" i="13" s="1"/>
  <c r="P119" i="13" a="1"/>
  <c r="P119" i="13" s="1"/>
  <c r="P88" i="13" a="1"/>
  <c r="P88" i="13" s="1"/>
  <c r="P29" i="13" a="1"/>
  <c r="P29" i="13" s="1"/>
  <c r="P46" i="13" a="1"/>
  <c r="P46" i="13" s="1"/>
  <c r="P43" i="13" a="1"/>
  <c r="P43" i="13" s="1"/>
  <c r="P37" i="13" a="1"/>
  <c r="P37" i="13" s="1"/>
  <c r="P41" i="13" a="1"/>
  <c r="P41" i="13" s="1"/>
  <c r="P36" i="13" a="1"/>
  <c r="P36" i="13" s="1"/>
  <c r="P44" i="13" a="1"/>
  <c r="P44" i="13" s="1"/>
  <c r="P35" i="13" a="1"/>
  <c r="P35" i="13" s="1"/>
  <c r="P59" i="13" a="1"/>
  <c r="P59" i="13" s="1"/>
  <c r="P30" i="13" a="1"/>
  <c r="P30" i="13" s="1"/>
  <c r="P33" i="13" a="1"/>
  <c r="P33" i="13" s="1"/>
  <c r="P40" i="13" a="1"/>
  <c r="P40" i="13" s="1"/>
  <c r="P32" i="13" a="1"/>
  <c r="P32" i="13" s="1"/>
  <c r="P22" i="13" a="1"/>
  <c r="P22" i="13" s="1"/>
  <c r="P25" i="13" a="1"/>
  <c r="P25" i="13" s="1"/>
  <c r="P73" i="13" a="1"/>
  <c r="P73" i="13" s="1"/>
  <c r="P21" i="13" a="1"/>
  <c r="P21" i="13" s="1"/>
  <c r="P34" i="13" a="1"/>
  <c r="P34" i="13" s="1"/>
  <c r="P18" i="13" a="1"/>
  <c r="P18" i="13" s="1"/>
  <c r="P49" i="13" a="1"/>
  <c r="P49" i="13" s="1"/>
  <c r="P20" i="13" a="1"/>
  <c r="P20" i="13" s="1"/>
  <c r="P24" i="13" a="1"/>
  <c r="P24" i="13" s="1"/>
  <c r="P58" i="13" a="1"/>
  <c r="P58" i="13" s="1"/>
  <c r="P13" i="13" a="1"/>
  <c r="P13" i="13" s="1"/>
  <c r="E35" i="13" a="1"/>
  <c r="E35" i="13" s="1"/>
  <c r="D23" i="13" a="1"/>
  <c r="D23" i="13" s="1"/>
  <c r="D73" i="13" a="1"/>
  <c r="D73" i="13" s="1"/>
  <c r="D48" i="13" a="1"/>
  <c r="D48" i="13" s="1"/>
  <c r="D38" i="13" a="1"/>
  <c r="D38" i="13" s="1"/>
  <c r="E36" i="13" a="1"/>
  <c r="E36" i="13" s="1"/>
  <c r="D59" i="13" a="1"/>
  <c r="D59" i="13" s="1"/>
  <c r="E27" i="13" a="1"/>
  <c r="E27" i="13" s="1"/>
  <c r="D50" i="13" a="1"/>
  <c r="D50" i="13" s="1"/>
  <c r="E22" i="13" a="1"/>
  <c r="E22" i="13" s="1"/>
  <c r="D58" i="13" a="1"/>
  <c r="D58" i="13" s="1"/>
  <c r="D57" i="13" a="1"/>
  <c r="D57" i="13" s="1"/>
  <c r="D43" i="13" a="1"/>
  <c r="D43" i="13" s="1"/>
  <c r="D42" i="13" a="1"/>
  <c r="D42" i="13" s="1"/>
  <c r="D39" i="13" a="1"/>
  <c r="D39" i="13" s="1"/>
  <c r="D7" i="13" a="1"/>
  <c r="D7" i="13" s="1"/>
  <c r="D46" i="13" a="1"/>
  <c r="D46" i="13" s="1"/>
  <c r="D13" i="13" a="1"/>
  <c r="D13" i="13" s="1"/>
  <c r="E20" i="13" a="1"/>
  <c r="E20" i="13" s="1"/>
  <c r="D37" i="13" a="1"/>
  <c r="D37" i="13" s="1"/>
  <c r="D128" i="13" a="1"/>
  <c r="D128" i="13" s="1"/>
  <c r="E44" i="13" a="1"/>
  <c r="E44" i="13" s="1"/>
  <c r="D119" i="13" a="1"/>
  <c r="D119" i="13" s="1"/>
  <c r="D89" i="13" a="1"/>
  <c r="D89" i="13" s="1"/>
  <c r="D45" i="13" a="1"/>
  <c r="D45" i="13" s="1"/>
  <c r="D47" i="13" a="1"/>
  <c r="D47" i="13" s="1"/>
  <c r="E34" i="13" a="1"/>
  <c r="E34" i="13" s="1"/>
  <c r="E60" i="13" a="1"/>
  <c r="E60" i="13" s="1"/>
  <c r="E30" i="13" a="1"/>
  <c r="E30" i="13" s="1"/>
  <c r="E28" i="13" a="1"/>
  <c r="E28" i="13" s="1"/>
  <c r="E26" i="13" a="1"/>
  <c r="E26" i="13" s="1"/>
  <c r="E29" i="13" a="1"/>
  <c r="E29" i="13" s="1"/>
  <c r="E24" i="13" a="1"/>
  <c r="E24" i="13" s="1"/>
  <c r="E21" i="13" a="1"/>
  <c r="E21" i="13" s="1"/>
  <c r="E31" i="13" a="1"/>
  <c r="E31" i="13" s="1"/>
  <c r="E17" i="13" a="1"/>
  <c r="E17" i="13" s="1"/>
  <c r="E49" i="13" a="1"/>
  <c r="E49" i="13" s="1"/>
  <c r="E25" i="13" a="1"/>
  <c r="E25" i="13" s="1"/>
  <c r="E41" i="13" a="1"/>
  <c r="E41" i="13" s="1"/>
  <c r="E19" i="13" a="1"/>
  <c r="E19" i="13" s="1"/>
  <c r="E16" i="13" a="1"/>
  <c r="E16" i="13" s="1"/>
  <c r="E40" i="13" a="1"/>
  <c r="E40" i="13" s="1"/>
  <c r="E12" i="13" a="1"/>
  <c r="E12" i="13" s="1"/>
  <c r="E18" i="13" a="1"/>
  <c r="E18" i="13" s="1"/>
  <c r="E15" i="13" a="1"/>
  <c r="E15" i="13" s="1"/>
  <c r="E11" i="13" a="1"/>
  <c r="E11" i="13" s="1"/>
  <c r="E14" i="13" a="1"/>
  <c r="E14" i="13" s="1"/>
  <c r="E8" i="13" a="1"/>
  <c r="E8" i="13" s="1"/>
  <c r="E33" i="13" a="1"/>
  <c r="E33" i="13" s="1"/>
  <c r="E9" i="13" a="1"/>
  <c r="E9" i="13" s="1"/>
  <c r="E133" i="13" a="1"/>
  <c r="E133" i="13" s="1"/>
  <c r="E32" i="13" a="1"/>
  <c r="E32" i="13" s="1"/>
  <c r="Z56" i="12" a="1"/>
  <c r="Z56" i="12" s="1"/>
  <c r="AA138" i="12" a="1"/>
  <c r="AA138" i="12" s="1"/>
  <c r="Z71" i="12" a="1"/>
  <c r="Z71" i="12" s="1"/>
  <c r="AA58" i="12" a="1"/>
  <c r="AA58" i="12" s="1"/>
  <c r="AA137" i="12" a="1"/>
  <c r="AA137" i="12" s="1"/>
  <c r="Z55" i="12" a="1"/>
  <c r="Z55" i="12" s="1"/>
  <c r="AA87" i="12" a="1"/>
  <c r="AA87" i="12" s="1"/>
  <c r="AA49" i="12" a="1"/>
  <c r="AA49" i="12" s="1"/>
  <c r="AA86" i="12" a="1"/>
  <c r="AA86" i="12" s="1"/>
  <c r="AA51" i="12" a="1"/>
  <c r="AA51" i="12" s="1"/>
  <c r="AA40" i="12" a="1"/>
  <c r="AA40" i="12" s="1"/>
  <c r="AA35" i="12" a="1"/>
  <c r="AA35" i="12" s="1"/>
  <c r="AA43" i="12" a="1"/>
  <c r="AA43" i="12" s="1"/>
  <c r="AA32" i="12" a="1"/>
  <c r="AA32" i="12" s="1"/>
  <c r="AA41" i="12" a="1"/>
  <c r="AA41" i="12" s="1"/>
  <c r="AA30" i="12" a="1"/>
  <c r="AA30" i="12" s="1"/>
  <c r="AA29" i="12" a="1"/>
  <c r="AA29" i="12" s="1"/>
  <c r="AA19" i="12" a="1"/>
  <c r="AA19" i="12" s="1"/>
  <c r="AA159" i="12" a="1"/>
  <c r="AA159" i="12" s="1"/>
  <c r="Z151" i="12" a="1"/>
  <c r="Z151" i="12" s="1"/>
  <c r="AA150" i="12" a="1"/>
  <c r="AA150" i="12" s="1"/>
  <c r="AA149" i="12" a="1"/>
  <c r="AA149" i="12" s="1"/>
  <c r="AA139" i="12" a="1"/>
  <c r="AA139" i="12" s="1"/>
  <c r="AA15" i="12" a="1"/>
  <c r="AA15" i="12" s="1"/>
  <c r="AA34" i="12" a="1"/>
  <c r="AA34" i="12" s="1"/>
  <c r="AA60" i="12" a="1"/>
  <c r="AA60" i="12" s="1"/>
  <c r="AA14" i="12" a="1"/>
  <c r="AA14" i="12" s="1"/>
  <c r="AA22" i="12" a="1"/>
  <c r="AA22" i="12" s="1"/>
  <c r="AA140" i="12" a="1"/>
  <c r="AA140" i="12" s="1"/>
  <c r="AA59" i="12" a="1"/>
  <c r="AA59" i="12" s="1"/>
  <c r="AA13" i="12" a="1"/>
  <c r="AA13" i="12" s="1"/>
  <c r="AA31" i="12" a="1"/>
  <c r="AA31" i="12" s="1"/>
  <c r="AA39" i="12" a="1"/>
  <c r="AA39" i="12" s="1"/>
  <c r="AA69" i="12" a="1"/>
  <c r="AA69" i="12" s="1"/>
  <c r="AA12" i="12" a="1"/>
  <c r="AA12" i="12" s="1"/>
  <c r="Z70" i="12" a="1"/>
  <c r="Z70" i="12" s="1"/>
  <c r="AA28" i="12" a="1"/>
  <c r="AA28" i="12" s="1"/>
  <c r="AA48" i="12" a="1"/>
  <c r="AA48" i="12" s="1"/>
  <c r="AA68" i="12" a="1"/>
  <c r="AA68" i="12" s="1"/>
  <c r="AA21" i="12" a="1"/>
  <c r="AA21" i="12" s="1"/>
  <c r="O10" i="12" a="1"/>
  <c r="O10" i="12" s="1"/>
  <c r="AA24" i="12" a="1"/>
  <c r="AA24" i="12" s="1"/>
  <c r="AA18" i="12" a="1"/>
  <c r="AA18" i="12" s="1"/>
  <c r="AA10" i="12" a="1"/>
  <c r="AA10" i="12" s="1"/>
  <c r="Z47" i="12" a="1"/>
  <c r="Z47" i="12" s="1"/>
  <c r="AA16" i="12" a="1"/>
  <c r="AA16" i="12" s="1"/>
  <c r="AA107" i="12" a="1"/>
  <c r="AA107" i="12" s="1"/>
  <c r="AA67" i="12" a="1"/>
  <c r="AA67" i="12" s="1"/>
  <c r="Z36" i="12" a="1"/>
  <c r="Z36" i="12" s="1"/>
  <c r="AA20" i="12" a="1"/>
  <c r="AA20" i="12" s="1"/>
  <c r="AA8" i="12" a="1"/>
  <c r="AA8" i="12" s="1"/>
  <c r="AA105" i="12" a="1"/>
  <c r="AA105" i="12" s="1"/>
  <c r="AA85" i="12" a="1"/>
  <c r="AA85" i="12" s="1"/>
  <c r="AA45" i="12" a="1"/>
  <c r="AA45" i="12" s="1"/>
  <c r="AA17" i="12" a="1"/>
  <c r="AA17" i="12" s="1"/>
  <c r="AA104" i="12" a="1"/>
  <c r="AA104" i="12" s="1"/>
  <c r="AA38" i="12" a="1"/>
  <c r="AA38" i="12" s="1"/>
  <c r="AA57" i="12" a="1"/>
  <c r="AA57" i="12" s="1"/>
  <c r="Z54" i="12" a="1"/>
  <c r="Z54" i="12" s="1"/>
  <c r="AA11" i="12" a="1"/>
  <c r="AA11" i="12" s="1"/>
  <c r="AA160" i="12" a="1"/>
  <c r="AA160" i="12" s="1"/>
  <c r="AA103" i="12" a="1"/>
  <c r="AA103" i="12" s="1"/>
  <c r="AA46" i="12" a="1"/>
  <c r="AA46" i="12" s="1"/>
  <c r="AA25" i="12" a="1"/>
  <c r="AA25" i="12" s="1"/>
  <c r="AA7" i="12" a="1"/>
  <c r="AA7" i="12" s="1"/>
  <c r="AA37" i="12" a="1"/>
  <c r="AA37" i="12" s="1"/>
  <c r="AA158" i="12" a="1"/>
  <c r="AA158" i="12" s="1"/>
  <c r="AA72" i="12" a="1"/>
  <c r="AA72" i="12" s="1"/>
  <c r="AA44" i="12" a="1"/>
  <c r="AA44" i="12" s="1"/>
  <c r="AA52" i="12" a="1"/>
  <c r="AA52" i="12" s="1"/>
  <c r="AA157" i="12" a="1"/>
  <c r="AA157" i="12" s="1"/>
  <c r="AA33" i="12" a="1"/>
  <c r="AA33" i="12" s="1"/>
  <c r="AA50" i="12" a="1"/>
  <c r="AA50" i="12" s="1"/>
  <c r="AA152" i="12" a="1"/>
  <c r="AA152" i="12" s="1"/>
  <c r="AA27" i="12" a="1"/>
  <c r="AA27" i="12" s="1"/>
  <c r="AA23" i="12" a="1"/>
  <c r="AA23" i="12" s="1"/>
  <c r="AA53" i="12" a="1"/>
  <c r="AA53" i="12" s="1"/>
  <c r="AA42" i="12" a="1"/>
  <c r="AA42" i="12" s="1"/>
  <c r="AA88" i="12" a="1"/>
  <c r="AA88" i="12" s="1"/>
  <c r="AA26" i="12" a="1"/>
  <c r="AA26" i="12" s="1"/>
  <c r="O12" i="12" a="1"/>
  <c r="O12" i="12" s="1"/>
  <c r="O143" i="12" a="1"/>
  <c r="O143" i="12" s="1"/>
  <c r="O75" i="12" a="1"/>
  <c r="O75" i="12" s="1"/>
  <c r="P33" i="12" a="1"/>
  <c r="P33" i="12" s="1"/>
  <c r="P24" i="12" a="1"/>
  <c r="P24" i="12" s="1"/>
  <c r="P19" i="12" a="1"/>
  <c r="P19" i="12" s="1"/>
  <c r="P74" i="12" a="1"/>
  <c r="P74" i="12" s="1"/>
  <c r="P27" i="12" a="1"/>
  <c r="P27" i="12" s="1"/>
  <c r="O13" i="12" a="1"/>
  <c r="O13" i="12" s="1"/>
  <c r="P25" i="12" a="1"/>
  <c r="P25" i="12" s="1"/>
  <c r="P22" i="12" a="1"/>
  <c r="P22" i="12" s="1"/>
  <c r="P16" i="12" a="1"/>
  <c r="P16" i="12" s="1"/>
  <c r="P73" i="12" a="1"/>
  <c r="P73" i="12" s="1"/>
  <c r="O142" i="12" a="1"/>
  <c r="O142" i="12" s="1"/>
  <c r="P18" i="12" a="1"/>
  <c r="P18" i="12" s="1"/>
  <c r="P15" i="12" a="1"/>
  <c r="P15" i="12" s="1"/>
  <c r="P58" i="12" a="1"/>
  <c r="P58" i="12" s="1"/>
  <c r="P17" i="12" a="1"/>
  <c r="P17" i="12" s="1"/>
  <c r="P57" i="12" a="1"/>
  <c r="P57" i="12" s="1"/>
  <c r="P14" i="12" a="1"/>
  <c r="P14" i="12" s="1"/>
  <c r="P8" i="12" a="1"/>
  <c r="P8" i="12" s="1"/>
  <c r="P141" i="12" a="1"/>
  <c r="P141" i="12" s="1"/>
  <c r="P48" i="12" a="1"/>
  <c r="P48" i="12" s="1"/>
  <c r="P9" i="12" a="1"/>
  <c r="P9" i="12" s="1"/>
  <c r="P60" i="12" a="1"/>
  <c r="P60" i="12" s="1"/>
  <c r="P136" i="12" a="1"/>
  <c r="P136" i="12" s="1"/>
  <c r="P47" i="12" a="1"/>
  <c r="P47" i="12" s="1"/>
  <c r="P7" i="12" a="1"/>
  <c r="P7" i="12" s="1"/>
  <c r="P59" i="12" a="1"/>
  <c r="P59" i="12" s="1"/>
  <c r="P135" i="12" a="1"/>
  <c r="P135" i="12" s="1"/>
  <c r="P45" i="12" a="1"/>
  <c r="P45" i="12" s="1"/>
  <c r="P50" i="12" a="1"/>
  <c r="P50" i="12" s="1"/>
  <c r="P134" i="12" a="1"/>
  <c r="P134" i="12" s="1"/>
  <c r="P38" i="12" a="1"/>
  <c r="P38" i="12" s="1"/>
  <c r="P42" i="12" a="1"/>
  <c r="P42" i="12" s="1"/>
  <c r="P49" i="12" a="1"/>
  <c r="P49" i="12" s="1"/>
  <c r="P125" i="12" a="1"/>
  <c r="P125" i="12" s="1"/>
  <c r="P37" i="12" a="1"/>
  <c r="P37" i="12" s="1"/>
  <c r="E9" i="12" a="1"/>
  <c r="E9" i="12" s="1"/>
  <c r="P43" i="12" a="1"/>
  <c r="P43" i="12" s="1"/>
  <c r="P40" i="12" a="1"/>
  <c r="P40" i="12" s="1"/>
  <c r="P124" i="12" a="1"/>
  <c r="P124" i="12" s="1"/>
  <c r="P29" i="12" a="1"/>
  <c r="P29" i="12" s="1"/>
  <c r="P46" i="12" a="1"/>
  <c r="P46" i="12" s="1"/>
  <c r="P39" i="12" a="1"/>
  <c r="P39" i="12" s="1"/>
  <c r="P123" i="12" a="1"/>
  <c r="P123" i="12" s="1"/>
  <c r="P41" i="12" a="1"/>
  <c r="P41" i="12" s="1"/>
  <c r="P36" i="12" a="1"/>
  <c r="P36" i="12" s="1"/>
  <c r="P31" i="12" a="1"/>
  <c r="P31" i="12" s="1"/>
  <c r="P93" i="12" a="1"/>
  <c r="P93" i="12" s="1"/>
  <c r="P21" i="12" a="1"/>
  <c r="P21" i="12" s="1"/>
  <c r="P44" i="12" a="1"/>
  <c r="P44" i="12" s="1"/>
  <c r="P34" i="12" a="1"/>
  <c r="P34" i="12" s="1"/>
  <c r="P91" i="12" a="1"/>
  <c r="P91" i="12" s="1"/>
  <c r="P20" i="12" a="1"/>
  <c r="P20" i="12" s="1"/>
  <c r="P35" i="12" a="1"/>
  <c r="P35" i="12" s="1"/>
  <c r="P32" i="12" a="1"/>
  <c r="P32" i="12" s="1"/>
  <c r="P30" i="12" a="1"/>
  <c r="P30" i="12" s="1"/>
  <c r="P11" i="12" a="1"/>
  <c r="P11" i="12" s="1"/>
  <c r="P28" i="12" a="1"/>
  <c r="P28" i="12" s="1"/>
  <c r="P26" i="12" a="1"/>
  <c r="P26" i="12" s="1"/>
  <c r="P23" i="12" a="1"/>
  <c r="P23" i="12" s="1"/>
  <c r="P90" i="12" a="1"/>
  <c r="P90" i="12" s="1"/>
  <c r="D90" i="12" a="1"/>
  <c r="D90" i="12" s="1"/>
  <c r="D74" i="12" a="1"/>
  <c r="D74" i="12" s="1"/>
  <c r="D43" i="12" a="1"/>
  <c r="D43" i="12" s="1"/>
  <c r="E57" i="12" a="1"/>
  <c r="E57" i="12" s="1"/>
  <c r="E24" i="12" a="1"/>
  <c r="E24" i="12" s="1"/>
  <c r="E25" i="12" a="1"/>
  <c r="E25" i="12" s="1"/>
  <c r="E18" i="12" a="1"/>
  <c r="E18" i="12" s="1"/>
  <c r="E16" i="12" a="1"/>
  <c r="E16" i="12" s="1"/>
  <c r="E59" i="12" a="1"/>
  <c r="E59" i="12" s="1"/>
  <c r="E51" i="12" a="1"/>
  <c r="E51" i="12" s="1"/>
  <c r="E50" i="12" a="1"/>
  <c r="E50" i="12" s="1"/>
  <c r="E75" i="12" a="1"/>
  <c r="E75" i="12" s="1"/>
  <c r="E28" i="12" a="1"/>
  <c r="E28" i="12" s="1"/>
  <c r="E60" i="12" a="1"/>
  <c r="E60" i="12" s="1"/>
  <c r="E12" i="12" a="1"/>
  <c r="E12" i="12" s="1"/>
  <c r="E47" i="12" a="1"/>
  <c r="E47" i="12" s="1"/>
  <c r="D33" i="12" a="1"/>
  <c r="D33" i="12" s="1"/>
  <c r="E21" i="12" a="1"/>
  <c r="E21" i="12" s="1"/>
  <c r="E14" i="12" a="1"/>
  <c r="E14" i="12" s="1"/>
  <c r="E73" i="12" a="1"/>
  <c r="E73" i="12" s="1"/>
  <c r="E17" i="12" a="1"/>
  <c r="E17" i="12" s="1"/>
  <c r="E15" i="12" a="1"/>
  <c r="E15" i="12" s="1"/>
  <c r="E8" i="12" a="1"/>
  <c r="E8" i="12" s="1"/>
  <c r="E11" i="12" a="1"/>
  <c r="E11" i="12" s="1"/>
  <c r="E143" i="12" a="1"/>
  <c r="E143" i="12" s="1"/>
  <c r="E7" i="12" a="1"/>
  <c r="E7" i="12" s="1"/>
  <c r="E142" i="12" a="1"/>
  <c r="E142" i="12" s="1"/>
  <c r="E42" i="12" a="1"/>
  <c r="E42" i="12" s="1"/>
  <c r="E39" i="12" a="1"/>
  <c r="E39" i="12" s="1"/>
  <c r="E46" i="12" a="1"/>
  <c r="E46" i="12" s="1"/>
  <c r="E141" i="12" a="1"/>
  <c r="E141" i="12" s="1"/>
  <c r="E32" i="12" a="1"/>
  <c r="E32" i="12" s="1"/>
  <c r="E45" i="12" a="1"/>
  <c r="E45" i="12" s="1"/>
  <c r="E136" i="12" a="1"/>
  <c r="E136" i="12" s="1"/>
  <c r="E92" i="12" a="1"/>
  <c r="E92" i="12" s="1"/>
  <c r="E48" i="12" a="1"/>
  <c r="E48" i="12" s="1"/>
  <c r="E37" i="12" a="1"/>
  <c r="E37" i="12" s="1"/>
  <c r="E135" i="12" a="1"/>
  <c r="E135" i="12" s="1"/>
  <c r="E23" i="12" a="1"/>
  <c r="E23" i="12" s="1"/>
  <c r="E30" i="12" a="1"/>
  <c r="E30" i="12" s="1"/>
  <c r="D36" i="12" a="1"/>
  <c r="D36" i="12" s="1"/>
  <c r="E44" i="12" a="1"/>
  <c r="E44" i="12" s="1"/>
  <c r="E134" i="12" a="1"/>
  <c r="E134" i="12" s="1"/>
  <c r="E22" i="12" a="1"/>
  <c r="E22" i="12" s="1"/>
  <c r="E29" i="12" a="1"/>
  <c r="E29" i="12" s="1"/>
  <c r="D34" i="12" a="1"/>
  <c r="D34" i="12" s="1"/>
  <c r="E40" i="12" a="1"/>
  <c r="E40" i="12" s="1"/>
  <c r="E125" i="12" a="1"/>
  <c r="E125" i="12" s="1"/>
  <c r="E91" i="12" a="1"/>
  <c r="E91" i="12" s="1"/>
  <c r="E38" i="12" a="1"/>
  <c r="E38" i="12" s="1"/>
  <c r="E41" i="12" a="1"/>
  <c r="E41" i="12" s="1"/>
  <c r="E19" i="12" a="1"/>
  <c r="E19" i="12" s="1"/>
  <c r="E35" i="12" a="1"/>
  <c r="E35" i="12" s="1"/>
  <c r="E27" i="12" a="1"/>
  <c r="E27" i="12" s="1"/>
  <c r="E124" i="12" a="1"/>
  <c r="E124" i="12" s="1"/>
  <c r="E13" i="12" a="1"/>
  <c r="E13" i="12" s="1"/>
  <c r="E10" i="12" a="1"/>
  <c r="E10" i="12" s="1"/>
  <c r="E31" i="12" a="1"/>
  <c r="E31" i="12" s="1"/>
  <c r="E26" i="12" a="1"/>
  <c r="E26" i="12" s="1"/>
  <c r="E123" i="12" a="1"/>
  <c r="E123" i="12" s="1"/>
  <c r="O12" i="11" a="1"/>
  <c r="O12" i="11" s="1"/>
  <c r="P7" i="11" a="1"/>
  <c r="P7" i="11" s="1"/>
  <c r="O13" i="11" a="1"/>
  <c r="O13" i="11" s="1"/>
  <c r="P20" i="11" a="1"/>
  <c r="P20" i="11" s="1"/>
  <c r="P19" i="11" a="1"/>
  <c r="P19" i="11" s="1"/>
  <c r="E7" i="11" a="1"/>
  <c r="E7" i="11" s="1"/>
  <c r="P49" i="11" a="1"/>
  <c r="P49" i="11" s="1"/>
  <c r="P47" i="11" a="1"/>
  <c r="P47" i="11" s="1"/>
  <c r="P45" i="11" a="1"/>
  <c r="P45" i="11" s="1"/>
  <c r="P44" i="11" a="1"/>
  <c r="P44" i="11" s="1"/>
  <c r="P34" i="11" a="1"/>
  <c r="P34" i="11" s="1"/>
  <c r="P33" i="11" a="1"/>
  <c r="P33" i="11" s="1"/>
  <c r="P29" i="11" a="1"/>
  <c r="P29" i="11" s="1"/>
  <c r="P18" i="11" a="1"/>
  <c r="P18" i="11" s="1"/>
  <c r="P17" i="11" a="1"/>
  <c r="P17" i="11" s="1"/>
  <c r="O28" i="11" a="1"/>
  <c r="O28" i="11" s="1"/>
  <c r="O11" i="11" a="1"/>
  <c r="O11" i="11" s="1"/>
  <c r="P32" i="11" a="1"/>
  <c r="P32" i="11" s="1"/>
  <c r="P46" i="11" a="1"/>
  <c r="P46" i="11" s="1"/>
  <c r="P31" i="11" a="1"/>
  <c r="P31" i="11" s="1"/>
  <c r="P142" i="11" a="1"/>
  <c r="P142" i="11" s="1"/>
  <c r="P16" i="11" a="1"/>
  <c r="P16" i="11" s="1"/>
  <c r="P134" i="11" a="1"/>
  <c r="P134" i="11" s="1"/>
  <c r="P30" i="11" a="1"/>
  <c r="P30" i="11" s="1"/>
  <c r="P15" i="11" a="1"/>
  <c r="P15" i="11" s="1"/>
  <c r="P122" i="11" a="1"/>
  <c r="P122" i="11" s="1"/>
  <c r="P43" i="11" a="1"/>
  <c r="P43" i="11" s="1"/>
  <c r="O50" i="11" a="1"/>
  <c r="O50" i="11" s="1"/>
  <c r="P91" i="11" a="1"/>
  <c r="P91" i="11" s="1"/>
  <c r="P42" i="11" a="1"/>
  <c r="P42" i="11" s="1"/>
  <c r="P14" i="11" a="1"/>
  <c r="P14" i="11" s="1"/>
  <c r="P74" i="11" a="1"/>
  <c r="P74" i="11" s="1"/>
  <c r="P41" i="11" a="1"/>
  <c r="P41" i="11" s="1"/>
  <c r="P27" i="11" a="1"/>
  <c r="P27" i="11" s="1"/>
  <c r="P40" i="11" a="1"/>
  <c r="P40" i="11" s="1"/>
  <c r="P26" i="11" a="1"/>
  <c r="P26" i="11" s="1"/>
  <c r="P60" i="11" a="1"/>
  <c r="P60" i="11" s="1"/>
  <c r="P39" i="11" a="1"/>
  <c r="P39" i="11" s="1"/>
  <c r="P25" i="11" a="1"/>
  <c r="P25" i="11" s="1"/>
  <c r="O35" i="11" a="1"/>
  <c r="O35" i="11" s="1"/>
  <c r="P59" i="11" a="1"/>
  <c r="P59" i="11" s="1"/>
  <c r="P24" i="11" a="1"/>
  <c r="P24" i="11" s="1"/>
  <c r="P10" i="11" a="1"/>
  <c r="P10" i="11" s="1"/>
  <c r="P58" i="11" a="1"/>
  <c r="P58" i="11" s="1"/>
  <c r="P38" i="11" a="1"/>
  <c r="P38" i="11" s="1"/>
  <c r="P23" i="11" a="1"/>
  <c r="P23" i="11" s="1"/>
  <c r="P9" i="11" a="1"/>
  <c r="P9" i="11" s="1"/>
  <c r="P57" i="11" a="1"/>
  <c r="P57" i="11" s="1"/>
  <c r="P37" i="11" a="1"/>
  <c r="P37" i="11" s="1"/>
  <c r="P8" i="11" a="1"/>
  <c r="P8" i="11" s="1"/>
  <c r="P51" i="11" a="1"/>
  <c r="P51" i="11" s="1"/>
  <c r="P36" i="11" a="1"/>
  <c r="P36" i="11" s="1"/>
  <c r="P22" i="11" a="1"/>
  <c r="P22" i="11" s="1"/>
  <c r="O21" i="11" a="1"/>
  <c r="O21" i="11" s="1"/>
  <c r="E15" i="11" a="1"/>
  <c r="E15" i="11" s="1"/>
  <c r="E40" i="11" a="1"/>
  <c r="E40" i="11" s="1"/>
  <c r="E39" i="11" a="1"/>
  <c r="E39" i="11" s="1"/>
  <c r="E41" i="11" a="1"/>
  <c r="E41" i="11" s="1"/>
  <c r="E38" i="11" a="1"/>
  <c r="E38" i="11" s="1"/>
  <c r="E29" i="11" a="1"/>
  <c r="E29" i="11" s="1"/>
  <c r="E28" i="11" a="1"/>
  <c r="E28" i="11" s="1"/>
  <c r="E25" i="11" a="1"/>
  <c r="E25" i="11" s="1"/>
  <c r="E14" i="11" a="1"/>
  <c r="E14" i="11" s="1"/>
  <c r="E13" i="11" a="1"/>
  <c r="E13" i="11" s="1"/>
  <c r="E60" i="11" a="1"/>
  <c r="E60" i="11" s="1"/>
  <c r="E59" i="11" a="1"/>
  <c r="E59" i="11" s="1"/>
  <c r="E57" i="11" a="1"/>
  <c r="E57" i="11" s="1"/>
  <c r="D42" i="11" a="1"/>
  <c r="D42" i="11" s="1"/>
  <c r="E27" i="11" a="1"/>
  <c r="E27" i="11" s="1"/>
  <c r="E58" i="11" a="1"/>
  <c r="E58" i="11" s="1"/>
  <c r="E26" i="11" a="1"/>
  <c r="E26" i="11" s="1"/>
  <c r="D32" i="11" a="1"/>
  <c r="D32" i="11" s="1"/>
  <c r="E51" i="11" a="1"/>
  <c r="E51" i="11" s="1"/>
  <c r="E24" i="11" a="1"/>
  <c r="E24" i="11" s="1"/>
  <c r="E12" i="11" a="1"/>
  <c r="E12" i="11" s="1"/>
  <c r="D31" i="11" a="1"/>
  <c r="D31" i="11" s="1"/>
  <c r="E50" i="11" a="1"/>
  <c r="E50" i="11" s="1"/>
  <c r="E37" i="11" a="1"/>
  <c r="E37" i="11" s="1"/>
  <c r="E23" i="11" a="1"/>
  <c r="E23" i="11" s="1"/>
  <c r="E11" i="11" a="1"/>
  <c r="E11" i="11" s="1"/>
  <c r="D134" i="11" a="1"/>
  <c r="D134" i="11" s="1"/>
  <c r="E49" i="11" a="1"/>
  <c r="E49" i="11" s="1"/>
  <c r="E36" i="11" a="1"/>
  <c r="E36" i="11" s="1"/>
  <c r="E10" i="11" a="1"/>
  <c r="E10" i="11" s="1"/>
  <c r="D122" i="11" a="1"/>
  <c r="D122" i="11" s="1"/>
  <c r="E48" i="11" a="1"/>
  <c r="E48" i="11" s="1"/>
  <c r="E35" i="11" a="1"/>
  <c r="E35" i="11" s="1"/>
  <c r="E22" i="11" a="1"/>
  <c r="E22" i="11" s="1"/>
  <c r="E9" i="11" a="1"/>
  <c r="E9" i="11" s="1"/>
  <c r="D92" i="11" a="1"/>
  <c r="D92" i="11" s="1"/>
  <c r="E34" i="11" a="1"/>
  <c r="E34" i="11" s="1"/>
  <c r="E8" i="11" a="1"/>
  <c r="E8" i="11" s="1"/>
  <c r="D74" i="11" a="1"/>
  <c r="D74" i="11" s="1"/>
  <c r="E46" i="11" a="1"/>
  <c r="E46" i="11" s="1"/>
  <c r="E33" i="11" a="1"/>
  <c r="E33" i="11" s="1"/>
  <c r="E21" i="11" a="1"/>
  <c r="E21" i="11" s="1"/>
  <c r="E20" i="11" a="1"/>
  <c r="E20" i="11" s="1"/>
  <c r="E45" i="11" a="1"/>
  <c r="E45" i="11" s="1"/>
  <c r="E19" i="11" a="1"/>
  <c r="E19" i="11" s="1"/>
  <c r="E44" i="11" a="1"/>
  <c r="E44" i="11" s="1"/>
  <c r="E18" i="11" a="1"/>
  <c r="E18" i="11" s="1"/>
  <c r="E43" i="11" a="1"/>
  <c r="E43" i="11" s="1"/>
  <c r="E30" i="11" a="1"/>
  <c r="E30" i="11" s="1"/>
  <c r="E17" i="11" a="1"/>
  <c r="E17" i="11" s="1"/>
  <c r="E16" i="11" a="1"/>
  <c r="E16" i="11" s="1"/>
  <c r="E274" i="10" a="1"/>
  <c r="E274" i="10" s="1"/>
  <c r="E257" i="10" a="1"/>
  <c r="E257" i="10" s="1"/>
  <c r="E240" i="10" a="1"/>
  <c r="E240" i="10" s="1"/>
  <c r="E482" i="10" a="1"/>
  <c r="E482" i="10" s="1"/>
  <c r="E465" i="10" a="1"/>
  <c r="E465" i="10" s="1"/>
  <c r="E658" i="10" a="1"/>
  <c r="E658" i="10" s="1"/>
  <c r="E641" i="10" a="1"/>
  <c r="E641" i="10" s="1"/>
  <c r="E241" i="10" a="1"/>
  <c r="E241" i="10" s="1"/>
  <c r="E498" i="10" a="1"/>
  <c r="E498" i="10" s="1"/>
  <c r="E481" i="10" a="1"/>
  <c r="E481" i="10" s="1"/>
  <c r="E464" i="10" a="1"/>
  <c r="E464" i="10" s="1"/>
  <c r="E657" i="10" a="1"/>
  <c r="E657" i="10" s="1"/>
  <c r="E640" i="10" a="1"/>
  <c r="E640" i="10" s="1"/>
  <c r="E242" i="10" a="1"/>
  <c r="E242" i="10" s="1"/>
  <c r="E256" i="10" a="1"/>
  <c r="E256" i="10" s="1"/>
  <c r="E82" i="10" a="1"/>
  <c r="E82" i="10" s="1"/>
  <c r="E370" i="10" a="1"/>
  <c r="E370" i="10" s="1"/>
  <c r="E353" i="10" a="1"/>
  <c r="E353" i="10" s="1"/>
  <c r="E497" i="10" a="1"/>
  <c r="E497" i="10" s="1"/>
  <c r="E480" i="10" a="1"/>
  <c r="E480" i="10" s="1"/>
  <c r="E656" i="10" a="1"/>
  <c r="E656" i="10" s="1"/>
  <c r="E258" i="10" a="1"/>
  <c r="E258" i="10" s="1"/>
  <c r="E466" i="10" a="1"/>
  <c r="E466" i="10" s="1"/>
  <c r="E114" i="10" a="1"/>
  <c r="E114" i="10" s="1"/>
  <c r="E98" i="10" a="1"/>
  <c r="E98" i="10" s="1"/>
  <c r="E81" i="10" a="1"/>
  <c r="E81" i="10" s="1"/>
  <c r="E64" i="10" a="1"/>
  <c r="E64" i="10" s="1"/>
  <c r="E130" i="10" a="1"/>
  <c r="E130" i="10" s="1"/>
  <c r="E113" i="10" a="1"/>
  <c r="E113" i="10" s="1"/>
  <c r="E386" i="10" a="1"/>
  <c r="E386" i="10" s="1"/>
  <c r="E369" i="10" a="1"/>
  <c r="E369" i="10" s="1"/>
  <c r="E352" i="10" a="1"/>
  <c r="E352" i="10" s="1"/>
  <c r="E496" i="10" a="1"/>
  <c r="E496" i="10" s="1"/>
  <c r="D642" i="10" a="1"/>
  <c r="D642" i="10" s="1"/>
  <c r="D626" i="10" a="1"/>
  <c r="D626" i="10" s="1"/>
  <c r="D610" i="10" a="1"/>
  <c r="D610" i="10" s="1"/>
  <c r="D594" i="10" a="1"/>
  <c r="D594" i="10" s="1"/>
  <c r="D578" i="10" a="1"/>
  <c r="D578" i="10" s="1"/>
  <c r="D562" i="10" a="1"/>
  <c r="D562" i="10" s="1"/>
  <c r="D546" i="10" a="1"/>
  <c r="D546" i="10" s="1"/>
  <c r="D530" i="10" a="1"/>
  <c r="D530" i="10" s="1"/>
  <c r="D514" i="10" a="1"/>
  <c r="D514" i="10" s="1"/>
  <c r="D450" i="10" a="1"/>
  <c r="D450" i="10" s="1"/>
  <c r="D434" i="10" a="1"/>
  <c r="D434" i="10" s="1"/>
  <c r="D418" i="10" a="1"/>
  <c r="D418" i="10" s="1"/>
  <c r="D402" i="10" a="1"/>
  <c r="D402" i="10" s="1"/>
  <c r="E272" i="10" a="1"/>
  <c r="E272" i="10" s="1"/>
  <c r="E97" i="10" a="1"/>
  <c r="E97" i="10" s="1"/>
  <c r="E80" i="10" a="1"/>
  <c r="E80" i="10" s="1"/>
  <c r="E146" i="10" a="1"/>
  <c r="E146" i="10" s="1"/>
  <c r="E128" i="10" a="1"/>
  <c r="E128" i="10" s="1"/>
  <c r="E112" i="10" a="1"/>
  <c r="E112" i="10" s="1"/>
  <c r="E385" i="10" a="1"/>
  <c r="E385" i="10" s="1"/>
  <c r="E368" i="10" a="1"/>
  <c r="E368" i="10" s="1"/>
  <c r="E512" i="10" a="1"/>
  <c r="E512" i="10" s="1"/>
  <c r="D625" i="10" a="1"/>
  <c r="D625" i="10" s="1"/>
  <c r="D609" i="10" a="1"/>
  <c r="D609" i="10" s="1"/>
  <c r="D593" i="10" a="1"/>
  <c r="D593" i="10" s="1"/>
  <c r="D577" i="10" a="1"/>
  <c r="D577" i="10" s="1"/>
  <c r="D561" i="10" a="1"/>
  <c r="D561" i="10" s="1"/>
  <c r="D545" i="10" a="1"/>
  <c r="D545" i="10" s="1"/>
  <c r="D529" i="10" a="1"/>
  <c r="D529" i="10" s="1"/>
  <c r="D513" i="10" a="1"/>
  <c r="D513" i="10" s="1"/>
  <c r="D449" i="10" a="1"/>
  <c r="D449" i="10" s="1"/>
  <c r="D433" i="10" a="1"/>
  <c r="D433" i="10" s="1"/>
  <c r="D417" i="10" a="1"/>
  <c r="D417" i="10" s="1"/>
  <c r="D401" i="10" a="1"/>
  <c r="D401" i="10" s="1"/>
  <c r="E66" i="10" a="1"/>
  <c r="E66" i="10" s="1"/>
  <c r="E273" i="10" a="1"/>
  <c r="E273" i="10" s="1"/>
  <c r="E354" i="10" a="1"/>
  <c r="E354" i="10" s="1"/>
  <c r="E65" i="10" a="1"/>
  <c r="E65" i="10" s="1"/>
  <c r="E96" i="10" a="1"/>
  <c r="E96" i="10" s="1"/>
  <c r="E162" i="10" a="1"/>
  <c r="E162" i="10" s="1"/>
  <c r="E145" i="10" a="1"/>
  <c r="E145" i="10" s="1"/>
  <c r="E384" i="10" a="1"/>
  <c r="E384" i="10" s="1"/>
  <c r="D624" i="10" a="1"/>
  <c r="D624" i="10" s="1"/>
  <c r="D608" i="10" a="1"/>
  <c r="D608" i="10" s="1"/>
  <c r="D592" i="10" a="1"/>
  <c r="D592" i="10" s="1"/>
  <c r="D576" i="10" a="1"/>
  <c r="D576" i="10" s="1"/>
  <c r="D560" i="10" a="1"/>
  <c r="D560" i="10" s="1"/>
  <c r="D544" i="10" a="1"/>
  <c r="D544" i="10" s="1"/>
  <c r="D528" i="10" a="1"/>
  <c r="D528" i="10" s="1"/>
  <c r="D448" i="10" a="1"/>
  <c r="D448" i="10" s="1"/>
  <c r="D432" i="10" a="1"/>
  <c r="D432" i="10" s="1"/>
  <c r="D416" i="10" a="1"/>
  <c r="D416" i="10" s="1"/>
  <c r="D400" i="10" a="1"/>
  <c r="D400" i="10" s="1"/>
  <c r="D338" i="10" a="1"/>
  <c r="D338" i="10" s="1"/>
  <c r="D322" i="10" a="1"/>
  <c r="D322" i="10" s="1"/>
  <c r="D306" i="10" a="1"/>
  <c r="D306" i="10" s="1"/>
  <c r="D290" i="10" a="1"/>
  <c r="D290" i="10" s="1"/>
  <c r="E161" i="10" a="1"/>
  <c r="E161" i="10" s="1"/>
  <c r="E144" i="10" a="1"/>
  <c r="E144" i="10" s="1"/>
  <c r="D337" i="10" a="1"/>
  <c r="D337" i="10" s="1"/>
  <c r="D321" i="10" a="1"/>
  <c r="D321" i="10" s="1"/>
  <c r="D305" i="10" a="1"/>
  <c r="D305" i="10" s="1"/>
  <c r="D289" i="10" a="1"/>
  <c r="D289" i="10" s="1"/>
  <c r="E160" i="10" a="1"/>
  <c r="E160" i="10" s="1"/>
  <c r="D336" i="10" a="1"/>
  <c r="D336" i="10" s="1"/>
  <c r="D320" i="10" a="1"/>
  <c r="D320" i="10" s="1"/>
  <c r="D304" i="10" a="1"/>
  <c r="D304" i="10" s="1"/>
  <c r="D288" i="10" a="1"/>
  <c r="D288" i="10" s="1"/>
  <c r="D210" i="10" a="1"/>
  <c r="D210" i="10" s="1"/>
  <c r="D194" i="10" a="1"/>
  <c r="D194" i="10" s="1"/>
  <c r="D178" i="10" a="1"/>
  <c r="D178" i="10" s="1"/>
  <c r="D209" i="10" a="1"/>
  <c r="D209" i="10" s="1"/>
  <c r="D193" i="10" a="1"/>
  <c r="D193" i="10" s="1"/>
  <c r="D177" i="10" a="1"/>
  <c r="D177" i="10" s="1"/>
  <c r="D192" i="10" a="1"/>
  <c r="D192" i="10" s="1"/>
  <c r="D176" i="10" a="1"/>
  <c r="D176" i="10" s="1"/>
  <c r="D34" i="10" a="1"/>
  <c r="D34" i="10" s="1"/>
  <c r="D18" i="10" a="1"/>
  <c r="D18" i="10" s="1"/>
  <c r="D17" i="10" a="1"/>
  <c r="D17" i="10" s="1"/>
  <c r="W20" i="14" l="1"/>
  <c r="W25" i="14"/>
  <c r="W24" i="14"/>
  <c r="W14" i="14"/>
  <c r="W15" i="14"/>
  <c r="W16" i="14"/>
  <c r="W21" i="14"/>
  <c r="X20" i="14" s="1"/>
  <c r="W26" i="14"/>
  <c r="W13" i="14"/>
  <c r="W27" i="14"/>
  <c r="W28" i="14"/>
  <c r="W17" i="14"/>
  <c r="W29" i="14"/>
  <c r="W18" i="14"/>
  <c r="W30" i="14"/>
  <c r="W19" i="14"/>
  <c r="W31" i="14"/>
  <c r="W3" i="14"/>
  <c r="W32" i="14"/>
  <c r="W4" i="14"/>
  <c r="W5" i="14"/>
  <c r="W6" i="14"/>
  <c r="W7" i="14"/>
  <c r="W8" i="14"/>
  <c r="W9" i="14"/>
  <c r="W10" i="14"/>
  <c r="W2" i="14"/>
  <c r="O7" i="14"/>
  <c r="O14" i="14"/>
  <c r="O11" i="14"/>
  <c r="O12" i="14"/>
  <c r="O9" i="14"/>
  <c r="K25" i="14"/>
  <c r="K22" i="14"/>
  <c r="K23" i="14"/>
  <c r="K20" i="14"/>
  <c r="K18" i="14"/>
  <c r="K9" i="14"/>
  <c r="K5" i="14"/>
  <c r="O28" i="14"/>
  <c r="O23" i="14"/>
  <c r="O26" i="14"/>
  <c r="O2" i="14"/>
  <c r="O25" i="14"/>
  <c r="O27" i="14"/>
  <c r="O24" i="14"/>
  <c r="O18" i="14"/>
  <c r="O22" i="14"/>
  <c r="O19" i="14"/>
  <c r="O17" i="14"/>
  <c r="O21" i="14"/>
  <c r="O20" i="14"/>
  <c r="K14" i="14"/>
  <c r="O3" i="14"/>
  <c r="O10" i="14"/>
  <c r="O5" i="14"/>
  <c r="O6" i="14"/>
  <c r="O8" i="14"/>
  <c r="O13" i="14"/>
  <c r="K12" i="14"/>
  <c r="K17" i="14"/>
  <c r="K19" i="14"/>
  <c r="K21" i="14"/>
  <c r="K24" i="14"/>
  <c r="O4" i="14"/>
  <c r="K11" i="14"/>
  <c r="K13" i="14"/>
  <c r="X13" i="14" l="1"/>
  <c r="X2" i="14"/>
  <c r="X24" i="14"/>
  <c r="X31" i="14"/>
  <c r="X17" i="14"/>
  <c r="X28" i="14"/>
  <c r="X9" i="14"/>
  <c r="X26" i="14"/>
  <c r="X6" i="14"/>
  <c r="X15" i="14"/>
  <c r="X4" i="14"/>
  <c r="X11" i="14" s="1"/>
  <c r="O15" i="14"/>
  <c r="K26" i="14"/>
  <c r="K15" i="14"/>
  <c r="O29" i="14"/>
  <c r="X22" i="14" l="1"/>
  <c r="X33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<sst xmlns="http://schemas.openxmlformats.org/spreadsheetml/2006/main" count="330" uniqueCount="58">
  <si>
    <t>neqn</t>
  </si>
  <si>
    <t>Metodo</t>
  </si>
  <si>
    <t>Problema</t>
  </si>
  <si>
    <t>Hebras</t>
  </si>
  <si>
    <t>nx</t>
  </si>
  <si>
    <t>T (s)</t>
  </si>
  <si>
    <t>Tipo</t>
  </si>
  <si>
    <t>En OMP, Problema 1, Simple AdvDiff</t>
  </si>
  <si>
    <t>En CUDA, Problemas 1 y 2, Simple AdvDiff, sin y con shuffle</t>
  </si>
  <si>
    <t>En OMP, problema 3, AdvDiff1d</t>
  </si>
  <si>
    <t>En CUDA, problemas 3 y 4, AdvDiff1d, sin y con shuffle</t>
  </si>
  <si>
    <t>En OMP, problema 3, Brusselator1d</t>
  </si>
  <si>
    <t>En CUDA, problemas 5, 6, y 7, Brusselator1d estándar, con shuffle, y multidimensional</t>
  </si>
  <si>
    <t>En OMP, problema 4, Brusselator2d</t>
  </si>
  <si>
    <t>En CUDA, problemas 7 y 8, Brusselator2d, sin y con shuffle</t>
  </si>
  <si>
    <t>En OMP, problema 2, AdvDiff1d</t>
  </si>
  <si>
    <t>RungeKutta, métodos 1 y 2, en OMP paralelismo en operaciones y elementos, en CUDA sin y con graph</t>
  </si>
  <si>
    <t>Adams-Bashford, métodos 3 y 4, en OMP paralelismo en operaciones y elementos, en CUDA sin y con graph</t>
  </si>
  <si>
    <t>Adams-Bashford-Moulton, métodos 5 y 6, en OMP paralelismo de operaciones y elementos, en CUDA sin y con graph</t>
  </si>
  <si>
    <t>OMP Operaciones</t>
  </si>
  <si>
    <t>OMP Elementos</t>
  </si>
  <si>
    <t>CUDA con graph</t>
  </si>
  <si>
    <t>CUDA sin graph</t>
  </si>
  <si>
    <t>Tecnología</t>
  </si>
  <si>
    <t>OMP</t>
  </si>
  <si>
    <t>CUDA</t>
  </si>
  <si>
    <t>Simple Advdiff</t>
  </si>
  <si>
    <t>Advdiff1d</t>
  </si>
  <si>
    <t>Brusselator1d</t>
  </si>
  <si>
    <t>Brusselator2d</t>
  </si>
  <si>
    <t>Nombre</t>
  </si>
  <si>
    <t>Solver</t>
  </si>
  <si>
    <t>Simple Advdiff shuffle</t>
  </si>
  <si>
    <t>Advdiff1d shuffle</t>
  </si>
  <si>
    <t>Brusselator1d shuffle</t>
  </si>
  <si>
    <t>Brusselator1d grid</t>
  </si>
  <si>
    <t>Brusselator2d shuffle</t>
  </si>
  <si>
    <t>Nombre Problema</t>
  </si>
  <si>
    <t>Tipo Teconología</t>
  </si>
  <si>
    <t>Tablas</t>
  </si>
  <si>
    <t>Adams Bashford Moulton</t>
  </si>
  <si>
    <t>Adams Bashford</t>
  </si>
  <si>
    <t>AdvDiff1d</t>
  </si>
  <si>
    <t>RK Simple Advdiff</t>
  </si>
  <si>
    <t>RK AdvDiff1d</t>
  </si>
  <si>
    <t>RK Brusselator1d</t>
  </si>
  <si>
    <t>RK Brusselator2d</t>
  </si>
  <si>
    <t>AB Simple Advdiff</t>
  </si>
  <si>
    <t>AB AdvDiff1d</t>
  </si>
  <si>
    <t>AB Brusselator1d</t>
  </si>
  <si>
    <t>AB Brusselator2d</t>
  </si>
  <si>
    <t>ABM Simple Advdiff</t>
  </si>
  <si>
    <t>ABM AdvDiff1d</t>
  </si>
  <si>
    <t>ABM Brusselator1d</t>
  </si>
  <si>
    <t>ABM Brusselator2d</t>
  </si>
  <si>
    <t>Recuento Tablas</t>
  </si>
  <si>
    <t>Recuento Total</t>
  </si>
  <si>
    <t>Runge Kutta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</si>
</sst>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color theme="1"/>
      <name val="Arial"/>
      <family val="2"/>
    </font>
    <font>
      <b/>
      <sz val="22"/>
      <name val="Arial"/>
      <family val="2"/>
    </font>
    <font>
      <sz val="11"/>
      <color rgb="FF000000"/>
      <name val="Calibri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D89D194E-CA5F-4855-A0B5-64A43A9925C3}"/>
    <cellStyle name="Normal 3" xfId="2" xr:uid="{6CF34208-5398-4084-A71F-E5DD15E8A85B}"/>
  </cellStyles>
  <dxfs count="1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70BC4-9E9D-4D2E-8042-DA55B673D5D8}" name="Runge1" displayName="Runge1" ref="B6:K158" totalsRowShown="0" headerRowDxfId="161" dataDxfId="160">
  <autoFilter ref="B6:K158" xr:uid="{CCE70BC4-9E9D-4D2E-8042-DA55B673D5D8}"/>
  <sortState xmlns:xlrd2="http://schemas.microsoft.com/office/spreadsheetml/2017/richdata2" ref="B7:K158">
    <sortCondition ref="J6:J158"/>
  </sortState>
  <tableColumns count="10">
    <tableColumn id="10" xr3:uid="{AEC86852-44DF-4BE2-ACDA-6471FB5CE4E6}" name="Solver" dataDxfId="159">
      <calculatedColumnFormula>_xlfn.XLOOKUP(Runge1[[#This Row],[Metodo]],TbSolver[Metodo],TbSolver[Solver])</calculatedColumnFormula>
    </tableColumn>
    <tableColumn id="2" xr3:uid="{B4F24ACA-98F3-4A24-BC1F-33CB6F17EB49}" name="Tecnología" dataDxfId="158">
      <calculatedColumnFormula>_xlfn.XLOOKUP(Runge1[[#This Row],[Hebras]],TbTecnologia[Hebras],TbTecnologia[Tecnología])</calculatedColumnFormula>
    </tableColumn>
    <tableColumn id="9" xr3:uid="{DC67125F-30D8-4191-947E-4BDFBC04D67D}" name="Tipo" dataDxfId="157">
      <calculatedColumnFormula array="1">_xlfn.XLOOKUP(Runge1[[#This Row],[Tecnología]]&amp;Runge1[[#This Row],[Metodo]],TbTipos[Tecnología]&amp;TbTipos[Metodo],TbTipos[Tipo])</calculatedColumnFormula>
    </tableColumn>
    <tableColumn id="7" xr3:uid="{BE840B3E-C296-424D-B707-829324CD5420}" name="Nombre" dataDxfId="156">
      <calculatedColumnFormula array="1">_xlfn.XLOOKUP(Runge1[[#This Row],[Tecnología]]&amp;Runge1[[#This Row],[Problema]],TbNombres[Tecnología]&amp;TbNombres[Problema],TbNombres[Nombre])</calculatedColumnFormula>
    </tableColumn>
    <tableColumn id="1" xr3:uid="{25B6F649-ABFA-4CE9-89A0-5A6B319CC437}" name="Metodo" dataDxfId="155"/>
    <tableColumn id="3" xr3:uid="{BFA1C652-B6DF-43B7-812C-57D05082A42F}" name="Problema" dataDxfId="154"/>
    <tableColumn id="4" xr3:uid="{258F32C0-A332-464F-97B5-1CD60F6AD2D4}" name="Hebras" dataDxfId="153"/>
    <tableColumn id="5" xr3:uid="{0BB82667-2BB0-46A9-BCA3-8ECAE28A59AE}" name="nx" dataDxfId="152"/>
    <tableColumn id="6" xr3:uid="{15026FA6-7C87-49E4-984D-E2FC761B67A5}" name="neqn" dataDxfId="151"/>
    <tableColumn id="8" xr3:uid="{09F75439-A340-4404-9794-8F5A0A781C02}" name="T (s)" dataDxfId="1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2CD15-81EE-461E-99F0-41A5ED4B51EC}" name="Runge2" displayName="Runge2" ref="M6:V158" totalsRowShown="0" headerRowDxfId="149" dataDxfId="148">
  <autoFilter ref="M6:V158" xr:uid="{A922CD15-81EE-461E-99F0-41A5ED4B51EC}"/>
  <sortState xmlns:xlrd2="http://schemas.microsoft.com/office/spreadsheetml/2017/richdata2" ref="M7:V158">
    <sortCondition ref="U6:U158"/>
  </sortState>
  <tableColumns count="10">
    <tableColumn id="10" xr3:uid="{E6EAF4B6-CE3E-4D50-A693-4088A5F2D76F}" name="Solver" dataDxfId="147">
      <calculatedColumnFormula>_xlfn.XLOOKUP(Runge2[[#This Row],[Metodo]],TbSolver[Metodo],TbSolver[Solver])</calculatedColumnFormula>
    </tableColumn>
    <tableColumn id="3" xr3:uid="{C82C0976-5A4B-4FBC-809E-8BDC692AAFA7}" name="Tecnología" dataDxfId="146">
      <calculatedColumnFormula>_xlfn.XLOOKUP(Runge2[[#This Row],[Hebras]],TbTecnologia[Hebras],TbTecnologia[Tecnología])</calculatedColumnFormula>
    </tableColumn>
    <tableColumn id="2" xr3:uid="{9A702384-B193-449F-A451-6CC7715841E5}" name="Tipo" dataDxfId="145" dataCellStyle="Normal 2">
      <calculatedColumnFormula array="1">_xlfn.XLOOKUP(Runge2[[#This Row],[Tecnología]]&amp;Runge2[[#This Row],[Metodo]],TbTipos[Tecnología]&amp;TbTipos[Metodo],TbTipos[Tipo])</calculatedColumnFormula>
    </tableColumn>
    <tableColumn id="5" xr3:uid="{FC2684A9-6928-4F95-A30C-D5BF3572DF81}" name="Nombre" dataDxfId="144" dataCellStyle="Normal 2">
      <calculatedColumnFormula array="1">_xlfn.XLOOKUP(Runge2[[#This Row],[Tecnología]]&amp;Runge2[[#This Row],[Problema]],TbNombres[Tecnología]&amp;TbNombres[Problema],TbNombres[Nombre])</calculatedColumnFormula>
    </tableColumn>
    <tableColumn id="1" xr3:uid="{DF028C78-BEEF-4A3C-B7BB-F0EF202A360B}" name="Metodo" dataDxfId="143"/>
    <tableColumn id="4" xr3:uid="{FCDBB470-4C88-4AEB-8344-4C173F572B48}" name="Problema" dataDxfId="142"/>
    <tableColumn id="6" xr3:uid="{E9676F04-898A-429C-8064-6F9FA7B3F3DD}" name="Hebras" dataDxfId="141"/>
    <tableColumn id="7" xr3:uid="{EA984D03-271B-4ABB-B403-EC7B080817DB}" name="nx" dataDxfId="140"/>
    <tableColumn id="8" xr3:uid="{7B2C410F-A995-4D0B-A00D-6CE9B5AE4328}" name="neqn" dataDxfId="139"/>
    <tableColumn id="9" xr3:uid="{FF4A95B6-28C0-46B2-BAB2-8853A3042FB5}" name="T (s)" dataDxfId="1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DEEC28-BFE9-4595-926D-B00A2B9D59F8}" name="Runge3" displayName="Runge3" ref="X6:AG182" totalsRowShown="0" headerRowDxfId="137" dataDxfId="136">
  <autoFilter ref="X6:AG182" xr:uid="{6EDEEC28-BFE9-4595-926D-B00A2B9D59F8}"/>
  <sortState xmlns:xlrd2="http://schemas.microsoft.com/office/spreadsheetml/2017/richdata2" ref="X7:AG182">
    <sortCondition ref="AF6:AF182"/>
  </sortState>
  <tableColumns count="10">
    <tableColumn id="11" xr3:uid="{B7258931-482C-4C98-B887-9977800CA309}" name="Solver" dataDxfId="135">
      <calculatedColumnFormula>_xlfn.XLOOKUP(Runge3[[#This Row],[Metodo]],TbSolver[Metodo],TbSolver[Solver])</calculatedColumnFormula>
    </tableColumn>
    <tableColumn id="9" xr3:uid="{19046693-20CE-4999-82AA-59A30DB91360}" name="Tecnología" dataDxfId="134">
      <calculatedColumnFormula>_xlfn.XLOOKUP(Runge3[[#This Row],[Hebras]],TbTecnologia[Hebras],TbTecnologia[Tecnología])</calculatedColumnFormula>
    </tableColumn>
    <tableColumn id="2" xr3:uid="{5743729A-06B1-46E9-B3F4-D6690AECFD50}" name="Tipo" dataDxfId="133">
      <calculatedColumnFormula array="1">_xlfn.XLOOKUP(Runge3[[#This Row],[Tecnología]]&amp;Runge3[[#This Row],[Metodo]],TbTipos[Tecnología]&amp;TbTipos[Metodo],TbTipos[Tipo])</calculatedColumnFormula>
    </tableColumn>
    <tableColumn id="10" xr3:uid="{79F2E5FF-DA45-473E-8FD1-75DA15968C98}" name="Nombre" dataDxfId="132">
      <calculatedColumnFormula array="1">_xlfn.XLOOKUP(Runge3[[#This Row],[Tecnología]]&amp;Runge3[[#This Row],[Problema]],TbNombres[Tecnología]&amp;TbNombres[Problema],TbNombres[Nombre])</calculatedColumnFormula>
    </tableColumn>
    <tableColumn id="1" xr3:uid="{E1C049B5-0D12-4EAF-97EB-AB7A6D0B67FF}" name="Metodo" dataDxfId="131"/>
    <tableColumn id="3" xr3:uid="{6BA06EA8-A2E9-42B1-9680-C0D8219E0AA9}" name="Problema" dataDxfId="130"/>
    <tableColumn id="4" xr3:uid="{E66F3C91-0B68-4FFB-94D1-3EFF1CED0AD0}" name="Hebras" dataDxfId="129"/>
    <tableColumn id="5" xr3:uid="{2898CC05-2812-4274-B040-38324F833EFB}" name="nx" dataDxfId="128"/>
    <tableColumn id="6" xr3:uid="{354202B9-30D0-45AA-9D1E-A3FB4E919D0A}" name="neqn" dataDxfId="127"/>
    <tableColumn id="7" xr3:uid="{D5B8D87D-ED7F-45BD-AD2B-1DACFFDAD341}" name="T (s)" dataDxfId="1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4474C4-F87C-409D-AB73-6DBEF64279E9}" name="Runge4" displayName="Runge4" ref="AI6:AR104" totalsRowShown="0" headerRowDxfId="125" dataDxfId="124">
  <autoFilter ref="AI6:AR104" xr:uid="{F74474C4-F87C-409D-AB73-6DBEF64279E9}"/>
  <sortState xmlns:xlrd2="http://schemas.microsoft.com/office/spreadsheetml/2017/richdata2" ref="AI7:AR104">
    <sortCondition ref="AQ6:AQ104"/>
  </sortState>
  <tableColumns count="10">
    <tableColumn id="10" xr3:uid="{943229A2-6FD0-4150-925B-6E6170DC5E23}" name="Solver" dataDxfId="123">
      <calculatedColumnFormula>_xlfn.XLOOKUP(Runge4[[#This Row],[Metodo]],TbSolver[Metodo],TbSolver[Solver])</calculatedColumnFormula>
    </tableColumn>
    <tableColumn id="8" xr3:uid="{D55066EF-11B9-4859-B2A3-534F57698F02}" name="Tecnología" dataDxfId="122">
      <calculatedColumnFormula>_xlfn.XLOOKUP(Runge4[[#This Row],[Hebras]],TbTecnologia[Hebras],TbTecnologia[Tecnología])</calculatedColumnFormula>
    </tableColumn>
    <tableColumn id="2" xr3:uid="{3116C609-0C31-4281-BF68-673DC1EE20C1}" name="Tipo" dataDxfId="121" dataCellStyle="Normal 2">
      <calculatedColumnFormula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calculatedColumnFormula>
    </tableColumn>
    <tableColumn id="9" xr3:uid="{CF5F8B2B-A910-432C-B37B-04C50B11C86A}" name="Nombre" dataDxfId="120" dataCellStyle="Normal 2">
      <calculatedColumnFormula array="1">_xlfn.XLOOKUP(Runge4[[#This Row],[Tecnología]]&amp;Runge4[[#This Row],[Problema]],TbNombres[Tecnología]&amp;TbNombres[Problema],TbNombres[Nombre])</calculatedColumnFormula>
    </tableColumn>
    <tableColumn id="1" xr3:uid="{1BAFFC45-8372-4C8E-8743-EC43F3FCF3D6}" name="Metodo" dataDxfId="119"/>
    <tableColumn id="3" xr3:uid="{9B83D949-8D3B-465F-A507-617B9262BB58}" name="Problema" dataDxfId="118"/>
    <tableColumn id="4" xr3:uid="{D76C3013-E078-445A-9DDD-C047203B8622}" name="Hebras" dataDxfId="117"/>
    <tableColumn id="5" xr3:uid="{172853EB-23E2-4D37-93E1-602084D898FE}" name="nx" dataDxfId="116"/>
    <tableColumn id="6" xr3:uid="{A7DF316F-D763-4526-9754-125D32378DE2}" name="neqn" dataDxfId="115"/>
    <tableColumn id="7" xr3:uid="{3858637E-4516-4E71-88D1-51019671F8BD}" name="T (s)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86391-C3E2-416B-9148-4FFCC466372A}" name="Bash1" displayName="Bash1" ref="B6:K147" totalsRowShown="0" headerRowDxfId="113" dataDxfId="112">
  <autoFilter ref="B6:K147" xr:uid="{60986391-C3E2-416B-9148-4FFCC466372A}"/>
  <sortState xmlns:xlrd2="http://schemas.microsoft.com/office/spreadsheetml/2017/richdata2" ref="B7:K147">
    <sortCondition ref="J6:J147"/>
  </sortState>
  <tableColumns count="10">
    <tableColumn id="10" xr3:uid="{0049033F-C398-43A5-9459-F2427FCDAAF5}" name="Solver" dataDxfId="111">
      <calculatedColumnFormula>_xlfn.XLOOKUP(Bash1[[#This Row],[Metodo]],TbSolver[Metodo],TbSolver[Solver])</calculatedColumnFormula>
    </tableColumn>
    <tableColumn id="2" xr3:uid="{3E34DBBC-1BFB-4AED-9C3D-126557BC8BD2}" name="Tecnología" dataDxfId="110">
      <calculatedColumnFormula>_xlfn.XLOOKUP(Bash1[[#This Row],[Hebras]],TbTecnologia[Hebras],TbTecnologia[Tecnología])</calculatedColumnFormula>
    </tableColumn>
    <tableColumn id="9" xr3:uid="{B891CEBE-0391-4F7D-8150-85D53BA7ADDD}" name="Tipo" dataDxfId="109">
      <calculatedColumnFormula array="1">_xlfn.XLOOKUP(Bash1[[#This Row],[Tecnología]]&amp;Bash1[[#This Row],[Metodo]],TbTipos[Tecnología]&amp;TbTipos[Metodo],TbTipos[Tipo])</calculatedColumnFormula>
    </tableColumn>
    <tableColumn id="7" xr3:uid="{8E7ED592-303F-4391-B6AD-D594C308A082}" name="Nombre" dataDxfId="108">
      <calculatedColumnFormula array="1">_xlfn.XLOOKUP(Bash1[[#This Row],[Tecnología]]&amp;Bash1[[#This Row],[Problema]],TbNombres[Tecnología]&amp;TbNombres[Problema],TbNombres[Nombre])</calculatedColumnFormula>
    </tableColumn>
    <tableColumn id="1" xr3:uid="{ECF13561-4339-41A7-A815-3041550BA291}" name="Metodo" dataDxfId="107"/>
    <tableColumn id="3" xr3:uid="{29FCA602-1E19-46A1-BF85-B4B382F94445}" name="Problema" dataDxfId="106"/>
    <tableColumn id="4" xr3:uid="{2B4A1CA3-DD8F-4FEB-A1B3-450438EC19C3}" name="Hebras" dataDxfId="105"/>
    <tableColumn id="5" xr3:uid="{C3B96D44-6A39-41B9-A4CF-02B89B80889C}" name="nx" dataDxfId="104"/>
    <tableColumn id="6" xr3:uid="{9B3ABC76-BB4D-4A06-B112-6503BE714522}" name="neqn" dataDxfId="103"/>
    <tableColumn id="8" xr3:uid="{4272A4CF-8CF8-4213-8B63-5B642A879DA9}" name="T (s)" dataDxfId="10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B51660-A4ED-48F6-A7F3-3486EDD68404}" name="Bash2" displayName="Bash2" ref="M6:V147" totalsRowShown="0" headerRowDxfId="101" dataDxfId="100">
  <autoFilter ref="M6:V147" xr:uid="{DEB51660-A4ED-48F6-A7F3-3486EDD68404}"/>
  <sortState xmlns:xlrd2="http://schemas.microsoft.com/office/spreadsheetml/2017/richdata2" ref="M7:V147">
    <sortCondition ref="U6:U147"/>
  </sortState>
  <tableColumns count="10">
    <tableColumn id="10" xr3:uid="{FE54F9CD-F6A8-45DB-BDCB-3B41C438DE56}" name="Solver" dataDxfId="99">
      <calculatedColumnFormula>_xlfn.XLOOKUP(Bash2[[#This Row],[Metodo]],TbSolver[Metodo],TbSolver[Solver])</calculatedColumnFormula>
    </tableColumn>
    <tableColumn id="8" xr3:uid="{64858E54-8EE9-4B46-BE45-93D7099B9F8C}" name="Tecnología" dataDxfId="98">
      <calculatedColumnFormula>_xlfn.XLOOKUP(Bash2[[#This Row],[Hebras]],TbTecnologia[Hebras],TbTecnologia[Tecnología])</calculatedColumnFormula>
    </tableColumn>
    <tableColumn id="2" xr3:uid="{B535BFC3-5810-4FBC-9194-3368A74EB110}" name="Tipo" dataDxfId="97">
      <calculatedColumnFormula array="1">_xlfn.XLOOKUP(Bash2[[#This Row],[Tecnología]]&amp;Bash2[[#This Row],[Metodo]],TbTipos[Tecnología]&amp;TbTipos[Metodo],TbTipos[Tipo])</calculatedColumnFormula>
    </tableColumn>
    <tableColumn id="9" xr3:uid="{2013E826-A981-495F-B6A4-F27BC8D0AB51}" name="Nombre" dataDxfId="96">
      <calculatedColumnFormula array="1">_xlfn.XLOOKUP(Bash2[[#This Row],[Tecnología]]&amp;Bash2[[#This Row],[Problema]],TbNombres[Tecnología]&amp;TbNombres[Problema],TbNombres[Nombre])</calculatedColumnFormula>
    </tableColumn>
    <tableColumn id="1" xr3:uid="{F217F9EF-BD28-44EB-B0C4-752D8512A480}" name="Metodo" dataDxfId="95"/>
    <tableColumn id="3" xr3:uid="{4839B0C1-8557-46C8-9D20-DA2ADFA00CFC}" name="Problema" dataDxfId="94"/>
    <tableColumn id="4" xr3:uid="{E0D58AE2-0473-4044-823F-358D781CA3CB}" name="Hebras" dataDxfId="93"/>
    <tableColumn id="5" xr3:uid="{DEE60CA3-C278-4DE2-B5E6-15F4EA632801}" name="nx" dataDxfId="92"/>
    <tableColumn id="6" xr3:uid="{78ED971E-BC19-4428-91C2-A0FD8AFA82A1}" name="neqn" dataDxfId="91"/>
    <tableColumn id="7" xr3:uid="{70601182-6238-4E52-8D6D-AE4CB4C87D84}" name="T (s)" dataDxfId="9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E97C45-898F-4366-BFAE-47CD5AE998F2}" name="Bash3" displayName="Bash3" ref="X6:AG208" totalsRowShown="0" headerRowDxfId="11" dataDxfId="10">
  <autoFilter ref="X6:AG208" xr:uid="{D0E97C45-898F-4366-BFAE-47CD5AE998F2}"/>
  <sortState xmlns:xlrd2="http://schemas.microsoft.com/office/spreadsheetml/2017/richdata2" ref="X7:AG164">
    <sortCondition ref="AF6:AF164"/>
  </sortState>
  <tableColumns count="10">
    <tableColumn id="10" xr3:uid="{0961AB55-8C8F-4777-B142-63C025049713}" name="Solver" dataDxfId="9">
      <calculatedColumnFormula>_xlfn.XLOOKUP(Bash3[[#This Row],[Metodo]],TbSolver[Metodo],TbSolver[Solver])</calculatedColumnFormula>
    </tableColumn>
    <tableColumn id="8" xr3:uid="{92E6F4E6-88CF-4138-8B70-715BBC5E6E33}" name="Tecnología" dataDxfId="8">
      <calculatedColumnFormula>_xlfn.XLOOKUP(Bash3[[#This Row],[Hebras]],TbTecnologia[Hebras],TbTecnologia[Tecnología])</calculatedColumnFormula>
    </tableColumn>
    <tableColumn id="2" xr3:uid="{12B1AD81-D83C-4800-AC6B-C38D34D3D79E}" name="Tipo" dataDxfId="7">
      <calculatedColumnFormula array="1">_xlfn.XLOOKUP(Bash3[[#This Row],[Tecnología]]&amp;Bash3[[#This Row],[Metodo]],TbTipos[Tecnología]&amp;TbTipos[Metodo],TbTipos[Tipo])</calculatedColumnFormula>
    </tableColumn>
    <tableColumn id="9" xr3:uid="{BE1835D0-F934-428A-85FB-CDA4D647E51F}" name="Nombre" dataDxfId="6">
      <calculatedColumnFormula array="1">_xlfn.XLOOKUP(Bash3[[#This Row],[Tecnología]]&amp;Bash3[[#This Row],[Problema]],TbNombres[Tecnología]&amp;TbNombres[Problema],TbNombres[Nombre])</calculatedColumnFormula>
    </tableColumn>
    <tableColumn id="1" xr3:uid="{EA55948A-45AD-440C-95D3-4FE7FFBBD26D}" name="Metodo" dataDxfId="5"/>
    <tableColumn id="3" xr3:uid="{805284D7-95A7-464F-91D4-BDE2D3E01154}" name="Problema" dataDxfId="4"/>
    <tableColumn id="4" xr3:uid="{EAD095D2-E909-416E-BC8E-ED7ACAC39C57}" name="Hebras" dataDxfId="3"/>
    <tableColumn id="5" xr3:uid="{28633C53-0133-48AB-9142-19DAE6BD6C03}" name="nx" dataDxfId="2"/>
    <tableColumn id="6" xr3:uid="{BF12A6DE-905C-41B0-9C4B-7E2514CD5797}" name="neqn" dataDxfId="1"/>
    <tableColumn id="7" xr3:uid="{4469578F-2F50-4638-B171-BDEFF6A74DB4}" name="T (s)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960866-25D1-4A9B-845D-E4A88676161F}" name="Bash4" displayName="Bash4" ref="AI6:AR104" totalsRowShown="0" headerRowDxfId="89" dataDxfId="88">
  <autoFilter ref="AI6:AR104" xr:uid="{9C960866-25D1-4A9B-845D-E4A88676161F}"/>
  <sortState xmlns:xlrd2="http://schemas.microsoft.com/office/spreadsheetml/2017/richdata2" ref="AI7:AR104">
    <sortCondition ref="AQ6:AQ104"/>
  </sortState>
  <tableColumns count="10">
    <tableColumn id="11" xr3:uid="{E1206F30-F3D6-47B8-B9A9-C3F34E378D3D}" name="Solver" dataDxfId="87">
      <calculatedColumnFormula>_xlfn.XLOOKUP(Bash4[[#This Row],[Metodo]],TbSolver[Metodo],TbSolver[Solver])</calculatedColumnFormula>
    </tableColumn>
    <tableColumn id="8" xr3:uid="{36897026-7BDB-4A9F-ABE6-C9E80AEBE7FC}" name="Tecnología" dataDxfId="86">
      <calculatedColumnFormula>_xlfn.XLOOKUP(Bash4[[#This Row],[Hebras]],TbTecnologia[Hebras],TbTecnologia[Tecnología])</calculatedColumnFormula>
    </tableColumn>
    <tableColumn id="2" xr3:uid="{1F4ACF2E-36EE-483B-B855-BF7D5F0CF795}" name="Tipo" dataDxfId="85">
      <calculatedColumnFormula array="1">_xlfn.XLOOKUP(Bash4[[#This Row],[Tecnología]]&amp;Bash4[[#This Row],[Metodo]],TbTipos[Tecnología]&amp;TbTipos[Metodo],TbTipos[Tipo])</calculatedColumnFormula>
    </tableColumn>
    <tableColumn id="10" xr3:uid="{2E5FCEDF-89A3-4539-9222-6179831D29D3}" name="Nombre" dataDxfId="84" dataCellStyle="Normal 2">
      <calculatedColumnFormula array="1">_xlfn.XLOOKUP(Bash4[[#This Row],[Tecnología]]&amp;Bash4[[#This Row],[Problema]],TbNombres[Tecnología]&amp;TbNombres[Problema],TbNombres[Nombre])</calculatedColumnFormula>
    </tableColumn>
    <tableColumn id="1" xr3:uid="{421E892B-12D3-4D55-B063-3FF9941A1692}" name="Metodo" dataDxfId="83" dataCellStyle="Normal 2"/>
    <tableColumn id="3" xr3:uid="{9403654B-BE78-4F39-9774-AD8006E8079D}" name="Problema" dataDxfId="82"/>
    <tableColumn id="4" xr3:uid="{CFCBFE53-A940-46EF-B5BF-97907227ADEF}" name="Hebras" dataDxfId="81"/>
    <tableColumn id="5" xr3:uid="{90AEA366-4BA9-4FA4-815E-64DB49E418FE}" name="nx" dataDxfId="80"/>
    <tableColumn id="6" xr3:uid="{018B4D1D-90C3-4BEB-9F26-11FE59B7101E}" name="neqn" dataDxfId="79"/>
    <tableColumn id="7" xr3:uid="{6D9D1969-C7FE-4E6F-BA3D-B47D633296A0}" name="T (s)" dataDxfId="7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709BDB-2069-4A0E-96D6-F0834E585DDA}" name="Moult1" displayName="Moult1" ref="B6:K137" totalsRowShown="0" headerRowDxfId="77" dataDxfId="76">
  <autoFilter ref="B6:K137" xr:uid="{B4709BDB-2069-4A0E-96D6-F0834E585DDA}"/>
  <sortState xmlns:xlrd2="http://schemas.microsoft.com/office/spreadsheetml/2017/richdata2" ref="B7:K137">
    <sortCondition ref="J6:J137"/>
  </sortState>
  <tableColumns count="10">
    <tableColumn id="10" xr3:uid="{F5BBCB69-0626-4FA7-BA37-0D2AE610D157}" name="Solver" dataDxfId="75">
      <calculatedColumnFormula>_xlfn.XLOOKUP(Moult1[[#This Row],[Metodo]],TbSolver[Metodo],TbSolver[Solver])</calculatedColumnFormula>
    </tableColumn>
    <tableColumn id="7" xr3:uid="{526D5197-3534-4200-8E3D-01B1DD47BF96}" name="Tecnología" dataDxfId="74">
      <calculatedColumnFormula>_xlfn.XLOOKUP(Moult1[[#This Row],[Hebras]],TbTecnologia[Hebras],TbTecnologia[Tecnología])</calculatedColumnFormula>
    </tableColumn>
    <tableColumn id="2" xr3:uid="{3A97AA69-8E42-431F-86C6-2C53CC58AB41}" name="Tipo" dataDxfId="73">
      <calculatedColumnFormula array="1">_xlfn.XLOOKUP(Moult1[[#This Row],[Tecnología]]&amp;Moult1[[#This Row],[Metodo]],TbTipos[Tecnología]&amp;TbTipos[Metodo],TbTipos[Tipo])</calculatedColumnFormula>
    </tableColumn>
    <tableColumn id="9" xr3:uid="{667A65B1-EE7D-4FA7-AC8B-AC1C41B38688}" name="Nombre" dataDxfId="72">
      <calculatedColumnFormula array="1">_xlfn.XLOOKUP(Moult1[[#This Row],[Tecnología]]&amp;Moult1[[#This Row],[Problema]],TbNombres[Tecnología]&amp;TbNombres[Problema],TbNombres[Nombre])</calculatedColumnFormula>
    </tableColumn>
    <tableColumn id="1" xr3:uid="{2720E47C-8697-4996-95D9-494114682468}" name="Metodo" dataDxfId="71"/>
    <tableColumn id="3" xr3:uid="{E4C51C40-2E57-46BC-B2F3-4DA44A87BFEE}" name="Problema" dataDxfId="70"/>
    <tableColumn id="4" xr3:uid="{D9370F0D-806C-4716-9B37-EC62E25EDC0B}" name="Hebras" dataDxfId="69"/>
    <tableColumn id="5" xr3:uid="{F2339CAC-D4F8-4725-BCA6-50C099509EF1}" name="nx" dataDxfId="68"/>
    <tableColumn id="6" xr3:uid="{E876A7C3-AA93-4E01-AAF3-8DD70FCCAD22}" name="neqn" dataDxfId="67"/>
    <tableColumn id="8" xr3:uid="{5C83250F-C60E-4261-ACBE-B658CD93140A}" name="T (s)" dataDxfId="6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360455-65E9-42E9-9007-C46490AAAA38}" name="Moult2" displayName="Moult2" ref="M6:V137" totalsRowShown="0" headerRowDxfId="65" dataDxfId="64">
  <autoFilter ref="M6:V137" xr:uid="{9C360455-65E9-42E9-9007-C46490AAAA38}"/>
  <sortState xmlns:xlrd2="http://schemas.microsoft.com/office/spreadsheetml/2017/richdata2" ref="M7:V137">
    <sortCondition ref="U6:U137"/>
  </sortState>
  <tableColumns count="10">
    <tableColumn id="10" xr3:uid="{9FD60532-8B14-4B53-B21D-E4D60D7CF655}" name="Solver" dataDxfId="63">
      <calculatedColumnFormula>_xlfn.XLOOKUP(Moult2[[#This Row],[Metodo]],TbSolver[Metodo],TbSolver[Solver])</calculatedColumnFormula>
    </tableColumn>
    <tableColumn id="8" xr3:uid="{923C693D-83B1-405B-BD13-8DB7C75A4595}" name="Tecnología" dataDxfId="62">
      <calculatedColumnFormula>_xlfn.XLOOKUP(Moult2[[#This Row],[Hebras]],TbTecnologia[Hebras],TbTecnologia[Tecnología])</calculatedColumnFormula>
    </tableColumn>
    <tableColumn id="2" xr3:uid="{52D26FDA-CF6C-448A-A8E3-A8486E63CF76}" name="Tipo" dataDxfId="61">
      <calculatedColumnFormula array="1">_xlfn.XLOOKUP(Moult2[[#This Row],[Tecnología]]&amp;Moult2[[#This Row],[Metodo]],TbTipos[Tecnología]&amp;TbTipos[Metodo],TbTipos[Tipo])</calculatedColumnFormula>
    </tableColumn>
    <tableColumn id="9" xr3:uid="{AE69DC81-A584-44FC-AEDD-BD8E7D48B5DD}" name="Nombre" dataDxfId="60">
      <calculatedColumnFormula array="1">_xlfn.XLOOKUP(Moult2[[#This Row],[Tecnología]]&amp;Moult2[[#This Row],[Problema]],TbNombres[Tecnología]&amp;TbNombres[Problema],TbNombres[Nombre])</calculatedColumnFormula>
    </tableColumn>
    <tableColumn id="1" xr3:uid="{2755E358-21EC-4072-BAA6-40431DB14DA1}" name="Metodo" dataDxfId="59"/>
    <tableColumn id="3" xr3:uid="{FCB9D37E-DAD3-4454-BB60-7138312D3463}" name="Problema" dataDxfId="58"/>
    <tableColumn id="4" xr3:uid="{C253554C-D734-420F-89C5-37B8D2E6597F}" name="Hebras" dataDxfId="57"/>
    <tableColumn id="5" xr3:uid="{8808871A-C9D7-442D-871C-6A563F8050AC}" name="nx" dataDxfId="56"/>
    <tableColumn id="6" xr3:uid="{E7E641EA-AAAB-46A6-B72E-1C05B6DB7EAF}" name="neqn" dataDxfId="55"/>
    <tableColumn id="7" xr3:uid="{3A142AB3-0EF9-456B-8F09-7FE2C8001D1C}" name="T (s)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AA13EA-0301-4811-9277-4E83793E4308}" name="Moult3" displayName="Moult3" ref="X6:AG156" totalsRowShown="0" headerRowDxfId="53" dataDxfId="52">
  <autoFilter ref="X6:AG156" xr:uid="{7FAA13EA-0301-4811-9277-4E83793E4308}"/>
  <sortState xmlns:xlrd2="http://schemas.microsoft.com/office/spreadsheetml/2017/richdata2" ref="X7:AG149">
    <sortCondition ref="AF6:AF149"/>
  </sortState>
  <tableColumns count="10">
    <tableColumn id="10" xr3:uid="{93A386FF-745E-4B02-82B7-425A70E649A5}" name="Solver" dataDxfId="51">
      <calculatedColumnFormula>_xlfn.XLOOKUP(Moult3[[#This Row],[Metodo]],TbSolver[Metodo],TbSolver[Solver])</calculatedColumnFormula>
    </tableColumn>
    <tableColumn id="8" xr3:uid="{A71214F1-6E02-4DD3-BB4E-BFEB62E2BC08}" name="Tecnología" dataDxfId="50">
      <calculatedColumnFormula>_xlfn.XLOOKUP(Moult3[[#This Row],[Hebras]],TbTecnologia[Hebras],TbTecnologia[Tecnología])</calculatedColumnFormula>
    </tableColumn>
    <tableColumn id="2" xr3:uid="{1198AC4B-8BFD-4558-BC44-AAA951ECA72C}" name="Tipo" dataDxfId="49">
      <calculatedColumnFormula array="1">_xlfn.XLOOKUP(Moult3[[#This Row],[Tecnología]]&amp;Moult3[[#This Row],[Metodo]],TbTipos[Tecnología]&amp;TbTipos[Metodo],TbTipos[Tipo])</calculatedColumnFormula>
    </tableColumn>
    <tableColumn id="9" xr3:uid="{46DFED14-7E0F-46C7-A0B8-9DB1A41DB561}" name="Nombre" dataDxfId="48">
      <calculatedColumnFormula array="1">_xlfn.XLOOKUP(Moult3[[#This Row],[Tecnología]]&amp;Moult3[[#This Row],[Problema]],TbNombres[Tecnología]&amp;TbNombres[Problema],TbNombres[Nombre])</calculatedColumnFormula>
    </tableColumn>
    <tableColumn id="1" xr3:uid="{B686EB59-66AD-4A6F-8B5C-4C399052697F}" name="Metodo" dataDxfId="47"/>
    <tableColumn id="3" xr3:uid="{03BC72D5-17E2-4960-B398-0F830C0C833A}" name="Problema" dataDxfId="46"/>
    <tableColumn id="4" xr3:uid="{2C745182-61AF-4763-BFA7-3B7EA681527B}" name="Hebras" dataDxfId="45"/>
    <tableColumn id="5" xr3:uid="{CCCFEF00-F9D3-43E4-B2BB-77C09156756F}" name="nx" dataDxfId="44"/>
    <tableColumn id="6" xr3:uid="{090674BC-E85D-486E-B1BA-FD475D07C788}" name="neqn" dataDxfId="43"/>
    <tableColumn id="7" xr3:uid="{2C568E81-A939-4939-BB03-7416441A56E6}" name="T (s)" dataDxfId="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7CAF4E-387F-4275-86B5-AAF49813F6BB}" name="Moult4" displayName="Moult4" ref="AI6:AR105" totalsRowShown="0" headerRowDxfId="41" dataDxfId="40">
  <autoFilter ref="AI6:AR105" xr:uid="{087CAF4E-387F-4275-86B5-AAF49813F6BB}"/>
  <sortState xmlns:xlrd2="http://schemas.microsoft.com/office/spreadsheetml/2017/richdata2" ref="AI7:AR105">
    <sortCondition ref="AQ6:AQ105"/>
  </sortState>
  <tableColumns count="10">
    <tableColumn id="10" xr3:uid="{8455EC33-9D35-447E-BF30-CDE164AFBB8C}" name="Solver" dataDxfId="39">
      <calculatedColumnFormula>_xlfn.XLOOKUP(Moult4[[#This Row],[Metodo]],TbSolver[Metodo],TbSolver[Solver])</calculatedColumnFormula>
    </tableColumn>
    <tableColumn id="8" xr3:uid="{78DBEB98-E048-49A2-8ACC-77EEE6A40C8D}" name="Tecnología" dataDxfId="38">
      <calculatedColumnFormula>_xlfn.XLOOKUP(Moult4[[#This Row],[Hebras]],TbTecnologia[Hebras],TbTecnologia[Tecnología])</calculatedColumnFormula>
    </tableColumn>
    <tableColumn id="2" xr3:uid="{669B6FFB-C5BE-4B43-B45D-B3D3D0126232}" name="Tipo" dataDxfId="37">
      <calculatedColumnFormula array="1">_xlfn.XLOOKUP(Moult4[[#This Row],[Tecnología]]&amp;Moult4[[#This Row],[Metodo]],TbTipos[Tecnología]&amp;TbTipos[Metodo],TbTipos[Tipo])</calculatedColumnFormula>
    </tableColumn>
    <tableColumn id="9" xr3:uid="{4C24C53B-128E-4322-B1E6-98EC85BCD126}" name="Nombre" dataDxfId="36">
      <calculatedColumnFormula array="1">_xlfn.XLOOKUP(Moult4[[#This Row],[Tecnología]]&amp;Moult4[[#This Row],[Problema]],TbNombres[Tecnología]&amp;TbNombres[Problema],TbNombres[Nombre])</calculatedColumnFormula>
    </tableColumn>
    <tableColumn id="1" xr3:uid="{C58B69C1-5999-40CC-A26E-F65574D4F6AD}" name="Metodo" dataDxfId="35"/>
    <tableColumn id="3" xr3:uid="{62B24C49-A6D2-4888-9737-78D5B6FC37B1}" name="Problema" dataDxfId="34"/>
    <tableColumn id="4" xr3:uid="{808187CD-736A-4306-9D20-82C693594115}" name="Hebras" dataDxfId="33"/>
    <tableColumn id="5" xr3:uid="{67BD7F1D-A417-45D5-8965-4DD62244639E}" name="nx" dataDxfId="32"/>
    <tableColumn id="6" xr3:uid="{72E04A47-BFD0-439D-B6D3-5C231B43DADA}" name="neqn" dataDxfId="31"/>
    <tableColumn id="7" xr3:uid="{F00BB04B-B9FC-48D4-82F4-D3D0D79EE75A}" name="T (s)" dataDxfId="3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4D5F3F-C0B0-4AEB-97C7-F6BA064E6E99}" name="Total" displayName="Total" ref="B2:K1673" totalsRowShown="0" headerRowDxfId="173" dataDxfId="172">
  <autoFilter ref="B2:K1673" xr:uid="{684D5F3F-C0B0-4AEB-97C7-F6BA064E6E99}"/>
  <tableColumns count="10">
    <tableColumn id="10" xr3:uid="{7D93A926-E87C-408E-8E36-CCE91C960CDE}" name="Solver" dataDxfId="171">
      <calculatedColumnFormula>_xlfn.XLOOKUP(Total[[#This Row],[Metodo]],TbSolver[Metodo],TbSolver[Solver])</calculatedColumnFormula>
    </tableColumn>
    <tableColumn id="8" xr3:uid="{3418AB1A-378E-49AC-BE25-A89201B6B15A}" name="Tecnología" dataDxfId="170">
      <calculatedColumnFormula>_xlfn.XLOOKUP(Total[[#This Row],[Hebras]],TbTecnologia[Hebras],TbTecnologia[Tecnología])</calculatedColumnFormula>
    </tableColumn>
    <tableColumn id="2" xr3:uid="{0899907B-D5B1-473E-B3CC-5A7C128D93DB}" name="Tipo" dataDxfId="169">
      <calculatedColumnFormula array="1">_xlfn.XLOOKUP(Total[[#This Row],[Tecnología]]&amp;Total[[#This Row],[Metodo]],TbTipos[Tecnología]&amp;TbTipos[Metodo],TbTipos[Tipo])</calculatedColumnFormula>
    </tableColumn>
    <tableColumn id="9" xr3:uid="{EE5DD772-920C-4F68-82E5-0D5E0673DF57}" name="Nombre" dataDxfId="168">
      <calculatedColumnFormula array="1">_xlfn.XLOOKUP(Total[[#This Row],[Tecnología]]&amp;Total[[#This Row],[Problema]],TbNombres[Tecnología]&amp;TbNombres[Problema],TbNombres[Nombre])</calculatedColumnFormula>
    </tableColumn>
    <tableColumn id="1" xr3:uid="{003D3B64-6BA5-48C2-B47C-CE586FFE98A6}" name="Metodo" dataDxfId="167"/>
    <tableColumn id="3" xr3:uid="{66AE445B-AA8D-4E64-8E92-28EF63FF1584}" name="Problema" dataDxfId="166"/>
    <tableColumn id="4" xr3:uid="{4F413694-3C42-4D8C-9276-C9E7D85861F8}" name="Hebras" dataDxfId="165"/>
    <tableColumn id="5" xr3:uid="{A7CD2E89-3E4C-4284-B964-40959EB6D9E5}" name="nx" dataDxfId="164"/>
    <tableColumn id="6" xr3:uid="{046C693F-8253-4023-95BE-7F686D174A86}" name="neqn" dataDxfId="163"/>
    <tableColumn id="7" xr3:uid="{0155A21F-0A40-440B-9933-D218B590E20C}" name="T (s)" dataDxfId="1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478B3F-EA04-49A0-B014-A300D71E6557}" name="TbNombres" displayName="TbNombres" ref="E16:G29" totalsRowShown="0" headerRowDxfId="29" dataDxfId="28">
  <autoFilter ref="E16:G29" xr:uid="{E7478B3F-EA04-49A0-B014-A300D71E6557}"/>
  <tableColumns count="3">
    <tableColumn id="2" xr3:uid="{120C9707-760E-47BA-B79D-4212A87FAF41}" name="Tecnología" dataDxfId="27"/>
    <tableColumn id="1" xr3:uid="{9331E4E8-C6C1-4F77-94F9-59B8BE17AD70}" name="Problema" dataDxfId="26"/>
    <tableColumn id="3" xr3:uid="{A233349C-D903-4CD9-97EC-96BBEA38590B}" name="Nombre" dataDxfId="2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6BEAD3-FB59-4BB2-AAED-4F0B4CC4321F}" name="TbTipos" displayName="TbTipos" ref="E2:G14" totalsRowShown="0" headerRowDxfId="24" dataDxfId="23">
  <autoFilter ref="E2:G14" xr:uid="{586BEAD3-FB59-4BB2-AAED-4F0B4CC4321F}"/>
  <tableColumns count="3">
    <tableColumn id="1" xr3:uid="{6453DFE5-8156-4C43-903B-95D2D4195B2C}" name="Tecnología" dataDxfId="22"/>
    <tableColumn id="2" xr3:uid="{469D9176-D1AD-4BDB-BD76-487EE41012DA}" name="Metodo" dataDxfId="21"/>
    <tableColumn id="3" xr3:uid="{34AD8A7F-28A8-4612-92F9-55E95B3D3798}" name="Tipo" dataDxfId="2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DFBD06C-449C-42AB-A682-CB90F954B7A3}" name="TbTecnologia" displayName="TbTecnologia" ref="B10:C14" totalsRowShown="0" headerRowDxfId="19" dataDxfId="18">
  <autoFilter ref="B10:C14" xr:uid="{3DFBD06C-449C-42AB-A682-CB90F954B7A3}"/>
  <tableColumns count="2">
    <tableColumn id="1" xr3:uid="{CDBB85C0-4727-4E19-BDD6-54A456C6D23E}" name="Hebras" dataDxfId="17"/>
    <tableColumn id="2" xr3:uid="{C1CC48C6-01AC-426A-8FF9-0B18A98B3140}" name="Tecnología" dataDxfId="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DEED02-5CCF-4BEA-A5EC-9CAC0A7D4641}" name="TbSolver" displayName="TbSolver" ref="B2:C8" totalsRowShown="0" headerRowDxfId="15" dataDxfId="14">
  <autoFilter ref="B2:C8" xr:uid="{C3DEED02-5CCF-4BEA-A5EC-9CAC0A7D4641}"/>
  <tableColumns count="2">
    <tableColumn id="1" xr3:uid="{008F2A0F-44B6-4CC8-B91D-FAD953DFFFE8}" name="Metodo" dataDxfId="13"/>
    <tableColumn id="2" xr3:uid="{AD9ED6B1-C8C8-4B6F-A7D1-10837C6EB564}" name="Solver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3A1F-ACFD-44F6-87B1-41095CAADD05}">
  <dimension ref="B1:AR182"/>
  <sheetViews>
    <sheetView topLeftCell="P1" zoomScaleNormal="100" workbookViewId="0">
      <selection activeCell="AR6" sqref="AI6:AR6"/>
    </sheetView>
  </sheetViews>
  <sheetFormatPr baseColWidth="10" defaultColWidth="10" defaultRowHeight="12.75" x14ac:dyDescent="0.2"/>
  <cols>
    <col min="2" max="2" width="11.42578125" bestFit="1" customWidth="1"/>
    <col min="3" max="3" width="7.7109375" customWidth="1"/>
    <col min="4" max="4" width="16.42578125" bestFit="1" customWidth="1"/>
    <col min="5" max="5" width="18.28515625" customWidth="1"/>
    <col min="13" max="13" width="11.42578125" bestFit="1" customWidth="1"/>
    <col min="14" max="14" width="9.42578125" customWidth="1"/>
    <col min="15" max="15" width="16.42578125" bestFit="1" customWidth="1"/>
    <col min="16" max="16" width="12.7109375" bestFit="1" customWidth="1"/>
    <col min="24" max="24" width="11.42578125" bestFit="1" customWidth="1"/>
    <col min="25" max="25" width="9.28515625" customWidth="1"/>
    <col min="26" max="26" width="16.42578125" bestFit="1" customWidth="1"/>
    <col min="27" max="27" width="12.7109375" bestFit="1" customWidth="1"/>
    <col min="35" max="35" width="11.42578125" bestFit="1" customWidth="1"/>
    <col min="36" max="36" width="8" customWidth="1"/>
    <col min="37" max="37" width="16.42578125" bestFit="1" customWidth="1"/>
    <col min="38" max="38" width="12.7109375" bestFit="1" customWidth="1"/>
  </cols>
  <sheetData>
    <row r="1" spans="2:44" ht="27.75" x14ac:dyDescent="0.2">
      <c r="L1" s="3" t="s">
        <v>16</v>
      </c>
    </row>
    <row r="3" spans="2:44" x14ac:dyDescent="0.2">
      <c r="B3" s="27" t="s">
        <v>7</v>
      </c>
      <c r="C3" s="27"/>
      <c r="D3" s="27"/>
      <c r="E3" s="27"/>
      <c r="F3" s="27"/>
      <c r="G3" s="27"/>
      <c r="H3" s="27"/>
      <c r="I3" s="27"/>
      <c r="J3" s="27"/>
      <c r="K3" s="27"/>
      <c r="M3" s="27" t="s">
        <v>15</v>
      </c>
      <c r="N3" s="27"/>
      <c r="O3" s="27"/>
      <c r="P3" s="27"/>
      <c r="Q3" s="27"/>
      <c r="R3" s="27"/>
      <c r="S3" s="27"/>
      <c r="T3" s="27"/>
      <c r="U3" s="27"/>
      <c r="V3" s="27"/>
      <c r="W3" s="7"/>
      <c r="X3" s="27" t="s">
        <v>11</v>
      </c>
      <c r="Y3" s="27"/>
      <c r="Z3" s="27"/>
      <c r="AA3" s="27"/>
      <c r="AB3" s="27"/>
      <c r="AC3" s="27"/>
      <c r="AD3" s="27"/>
      <c r="AE3" s="27"/>
      <c r="AF3" s="27"/>
      <c r="AG3" s="27"/>
      <c r="AH3" s="7"/>
      <c r="AI3" s="27" t="s">
        <v>13</v>
      </c>
      <c r="AJ3" s="27"/>
      <c r="AK3" s="27"/>
      <c r="AL3" s="27"/>
      <c r="AM3" s="27"/>
      <c r="AN3" s="27"/>
      <c r="AO3" s="27"/>
      <c r="AP3" s="27"/>
      <c r="AQ3" s="27"/>
      <c r="AR3" s="27"/>
    </row>
    <row r="4" spans="2:44" x14ac:dyDescent="0.2">
      <c r="B4" s="27" t="s">
        <v>8</v>
      </c>
      <c r="C4" s="27"/>
      <c r="D4" s="27"/>
      <c r="E4" s="27"/>
      <c r="F4" s="27"/>
      <c r="G4" s="27"/>
      <c r="H4" s="27"/>
      <c r="I4" s="27"/>
      <c r="J4" s="27"/>
      <c r="K4" s="27"/>
      <c r="M4" s="27" t="s">
        <v>10</v>
      </c>
      <c r="N4" s="27"/>
      <c r="O4" s="27"/>
      <c r="P4" s="27"/>
      <c r="Q4" s="27"/>
      <c r="R4" s="27"/>
      <c r="S4" s="27"/>
      <c r="T4" s="27"/>
      <c r="U4" s="27"/>
      <c r="V4" s="27"/>
      <c r="W4" s="7"/>
      <c r="X4" s="27" t="s">
        <v>12</v>
      </c>
      <c r="Y4" s="27"/>
      <c r="Z4" s="27"/>
      <c r="AA4" s="27"/>
      <c r="AB4" s="27"/>
      <c r="AC4" s="27"/>
      <c r="AD4" s="27"/>
      <c r="AE4" s="27"/>
      <c r="AF4" s="27"/>
      <c r="AG4" s="27"/>
      <c r="AH4" s="7"/>
      <c r="AI4" s="27" t="s">
        <v>14</v>
      </c>
      <c r="AJ4" s="27"/>
      <c r="AK4" s="27"/>
      <c r="AL4" s="27"/>
      <c r="AM4" s="27"/>
      <c r="AN4" s="27"/>
      <c r="AO4" s="27"/>
      <c r="AP4" s="27"/>
      <c r="AQ4" s="27"/>
      <c r="AR4" s="27"/>
    </row>
    <row r="6" spans="2:44" x14ac:dyDescent="0.2">
      <c r="B6" s="1" t="s">
        <v>31</v>
      </c>
      <c r="C6" s="1" t="s">
        <v>23</v>
      </c>
      <c r="D6" s="1" t="s">
        <v>6</v>
      </c>
      <c r="E6" s="1" t="s">
        <v>30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0</v>
      </c>
      <c r="K6" s="1" t="s">
        <v>5</v>
      </c>
      <c r="M6" s="1" t="s">
        <v>31</v>
      </c>
      <c r="N6" s="1" t="s">
        <v>23</v>
      </c>
      <c r="O6" s="1" t="s">
        <v>6</v>
      </c>
      <c r="P6" s="1" t="s">
        <v>30</v>
      </c>
      <c r="Q6" s="1" t="s">
        <v>1</v>
      </c>
      <c r="R6" s="1" t="s">
        <v>2</v>
      </c>
      <c r="S6" s="1" t="s">
        <v>3</v>
      </c>
      <c r="T6" s="1" t="s">
        <v>4</v>
      </c>
      <c r="U6" s="1" t="s">
        <v>0</v>
      </c>
      <c r="V6" s="1" t="s">
        <v>5</v>
      </c>
      <c r="X6" s="1" t="s">
        <v>31</v>
      </c>
      <c r="Y6" s="1" t="s">
        <v>23</v>
      </c>
      <c r="Z6" s="1" t="s">
        <v>6</v>
      </c>
      <c r="AA6" s="1" t="s">
        <v>30</v>
      </c>
      <c r="AB6" s="1" t="s">
        <v>1</v>
      </c>
      <c r="AC6" s="1" t="s">
        <v>2</v>
      </c>
      <c r="AD6" s="1" t="s">
        <v>3</v>
      </c>
      <c r="AE6" s="1" t="s">
        <v>4</v>
      </c>
      <c r="AF6" s="1" t="s">
        <v>0</v>
      </c>
      <c r="AG6" s="1" t="s">
        <v>5</v>
      </c>
      <c r="AI6" s="1" t="s">
        <v>31</v>
      </c>
      <c r="AJ6" s="1" t="s">
        <v>23</v>
      </c>
      <c r="AK6" s="1" t="s">
        <v>6</v>
      </c>
      <c r="AL6" s="1" t="s">
        <v>30</v>
      </c>
      <c r="AM6" s="1" t="s">
        <v>1</v>
      </c>
      <c r="AN6" s="1" t="s">
        <v>2</v>
      </c>
      <c r="AO6" s="1" t="s">
        <v>3</v>
      </c>
      <c r="AP6" s="1" t="s">
        <v>4</v>
      </c>
      <c r="AQ6" s="1" t="s">
        <v>0</v>
      </c>
      <c r="AR6" s="1" t="s">
        <v>5</v>
      </c>
    </row>
    <row r="7" spans="2:44" x14ac:dyDescent="0.2">
      <c r="B7" s="1" t="str">
        <f>_xlfn.XLOOKUP(Runge1[[#This Row],[Metodo]],TbSolver[Metodo],TbSolver[Solver])</f>
        <v>Runge Kutta</v>
      </c>
      <c r="C7" s="1" t="str">
        <f>_xlfn.XLOOKUP(Runge1[[#This Row],[Hebras]],TbTecnologia[Hebras],TbTecnologia[Tecnología])</f>
        <v>OMP</v>
      </c>
      <c r="D7" s="1" t="str" cm="1">
        <f t="array" ref="D7">_xlfn.XLOOKUP(Runge1[[#This Row],[Tecnología]]&amp;Runge1[[#This Row],[Metodo]],TbTipos[Tecnología]&amp;TbTipos[Metodo],TbTipos[Tipo])</f>
        <v>OMP Operaciones</v>
      </c>
      <c r="E7" s="1" t="str" cm="1">
        <f t="array" ref="E7">_xlfn.XLOOKUP(Runge1[[#This Row],[Tecnología]]&amp;Runge1[[#This Row],[Problema]],TbNombres[Tecnología]&amp;TbNombres[Problema],TbNombres[Nombre])</f>
        <v>Simple Advdiff</v>
      </c>
      <c r="F7" s="1">
        <v>1</v>
      </c>
      <c r="G7" s="1">
        <v>1</v>
      </c>
      <c r="H7" s="1">
        <v>1</v>
      </c>
      <c r="I7" s="1">
        <v>100</v>
      </c>
      <c r="J7" s="1">
        <v>100</v>
      </c>
      <c r="K7" s="1">
        <v>2.7344300000000001</v>
      </c>
      <c r="M7" s="2" t="str">
        <f>_xlfn.XLOOKUP(Runge2[[#This Row],[Metodo]],TbSolver[Metodo],TbSolver[Solver])</f>
        <v>Runge Kutta</v>
      </c>
      <c r="N7" s="2" t="str">
        <f>_xlfn.XLOOKUP(Runge2[[#This Row],[Hebras]],TbTecnologia[Hebras],TbTecnologia[Tecnología])</f>
        <v>OMP</v>
      </c>
      <c r="O7" s="2" t="str" cm="1">
        <f t="array" ref="O7">_xlfn.XLOOKUP(Runge2[[#This Row],[Tecnología]]&amp;Runge2[[#This Row],[Metodo]],TbTipos[Tecnología]&amp;TbTipos[Metodo],TbTipos[Tipo])</f>
        <v>OMP Elementos</v>
      </c>
      <c r="P7" s="2" t="str" cm="1">
        <f t="array" ref="P7">_xlfn.XLOOKUP(Runge2[[#This Row],[Tecnología]]&amp;Runge2[[#This Row],[Problema]],TbNombres[Tecnología]&amp;TbNombres[Problema],TbNombres[Nombre])</f>
        <v>Advdiff1d</v>
      </c>
      <c r="Q7" s="2">
        <v>2</v>
      </c>
      <c r="R7" s="2">
        <v>2</v>
      </c>
      <c r="S7" s="2">
        <v>4</v>
      </c>
      <c r="T7" s="2">
        <v>100</v>
      </c>
      <c r="U7" s="2">
        <v>100</v>
      </c>
      <c r="V7" s="2">
        <v>11.9709</v>
      </c>
      <c r="X7" s="2" t="str">
        <f>_xlfn.XLOOKUP(Runge3[[#This Row],[Metodo]],TbSolver[Metodo],TbSolver[Solver])</f>
        <v>Runge Kutta</v>
      </c>
      <c r="Y7" s="2" t="str">
        <f>_xlfn.XLOOKUP(Runge3[[#This Row],[Hebras]],TbTecnologia[Hebras],TbTecnologia[Tecnología])</f>
        <v>OMP</v>
      </c>
      <c r="Z7" s="2" t="str" cm="1">
        <f t="array" ref="Z7">_xlfn.XLOOKUP(Runge3[[#This Row],[Tecnología]]&amp;Runge3[[#This Row],[Metodo]],TbTipos[Tecnología]&amp;TbTipos[Metodo],TbTipos[Tipo])</f>
        <v>OMP Elementos</v>
      </c>
      <c r="AA7" s="2" t="str" cm="1">
        <f t="array" ref="AA7">_xlfn.XLOOKUP(Runge3[[#This Row],[Tecnología]]&amp;Runge3[[#This Row],[Problema]],TbNombres[Tecnología]&amp;TbNombres[Problema],TbNombres[Nombre])</f>
        <v>Brusselator1d</v>
      </c>
      <c r="AB7" s="2">
        <v>2</v>
      </c>
      <c r="AC7" s="2">
        <v>3</v>
      </c>
      <c r="AD7" s="2">
        <v>1</v>
      </c>
      <c r="AE7" s="2">
        <v>100</v>
      </c>
      <c r="AF7" s="2">
        <v>200</v>
      </c>
      <c r="AG7" s="2">
        <v>5.33148</v>
      </c>
      <c r="AI7" s="2" t="str">
        <f>_xlfn.XLOOKUP(Runge4[[#This Row],[Metodo]],TbSolver[Metodo],TbSolver[Solver])</f>
        <v>Runge Kutta</v>
      </c>
      <c r="AJ7" s="2" t="str">
        <f>_xlfn.XLOOKUP(Runge4[[#This Row],[Hebras]],TbTecnologia[Hebras],TbTecnologia[Tecnología])</f>
        <v>CUDA</v>
      </c>
      <c r="AK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7" s="4" t="str" cm="1">
        <f t="array" ref="AL7">_xlfn.XLOOKUP(Runge4[[#This Row],[Tecnología]]&amp;Runge4[[#This Row],[Problema]],TbNombres[Tecnología]&amp;TbNombres[Problema],TbNombres[Nombre])</f>
        <v>Brusselator2d</v>
      </c>
      <c r="AM7" s="21">
        <v>2</v>
      </c>
      <c r="AN7" s="21">
        <v>8</v>
      </c>
      <c r="AO7" s="21">
        <v>256</v>
      </c>
      <c r="AP7" s="21">
        <v>25</v>
      </c>
      <c r="AQ7" s="21">
        <v>1250</v>
      </c>
      <c r="AR7" s="21">
        <v>17.0261</v>
      </c>
    </row>
    <row r="8" spans="2:44" x14ac:dyDescent="0.2">
      <c r="B8" s="1" t="str">
        <f>_xlfn.XLOOKUP(Runge1[[#This Row],[Metodo]],TbSolver[Metodo],TbSolver[Solver])</f>
        <v>Runge Kutta</v>
      </c>
      <c r="C8" s="1" t="str">
        <f>_xlfn.XLOOKUP(Runge1[[#This Row],[Hebras]],TbTecnologia[Hebras],TbTecnologia[Tecnología])</f>
        <v>OMP</v>
      </c>
      <c r="D8" s="1" t="str" cm="1">
        <f t="array" ref="D8">_xlfn.XLOOKUP(Runge1[[#This Row],[Tecnología]]&amp;Runge1[[#This Row],[Metodo]],TbTipos[Tecnología]&amp;TbTipos[Metodo],TbTipos[Tipo])</f>
        <v>OMP Elementos</v>
      </c>
      <c r="E8" s="1" t="str" cm="1">
        <f t="array" ref="E8">_xlfn.XLOOKUP(Runge1[[#This Row],[Tecnología]]&amp;Runge1[[#This Row],[Problema]],TbNombres[Tecnología]&amp;TbNombres[Problema],TbNombres[Nombre])</f>
        <v>Simple Advdiff</v>
      </c>
      <c r="F8" s="1">
        <v>2</v>
      </c>
      <c r="G8" s="1">
        <v>1</v>
      </c>
      <c r="H8" s="1">
        <v>1</v>
      </c>
      <c r="I8" s="1">
        <v>100</v>
      </c>
      <c r="J8" s="1">
        <v>100</v>
      </c>
      <c r="K8" s="1">
        <v>3.68499</v>
      </c>
      <c r="M8" s="2" t="str">
        <f>_xlfn.XLOOKUP(Runge2[[#This Row],[Metodo]],TbSolver[Metodo],TbSolver[Solver])</f>
        <v>Runge Kutta</v>
      </c>
      <c r="N8" s="2" t="str">
        <f>_xlfn.XLOOKUP(Runge2[[#This Row],[Hebras]],TbTecnologia[Hebras],TbTecnologia[Tecnología])</f>
        <v>OMP</v>
      </c>
      <c r="O8" s="2" t="str" cm="1">
        <f t="array" ref="O8">_xlfn.XLOOKUP(Runge2[[#This Row],[Tecnología]]&amp;Runge2[[#This Row],[Metodo]],TbTipos[Tecnología]&amp;TbTipos[Metodo],TbTipos[Tipo])</f>
        <v>OMP Elementos</v>
      </c>
      <c r="P8" s="2" t="str" cm="1">
        <f t="array" ref="P8">_xlfn.XLOOKUP(Runge2[[#This Row],[Tecnología]]&amp;Runge2[[#This Row],[Problema]],TbNombres[Tecnología]&amp;TbNombres[Problema],TbNombres[Nombre])</f>
        <v>Advdiff1d</v>
      </c>
      <c r="Q8" s="2">
        <v>2</v>
      </c>
      <c r="R8" s="2">
        <v>2</v>
      </c>
      <c r="S8" s="2">
        <v>1</v>
      </c>
      <c r="T8" s="2">
        <v>100</v>
      </c>
      <c r="U8" s="2">
        <v>100</v>
      </c>
      <c r="V8" s="2">
        <v>12.3429</v>
      </c>
      <c r="X8" s="2" t="str">
        <f>_xlfn.XLOOKUP(Runge3[[#This Row],[Metodo]],TbSolver[Metodo],TbSolver[Solver])</f>
        <v>Runge Kutta</v>
      </c>
      <c r="Y8" s="2" t="str">
        <f>_xlfn.XLOOKUP(Runge3[[#This Row],[Hebras]],TbTecnologia[Hebras],TbTecnologia[Tecnología])</f>
        <v>OMP</v>
      </c>
      <c r="Z8" s="2" t="str" cm="1">
        <f t="array" ref="Z8">_xlfn.XLOOKUP(Runge3[[#This Row],[Tecnología]]&amp;Runge3[[#This Row],[Metodo]],TbTipos[Tecnología]&amp;TbTipos[Metodo],TbTipos[Tipo])</f>
        <v>OMP Operaciones</v>
      </c>
      <c r="AA8" s="2" t="str" cm="1">
        <f t="array" ref="AA8">_xlfn.XLOOKUP(Runge3[[#This Row],[Tecnología]]&amp;Runge3[[#This Row],[Problema]],TbNombres[Tecnología]&amp;TbNombres[Problema],TbNombres[Nombre])</f>
        <v>Brusselator1d</v>
      </c>
      <c r="AB8" s="2">
        <v>1</v>
      </c>
      <c r="AC8" s="2">
        <v>3</v>
      </c>
      <c r="AD8" s="2">
        <v>1</v>
      </c>
      <c r="AE8" s="2">
        <v>100</v>
      </c>
      <c r="AF8" s="2">
        <v>200</v>
      </c>
      <c r="AG8" s="2">
        <v>5.4470700000000001</v>
      </c>
      <c r="AI8" s="2" t="str">
        <f>_xlfn.XLOOKUP(Runge4[[#This Row],[Metodo]],TbSolver[Metodo],TbSolver[Solver])</f>
        <v>Runge Kutta</v>
      </c>
      <c r="AJ8" s="2" t="str">
        <f>_xlfn.XLOOKUP(Runge4[[#This Row],[Hebras]],TbTecnologia[Hebras],TbTecnologia[Tecnología])</f>
        <v>CUDA</v>
      </c>
      <c r="AK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8" s="4" t="str" cm="1">
        <f t="array" ref="AL8">_xlfn.XLOOKUP(Runge4[[#This Row],[Tecnología]]&amp;Runge4[[#This Row],[Problema]],TbNombres[Tecnología]&amp;TbNombres[Problema],TbNombres[Nombre])</f>
        <v>Brusselator2d</v>
      </c>
      <c r="AM8" s="21">
        <v>1</v>
      </c>
      <c r="AN8" s="21">
        <v>8</v>
      </c>
      <c r="AO8" s="21">
        <v>256</v>
      </c>
      <c r="AP8" s="21">
        <v>25</v>
      </c>
      <c r="AQ8" s="21">
        <v>1250</v>
      </c>
      <c r="AR8" s="21">
        <v>19.946899999999999</v>
      </c>
    </row>
    <row r="9" spans="2:44" x14ac:dyDescent="0.2">
      <c r="B9" s="1" t="str">
        <f>_xlfn.XLOOKUP(Runge1[[#This Row],[Metodo]],TbSolver[Metodo],TbSolver[Solver])</f>
        <v>Runge Kutta</v>
      </c>
      <c r="C9" s="1" t="str">
        <f>_xlfn.XLOOKUP(Runge1[[#This Row],[Hebras]],TbTecnologia[Hebras],TbTecnologia[Tecnología])</f>
        <v>OMP</v>
      </c>
      <c r="D9" s="1" t="str" cm="1">
        <f t="array" ref="D9">_xlfn.XLOOKUP(Runge1[[#This Row],[Tecnología]]&amp;Runge1[[#This Row],[Metodo]],TbTipos[Tecnología]&amp;TbTipos[Metodo],TbTipos[Tipo])</f>
        <v>OMP Elementos</v>
      </c>
      <c r="E9" s="1" t="str" cm="1">
        <f t="array" ref="E9">_xlfn.XLOOKUP(Runge1[[#This Row],[Tecnología]]&amp;Runge1[[#This Row],[Problema]],TbNombres[Tecnología]&amp;TbNombres[Problema],TbNombres[Nombre])</f>
        <v>Simple Advdiff</v>
      </c>
      <c r="F9" s="1">
        <v>2</v>
      </c>
      <c r="G9" s="1">
        <v>1</v>
      </c>
      <c r="H9" s="1">
        <v>4</v>
      </c>
      <c r="I9" s="1">
        <v>100</v>
      </c>
      <c r="J9" s="1">
        <v>100</v>
      </c>
      <c r="K9" s="1">
        <v>8.7560699999999994</v>
      </c>
      <c r="M9" s="2" t="str">
        <f>_xlfn.XLOOKUP(Runge2[[#This Row],[Metodo]],TbSolver[Metodo],TbSolver[Solver])</f>
        <v>Runge Kutta</v>
      </c>
      <c r="N9" s="2" t="str">
        <f>_xlfn.XLOOKUP(Runge2[[#This Row],[Hebras]],TbTecnologia[Hebras],TbTecnologia[Tecnología])</f>
        <v>OMP</v>
      </c>
      <c r="O9" s="2" t="str" cm="1">
        <f t="array" ref="O9">_xlfn.XLOOKUP(Runge2[[#This Row],[Tecnología]]&amp;Runge2[[#This Row],[Metodo]],TbTipos[Tecnología]&amp;TbTipos[Metodo],TbTipos[Tipo])</f>
        <v>OMP Operaciones</v>
      </c>
      <c r="P9" s="2" t="str" cm="1">
        <f t="array" ref="P9">_xlfn.XLOOKUP(Runge2[[#This Row],[Tecnología]]&amp;Runge2[[#This Row],[Problema]],TbNombres[Tecnología]&amp;TbNombres[Problema],TbNombres[Nombre])</f>
        <v>Advdiff1d</v>
      </c>
      <c r="Q9" s="2">
        <v>1</v>
      </c>
      <c r="R9" s="2">
        <v>2</v>
      </c>
      <c r="S9" s="2">
        <v>1</v>
      </c>
      <c r="T9" s="2">
        <v>100</v>
      </c>
      <c r="U9" s="2">
        <v>100</v>
      </c>
      <c r="V9" s="2">
        <v>12.4354</v>
      </c>
      <c r="X9" s="2" t="str">
        <f>_xlfn.XLOOKUP(Runge3[[#This Row],[Metodo]],TbSolver[Metodo],TbSolver[Solver])</f>
        <v>Runge Kutta</v>
      </c>
      <c r="Y9" s="2" t="str">
        <f>_xlfn.XLOOKUP(Runge3[[#This Row],[Hebras]],TbTecnologia[Hebras],TbTecnologia[Tecnología])</f>
        <v>OMP</v>
      </c>
      <c r="Z9" s="2" t="str" cm="1">
        <f t="array" ref="Z9">_xlfn.XLOOKUP(Runge3[[#This Row],[Tecnología]]&amp;Runge3[[#This Row],[Metodo]],TbTipos[Tecnología]&amp;TbTipos[Metodo],TbTipos[Tipo])</f>
        <v>OMP Elementos</v>
      </c>
      <c r="AA9" s="2" t="str" cm="1">
        <f t="array" ref="AA9">_xlfn.XLOOKUP(Runge3[[#This Row],[Tecnología]]&amp;Runge3[[#This Row],[Problema]],TbNombres[Tecnología]&amp;TbNombres[Problema],TbNombres[Nombre])</f>
        <v>Brusselator1d</v>
      </c>
      <c r="AB9" s="2">
        <v>2</v>
      </c>
      <c r="AC9" s="2">
        <v>3</v>
      </c>
      <c r="AD9" s="2">
        <v>4</v>
      </c>
      <c r="AE9" s="2">
        <v>100</v>
      </c>
      <c r="AF9" s="2">
        <v>200</v>
      </c>
      <c r="AG9" s="2">
        <v>8.7904599999999995</v>
      </c>
      <c r="AI9" s="2" t="str">
        <f>_xlfn.XLOOKUP(Runge4[[#This Row],[Metodo]],TbSolver[Metodo],TbSolver[Solver])</f>
        <v>Runge Kutta</v>
      </c>
      <c r="AJ9" s="2" t="str">
        <f>_xlfn.XLOOKUP(Runge4[[#This Row],[Hebras]],TbTecnologia[Hebras],TbTecnologia[Tecnología])</f>
        <v>OMP</v>
      </c>
      <c r="AK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9" s="4" t="str" cm="1">
        <f t="array" ref="AL9">_xlfn.XLOOKUP(Runge4[[#This Row],[Tecnología]]&amp;Runge4[[#This Row],[Problema]],TbNombres[Tecnología]&amp;TbNombres[Problema],TbNombres[Nombre])</f>
        <v>Brusselator2d</v>
      </c>
      <c r="AM9" s="4">
        <v>2</v>
      </c>
      <c r="AN9" s="4">
        <v>4</v>
      </c>
      <c r="AO9" s="4">
        <v>4</v>
      </c>
      <c r="AP9" s="4">
        <v>25</v>
      </c>
      <c r="AQ9" s="4">
        <v>1250</v>
      </c>
      <c r="AR9" s="4">
        <v>24.585599999999999</v>
      </c>
    </row>
    <row r="10" spans="2:44" x14ac:dyDescent="0.2">
      <c r="B10" s="1" t="str">
        <f>_xlfn.XLOOKUP(Runge1[[#This Row],[Metodo]],TbSolver[Metodo],TbSolver[Solver])</f>
        <v>Runge Kutta</v>
      </c>
      <c r="C10" s="1" t="str">
        <f>_xlfn.XLOOKUP(Runge1[[#This Row],[Hebras]],TbTecnologia[Hebras],TbTecnologia[Tecnología])</f>
        <v>CUDA</v>
      </c>
      <c r="D10" s="1" t="str" cm="1">
        <f t="array" ref="D10">_xlfn.XLOOKUP(Runge1[[#This Row],[Tecnología]]&amp;Runge1[[#This Row],[Metodo]],TbTipos[Tecnología]&amp;TbTipos[Metodo],TbTipos[Tipo])</f>
        <v>CUDA con graph</v>
      </c>
      <c r="E10" s="1" t="str" cm="1">
        <f t="array" ref="E10">_xlfn.XLOOKUP(Runge1[[#This Row],[Tecnología]]&amp;Runge1[[#This Row],[Problema]],TbNombres[Tecnología]&amp;TbNombres[Problema],TbNombres[Nombre])</f>
        <v>Simple Advdiff</v>
      </c>
      <c r="F10" s="1">
        <v>2</v>
      </c>
      <c r="G10" s="1">
        <v>1</v>
      </c>
      <c r="H10" s="1">
        <v>256</v>
      </c>
      <c r="I10" s="1">
        <v>100</v>
      </c>
      <c r="J10" s="1">
        <v>100</v>
      </c>
      <c r="K10" s="1">
        <v>10.740600000000001</v>
      </c>
      <c r="M10" s="2" t="str">
        <f>_xlfn.XLOOKUP(Runge2[[#This Row],[Metodo]],TbSolver[Metodo],TbSolver[Solver])</f>
        <v>Runge Kutta</v>
      </c>
      <c r="N10" s="2" t="str">
        <f>_xlfn.XLOOKUP(Runge2[[#This Row],[Hebras]],TbTecnologia[Hebras],TbTecnologia[Tecnología])</f>
        <v>CUDA</v>
      </c>
      <c r="O10" s="2" t="str" cm="1">
        <f t="array" ref="O10">_xlfn.XLOOKUP(Runge2[[#This Row],[Tecnología]]&amp;Runge2[[#This Row],[Metodo]],TbTipos[Tecnología]&amp;TbTipos[Metodo],TbTipos[Tipo])</f>
        <v>CUDA con graph</v>
      </c>
      <c r="P10" s="2" t="str" cm="1">
        <f t="array" ref="P10">_xlfn.XLOOKUP(Runge2[[#This Row],[Tecnología]]&amp;Runge2[[#This Row],[Problema]],TbNombres[Tecnología]&amp;TbNombres[Problema],TbNombres[Nombre])</f>
        <v>Advdiff1d</v>
      </c>
      <c r="Q10" s="2">
        <v>2</v>
      </c>
      <c r="R10" s="2">
        <v>3</v>
      </c>
      <c r="S10" s="2">
        <v>256</v>
      </c>
      <c r="T10" s="2">
        <v>100</v>
      </c>
      <c r="U10" s="2">
        <v>100</v>
      </c>
      <c r="V10" s="2">
        <v>18.482600000000001</v>
      </c>
      <c r="X10" s="2" t="str">
        <f>_xlfn.XLOOKUP(Runge3[[#This Row],[Metodo]],TbSolver[Metodo],TbSolver[Solver])</f>
        <v>Runge Kutta</v>
      </c>
      <c r="Y10" s="2" t="str">
        <f>_xlfn.XLOOKUP(Runge3[[#This Row],[Hebras]],TbTecnologia[Hebras],TbTecnologia[Tecnología])</f>
        <v>CUDA</v>
      </c>
      <c r="Z10" s="2" t="str" cm="1">
        <f t="array" ref="Z10">_xlfn.XLOOKUP(Runge3[[#This Row],[Tecnología]]&amp;Runge3[[#This Row],[Metodo]],TbTipos[Tecnología]&amp;TbTipos[Metodo],TbTipos[Tipo])</f>
        <v>CUDA con graph</v>
      </c>
      <c r="AA10" s="2" t="str" cm="1">
        <f t="array" ref="AA10">_xlfn.XLOOKUP(Runge3[[#This Row],[Tecnología]]&amp;Runge3[[#This Row],[Problema]],TbNombres[Tecnología]&amp;TbNombres[Problema],TbNombres[Nombre])</f>
        <v>Brusselator1d</v>
      </c>
      <c r="AB10" s="2">
        <v>2</v>
      </c>
      <c r="AC10" s="2">
        <v>5</v>
      </c>
      <c r="AD10" s="2">
        <v>256</v>
      </c>
      <c r="AE10" s="2">
        <v>100</v>
      </c>
      <c r="AF10" s="2">
        <v>200</v>
      </c>
      <c r="AG10" s="2">
        <v>13.028600000000001</v>
      </c>
      <c r="AI10" s="2" t="str">
        <f>_xlfn.XLOOKUP(Runge4[[#This Row],[Metodo]],TbSolver[Metodo],TbSolver[Solver])</f>
        <v>Runge Kutta</v>
      </c>
      <c r="AJ10" s="2" t="str">
        <f>_xlfn.XLOOKUP(Runge4[[#This Row],[Hebras]],TbTecnologia[Hebras],TbTecnologia[Tecnología])</f>
        <v>OMP</v>
      </c>
      <c r="AK1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10" s="4" t="str" cm="1">
        <f t="array" ref="AL10">_xlfn.XLOOKUP(Runge4[[#This Row],[Tecnología]]&amp;Runge4[[#This Row],[Problema]],TbNombres[Tecnología]&amp;TbNombres[Problema],TbNombres[Nombre])</f>
        <v>Brusselator2d</v>
      </c>
      <c r="AM10" s="4">
        <v>1</v>
      </c>
      <c r="AN10" s="4">
        <v>4</v>
      </c>
      <c r="AO10" s="4">
        <v>1</v>
      </c>
      <c r="AP10" s="4">
        <v>25</v>
      </c>
      <c r="AQ10" s="4">
        <v>1250</v>
      </c>
      <c r="AR10" s="4">
        <v>28.118500000000001</v>
      </c>
    </row>
    <row r="11" spans="2:44" x14ac:dyDescent="0.2">
      <c r="B11" s="1" t="str">
        <f>_xlfn.XLOOKUP(Runge1[[#This Row],[Metodo]],TbSolver[Metodo],TbSolver[Solver])</f>
        <v>Runge Kutta</v>
      </c>
      <c r="C11" s="1" t="str">
        <f>_xlfn.XLOOKUP(Runge1[[#This Row],[Hebras]],TbTecnologia[Hebras],TbTecnologia[Tecnología])</f>
        <v>CUDA</v>
      </c>
      <c r="D11" s="1" t="str" cm="1">
        <f t="array" ref="D11">_xlfn.XLOOKUP(Runge1[[#This Row],[Tecnología]]&amp;Runge1[[#This Row],[Metodo]],TbTipos[Tecnología]&amp;TbTipos[Metodo],TbTipos[Tipo])</f>
        <v>CUDA con graph</v>
      </c>
      <c r="E11" s="1" t="str" cm="1">
        <f t="array" ref="E11">_xlfn.XLOOKUP(Runge1[[#This Row],[Tecnología]]&amp;Runge1[[#This Row],[Problema]],TbNombres[Tecnología]&amp;TbNombres[Problema],TbNombres[Nombre])</f>
        <v>Simple Advdiff shuffle</v>
      </c>
      <c r="F11" s="1">
        <v>2</v>
      </c>
      <c r="G11" s="1">
        <v>2</v>
      </c>
      <c r="H11" s="1">
        <v>256</v>
      </c>
      <c r="I11" s="1">
        <v>100</v>
      </c>
      <c r="J11" s="1">
        <v>100</v>
      </c>
      <c r="K11" s="1">
        <v>11.0594</v>
      </c>
      <c r="M11" s="2" t="str">
        <f>_xlfn.XLOOKUP(Runge2[[#This Row],[Metodo]],TbSolver[Metodo],TbSolver[Solver])</f>
        <v>Runge Kutta</v>
      </c>
      <c r="N11" s="2" t="str">
        <f>_xlfn.XLOOKUP(Runge2[[#This Row],[Hebras]],TbTecnologia[Hebras],TbTecnologia[Tecnología])</f>
        <v>CUDA</v>
      </c>
      <c r="O11" s="2" t="str" cm="1">
        <f t="array" ref="O11">_xlfn.XLOOKUP(Runge2[[#This Row],[Tecnología]]&amp;Runge2[[#This Row],[Metodo]],TbTipos[Tecnología]&amp;TbTipos[Metodo],TbTipos[Tipo])</f>
        <v>CUDA con graph</v>
      </c>
      <c r="P11" s="2" t="str" cm="1">
        <f t="array" ref="P11">_xlfn.XLOOKUP(Runge2[[#This Row],[Tecnología]]&amp;Runge2[[#This Row],[Problema]],TbNombres[Tecnología]&amp;TbNombres[Problema],TbNombres[Nombre])</f>
        <v>Advdiff1d shuffle</v>
      </c>
      <c r="Q11" s="2">
        <v>2</v>
      </c>
      <c r="R11" s="2">
        <v>4</v>
      </c>
      <c r="S11" s="2">
        <v>256</v>
      </c>
      <c r="T11" s="2">
        <v>100</v>
      </c>
      <c r="U11" s="2">
        <v>100</v>
      </c>
      <c r="V11" s="2">
        <v>18.9876</v>
      </c>
      <c r="X11" s="2" t="str">
        <f>_xlfn.XLOOKUP(Runge3[[#This Row],[Metodo]],TbSolver[Metodo],TbSolver[Solver])</f>
        <v>Runge Kutta</v>
      </c>
      <c r="Y11" s="2" t="str">
        <f>_xlfn.XLOOKUP(Runge3[[#This Row],[Hebras]],TbTecnologia[Hebras],TbTecnologia[Tecnología])</f>
        <v>CUDA</v>
      </c>
      <c r="Z11" s="2" t="str" cm="1">
        <f t="array" ref="Z11">_xlfn.XLOOKUP(Runge3[[#This Row],[Tecnología]]&amp;Runge3[[#This Row],[Metodo]],TbTipos[Tecnología]&amp;TbTipos[Metodo],TbTipos[Tipo])</f>
        <v>CUDA con graph</v>
      </c>
      <c r="AA11" s="2" t="str" cm="1">
        <f t="array" ref="AA11">_xlfn.XLOOKUP(Runge3[[#This Row],[Tecnología]]&amp;Runge3[[#This Row],[Problema]],TbNombres[Tecnología]&amp;TbNombres[Problema],TbNombres[Nombre])</f>
        <v>Brusselator1d shuffle</v>
      </c>
      <c r="AB11" s="2">
        <v>2</v>
      </c>
      <c r="AC11" s="2">
        <v>6</v>
      </c>
      <c r="AD11" s="2">
        <v>256</v>
      </c>
      <c r="AE11" s="2">
        <v>100</v>
      </c>
      <c r="AF11" s="2">
        <v>200</v>
      </c>
      <c r="AG11" s="2">
        <v>13.157400000000001</v>
      </c>
      <c r="AI11" s="2" t="str">
        <f>_xlfn.XLOOKUP(Runge4[[#This Row],[Metodo]],TbSolver[Metodo],TbSolver[Solver])</f>
        <v>Runge Kutta</v>
      </c>
      <c r="AJ11" s="2" t="str">
        <f>_xlfn.XLOOKUP(Runge4[[#This Row],[Hebras]],TbTecnologia[Hebras],TbTecnologia[Tecnología])</f>
        <v>OMP</v>
      </c>
      <c r="AK1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11" s="4" t="str" cm="1">
        <f t="array" ref="AL11">_xlfn.XLOOKUP(Runge4[[#This Row],[Tecnología]]&amp;Runge4[[#This Row],[Problema]],TbNombres[Tecnología]&amp;TbNombres[Problema],TbNombres[Nombre])</f>
        <v>Brusselator2d</v>
      </c>
      <c r="AM11" s="4">
        <v>1</v>
      </c>
      <c r="AN11" s="4">
        <v>4</v>
      </c>
      <c r="AO11" s="4">
        <v>4</v>
      </c>
      <c r="AP11" s="4">
        <v>25</v>
      </c>
      <c r="AQ11" s="4">
        <v>1250</v>
      </c>
      <c r="AR11" s="4">
        <v>30.5199</v>
      </c>
    </row>
    <row r="12" spans="2:44" x14ac:dyDescent="0.2">
      <c r="B12" s="1" t="str">
        <f>_xlfn.XLOOKUP(Runge1[[#This Row],[Metodo]],TbSolver[Metodo],TbSolver[Solver])</f>
        <v>Runge Kutta</v>
      </c>
      <c r="C12" s="1" t="str">
        <f>_xlfn.XLOOKUP(Runge1[[#This Row],[Hebras]],TbTecnologia[Hebras],TbTecnologia[Tecnología])</f>
        <v>CUDA</v>
      </c>
      <c r="D12" s="1" t="str" cm="1">
        <f t="array" ref="D12">_xlfn.XLOOKUP(Runge1[[#This Row],[Tecnología]]&amp;Runge1[[#This Row],[Metodo]],TbTipos[Tecnología]&amp;TbTipos[Metodo],TbTipos[Tipo])</f>
        <v>CUDA sin graph</v>
      </c>
      <c r="E12" s="1" t="str" cm="1">
        <f t="array" ref="E12">_xlfn.XLOOKUP(Runge1[[#This Row],[Tecnología]]&amp;Runge1[[#This Row],[Problema]],TbNombres[Tecnología]&amp;TbNombres[Problema],TbNombres[Nombre])</f>
        <v>Simple Advdiff</v>
      </c>
      <c r="F12" s="1">
        <v>1</v>
      </c>
      <c r="G12" s="1">
        <v>1</v>
      </c>
      <c r="H12" s="1">
        <v>256</v>
      </c>
      <c r="I12" s="1">
        <v>100</v>
      </c>
      <c r="J12" s="1">
        <v>100</v>
      </c>
      <c r="K12" s="1">
        <v>14.210800000000001</v>
      </c>
      <c r="M12" s="2" t="str">
        <f>_xlfn.XLOOKUP(Runge2[[#This Row],[Metodo]],TbSolver[Metodo],TbSolver[Solver])</f>
        <v>Runge Kutta</v>
      </c>
      <c r="N12" s="2" t="str">
        <f>_xlfn.XLOOKUP(Runge2[[#This Row],[Hebras]],TbTecnologia[Hebras],TbTecnologia[Tecnología])</f>
        <v>OMP</v>
      </c>
      <c r="O12" s="2" t="str" cm="1">
        <f t="array" ref="O12">_xlfn.XLOOKUP(Runge2[[#This Row],[Tecnología]]&amp;Runge2[[#This Row],[Metodo]],TbTipos[Tecnología]&amp;TbTipos[Metodo],TbTipos[Tipo])</f>
        <v>OMP Elementos</v>
      </c>
      <c r="P12" s="2" t="str" cm="1">
        <f t="array" ref="P12">_xlfn.XLOOKUP(Runge2[[#This Row],[Tecnología]]&amp;Runge2[[#This Row],[Problema]],TbNombres[Tecnología]&amp;TbNombres[Problema],TbNombres[Nombre])</f>
        <v>Advdiff1d</v>
      </c>
      <c r="Q12" s="2">
        <v>2</v>
      </c>
      <c r="R12" s="2">
        <v>2</v>
      </c>
      <c r="S12" s="2">
        <v>16</v>
      </c>
      <c r="T12" s="2">
        <v>100</v>
      </c>
      <c r="U12" s="2">
        <v>100</v>
      </c>
      <c r="V12" s="2">
        <v>21.2547</v>
      </c>
      <c r="X12" s="2" t="str">
        <f>_xlfn.XLOOKUP(Runge3[[#This Row],[Metodo]],TbSolver[Metodo],TbSolver[Solver])</f>
        <v>Runge Kutta</v>
      </c>
      <c r="Y12" s="2" t="str">
        <f>_xlfn.XLOOKUP(Runge3[[#This Row],[Hebras]],TbTecnologia[Hebras],TbTecnologia[Tecnología])</f>
        <v>CUDA</v>
      </c>
      <c r="Z12" s="2" t="str" cm="1">
        <f t="array" ref="Z12">_xlfn.XLOOKUP(Runge3[[#This Row],[Tecnología]]&amp;Runge3[[#This Row],[Metodo]],TbTipos[Tecnología]&amp;TbTipos[Metodo],TbTipos[Tipo])</f>
        <v>CUDA con graph</v>
      </c>
      <c r="AA12" s="2" t="str" cm="1">
        <f t="array" ref="AA12">_xlfn.XLOOKUP(Runge3[[#This Row],[Tecnología]]&amp;Runge3[[#This Row],[Problema]],TbNombres[Tecnología]&amp;TbNombres[Problema],TbNombres[Nombre])</f>
        <v>Brusselator1d grid</v>
      </c>
      <c r="AB12" s="2">
        <v>2</v>
      </c>
      <c r="AC12" s="2">
        <v>7</v>
      </c>
      <c r="AD12" s="2">
        <v>256</v>
      </c>
      <c r="AE12" s="2">
        <v>100</v>
      </c>
      <c r="AF12" s="2">
        <v>200</v>
      </c>
      <c r="AG12" s="2">
        <v>13.540100000000001</v>
      </c>
      <c r="AI12" s="2" t="str">
        <f>_xlfn.XLOOKUP(Runge4[[#This Row],[Metodo]],TbSolver[Metodo],TbSolver[Solver])</f>
        <v>Runge Kutta</v>
      </c>
      <c r="AJ12" s="2" t="str">
        <f>_xlfn.XLOOKUP(Runge4[[#This Row],[Hebras]],TbTecnologia[Hebras],TbTecnologia[Tecnología])</f>
        <v>OMP</v>
      </c>
      <c r="AK1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12" s="4" t="str" cm="1">
        <f t="array" ref="AL12">_xlfn.XLOOKUP(Runge4[[#This Row],[Tecnología]]&amp;Runge4[[#This Row],[Problema]],TbNombres[Tecnología]&amp;TbNombres[Problema],TbNombres[Nombre])</f>
        <v>Brusselator2d</v>
      </c>
      <c r="AM12" s="4">
        <v>2</v>
      </c>
      <c r="AN12" s="4">
        <v>4</v>
      </c>
      <c r="AO12" s="4">
        <v>16</v>
      </c>
      <c r="AP12" s="4">
        <v>25</v>
      </c>
      <c r="AQ12" s="4">
        <v>1250</v>
      </c>
      <c r="AR12" s="4">
        <v>41.181399999999996</v>
      </c>
    </row>
    <row r="13" spans="2:44" x14ac:dyDescent="0.2">
      <c r="B13" s="1" t="str">
        <f>_xlfn.XLOOKUP(Runge1[[#This Row],[Metodo]],TbSolver[Metodo],TbSolver[Solver])</f>
        <v>Runge Kutta</v>
      </c>
      <c r="C13" s="1" t="str">
        <f>_xlfn.XLOOKUP(Runge1[[#This Row],[Hebras]],TbTecnologia[Hebras],TbTecnologia[Tecnología])</f>
        <v>CUDA</v>
      </c>
      <c r="D13" s="1" t="str" cm="1">
        <f t="array" ref="D13">_xlfn.XLOOKUP(Runge1[[#This Row],[Tecnología]]&amp;Runge1[[#This Row],[Metodo]],TbTipos[Tecnología]&amp;TbTipos[Metodo],TbTipos[Tipo])</f>
        <v>CUDA sin graph</v>
      </c>
      <c r="E13" s="1" t="str" cm="1">
        <f t="array" ref="E13">_xlfn.XLOOKUP(Runge1[[#This Row],[Tecnología]]&amp;Runge1[[#This Row],[Problema]],TbNombres[Tecnología]&amp;TbNombres[Problema],TbNombres[Nombre])</f>
        <v>Simple Advdiff shuffle</v>
      </c>
      <c r="F13" s="1">
        <v>1</v>
      </c>
      <c r="G13" s="1">
        <v>2</v>
      </c>
      <c r="H13" s="1">
        <v>256</v>
      </c>
      <c r="I13" s="1">
        <v>100</v>
      </c>
      <c r="J13" s="1">
        <v>100</v>
      </c>
      <c r="K13" s="1">
        <v>17.4419</v>
      </c>
      <c r="M13" s="2" t="str">
        <f>_xlfn.XLOOKUP(Runge2[[#This Row],[Metodo]],TbSolver[Metodo],TbSolver[Solver])</f>
        <v>Runge Kutta</v>
      </c>
      <c r="N13" s="2" t="str">
        <f>_xlfn.XLOOKUP(Runge2[[#This Row],[Hebras]],TbTecnologia[Hebras],TbTecnologia[Tecnología])</f>
        <v>CUDA</v>
      </c>
      <c r="O13" s="2" t="str" cm="1">
        <f t="array" ref="O13">_xlfn.XLOOKUP(Runge2[[#This Row],[Tecnología]]&amp;Runge2[[#This Row],[Metodo]],TbTipos[Tecnología]&amp;TbTipos[Metodo],TbTipos[Tipo])</f>
        <v>CUDA sin graph</v>
      </c>
      <c r="P13" s="2" t="str" cm="1">
        <f t="array" ref="P13">_xlfn.XLOOKUP(Runge2[[#This Row],[Tecnología]]&amp;Runge2[[#This Row],[Problema]],TbNombres[Tecnología]&amp;TbNombres[Problema],TbNombres[Nombre])</f>
        <v>Advdiff1d</v>
      </c>
      <c r="Q13" s="2">
        <v>1</v>
      </c>
      <c r="R13" s="2">
        <v>3</v>
      </c>
      <c r="S13" s="2">
        <v>256</v>
      </c>
      <c r="T13" s="2">
        <v>100</v>
      </c>
      <c r="U13" s="2">
        <v>100</v>
      </c>
      <c r="V13" s="2">
        <v>21.426300000000001</v>
      </c>
      <c r="X13" s="2" t="str">
        <f>_xlfn.XLOOKUP(Runge3[[#This Row],[Metodo]],TbSolver[Metodo],TbSolver[Solver])</f>
        <v>Runge Kutta</v>
      </c>
      <c r="Y13" s="2" t="str">
        <f>_xlfn.XLOOKUP(Runge3[[#This Row],[Hebras]],TbTecnologia[Hebras],TbTecnologia[Tecnología])</f>
        <v>CUDA</v>
      </c>
      <c r="Z13" s="2" t="str" cm="1">
        <f t="array" ref="Z13">_xlfn.XLOOKUP(Runge3[[#This Row],[Tecnología]]&amp;Runge3[[#This Row],[Metodo]],TbTipos[Tecnología]&amp;TbTipos[Metodo],TbTipos[Tipo])</f>
        <v>CUDA sin graph</v>
      </c>
      <c r="AA13" s="2" t="str" cm="1">
        <f t="array" ref="AA13">_xlfn.XLOOKUP(Runge3[[#This Row],[Tecnología]]&amp;Runge3[[#This Row],[Problema]],TbNombres[Tecnología]&amp;TbNombres[Problema],TbNombres[Nombre])</f>
        <v>Brusselator1d shuffle</v>
      </c>
      <c r="AB13" s="2">
        <v>1</v>
      </c>
      <c r="AC13" s="2">
        <v>6</v>
      </c>
      <c r="AD13" s="2">
        <v>256</v>
      </c>
      <c r="AE13" s="2">
        <v>100</v>
      </c>
      <c r="AF13" s="2">
        <v>200</v>
      </c>
      <c r="AG13" s="2">
        <v>16.420000000000002</v>
      </c>
      <c r="AI13" s="2" t="str">
        <f>_xlfn.XLOOKUP(Runge4[[#This Row],[Metodo]],TbSolver[Metodo],TbSolver[Solver])</f>
        <v>Runge Kutta</v>
      </c>
      <c r="AJ13" s="2" t="str">
        <f>_xlfn.XLOOKUP(Runge4[[#This Row],[Hebras]],TbTecnologia[Hebras],TbTecnologia[Tecnología])</f>
        <v>OMP</v>
      </c>
      <c r="AK1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13" s="4" t="str" cm="1">
        <f t="array" ref="AL13">_xlfn.XLOOKUP(Runge4[[#This Row],[Tecnología]]&amp;Runge4[[#This Row],[Problema]],TbNombres[Tecnología]&amp;TbNombres[Problema],TbNombres[Nombre])</f>
        <v>Brusselator2d</v>
      </c>
      <c r="AM13" s="4">
        <v>2</v>
      </c>
      <c r="AN13" s="4">
        <v>4</v>
      </c>
      <c r="AO13" s="4">
        <v>1</v>
      </c>
      <c r="AP13" s="4">
        <v>25</v>
      </c>
      <c r="AQ13" s="4">
        <v>1250</v>
      </c>
      <c r="AR13" s="4">
        <v>67.529499999999999</v>
      </c>
    </row>
    <row r="14" spans="2:44" x14ac:dyDescent="0.2">
      <c r="B14" s="1" t="str">
        <f>_xlfn.XLOOKUP(Runge1[[#This Row],[Metodo]],TbSolver[Metodo],TbSolver[Solver])</f>
        <v>Runge Kutta</v>
      </c>
      <c r="C14" s="1" t="str">
        <f>_xlfn.XLOOKUP(Runge1[[#This Row],[Hebras]],TbTecnologia[Hebras],TbTecnologia[Tecnología])</f>
        <v>OMP</v>
      </c>
      <c r="D14" s="1" t="str" cm="1">
        <f t="array" ref="D14">_xlfn.XLOOKUP(Runge1[[#This Row],[Tecnología]]&amp;Runge1[[#This Row],[Metodo]],TbTipos[Tecnología]&amp;TbTipos[Metodo],TbTipos[Tipo])</f>
        <v>OMP Elementos</v>
      </c>
      <c r="E14" s="1" t="str" cm="1">
        <f t="array" ref="E14">_xlfn.XLOOKUP(Runge1[[#This Row],[Tecnología]]&amp;Runge1[[#This Row],[Problema]],TbNombres[Tecnología]&amp;TbNombres[Problema],TbNombres[Nombre])</f>
        <v>Simple Advdiff</v>
      </c>
      <c r="F14" s="1">
        <v>2</v>
      </c>
      <c r="G14" s="1">
        <v>1</v>
      </c>
      <c r="H14" s="1">
        <v>16</v>
      </c>
      <c r="I14" s="1">
        <v>100</v>
      </c>
      <c r="J14" s="1">
        <v>100</v>
      </c>
      <c r="K14" s="1">
        <v>22.540800000000001</v>
      </c>
      <c r="M14" s="2" t="str">
        <f>_xlfn.XLOOKUP(Runge2[[#This Row],[Metodo]],TbSolver[Metodo],TbSolver[Solver])</f>
        <v>Runge Kutta</v>
      </c>
      <c r="N14" s="2" t="str">
        <f>_xlfn.XLOOKUP(Runge2[[#This Row],[Hebras]],TbTecnologia[Hebras],TbTecnologia[Tecnología])</f>
        <v>CUDA</v>
      </c>
      <c r="O14" s="2" t="str" cm="1">
        <f t="array" ref="O14">_xlfn.XLOOKUP(Runge2[[#This Row],[Tecnología]]&amp;Runge2[[#This Row],[Metodo]],TbTipos[Tecnología]&amp;TbTipos[Metodo],TbTipos[Tipo])</f>
        <v>CUDA sin graph</v>
      </c>
      <c r="P14" s="2" t="str" cm="1">
        <f t="array" ref="P14">_xlfn.XLOOKUP(Runge2[[#This Row],[Tecnología]]&amp;Runge2[[#This Row],[Problema]],TbNombres[Tecnología]&amp;TbNombres[Problema],TbNombres[Nombre])</f>
        <v>Advdiff1d shuffle</v>
      </c>
      <c r="Q14" s="2">
        <v>1</v>
      </c>
      <c r="R14" s="2">
        <v>4</v>
      </c>
      <c r="S14" s="2">
        <v>256</v>
      </c>
      <c r="T14" s="2">
        <v>100</v>
      </c>
      <c r="U14" s="2">
        <v>100</v>
      </c>
      <c r="V14" s="2">
        <v>22.0703</v>
      </c>
      <c r="X14" s="2" t="str">
        <f>_xlfn.XLOOKUP(Runge3[[#This Row],[Metodo]],TbSolver[Metodo],TbSolver[Solver])</f>
        <v>Runge Kutta</v>
      </c>
      <c r="Y14" s="2" t="str">
        <f>_xlfn.XLOOKUP(Runge3[[#This Row],[Hebras]],TbTecnologia[Hebras],TbTecnologia[Tecnología])</f>
        <v>CUDA</v>
      </c>
      <c r="Z14" s="2" t="str" cm="1">
        <f t="array" ref="Z14">_xlfn.XLOOKUP(Runge3[[#This Row],[Tecnología]]&amp;Runge3[[#This Row],[Metodo]],TbTipos[Tecnología]&amp;TbTipos[Metodo],TbTipos[Tipo])</f>
        <v>CUDA sin graph</v>
      </c>
      <c r="AA14" s="2" t="str" cm="1">
        <f t="array" ref="AA14">_xlfn.XLOOKUP(Runge3[[#This Row],[Tecnología]]&amp;Runge3[[#This Row],[Problema]],TbNombres[Tecnología]&amp;TbNombres[Problema],TbNombres[Nombre])</f>
        <v>Brusselator1d grid</v>
      </c>
      <c r="AB14" s="2">
        <v>1</v>
      </c>
      <c r="AC14" s="2">
        <v>7</v>
      </c>
      <c r="AD14" s="2">
        <v>256</v>
      </c>
      <c r="AE14" s="2">
        <v>100</v>
      </c>
      <c r="AF14" s="2">
        <v>200</v>
      </c>
      <c r="AG14" s="2">
        <v>16.6784</v>
      </c>
      <c r="AI14" s="2" t="str">
        <f>_xlfn.XLOOKUP(Runge4[[#This Row],[Metodo]],TbSolver[Metodo],TbSolver[Solver])</f>
        <v>Runge Kutta</v>
      </c>
      <c r="AJ14" s="2" t="str">
        <f>_xlfn.XLOOKUP(Runge4[[#This Row],[Hebras]],TbTecnologia[Hebras],TbTecnologia[Tecnología])</f>
        <v>OMP</v>
      </c>
      <c r="AK1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14" s="4" t="str" cm="1">
        <f t="array" ref="AL14">_xlfn.XLOOKUP(Runge4[[#This Row],[Tecnología]]&amp;Runge4[[#This Row],[Problema]],TbNombres[Tecnología]&amp;TbNombres[Problema],TbNombres[Nombre])</f>
        <v>Brusselator2d</v>
      </c>
      <c r="AM14" s="4">
        <v>1</v>
      </c>
      <c r="AN14" s="4">
        <v>4</v>
      </c>
      <c r="AO14" s="4">
        <v>16</v>
      </c>
      <c r="AP14" s="4">
        <v>25</v>
      </c>
      <c r="AQ14" s="4">
        <v>1250</v>
      </c>
      <c r="AR14" s="4">
        <v>75.176699999999997</v>
      </c>
    </row>
    <row r="15" spans="2:44" x14ac:dyDescent="0.2">
      <c r="B15" s="1" t="str">
        <f>_xlfn.XLOOKUP(Runge1[[#This Row],[Metodo]],TbSolver[Metodo],TbSolver[Solver])</f>
        <v>Runge Kutta</v>
      </c>
      <c r="C15" s="1" t="str">
        <f>_xlfn.XLOOKUP(Runge1[[#This Row],[Hebras]],TbTecnologia[Hebras],TbTecnologia[Tecnología])</f>
        <v>OMP</v>
      </c>
      <c r="D15" s="1" t="str" cm="1">
        <f t="array" ref="D15">_xlfn.XLOOKUP(Runge1[[#This Row],[Tecnología]]&amp;Runge1[[#This Row],[Metodo]],TbTipos[Tecnología]&amp;TbTipos[Metodo],TbTipos[Tipo])</f>
        <v>OMP Operaciones</v>
      </c>
      <c r="E15" s="1" t="str" cm="1">
        <f t="array" ref="E15">_xlfn.XLOOKUP(Runge1[[#This Row],[Tecnología]]&amp;Runge1[[#This Row],[Problema]],TbNombres[Tecnología]&amp;TbNombres[Problema],TbNombres[Nombre])</f>
        <v>Simple Advdiff</v>
      </c>
      <c r="F15" s="1">
        <v>1</v>
      </c>
      <c r="G15" s="1">
        <v>1</v>
      </c>
      <c r="H15" s="1">
        <v>4</v>
      </c>
      <c r="I15" s="1">
        <v>100</v>
      </c>
      <c r="J15" s="1">
        <v>100</v>
      </c>
      <c r="K15" s="1">
        <v>25.209800000000001</v>
      </c>
      <c r="M15" s="2" t="str">
        <f>_xlfn.XLOOKUP(Runge2[[#This Row],[Metodo]],TbSolver[Metodo],TbSolver[Solver])</f>
        <v>Runge Kutta</v>
      </c>
      <c r="N15" s="2" t="str">
        <f>_xlfn.XLOOKUP(Runge2[[#This Row],[Hebras]],TbTecnologia[Hebras],TbTecnologia[Tecnología])</f>
        <v>OMP</v>
      </c>
      <c r="O15" s="2" t="str" cm="1">
        <f t="array" ref="O15">_xlfn.XLOOKUP(Runge2[[#This Row],[Tecnología]]&amp;Runge2[[#This Row],[Metodo]],TbTipos[Tecnología]&amp;TbTipos[Metodo],TbTipos[Tipo])</f>
        <v>OMP Operaciones</v>
      </c>
      <c r="P15" s="2" t="str" cm="1">
        <f t="array" ref="P15">_xlfn.XLOOKUP(Runge2[[#This Row],[Tecnología]]&amp;Runge2[[#This Row],[Problema]],TbNombres[Tecnología]&amp;TbNombres[Problema],TbNombres[Nombre])</f>
        <v>Advdiff1d</v>
      </c>
      <c r="Q15" s="2">
        <v>1</v>
      </c>
      <c r="R15" s="2">
        <v>2</v>
      </c>
      <c r="S15" s="2">
        <v>4</v>
      </c>
      <c r="T15" s="2">
        <v>100</v>
      </c>
      <c r="U15" s="2">
        <v>100</v>
      </c>
      <c r="V15" s="2">
        <v>39.386400000000002</v>
      </c>
      <c r="X15" s="2" t="str">
        <f>_xlfn.XLOOKUP(Runge3[[#This Row],[Metodo]],TbSolver[Metodo],TbSolver[Solver])</f>
        <v>Runge Kutta</v>
      </c>
      <c r="Y15" s="2" t="str">
        <f>_xlfn.XLOOKUP(Runge3[[#This Row],[Hebras]],TbTecnologia[Hebras],TbTecnologia[Tecnología])</f>
        <v>CUDA</v>
      </c>
      <c r="Z15" s="2" t="str" cm="1">
        <f t="array" ref="Z15">_xlfn.XLOOKUP(Runge3[[#This Row],[Tecnología]]&amp;Runge3[[#This Row],[Metodo]],TbTipos[Tecnología]&amp;TbTipos[Metodo],TbTipos[Tipo])</f>
        <v>CUDA sin graph</v>
      </c>
      <c r="AA15" s="2" t="str" cm="1">
        <f t="array" ref="AA15">_xlfn.XLOOKUP(Runge3[[#This Row],[Tecnología]]&amp;Runge3[[#This Row],[Problema]],TbNombres[Tecnología]&amp;TbNombres[Problema],TbNombres[Nombre])</f>
        <v>Brusselator1d</v>
      </c>
      <c r="AB15" s="2">
        <v>1</v>
      </c>
      <c r="AC15" s="2">
        <v>5</v>
      </c>
      <c r="AD15" s="2">
        <v>256</v>
      </c>
      <c r="AE15" s="2">
        <v>100</v>
      </c>
      <c r="AF15" s="2">
        <v>200</v>
      </c>
      <c r="AG15" s="2">
        <v>18.841999999999999</v>
      </c>
      <c r="AI15" s="2" t="str">
        <f>_xlfn.XLOOKUP(Runge4[[#This Row],[Metodo]],TbSolver[Metodo],TbSolver[Solver])</f>
        <v>Runge Kutta</v>
      </c>
      <c r="AJ15" s="2" t="str">
        <f>_xlfn.XLOOKUP(Runge4[[#This Row],[Hebras]],TbTecnologia[Hebras],TbTecnologia[Tecnología])</f>
        <v>CUDA</v>
      </c>
      <c r="AK15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15" s="2" t="str" cm="1">
        <f t="array" ref="AL15">_xlfn.XLOOKUP(Runge4[[#This Row],[Tecnología]]&amp;Runge4[[#This Row],[Problema]],TbNombres[Tecnología]&amp;TbNombres[Problema],TbNombres[Nombre])</f>
        <v>Brusselator2d shuffle</v>
      </c>
      <c r="AM15" s="2">
        <v>2</v>
      </c>
      <c r="AN15" s="2">
        <v>9</v>
      </c>
      <c r="AO15" s="2">
        <v>256</v>
      </c>
      <c r="AP15" s="2">
        <v>50</v>
      </c>
      <c r="AQ15" s="2">
        <v>5000</v>
      </c>
      <c r="AR15" s="2">
        <v>16.983499999999999</v>
      </c>
    </row>
    <row r="16" spans="2:44" x14ac:dyDescent="0.2">
      <c r="B16" s="1" t="str">
        <f>_xlfn.XLOOKUP(Runge1[[#This Row],[Metodo]],TbSolver[Metodo],TbSolver[Solver])</f>
        <v>Runge Kutta</v>
      </c>
      <c r="C16" s="1" t="str">
        <f>_xlfn.XLOOKUP(Runge1[[#This Row],[Hebras]],TbTecnologia[Hebras],TbTecnologia[Tecnología])</f>
        <v>OMP</v>
      </c>
      <c r="D16" s="1" t="str" cm="1">
        <f t="array" ref="D16">_xlfn.XLOOKUP(Runge1[[#This Row],[Tecnología]]&amp;Runge1[[#This Row],[Metodo]],TbTipos[Tecnología]&amp;TbTipos[Metodo],TbTipos[Tipo])</f>
        <v>OMP Operaciones</v>
      </c>
      <c r="E16" s="1" t="str" cm="1">
        <f t="array" ref="E16">_xlfn.XLOOKUP(Runge1[[#This Row],[Tecnología]]&amp;Runge1[[#This Row],[Problema]],TbNombres[Tecnología]&amp;TbNombres[Problema],TbNombres[Nombre])</f>
        <v>Simple Advdiff</v>
      </c>
      <c r="F16" s="1">
        <v>1</v>
      </c>
      <c r="G16" s="1">
        <v>1</v>
      </c>
      <c r="H16" s="1">
        <v>16</v>
      </c>
      <c r="I16" s="1">
        <v>100</v>
      </c>
      <c r="J16" s="1">
        <v>100</v>
      </c>
      <c r="K16" s="1">
        <v>61.1526</v>
      </c>
      <c r="M16" s="2" t="str">
        <f>_xlfn.XLOOKUP(Runge2[[#This Row],[Metodo]],TbSolver[Metodo],TbSolver[Solver])</f>
        <v>Runge Kutta</v>
      </c>
      <c r="N16" s="2" t="str">
        <f>_xlfn.XLOOKUP(Runge2[[#This Row],[Hebras]],TbTecnologia[Hebras],TbTecnologia[Tecnología])</f>
        <v>OMP</v>
      </c>
      <c r="O16" s="2" t="str" cm="1">
        <f t="array" ref="O16">_xlfn.XLOOKUP(Runge2[[#This Row],[Tecnología]]&amp;Runge2[[#This Row],[Metodo]],TbTipos[Tecnología]&amp;TbTipos[Metodo],TbTipos[Tipo])</f>
        <v>OMP Operaciones</v>
      </c>
      <c r="P16" s="2" t="str" cm="1">
        <f t="array" ref="P16">_xlfn.XLOOKUP(Runge2[[#This Row],[Tecnología]]&amp;Runge2[[#This Row],[Problema]],TbNombres[Tecnología]&amp;TbNombres[Problema],TbNombres[Nombre])</f>
        <v>Advdiff1d</v>
      </c>
      <c r="Q16" s="2">
        <v>1</v>
      </c>
      <c r="R16" s="2">
        <v>2</v>
      </c>
      <c r="S16" s="2">
        <v>16</v>
      </c>
      <c r="T16" s="2">
        <v>100</v>
      </c>
      <c r="U16" s="2">
        <v>100</v>
      </c>
      <c r="V16" s="2">
        <v>94.412800000000004</v>
      </c>
      <c r="X16" s="2" t="str">
        <f>_xlfn.XLOOKUP(Runge3[[#This Row],[Metodo]],TbSolver[Metodo],TbSolver[Solver])</f>
        <v>Runge Kutta</v>
      </c>
      <c r="Y16" s="2" t="str">
        <f>_xlfn.XLOOKUP(Runge3[[#This Row],[Hebras]],TbTecnologia[Hebras],TbTecnologia[Tecnología])</f>
        <v>OMP</v>
      </c>
      <c r="Z16" s="2" t="str" cm="1">
        <f t="array" ref="Z16">_xlfn.XLOOKUP(Runge3[[#This Row],[Tecnología]]&amp;Runge3[[#This Row],[Metodo]],TbTipos[Tecnología]&amp;TbTipos[Metodo],TbTipos[Tipo])</f>
        <v>OMP Elementos</v>
      </c>
      <c r="AA16" s="2" t="str" cm="1">
        <f t="array" ref="AA16">_xlfn.XLOOKUP(Runge3[[#This Row],[Tecnología]]&amp;Runge3[[#This Row],[Problema]],TbNombres[Tecnología]&amp;TbNombres[Problema],TbNombres[Nombre])</f>
        <v>Brusselator1d</v>
      </c>
      <c r="AB16" s="2">
        <v>2</v>
      </c>
      <c r="AC16" s="2">
        <v>3</v>
      </c>
      <c r="AD16" s="2">
        <v>16</v>
      </c>
      <c r="AE16" s="2">
        <v>100</v>
      </c>
      <c r="AF16" s="2">
        <v>200</v>
      </c>
      <c r="AG16" s="2">
        <v>23.809799999999999</v>
      </c>
      <c r="AI16" s="2" t="str">
        <f>_xlfn.XLOOKUP(Runge4[[#This Row],[Metodo]],TbSolver[Metodo],TbSolver[Solver])</f>
        <v>Runge Kutta</v>
      </c>
      <c r="AJ16" s="2" t="str">
        <f>_xlfn.XLOOKUP(Runge4[[#This Row],[Hebras]],TbTecnologia[Hebras],TbTecnologia[Tecnología])</f>
        <v>CUDA</v>
      </c>
      <c r="AK16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16" s="2" t="str" cm="1">
        <f t="array" ref="AL16">_xlfn.XLOOKUP(Runge4[[#This Row],[Tecnología]]&amp;Runge4[[#This Row],[Problema]],TbNombres[Tecnología]&amp;TbNombres[Problema],TbNombres[Nombre])</f>
        <v>Brusselator2d</v>
      </c>
      <c r="AM16" s="2">
        <v>2</v>
      </c>
      <c r="AN16" s="2">
        <v>8</v>
      </c>
      <c r="AO16" s="2">
        <v>256</v>
      </c>
      <c r="AP16" s="2">
        <v>50</v>
      </c>
      <c r="AQ16" s="2">
        <v>5000</v>
      </c>
      <c r="AR16" s="2">
        <v>17.009499999999999</v>
      </c>
    </row>
    <row r="17" spans="2:44" x14ac:dyDescent="0.2">
      <c r="B17" s="1" t="str">
        <f>_xlfn.XLOOKUP(Runge1[[#This Row],[Metodo]],TbSolver[Metodo],TbSolver[Solver])</f>
        <v>Runge Kutta</v>
      </c>
      <c r="C17" s="1" t="str">
        <f>_xlfn.XLOOKUP(Runge1[[#This Row],[Hebras]],TbTecnologia[Hebras],TbTecnologia[Tecnología])</f>
        <v>OMP</v>
      </c>
      <c r="D17" s="1" t="str" cm="1">
        <f t="array" ref="D17">_xlfn.XLOOKUP(Runge1[[#This Row],[Tecnología]]&amp;Runge1[[#This Row],[Metodo]],TbTipos[Tecnología]&amp;TbTipos[Metodo],TbTipos[Tipo])</f>
        <v>OMP Operaciones</v>
      </c>
      <c r="E17" s="1" t="str" cm="1">
        <f t="array" ref="E17">_xlfn.XLOOKUP(Runge1[[#This Row],[Tecnología]]&amp;Runge1[[#This Row],[Problema]],TbNombres[Tecnología]&amp;TbNombres[Problema],TbNombres[Nombre])</f>
        <v>Simple Advdiff</v>
      </c>
      <c r="F17" s="1">
        <v>1</v>
      </c>
      <c r="G17" s="1">
        <v>1</v>
      </c>
      <c r="H17" s="1">
        <v>1</v>
      </c>
      <c r="I17" s="1">
        <v>200</v>
      </c>
      <c r="J17" s="1">
        <v>200</v>
      </c>
      <c r="K17" s="1">
        <v>3.2512799999999999</v>
      </c>
      <c r="M17" s="2" t="str">
        <f>_xlfn.XLOOKUP(Runge2[[#This Row],[Metodo]],TbSolver[Metodo],TbSolver[Solver])</f>
        <v>Runge Kutta</v>
      </c>
      <c r="N17" s="2" t="str">
        <f>_xlfn.XLOOKUP(Runge2[[#This Row],[Hebras]],TbTecnologia[Hebras],TbTecnologia[Tecnología])</f>
        <v>OMP</v>
      </c>
      <c r="O17" s="2" t="str" cm="1">
        <f t="array" ref="O17">_xlfn.XLOOKUP(Runge2[[#This Row],[Tecnología]]&amp;Runge2[[#This Row],[Metodo]],TbTipos[Tecnología]&amp;TbTipos[Metodo],TbTipos[Tipo])</f>
        <v>OMP Elementos</v>
      </c>
      <c r="P17" s="2" t="str" cm="1">
        <f t="array" ref="P17">_xlfn.XLOOKUP(Runge2[[#This Row],[Tecnología]]&amp;Runge2[[#This Row],[Problema]],TbNombres[Tecnología]&amp;TbNombres[Problema],TbNombres[Nombre])</f>
        <v>Advdiff1d</v>
      </c>
      <c r="Q17" s="2">
        <v>2</v>
      </c>
      <c r="R17" s="2">
        <v>2</v>
      </c>
      <c r="S17" s="2">
        <v>4</v>
      </c>
      <c r="T17" s="2">
        <v>200</v>
      </c>
      <c r="U17" s="2">
        <v>200</v>
      </c>
      <c r="V17" s="2">
        <v>14.2638</v>
      </c>
      <c r="X17" s="2" t="str">
        <f>_xlfn.XLOOKUP(Runge3[[#This Row],[Metodo]],TbSolver[Metodo],TbSolver[Solver])</f>
        <v>Runge Kutta</v>
      </c>
      <c r="Y17" s="2" t="str">
        <f>_xlfn.XLOOKUP(Runge3[[#This Row],[Hebras]],TbTecnologia[Hebras],TbTecnologia[Tecnología])</f>
        <v>OMP</v>
      </c>
      <c r="Z17" s="2" t="str" cm="1">
        <f t="array" ref="Z17">_xlfn.XLOOKUP(Runge3[[#This Row],[Tecnología]]&amp;Runge3[[#This Row],[Metodo]],TbTipos[Tecnología]&amp;TbTipos[Metodo],TbTipos[Tipo])</f>
        <v>OMP Operaciones</v>
      </c>
      <c r="AA17" s="2" t="str" cm="1">
        <f t="array" ref="AA17">_xlfn.XLOOKUP(Runge3[[#This Row],[Tecnología]]&amp;Runge3[[#This Row],[Problema]],TbNombres[Tecnología]&amp;TbNombres[Problema],TbNombres[Nombre])</f>
        <v>Brusselator1d</v>
      </c>
      <c r="AB17" s="2">
        <v>1</v>
      </c>
      <c r="AC17" s="2">
        <v>3</v>
      </c>
      <c r="AD17" s="2">
        <v>4</v>
      </c>
      <c r="AE17" s="2">
        <v>100</v>
      </c>
      <c r="AF17" s="2">
        <v>200</v>
      </c>
      <c r="AG17" s="2">
        <v>34.713299999999997</v>
      </c>
      <c r="AI17" s="2" t="str">
        <f>_xlfn.XLOOKUP(Runge4[[#This Row],[Metodo]],TbSolver[Metodo],TbSolver[Solver])</f>
        <v>Runge Kutta</v>
      </c>
      <c r="AJ17" s="2" t="str">
        <f>_xlfn.XLOOKUP(Runge4[[#This Row],[Hebras]],TbTecnologia[Hebras],TbTecnologia[Tecnología])</f>
        <v>CUDA</v>
      </c>
      <c r="AK17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17" s="2" t="str" cm="1">
        <f t="array" ref="AL17">_xlfn.XLOOKUP(Runge4[[#This Row],[Tecnología]]&amp;Runge4[[#This Row],[Problema]],TbNombres[Tecnología]&amp;TbNombres[Problema],TbNombres[Nombre])</f>
        <v>Brusselator2d</v>
      </c>
      <c r="AM17" s="2">
        <v>1</v>
      </c>
      <c r="AN17" s="2">
        <v>8</v>
      </c>
      <c r="AO17" s="2">
        <v>256</v>
      </c>
      <c r="AP17" s="2">
        <v>50</v>
      </c>
      <c r="AQ17" s="2">
        <v>5000</v>
      </c>
      <c r="AR17" s="2">
        <v>19.817399999999999</v>
      </c>
    </row>
    <row r="18" spans="2:44" x14ac:dyDescent="0.2">
      <c r="B18" s="1" t="str">
        <f>_xlfn.XLOOKUP(Runge1[[#This Row],[Metodo]],TbSolver[Metodo],TbSolver[Solver])</f>
        <v>Runge Kutta</v>
      </c>
      <c r="C18" s="1" t="str">
        <f>_xlfn.XLOOKUP(Runge1[[#This Row],[Hebras]],TbTecnologia[Hebras],TbTecnologia[Tecnología])</f>
        <v>OMP</v>
      </c>
      <c r="D18" s="1" t="str" cm="1">
        <f t="array" ref="D18">_xlfn.XLOOKUP(Runge1[[#This Row],[Tecnología]]&amp;Runge1[[#This Row],[Metodo]],TbTipos[Tecnología]&amp;TbTipos[Metodo],TbTipos[Tipo])</f>
        <v>OMP Elementos</v>
      </c>
      <c r="E18" s="1" t="str" cm="1">
        <f t="array" ref="E18">_xlfn.XLOOKUP(Runge1[[#This Row],[Tecnología]]&amp;Runge1[[#This Row],[Problema]],TbNombres[Tecnología]&amp;TbNombres[Problema],TbNombres[Nombre])</f>
        <v>Simple Advdiff</v>
      </c>
      <c r="F18" s="1">
        <v>2</v>
      </c>
      <c r="G18" s="1">
        <v>1</v>
      </c>
      <c r="H18" s="1">
        <v>1</v>
      </c>
      <c r="I18" s="1">
        <v>200</v>
      </c>
      <c r="J18" s="1">
        <v>200</v>
      </c>
      <c r="K18" s="1">
        <v>6.65367</v>
      </c>
      <c r="M18" s="2" t="str">
        <f>_xlfn.XLOOKUP(Runge2[[#This Row],[Metodo]],TbSolver[Metodo],TbSolver[Solver])</f>
        <v>Runge Kutta</v>
      </c>
      <c r="N18" s="2" t="str">
        <f>_xlfn.XLOOKUP(Runge2[[#This Row],[Hebras]],TbTecnologia[Hebras],TbTecnologia[Tecnología])</f>
        <v>OMP</v>
      </c>
      <c r="O18" s="2" t="str" cm="1">
        <f t="array" ref="O18">_xlfn.XLOOKUP(Runge2[[#This Row],[Tecnología]]&amp;Runge2[[#This Row],[Metodo]],TbTipos[Tecnología]&amp;TbTipos[Metodo],TbTipos[Tipo])</f>
        <v>OMP Elementos</v>
      </c>
      <c r="P18" s="2" t="str" cm="1">
        <f t="array" ref="P18">_xlfn.XLOOKUP(Runge2[[#This Row],[Tecnología]]&amp;Runge2[[#This Row],[Problema]],TbNombres[Tecnología]&amp;TbNombres[Problema],TbNombres[Nombre])</f>
        <v>Advdiff1d</v>
      </c>
      <c r="Q18" s="2">
        <v>2</v>
      </c>
      <c r="R18" s="2">
        <v>2</v>
      </c>
      <c r="S18" s="2">
        <v>16</v>
      </c>
      <c r="T18" s="2">
        <v>200</v>
      </c>
      <c r="U18" s="2">
        <v>200</v>
      </c>
      <c r="V18" s="2">
        <v>20.928599999999999</v>
      </c>
      <c r="X18" s="2" t="str">
        <f>_xlfn.XLOOKUP(Runge3[[#This Row],[Metodo]],TbSolver[Metodo],TbSolver[Solver])</f>
        <v>Runge Kutta</v>
      </c>
      <c r="Y18" s="2" t="str">
        <f>_xlfn.XLOOKUP(Runge3[[#This Row],[Hebras]],TbTecnologia[Hebras],TbTecnologia[Tecnología])</f>
        <v>OMP</v>
      </c>
      <c r="Z18" s="2" t="str" cm="1">
        <f t="array" ref="Z18">_xlfn.XLOOKUP(Runge3[[#This Row],[Tecnología]]&amp;Runge3[[#This Row],[Metodo]],TbTipos[Tecnología]&amp;TbTipos[Metodo],TbTipos[Tipo])</f>
        <v>OMP Operaciones</v>
      </c>
      <c r="AA18" s="2" t="str" cm="1">
        <f t="array" ref="AA18">_xlfn.XLOOKUP(Runge3[[#This Row],[Tecnología]]&amp;Runge3[[#This Row],[Problema]],TbNombres[Tecnología]&amp;TbNombres[Problema],TbNombres[Nombre])</f>
        <v>Brusselator1d</v>
      </c>
      <c r="AB18" s="2">
        <v>1</v>
      </c>
      <c r="AC18" s="2">
        <v>3</v>
      </c>
      <c r="AD18" s="2">
        <v>16</v>
      </c>
      <c r="AE18" s="2">
        <v>100</v>
      </c>
      <c r="AF18" s="2">
        <v>200</v>
      </c>
      <c r="AG18" s="2">
        <v>95.696600000000004</v>
      </c>
      <c r="AI18" s="2" t="str">
        <f>_xlfn.XLOOKUP(Runge4[[#This Row],[Metodo]],TbSolver[Metodo],TbSolver[Solver])</f>
        <v>Runge Kutta</v>
      </c>
      <c r="AJ18" s="2" t="str">
        <f>_xlfn.XLOOKUP(Runge4[[#This Row],[Hebras]],TbTecnologia[Hebras],TbTecnologia[Tecnología])</f>
        <v>CUDA</v>
      </c>
      <c r="AK18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18" s="2" t="str" cm="1">
        <f t="array" ref="AL18">_xlfn.XLOOKUP(Runge4[[#This Row],[Tecnología]]&amp;Runge4[[#This Row],[Problema]],TbNombres[Tecnología]&amp;TbNombres[Problema],TbNombres[Nombre])</f>
        <v>Brusselator2d shuffle</v>
      </c>
      <c r="AM18" s="2">
        <v>1</v>
      </c>
      <c r="AN18" s="2">
        <v>9</v>
      </c>
      <c r="AO18" s="2">
        <v>256</v>
      </c>
      <c r="AP18" s="2">
        <v>50</v>
      </c>
      <c r="AQ18" s="2">
        <v>5000</v>
      </c>
      <c r="AR18" s="2">
        <v>20.053100000000001</v>
      </c>
    </row>
    <row r="19" spans="2:44" x14ac:dyDescent="0.2">
      <c r="B19" s="1" t="str">
        <f>_xlfn.XLOOKUP(Runge1[[#This Row],[Metodo]],TbSolver[Metodo],TbSolver[Solver])</f>
        <v>Runge Kutta</v>
      </c>
      <c r="C19" s="1" t="str">
        <f>_xlfn.XLOOKUP(Runge1[[#This Row],[Hebras]],TbTecnologia[Hebras],TbTecnologia[Tecnología])</f>
        <v>OMP</v>
      </c>
      <c r="D19" s="1" t="str" cm="1">
        <f t="array" ref="D19">_xlfn.XLOOKUP(Runge1[[#This Row],[Tecnología]]&amp;Runge1[[#This Row],[Metodo]],TbTipos[Tecnología]&amp;TbTipos[Metodo],TbTipos[Tipo])</f>
        <v>OMP Elementos</v>
      </c>
      <c r="E19" s="1" t="str" cm="1">
        <f t="array" ref="E19">_xlfn.XLOOKUP(Runge1[[#This Row],[Tecnología]]&amp;Runge1[[#This Row],[Problema]],TbNombres[Tecnología]&amp;TbNombres[Problema],TbNombres[Nombre])</f>
        <v>Simple Advdiff</v>
      </c>
      <c r="F19" s="1">
        <v>2</v>
      </c>
      <c r="G19" s="1">
        <v>1</v>
      </c>
      <c r="H19" s="1">
        <v>4</v>
      </c>
      <c r="I19" s="1">
        <v>200</v>
      </c>
      <c r="J19" s="1">
        <v>200</v>
      </c>
      <c r="K19" s="1">
        <v>8.3852899999999995</v>
      </c>
      <c r="M19" s="2" t="str">
        <f>_xlfn.XLOOKUP(Runge2[[#This Row],[Metodo]],TbSolver[Metodo],TbSolver[Solver])</f>
        <v>Runge Kutta</v>
      </c>
      <c r="N19" s="2" t="str">
        <f>_xlfn.XLOOKUP(Runge2[[#This Row],[Hebras]],TbTecnologia[Hebras],TbTecnologia[Tecnología])</f>
        <v>OMP</v>
      </c>
      <c r="O19" s="2" t="str" cm="1">
        <f t="array" ref="O19">_xlfn.XLOOKUP(Runge2[[#This Row],[Tecnología]]&amp;Runge2[[#This Row],[Metodo]],TbTipos[Tecnología]&amp;TbTipos[Metodo],TbTipos[Tipo])</f>
        <v>OMP Operaciones</v>
      </c>
      <c r="P19" s="2" t="str" cm="1">
        <f t="array" ref="P19">_xlfn.XLOOKUP(Runge2[[#This Row],[Tecnología]]&amp;Runge2[[#This Row],[Problema]],TbNombres[Tecnología]&amp;TbNombres[Problema],TbNombres[Nombre])</f>
        <v>Advdiff1d</v>
      </c>
      <c r="Q19" s="2">
        <v>1</v>
      </c>
      <c r="R19" s="2">
        <v>2</v>
      </c>
      <c r="S19" s="2">
        <v>1</v>
      </c>
      <c r="T19" s="2">
        <v>200</v>
      </c>
      <c r="U19" s="2">
        <v>200</v>
      </c>
      <c r="V19" s="2">
        <v>21.302299999999999</v>
      </c>
      <c r="X19" s="4" t="str">
        <f>_xlfn.XLOOKUP(Runge3[[#This Row],[Metodo]],TbSolver[Metodo],TbSolver[Solver])</f>
        <v>Runge Kutta</v>
      </c>
      <c r="Y19" s="4" t="str">
        <f>_xlfn.XLOOKUP(Runge3[[#This Row],[Hebras]],TbTecnologia[Hebras],TbTecnologia[Tecnología])</f>
        <v>CUDA</v>
      </c>
      <c r="Z19" s="4" t="str" cm="1">
        <f t="array" ref="Z19">_xlfn.XLOOKUP(Runge3[[#This Row],[Tecnología]]&amp;Runge3[[#This Row],[Metodo]],TbTipos[Tecnología]&amp;TbTipos[Metodo],TbTipos[Tipo])</f>
        <v>CUDA con graph</v>
      </c>
      <c r="AA19" s="4" t="str" cm="1">
        <f t="array" ref="AA19">_xlfn.XLOOKUP(Runge3[[#This Row],[Tecnología]]&amp;Runge3[[#This Row],[Problema]],TbNombres[Tecnología]&amp;TbNombres[Problema],TbNombres[Nombre])</f>
        <v>Brusselator1d grid</v>
      </c>
      <c r="AB19" s="4">
        <v>2</v>
      </c>
      <c r="AC19" s="4">
        <v>7</v>
      </c>
      <c r="AD19" s="4">
        <v>256</v>
      </c>
      <c r="AE19" s="4">
        <v>150</v>
      </c>
      <c r="AF19" s="4">
        <v>300</v>
      </c>
      <c r="AG19" s="4">
        <v>13.928699999999999</v>
      </c>
      <c r="AI19" s="4" t="str">
        <f>_xlfn.XLOOKUP(Runge4[[#This Row],[Metodo]],TbSolver[Metodo],TbSolver[Solver])</f>
        <v>Runge Kutta</v>
      </c>
      <c r="AJ19" s="4" t="str">
        <f>_xlfn.XLOOKUP(Runge4[[#This Row],[Hebras]],TbTecnologia[Hebras],TbTecnologia[Tecnología])</f>
        <v>OMP</v>
      </c>
      <c r="AK1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19" s="4" t="str" cm="1">
        <f t="array" ref="AL19">_xlfn.XLOOKUP(Runge4[[#This Row],[Tecnología]]&amp;Runge4[[#This Row],[Problema]],TbNombres[Tecnología]&amp;TbNombres[Problema],TbNombres[Nombre])</f>
        <v>Brusselator2d</v>
      </c>
      <c r="AM19" s="4">
        <v>2</v>
      </c>
      <c r="AN19" s="4">
        <v>4</v>
      </c>
      <c r="AO19" s="4">
        <v>16</v>
      </c>
      <c r="AP19" s="4">
        <v>50</v>
      </c>
      <c r="AQ19" s="4">
        <v>5000</v>
      </c>
      <c r="AR19" s="4">
        <v>41.652000000000001</v>
      </c>
    </row>
    <row r="20" spans="2:44" x14ac:dyDescent="0.2">
      <c r="B20" s="1" t="str">
        <f>_xlfn.XLOOKUP(Runge1[[#This Row],[Metodo]],TbSolver[Metodo],TbSolver[Solver])</f>
        <v>Runge Kutta</v>
      </c>
      <c r="C20" s="1" t="str">
        <f>_xlfn.XLOOKUP(Runge1[[#This Row],[Hebras]],TbTecnologia[Hebras],TbTecnologia[Tecnología])</f>
        <v>CUDA</v>
      </c>
      <c r="D20" s="1" t="str" cm="1">
        <f t="array" ref="D20">_xlfn.XLOOKUP(Runge1[[#This Row],[Tecnología]]&amp;Runge1[[#This Row],[Metodo]],TbTipos[Tecnología]&amp;TbTipos[Metodo],TbTipos[Tipo])</f>
        <v>CUDA con graph</v>
      </c>
      <c r="E20" s="1" t="str" cm="1">
        <f t="array" ref="E20">_xlfn.XLOOKUP(Runge1[[#This Row],[Tecnología]]&amp;Runge1[[#This Row],[Problema]],TbNombres[Tecnología]&amp;TbNombres[Problema],TbNombres[Nombre])</f>
        <v>Simple Advdiff</v>
      </c>
      <c r="F20" s="1">
        <v>2</v>
      </c>
      <c r="G20" s="1">
        <v>1</v>
      </c>
      <c r="H20" s="1">
        <v>256</v>
      </c>
      <c r="I20" s="1">
        <v>200</v>
      </c>
      <c r="J20" s="1">
        <v>200</v>
      </c>
      <c r="K20" s="1">
        <v>12.125500000000001</v>
      </c>
      <c r="M20" s="2" t="str">
        <f>_xlfn.XLOOKUP(Runge2[[#This Row],[Metodo]],TbSolver[Metodo],TbSolver[Solver])</f>
        <v>Runge Kutta</v>
      </c>
      <c r="N20" s="2" t="str">
        <f>_xlfn.XLOOKUP(Runge2[[#This Row],[Hebras]],TbTecnologia[Hebras],TbTecnologia[Tecnología])</f>
        <v>OMP</v>
      </c>
      <c r="O20" s="2" t="str" cm="1">
        <f t="array" ref="O20">_xlfn.XLOOKUP(Runge2[[#This Row],[Tecnología]]&amp;Runge2[[#This Row],[Metodo]],TbTipos[Tecnología]&amp;TbTipos[Metodo],TbTipos[Tipo])</f>
        <v>OMP Elementos</v>
      </c>
      <c r="P20" s="2" t="str" cm="1">
        <f t="array" ref="P20">_xlfn.XLOOKUP(Runge2[[#This Row],[Tecnología]]&amp;Runge2[[#This Row],[Problema]],TbNombres[Tecnología]&amp;TbNombres[Problema],TbNombres[Nombre])</f>
        <v>Advdiff1d</v>
      </c>
      <c r="Q20" s="2">
        <v>2</v>
      </c>
      <c r="R20" s="2">
        <v>2</v>
      </c>
      <c r="S20" s="2">
        <v>1</v>
      </c>
      <c r="T20" s="2">
        <v>200</v>
      </c>
      <c r="U20" s="2">
        <v>200</v>
      </c>
      <c r="V20" s="2">
        <v>23.9864</v>
      </c>
      <c r="X20" s="2" t="str">
        <f>_xlfn.XLOOKUP(Runge3[[#This Row],[Metodo]],TbSolver[Metodo],TbSolver[Solver])</f>
        <v>Runge Kutta</v>
      </c>
      <c r="Y20" s="2" t="str">
        <f>_xlfn.XLOOKUP(Runge3[[#This Row],[Hebras]],TbTecnologia[Hebras],TbTecnologia[Tecnología])</f>
        <v>CUDA</v>
      </c>
      <c r="Z20" s="2" t="str" cm="1">
        <f t="array" ref="Z20">_xlfn.XLOOKUP(Runge3[[#This Row],[Tecnología]]&amp;Runge3[[#This Row],[Metodo]],TbTipos[Tecnología]&amp;TbTipos[Metodo],TbTipos[Tipo])</f>
        <v>CUDA sin graph</v>
      </c>
      <c r="AA20" s="2" t="str" cm="1">
        <f t="array" ref="AA20">_xlfn.XLOOKUP(Runge3[[#This Row],[Tecnología]]&amp;Runge3[[#This Row],[Problema]],TbNombres[Tecnología]&amp;TbNombres[Problema],TbNombres[Nombre])</f>
        <v>Brusselator1d grid</v>
      </c>
      <c r="AB20" s="2">
        <v>1</v>
      </c>
      <c r="AC20" s="2">
        <v>7</v>
      </c>
      <c r="AD20" s="2">
        <v>256</v>
      </c>
      <c r="AE20" s="2">
        <v>150</v>
      </c>
      <c r="AF20" s="2">
        <v>300</v>
      </c>
      <c r="AG20" s="2">
        <v>17.3857</v>
      </c>
      <c r="AI20" s="4" t="str">
        <f>_xlfn.XLOOKUP(Runge4[[#This Row],[Metodo]],TbSolver[Metodo],TbSolver[Solver])</f>
        <v>Runge Kutta</v>
      </c>
      <c r="AJ20" s="4" t="str">
        <f>_xlfn.XLOOKUP(Runge4[[#This Row],[Hebras]],TbTecnologia[Hebras],TbTecnologia[Tecnología])</f>
        <v>OMP</v>
      </c>
      <c r="AK2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20" s="4" t="str" cm="1">
        <f t="array" ref="AL20">_xlfn.XLOOKUP(Runge4[[#This Row],[Tecnología]]&amp;Runge4[[#This Row],[Problema]],TbNombres[Tecnología]&amp;TbNombres[Problema],TbNombres[Nombre])</f>
        <v>Brusselator2d</v>
      </c>
      <c r="AM20" s="4">
        <v>1</v>
      </c>
      <c r="AN20" s="4">
        <v>4</v>
      </c>
      <c r="AO20" s="4">
        <v>4</v>
      </c>
      <c r="AP20" s="4">
        <v>50</v>
      </c>
      <c r="AQ20" s="4">
        <v>5000</v>
      </c>
      <c r="AR20" s="4">
        <v>52.421599999999998</v>
      </c>
    </row>
    <row r="21" spans="2:44" x14ac:dyDescent="0.2">
      <c r="B21" s="1" t="str">
        <f>_xlfn.XLOOKUP(Runge1[[#This Row],[Metodo]],TbSolver[Metodo],TbSolver[Solver])</f>
        <v>Runge Kutta</v>
      </c>
      <c r="C21" s="1" t="str">
        <f>_xlfn.XLOOKUP(Runge1[[#This Row],[Hebras]],TbTecnologia[Hebras],TbTecnologia[Tecnología])</f>
        <v>CUDA</v>
      </c>
      <c r="D21" s="1" t="str" cm="1">
        <f t="array" ref="D21">_xlfn.XLOOKUP(Runge1[[#This Row],[Tecnología]]&amp;Runge1[[#This Row],[Metodo]],TbTipos[Tecnología]&amp;TbTipos[Metodo],TbTipos[Tipo])</f>
        <v>CUDA con graph</v>
      </c>
      <c r="E21" s="1" t="str" cm="1">
        <f t="array" ref="E21">_xlfn.XLOOKUP(Runge1[[#This Row],[Tecnología]]&amp;Runge1[[#This Row],[Problema]],TbNombres[Tecnología]&amp;TbNombres[Problema],TbNombres[Nombre])</f>
        <v>Simple Advdiff shuffle</v>
      </c>
      <c r="F21" s="1">
        <v>2</v>
      </c>
      <c r="G21" s="1">
        <v>2</v>
      </c>
      <c r="H21" s="1">
        <v>256</v>
      </c>
      <c r="I21" s="1">
        <v>200</v>
      </c>
      <c r="J21" s="1">
        <v>200</v>
      </c>
      <c r="K21" s="1">
        <v>12.1938</v>
      </c>
      <c r="M21" s="2" t="str">
        <f>_xlfn.XLOOKUP(Runge2[[#This Row],[Metodo]],TbSolver[Metodo],TbSolver[Solver])</f>
        <v>Runge Kutta</v>
      </c>
      <c r="N21" s="2" t="str">
        <f>_xlfn.XLOOKUP(Runge2[[#This Row],[Hebras]],TbTecnologia[Hebras],TbTecnologia[Tecnología])</f>
        <v>CUDA</v>
      </c>
      <c r="O21" s="2" t="str" cm="1">
        <f t="array" ref="O21">_xlfn.XLOOKUP(Runge2[[#This Row],[Tecnología]]&amp;Runge2[[#This Row],[Metodo]],TbTipos[Tecnología]&amp;TbTipos[Metodo],TbTipos[Tipo])</f>
        <v>CUDA con graph</v>
      </c>
      <c r="P21" s="2" t="str" cm="1">
        <f t="array" ref="P21">_xlfn.XLOOKUP(Runge2[[#This Row],[Tecnología]]&amp;Runge2[[#This Row],[Problema]],TbNombres[Tecnología]&amp;TbNombres[Problema],TbNombres[Nombre])</f>
        <v>Advdiff1d</v>
      </c>
      <c r="Q21" s="2">
        <v>2</v>
      </c>
      <c r="R21" s="2">
        <v>3</v>
      </c>
      <c r="S21" s="2">
        <v>256</v>
      </c>
      <c r="T21" s="2">
        <v>200</v>
      </c>
      <c r="U21" s="2">
        <v>200</v>
      </c>
      <c r="V21" s="2">
        <v>25.8079</v>
      </c>
      <c r="X21" s="2" t="str">
        <f>_xlfn.XLOOKUP(Runge3[[#This Row],[Metodo]],TbSolver[Metodo],TbSolver[Solver])</f>
        <v>Runge Kutta</v>
      </c>
      <c r="Y21" s="2" t="str">
        <f>_xlfn.XLOOKUP(Runge3[[#This Row],[Hebras]],TbTecnologia[Hebras],TbTecnologia[Tecnología])</f>
        <v>OMP</v>
      </c>
      <c r="Z21" s="2" t="str" cm="1">
        <f t="array" ref="Z21">_xlfn.XLOOKUP(Runge3[[#This Row],[Tecnología]]&amp;Runge3[[#This Row],[Metodo]],TbTipos[Tecnología]&amp;TbTipos[Metodo],TbTipos[Tipo])</f>
        <v>OMP Operaciones</v>
      </c>
      <c r="AA21" s="2" t="str" cm="1">
        <f t="array" ref="AA21">_xlfn.XLOOKUP(Runge3[[#This Row],[Tecnología]]&amp;Runge3[[#This Row],[Problema]],TbNombres[Tecnología]&amp;TbNombres[Problema],TbNombres[Nombre])</f>
        <v>Brusselator1d</v>
      </c>
      <c r="AB21" s="2">
        <v>1</v>
      </c>
      <c r="AC21" s="2">
        <v>3</v>
      </c>
      <c r="AD21" s="2">
        <v>1</v>
      </c>
      <c r="AE21" s="2">
        <v>200</v>
      </c>
      <c r="AF21" s="2">
        <v>400</v>
      </c>
      <c r="AG21" s="2">
        <v>7.2618</v>
      </c>
      <c r="AI21" s="4" t="str">
        <f>_xlfn.XLOOKUP(Runge4[[#This Row],[Metodo]],TbSolver[Metodo],TbSolver[Solver])</f>
        <v>Runge Kutta</v>
      </c>
      <c r="AJ21" s="4" t="str">
        <f>_xlfn.XLOOKUP(Runge4[[#This Row],[Hebras]],TbTecnologia[Hebras],TbTecnologia[Tecnología])</f>
        <v>OMP</v>
      </c>
      <c r="AK2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21" s="4" t="str" cm="1">
        <f t="array" ref="AL21">_xlfn.XLOOKUP(Runge4[[#This Row],[Tecnología]]&amp;Runge4[[#This Row],[Problema]],TbNombres[Tecnología]&amp;TbNombres[Problema],TbNombres[Nombre])</f>
        <v>Brusselator2d</v>
      </c>
      <c r="AM21" s="4">
        <v>2</v>
      </c>
      <c r="AN21" s="4">
        <v>4</v>
      </c>
      <c r="AO21" s="4">
        <v>4</v>
      </c>
      <c r="AP21" s="4">
        <v>50</v>
      </c>
      <c r="AQ21" s="4">
        <v>5000</v>
      </c>
      <c r="AR21" s="4">
        <v>76.856300000000005</v>
      </c>
    </row>
    <row r="22" spans="2:44" x14ac:dyDescent="0.2">
      <c r="B22" s="1" t="str">
        <f>_xlfn.XLOOKUP(Runge1[[#This Row],[Metodo]],TbSolver[Metodo],TbSolver[Solver])</f>
        <v>Runge Kutta</v>
      </c>
      <c r="C22" s="1" t="str">
        <f>_xlfn.XLOOKUP(Runge1[[#This Row],[Hebras]],TbTecnologia[Hebras],TbTecnologia[Tecnología])</f>
        <v>CUDA</v>
      </c>
      <c r="D22" s="1" t="str" cm="1">
        <f t="array" ref="D22">_xlfn.XLOOKUP(Runge1[[#This Row],[Tecnología]]&amp;Runge1[[#This Row],[Metodo]],TbTipos[Tecnología]&amp;TbTipos[Metodo],TbTipos[Tipo])</f>
        <v>CUDA sin graph</v>
      </c>
      <c r="E22" s="1" t="str" cm="1">
        <f t="array" ref="E22">_xlfn.XLOOKUP(Runge1[[#This Row],[Tecnología]]&amp;Runge1[[#This Row],[Problema]],TbNombres[Tecnología]&amp;TbNombres[Problema],TbNombres[Nombre])</f>
        <v>Simple Advdiff</v>
      </c>
      <c r="F22" s="1">
        <v>1</v>
      </c>
      <c r="G22" s="1">
        <v>1</v>
      </c>
      <c r="H22" s="1">
        <v>256</v>
      </c>
      <c r="I22" s="1">
        <v>200</v>
      </c>
      <c r="J22" s="1">
        <v>200</v>
      </c>
      <c r="K22" s="1">
        <v>15.0952</v>
      </c>
      <c r="M22" s="2" t="str">
        <f>_xlfn.XLOOKUP(Runge2[[#This Row],[Metodo]],TbSolver[Metodo],TbSolver[Solver])</f>
        <v>Runge Kutta</v>
      </c>
      <c r="N22" s="2" t="str">
        <f>_xlfn.XLOOKUP(Runge2[[#This Row],[Hebras]],TbTecnologia[Hebras],TbTecnologia[Tecnología])</f>
        <v>CUDA</v>
      </c>
      <c r="O22" s="2" t="str" cm="1">
        <f t="array" ref="O22">_xlfn.XLOOKUP(Runge2[[#This Row],[Tecnología]]&amp;Runge2[[#This Row],[Metodo]],TbTipos[Tecnología]&amp;TbTipos[Metodo],TbTipos[Tipo])</f>
        <v>CUDA con graph</v>
      </c>
      <c r="P22" s="2" t="str" cm="1">
        <f t="array" ref="P22">_xlfn.XLOOKUP(Runge2[[#This Row],[Tecnología]]&amp;Runge2[[#This Row],[Problema]],TbNombres[Tecnología]&amp;TbNombres[Problema],TbNombres[Nombre])</f>
        <v>Advdiff1d shuffle</v>
      </c>
      <c r="Q22" s="2">
        <v>2</v>
      </c>
      <c r="R22" s="2">
        <v>4</v>
      </c>
      <c r="S22" s="2">
        <v>256</v>
      </c>
      <c r="T22" s="2">
        <v>200</v>
      </c>
      <c r="U22" s="2">
        <v>200</v>
      </c>
      <c r="V22" s="2">
        <v>26.537299999999998</v>
      </c>
      <c r="X22" s="2" t="str">
        <f>_xlfn.XLOOKUP(Runge3[[#This Row],[Metodo]],TbSolver[Metodo],TbSolver[Solver])</f>
        <v>Runge Kutta</v>
      </c>
      <c r="Y22" s="2" t="str">
        <f>_xlfn.XLOOKUP(Runge3[[#This Row],[Hebras]],TbTecnologia[Hebras],TbTecnologia[Tecnología])</f>
        <v>OMP</v>
      </c>
      <c r="Z22" s="2" t="str" cm="1">
        <f t="array" ref="Z22">_xlfn.XLOOKUP(Runge3[[#This Row],[Tecnología]]&amp;Runge3[[#This Row],[Metodo]],TbTipos[Tecnología]&amp;TbTipos[Metodo],TbTipos[Tipo])</f>
        <v>OMP Elementos</v>
      </c>
      <c r="AA22" s="2" t="str" cm="1">
        <f t="array" ref="AA22">_xlfn.XLOOKUP(Runge3[[#This Row],[Tecnología]]&amp;Runge3[[#This Row],[Problema]],TbNombres[Tecnología]&amp;TbNombres[Problema],TbNombres[Nombre])</f>
        <v>Brusselator1d</v>
      </c>
      <c r="AB22" s="2">
        <v>2</v>
      </c>
      <c r="AC22" s="2">
        <v>3</v>
      </c>
      <c r="AD22" s="2">
        <v>4</v>
      </c>
      <c r="AE22" s="2">
        <v>200</v>
      </c>
      <c r="AF22" s="2">
        <v>400</v>
      </c>
      <c r="AG22" s="2">
        <v>9.9756999999999998</v>
      </c>
      <c r="AI22" s="4" t="str">
        <f>_xlfn.XLOOKUP(Runge4[[#This Row],[Metodo]],TbSolver[Metodo],TbSolver[Solver])</f>
        <v>Runge Kutta</v>
      </c>
      <c r="AJ22" s="4" t="str">
        <f>_xlfn.XLOOKUP(Runge4[[#This Row],[Hebras]],TbTecnologia[Hebras],TbTecnologia[Tecnología])</f>
        <v>OMP</v>
      </c>
      <c r="AK2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22" s="4" t="str" cm="1">
        <f t="array" ref="AL22">_xlfn.XLOOKUP(Runge4[[#This Row],[Tecnología]]&amp;Runge4[[#This Row],[Problema]],TbNombres[Tecnología]&amp;TbNombres[Problema],TbNombres[Nombre])</f>
        <v>Brusselator2d</v>
      </c>
      <c r="AM22" s="4">
        <v>1</v>
      </c>
      <c r="AN22" s="4">
        <v>4</v>
      </c>
      <c r="AO22" s="4">
        <v>16</v>
      </c>
      <c r="AP22" s="4">
        <v>50</v>
      </c>
      <c r="AQ22" s="4">
        <v>5000</v>
      </c>
      <c r="AR22" s="4">
        <v>81.611099999999993</v>
      </c>
    </row>
    <row r="23" spans="2:44" x14ac:dyDescent="0.2">
      <c r="B23" s="1" t="str">
        <f>_xlfn.XLOOKUP(Runge1[[#This Row],[Metodo]],TbSolver[Metodo],TbSolver[Solver])</f>
        <v>Runge Kutta</v>
      </c>
      <c r="C23" s="1" t="str">
        <f>_xlfn.XLOOKUP(Runge1[[#This Row],[Hebras]],TbTecnologia[Hebras],TbTecnologia[Tecnología])</f>
        <v>CUDA</v>
      </c>
      <c r="D23" s="1" t="str" cm="1">
        <f t="array" ref="D23">_xlfn.XLOOKUP(Runge1[[#This Row],[Tecnología]]&amp;Runge1[[#This Row],[Metodo]],TbTipos[Tecnología]&amp;TbTipos[Metodo],TbTipos[Tipo])</f>
        <v>CUDA sin graph</v>
      </c>
      <c r="E23" s="1" t="str" cm="1">
        <f t="array" ref="E23">_xlfn.XLOOKUP(Runge1[[#This Row],[Tecnología]]&amp;Runge1[[#This Row],[Problema]],TbNombres[Tecnología]&amp;TbNombres[Problema],TbNombres[Nombre])</f>
        <v>Simple Advdiff shuffle</v>
      </c>
      <c r="F23" s="1">
        <v>1</v>
      </c>
      <c r="G23" s="1">
        <v>2</v>
      </c>
      <c r="H23" s="1">
        <v>256</v>
      </c>
      <c r="I23" s="1">
        <v>200</v>
      </c>
      <c r="J23" s="1">
        <v>200</v>
      </c>
      <c r="K23" s="1">
        <v>18.799099999999999</v>
      </c>
      <c r="M23" s="2" t="str">
        <f>_xlfn.XLOOKUP(Runge2[[#This Row],[Metodo]],TbSolver[Metodo],TbSolver[Solver])</f>
        <v>Runge Kutta</v>
      </c>
      <c r="N23" s="2" t="str">
        <f>_xlfn.XLOOKUP(Runge2[[#This Row],[Hebras]],TbTecnologia[Hebras],TbTecnologia[Tecnología])</f>
        <v>CUDA</v>
      </c>
      <c r="O23" s="2" t="str" cm="1">
        <f t="array" ref="O23">_xlfn.XLOOKUP(Runge2[[#This Row],[Tecnología]]&amp;Runge2[[#This Row],[Metodo]],TbTipos[Tecnología]&amp;TbTipos[Metodo],TbTipos[Tipo])</f>
        <v>CUDA sin graph</v>
      </c>
      <c r="P23" s="2" t="str" cm="1">
        <f t="array" ref="P23">_xlfn.XLOOKUP(Runge2[[#This Row],[Tecnología]]&amp;Runge2[[#This Row],[Problema]],TbNombres[Tecnología]&amp;TbNombres[Problema],TbNombres[Nombre])</f>
        <v>Advdiff1d</v>
      </c>
      <c r="Q23" s="2">
        <v>1</v>
      </c>
      <c r="R23" s="2">
        <v>3</v>
      </c>
      <c r="S23" s="2">
        <v>256</v>
      </c>
      <c r="T23" s="2">
        <v>200</v>
      </c>
      <c r="U23" s="2">
        <v>200</v>
      </c>
      <c r="V23" s="2">
        <v>28.723600000000001</v>
      </c>
      <c r="X23" s="2" t="str">
        <f>_xlfn.XLOOKUP(Runge3[[#This Row],[Metodo]],TbSolver[Metodo],TbSolver[Solver])</f>
        <v>Runge Kutta</v>
      </c>
      <c r="Y23" s="2" t="str">
        <f>_xlfn.XLOOKUP(Runge3[[#This Row],[Hebras]],TbTecnologia[Hebras],TbTecnologia[Tecnología])</f>
        <v>OMP</v>
      </c>
      <c r="Z23" s="2" t="str" cm="1">
        <f t="array" ref="Z23">_xlfn.XLOOKUP(Runge3[[#This Row],[Tecnología]]&amp;Runge3[[#This Row],[Metodo]],TbTipos[Tecnología]&amp;TbTipos[Metodo],TbTipos[Tipo])</f>
        <v>OMP Elementos</v>
      </c>
      <c r="AA23" s="2" t="str" cm="1">
        <f t="array" ref="AA23">_xlfn.XLOOKUP(Runge3[[#This Row],[Tecnología]]&amp;Runge3[[#This Row],[Problema]],TbNombres[Tecnología]&amp;TbNombres[Problema],TbNombres[Nombre])</f>
        <v>Brusselator1d</v>
      </c>
      <c r="AB23" s="2">
        <v>2</v>
      </c>
      <c r="AC23" s="2">
        <v>3</v>
      </c>
      <c r="AD23" s="2">
        <v>1</v>
      </c>
      <c r="AE23" s="2">
        <v>200</v>
      </c>
      <c r="AF23" s="2">
        <v>400</v>
      </c>
      <c r="AG23" s="2">
        <v>9.9896200000000004</v>
      </c>
      <c r="AI23" s="4" t="str">
        <f>_xlfn.XLOOKUP(Runge4[[#This Row],[Metodo]],TbSolver[Metodo],TbSolver[Solver])</f>
        <v>Runge Kutta</v>
      </c>
      <c r="AJ23" s="4" t="str">
        <f>_xlfn.XLOOKUP(Runge4[[#This Row],[Hebras]],TbTecnologia[Hebras],TbTecnologia[Tecnología])</f>
        <v>OMP</v>
      </c>
      <c r="AK2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23" s="4" t="str" cm="1">
        <f t="array" ref="AL23">_xlfn.XLOOKUP(Runge4[[#This Row],[Tecnología]]&amp;Runge4[[#This Row],[Problema]],TbNombres[Tecnología]&amp;TbNombres[Problema],TbNombres[Nombre])</f>
        <v>Brusselator2d</v>
      </c>
      <c r="AM23" s="4">
        <v>1</v>
      </c>
      <c r="AN23" s="4">
        <v>4</v>
      </c>
      <c r="AO23" s="4">
        <v>1</v>
      </c>
      <c r="AP23" s="4">
        <v>50</v>
      </c>
      <c r="AQ23" s="4">
        <v>5000</v>
      </c>
      <c r="AR23" s="4">
        <v>104.01600000000001</v>
      </c>
    </row>
    <row r="24" spans="2:44" x14ac:dyDescent="0.2">
      <c r="B24" s="1" t="str">
        <f>_xlfn.XLOOKUP(Runge1[[#This Row],[Metodo]],TbSolver[Metodo],TbSolver[Solver])</f>
        <v>Runge Kutta</v>
      </c>
      <c r="C24" s="1" t="str">
        <f>_xlfn.XLOOKUP(Runge1[[#This Row],[Hebras]],TbTecnologia[Hebras],TbTecnologia[Tecnología])</f>
        <v>OMP</v>
      </c>
      <c r="D24" s="1" t="str" cm="1">
        <f t="array" ref="D24">_xlfn.XLOOKUP(Runge1[[#This Row],[Tecnología]]&amp;Runge1[[#This Row],[Metodo]],TbTipos[Tecnología]&amp;TbTipos[Metodo],TbTipos[Tipo])</f>
        <v>OMP Operaciones</v>
      </c>
      <c r="E24" s="1" t="str" cm="1">
        <f t="array" ref="E24">_xlfn.XLOOKUP(Runge1[[#This Row],[Tecnología]]&amp;Runge1[[#This Row],[Problema]],TbNombres[Tecnología]&amp;TbNombres[Problema],TbNombres[Nombre])</f>
        <v>Simple Advdiff</v>
      </c>
      <c r="F24" s="1">
        <v>1</v>
      </c>
      <c r="G24" s="1">
        <v>1</v>
      </c>
      <c r="H24" s="1">
        <v>4</v>
      </c>
      <c r="I24" s="1">
        <v>200</v>
      </c>
      <c r="J24" s="1">
        <v>200</v>
      </c>
      <c r="K24" s="1">
        <v>23.6295</v>
      </c>
      <c r="M24" s="2" t="str">
        <f>_xlfn.XLOOKUP(Runge2[[#This Row],[Metodo]],TbSolver[Metodo],TbSolver[Solver])</f>
        <v>Runge Kutta</v>
      </c>
      <c r="N24" s="2" t="str">
        <f>_xlfn.XLOOKUP(Runge2[[#This Row],[Hebras]],TbTecnologia[Hebras],TbTecnologia[Tecnología])</f>
        <v>CUDA</v>
      </c>
      <c r="O24" s="2" t="str" cm="1">
        <f t="array" ref="O24">_xlfn.XLOOKUP(Runge2[[#This Row],[Tecnología]]&amp;Runge2[[#This Row],[Metodo]],TbTipos[Tecnología]&amp;TbTipos[Metodo],TbTipos[Tipo])</f>
        <v>CUDA sin graph</v>
      </c>
      <c r="P24" s="2" t="str" cm="1">
        <f t="array" ref="P24">_xlfn.XLOOKUP(Runge2[[#This Row],[Tecnología]]&amp;Runge2[[#This Row],[Problema]],TbNombres[Tecnología]&amp;TbNombres[Problema],TbNombres[Nombre])</f>
        <v>Advdiff1d shuffle</v>
      </c>
      <c r="Q24" s="2">
        <v>1</v>
      </c>
      <c r="R24" s="2">
        <v>4</v>
      </c>
      <c r="S24" s="2">
        <v>256</v>
      </c>
      <c r="T24" s="2">
        <v>200</v>
      </c>
      <c r="U24" s="2">
        <v>200</v>
      </c>
      <c r="V24" s="2">
        <v>29.5016</v>
      </c>
      <c r="X24" s="2" t="str">
        <f>_xlfn.XLOOKUP(Runge3[[#This Row],[Metodo]],TbSolver[Metodo],TbSolver[Solver])</f>
        <v>Runge Kutta</v>
      </c>
      <c r="Y24" s="2" t="str">
        <f>_xlfn.XLOOKUP(Runge3[[#This Row],[Hebras]],TbTecnologia[Hebras],TbTecnologia[Tecnología])</f>
        <v>CUDA</v>
      </c>
      <c r="Z24" s="2" t="str" cm="1">
        <f t="array" ref="Z24">_xlfn.XLOOKUP(Runge3[[#This Row],[Tecnología]]&amp;Runge3[[#This Row],[Metodo]],TbTipos[Tecnología]&amp;TbTipos[Metodo],TbTipos[Tipo])</f>
        <v>CUDA con graph</v>
      </c>
      <c r="AA24" s="2" t="str" cm="1">
        <f t="array" ref="AA24">_xlfn.XLOOKUP(Runge3[[#This Row],[Tecnología]]&amp;Runge3[[#This Row],[Problema]],TbNombres[Tecnología]&amp;TbNombres[Problema],TbNombres[Nombre])</f>
        <v>Brusselator1d</v>
      </c>
      <c r="AB24" s="2">
        <v>2</v>
      </c>
      <c r="AC24" s="2">
        <v>5</v>
      </c>
      <c r="AD24" s="2">
        <v>256</v>
      </c>
      <c r="AE24" s="2">
        <v>200</v>
      </c>
      <c r="AF24" s="2">
        <v>400</v>
      </c>
      <c r="AG24" s="2">
        <v>13.7011</v>
      </c>
      <c r="AI24" s="4" t="str">
        <f>_xlfn.XLOOKUP(Runge4[[#This Row],[Metodo]],TbSolver[Metodo],TbSolver[Solver])</f>
        <v>Runge Kutta</v>
      </c>
      <c r="AJ24" s="4" t="str">
        <f>_xlfn.XLOOKUP(Runge4[[#This Row],[Hebras]],TbTecnologia[Hebras],TbTecnologia[Tecnología])</f>
        <v>OMP</v>
      </c>
      <c r="AK2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24" s="4" t="str" cm="1">
        <f t="array" ref="AL24">_xlfn.XLOOKUP(Runge4[[#This Row],[Tecnología]]&amp;Runge4[[#This Row],[Problema]],TbNombres[Tecnología]&amp;TbNombres[Problema],TbNombres[Nombre])</f>
        <v>Brusselator2d</v>
      </c>
      <c r="AM24" s="4">
        <v>2</v>
      </c>
      <c r="AN24" s="4">
        <v>4</v>
      </c>
      <c r="AO24" s="4">
        <v>1</v>
      </c>
      <c r="AP24" s="4">
        <v>50</v>
      </c>
      <c r="AQ24" s="4">
        <v>5000</v>
      </c>
      <c r="AR24" s="4">
        <v>267.25799999999998</v>
      </c>
    </row>
    <row r="25" spans="2:44" x14ac:dyDescent="0.2">
      <c r="B25" s="1" t="str">
        <f>_xlfn.XLOOKUP(Runge1[[#This Row],[Metodo]],TbSolver[Metodo],TbSolver[Solver])</f>
        <v>Runge Kutta</v>
      </c>
      <c r="C25" s="1" t="str">
        <f>_xlfn.XLOOKUP(Runge1[[#This Row],[Hebras]],TbTecnologia[Hebras],TbTecnologia[Tecnología])</f>
        <v>OMP</v>
      </c>
      <c r="D25" s="1" t="str" cm="1">
        <f t="array" ref="D25">_xlfn.XLOOKUP(Runge1[[#This Row],[Tecnología]]&amp;Runge1[[#This Row],[Metodo]],TbTipos[Tecnología]&amp;TbTipos[Metodo],TbTipos[Tipo])</f>
        <v>OMP Elementos</v>
      </c>
      <c r="E25" s="1" t="str" cm="1">
        <f t="array" ref="E25">_xlfn.XLOOKUP(Runge1[[#This Row],[Tecnología]]&amp;Runge1[[#This Row],[Problema]],TbNombres[Tecnología]&amp;TbNombres[Problema],TbNombres[Nombre])</f>
        <v>Simple Advdiff</v>
      </c>
      <c r="F25" s="1">
        <v>2</v>
      </c>
      <c r="G25" s="1">
        <v>1</v>
      </c>
      <c r="H25" s="1">
        <v>16</v>
      </c>
      <c r="I25" s="1">
        <v>200</v>
      </c>
      <c r="J25" s="1">
        <v>200</v>
      </c>
      <c r="K25" s="1">
        <v>25.333300000000001</v>
      </c>
      <c r="M25" s="2" t="str">
        <f>_xlfn.XLOOKUP(Runge2[[#This Row],[Metodo]],TbSolver[Metodo],TbSolver[Solver])</f>
        <v>Runge Kutta</v>
      </c>
      <c r="N25" s="2" t="str">
        <f>_xlfn.XLOOKUP(Runge2[[#This Row],[Hebras]],TbTecnologia[Hebras],TbTecnologia[Tecnología])</f>
        <v>OMP</v>
      </c>
      <c r="O25" s="2" t="str" cm="1">
        <f t="array" ref="O25">_xlfn.XLOOKUP(Runge2[[#This Row],[Tecnología]]&amp;Runge2[[#This Row],[Metodo]],TbTipos[Tecnología]&amp;TbTipos[Metodo],TbTipos[Tipo])</f>
        <v>OMP Operaciones</v>
      </c>
      <c r="P25" s="2" t="str" cm="1">
        <f t="array" ref="P25">_xlfn.XLOOKUP(Runge2[[#This Row],[Tecnología]]&amp;Runge2[[#This Row],[Problema]],TbNombres[Tecnología]&amp;TbNombres[Problema],TbNombres[Nombre])</f>
        <v>Advdiff1d</v>
      </c>
      <c r="Q25" s="2">
        <v>1</v>
      </c>
      <c r="R25" s="2">
        <v>2</v>
      </c>
      <c r="S25" s="2">
        <v>4</v>
      </c>
      <c r="T25" s="2">
        <v>200</v>
      </c>
      <c r="U25" s="2">
        <v>200</v>
      </c>
      <c r="V25" s="2">
        <v>41.730200000000004</v>
      </c>
      <c r="X25" s="2" t="str">
        <f>_xlfn.XLOOKUP(Runge3[[#This Row],[Metodo]],TbSolver[Metodo],TbSolver[Solver])</f>
        <v>Runge Kutta</v>
      </c>
      <c r="Y25" s="2" t="str">
        <f>_xlfn.XLOOKUP(Runge3[[#This Row],[Hebras]],TbTecnologia[Hebras],TbTecnologia[Tecnología])</f>
        <v>CUDA</v>
      </c>
      <c r="Z25" s="2" t="str" cm="1">
        <f t="array" ref="Z25">_xlfn.XLOOKUP(Runge3[[#This Row],[Tecnología]]&amp;Runge3[[#This Row],[Metodo]],TbTipos[Tecnología]&amp;TbTipos[Metodo],TbTipos[Tipo])</f>
        <v>CUDA con graph</v>
      </c>
      <c r="AA25" s="2" t="str" cm="1">
        <f t="array" ref="AA25">_xlfn.XLOOKUP(Runge3[[#This Row],[Tecnología]]&amp;Runge3[[#This Row],[Problema]],TbNombres[Tecnología]&amp;TbNombres[Problema],TbNombres[Nombre])</f>
        <v>Brusselator1d shuffle</v>
      </c>
      <c r="AB25" s="2">
        <v>2</v>
      </c>
      <c r="AC25" s="2">
        <v>6</v>
      </c>
      <c r="AD25" s="2">
        <v>256</v>
      </c>
      <c r="AE25" s="2">
        <v>200</v>
      </c>
      <c r="AF25" s="2">
        <v>400</v>
      </c>
      <c r="AG25" s="2">
        <v>13.7067</v>
      </c>
      <c r="AI25" s="2" t="str">
        <f>_xlfn.XLOOKUP(Runge4[[#This Row],[Metodo]],TbSolver[Metodo],TbSolver[Solver])</f>
        <v>Runge Kutta</v>
      </c>
      <c r="AJ25" s="2" t="str">
        <f>_xlfn.XLOOKUP(Runge4[[#This Row],[Hebras]],TbTecnologia[Hebras],TbTecnologia[Tecnología])</f>
        <v>CUDA</v>
      </c>
      <c r="AK2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25" s="4" t="str" cm="1">
        <f t="array" ref="AL25">_xlfn.XLOOKUP(Runge4[[#This Row],[Tecnología]]&amp;Runge4[[#This Row],[Problema]],TbNombres[Tecnología]&amp;TbNombres[Problema],TbNombres[Nombre])</f>
        <v>Brusselator2d</v>
      </c>
      <c r="AM25" s="21">
        <v>2</v>
      </c>
      <c r="AN25" s="21">
        <v>8</v>
      </c>
      <c r="AO25" s="21">
        <v>256</v>
      </c>
      <c r="AP25" s="21">
        <v>75</v>
      </c>
      <c r="AQ25" s="21">
        <v>11250</v>
      </c>
      <c r="AR25" s="21">
        <v>17.444199999999999</v>
      </c>
    </row>
    <row r="26" spans="2:44" x14ac:dyDescent="0.2">
      <c r="B26" s="1" t="str">
        <f>_xlfn.XLOOKUP(Runge1[[#This Row],[Metodo]],TbSolver[Metodo],TbSolver[Solver])</f>
        <v>Runge Kutta</v>
      </c>
      <c r="C26" s="1" t="str">
        <f>_xlfn.XLOOKUP(Runge1[[#This Row],[Hebras]],TbTecnologia[Hebras],TbTecnologia[Tecnología])</f>
        <v>OMP</v>
      </c>
      <c r="D26" s="1" t="str" cm="1">
        <f t="array" ref="D26">_xlfn.XLOOKUP(Runge1[[#This Row],[Tecnología]]&amp;Runge1[[#This Row],[Metodo]],TbTipos[Tecnología]&amp;TbTipos[Metodo],TbTipos[Tipo])</f>
        <v>OMP Operaciones</v>
      </c>
      <c r="E26" s="1" t="str" cm="1">
        <f t="array" ref="E26">_xlfn.XLOOKUP(Runge1[[#This Row],[Tecnología]]&amp;Runge1[[#This Row],[Problema]],TbNombres[Tecnología]&amp;TbNombres[Problema],TbNombres[Nombre])</f>
        <v>Simple Advdiff</v>
      </c>
      <c r="F26" s="1">
        <v>1</v>
      </c>
      <c r="G26" s="1">
        <v>1</v>
      </c>
      <c r="H26" s="1">
        <v>16</v>
      </c>
      <c r="I26" s="1">
        <v>200</v>
      </c>
      <c r="J26" s="1">
        <v>200</v>
      </c>
      <c r="K26" s="1">
        <v>63.666400000000003</v>
      </c>
      <c r="M26" s="2" t="str">
        <f>_xlfn.XLOOKUP(Runge2[[#This Row],[Metodo]],TbSolver[Metodo],TbSolver[Solver])</f>
        <v>Runge Kutta</v>
      </c>
      <c r="N26" s="2" t="str">
        <f>_xlfn.XLOOKUP(Runge2[[#This Row],[Hebras]],TbTecnologia[Hebras],TbTecnologia[Tecnología])</f>
        <v>OMP</v>
      </c>
      <c r="O26" s="2" t="str" cm="1">
        <f t="array" ref="O26">_xlfn.XLOOKUP(Runge2[[#This Row],[Tecnología]]&amp;Runge2[[#This Row],[Metodo]],TbTipos[Tecnología]&amp;TbTipos[Metodo],TbTipos[Tipo])</f>
        <v>OMP Operaciones</v>
      </c>
      <c r="P26" s="2" t="str" cm="1">
        <f t="array" ref="P26">_xlfn.XLOOKUP(Runge2[[#This Row],[Tecnología]]&amp;Runge2[[#This Row],[Problema]],TbNombres[Tecnología]&amp;TbNombres[Problema],TbNombres[Nombre])</f>
        <v>Advdiff1d</v>
      </c>
      <c r="Q26" s="2">
        <v>1</v>
      </c>
      <c r="R26" s="2">
        <v>2</v>
      </c>
      <c r="S26" s="2">
        <v>16</v>
      </c>
      <c r="T26" s="2">
        <v>200</v>
      </c>
      <c r="U26" s="2">
        <v>200</v>
      </c>
      <c r="V26" s="2">
        <v>97.440100000000001</v>
      </c>
      <c r="X26" s="2" t="str">
        <f>_xlfn.XLOOKUP(Runge3[[#This Row],[Metodo]],TbSolver[Metodo],TbSolver[Solver])</f>
        <v>Runge Kutta</v>
      </c>
      <c r="Y26" s="2" t="str">
        <f>_xlfn.XLOOKUP(Runge3[[#This Row],[Hebras]],TbTecnologia[Hebras],TbTecnologia[Tecnología])</f>
        <v>CUDA</v>
      </c>
      <c r="Z26" s="2" t="str" cm="1">
        <f t="array" ref="Z26">_xlfn.XLOOKUP(Runge3[[#This Row],[Tecnología]]&amp;Runge3[[#This Row],[Metodo]],TbTipos[Tecnología]&amp;TbTipos[Metodo],TbTipos[Tipo])</f>
        <v>CUDA con graph</v>
      </c>
      <c r="AA26" s="2" t="str" cm="1">
        <f t="array" ref="AA26">_xlfn.XLOOKUP(Runge3[[#This Row],[Tecnología]]&amp;Runge3[[#This Row],[Problema]],TbNombres[Tecnología]&amp;TbNombres[Problema],TbNombres[Nombre])</f>
        <v>Brusselator1d grid</v>
      </c>
      <c r="AB26" s="2">
        <v>2</v>
      </c>
      <c r="AC26" s="2">
        <v>7</v>
      </c>
      <c r="AD26" s="2">
        <v>256</v>
      </c>
      <c r="AE26" s="2">
        <v>200</v>
      </c>
      <c r="AF26" s="2">
        <v>400</v>
      </c>
      <c r="AG26" s="2">
        <v>13.7905</v>
      </c>
      <c r="AI26" s="2" t="str">
        <f>_xlfn.XLOOKUP(Runge4[[#This Row],[Metodo]],TbSolver[Metodo],TbSolver[Solver])</f>
        <v>Runge Kutta</v>
      </c>
      <c r="AJ26" s="2" t="str">
        <f>_xlfn.XLOOKUP(Runge4[[#This Row],[Hebras]],TbTecnologia[Hebras],TbTecnologia[Tecnología])</f>
        <v>CUDA</v>
      </c>
      <c r="AK2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26" s="4" t="str" cm="1">
        <f t="array" ref="AL26">_xlfn.XLOOKUP(Runge4[[#This Row],[Tecnología]]&amp;Runge4[[#This Row],[Problema]],TbNombres[Tecnología]&amp;TbNombres[Problema],TbNombres[Nombre])</f>
        <v>Brusselator2d</v>
      </c>
      <c r="AM26" s="21">
        <v>1</v>
      </c>
      <c r="AN26" s="21">
        <v>8</v>
      </c>
      <c r="AO26" s="21">
        <v>256</v>
      </c>
      <c r="AP26" s="21">
        <v>75</v>
      </c>
      <c r="AQ26" s="21">
        <v>11250</v>
      </c>
      <c r="AR26" s="21">
        <v>20.36</v>
      </c>
    </row>
    <row r="27" spans="2:44" x14ac:dyDescent="0.2">
      <c r="B27" s="1" t="str">
        <f>_xlfn.XLOOKUP(Runge1[[#This Row],[Metodo]],TbSolver[Metodo],TbSolver[Solver])</f>
        <v>Runge Kutta</v>
      </c>
      <c r="C27" s="1" t="str">
        <f>_xlfn.XLOOKUP(Runge1[[#This Row],[Hebras]],TbTecnologia[Hebras],TbTecnologia[Tecnología])</f>
        <v>OMP</v>
      </c>
      <c r="D27" s="1" t="str" cm="1">
        <f t="array" ref="D27">_xlfn.XLOOKUP(Runge1[[#This Row],[Tecnología]]&amp;Runge1[[#This Row],[Metodo]],TbTipos[Tecnología]&amp;TbTipos[Metodo],TbTipos[Tipo])</f>
        <v>OMP Operaciones</v>
      </c>
      <c r="E27" s="1" t="str" cm="1">
        <f t="array" ref="E27">_xlfn.XLOOKUP(Runge1[[#This Row],[Tecnología]]&amp;Runge1[[#This Row],[Problema]],TbNombres[Tecnología]&amp;TbNombres[Problema],TbNombres[Nombre])</f>
        <v>Simple Advdiff</v>
      </c>
      <c r="F27" s="1">
        <v>1</v>
      </c>
      <c r="G27" s="1">
        <v>1</v>
      </c>
      <c r="H27" s="1">
        <v>1</v>
      </c>
      <c r="I27" s="1">
        <v>500</v>
      </c>
      <c r="J27" s="1">
        <v>500</v>
      </c>
      <c r="K27" s="1">
        <v>4.8437700000000001</v>
      </c>
      <c r="M27" s="2" t="str">
        <f>_xlfn.XLOOKUP(Runge2[[#This Row],[Metodo]],TbSolver[Metodo],TbSolver[Solver])</f>
        <v>Runge Kutta</v>
      </c>
      <c r="N27" s="2" t="str">
        <f>_xlfn.XLOOKUP(Runge2[[#This Row],[Hebras]],TbTecnologia[Hebras],TbTecnologia[Tecnología])</f>
        <v>OMP</v>
      </c>
      <c r="O27" s="2" t="str" cm="1">
        <f t="array" ref="O27">_xlfn.XLOOKUP(Runge2[[#This Row],[Tecnología]]&amp;Runge2[[#This Row],[Metodo]],TbTipos[Tecnología]&amp;TbTipos[Metodo],TbTipos[Tipo])</f>
        <v>OMP Elementos</v>
      </c>
      <c r="P27" s="2" t="str" cm="1">
        <f t="array" ref="P27">_xlfn.XLOOKUP(Runge2[[#This Row],[Tecnología]]&amp;Runge2[[#This Row],[Problema]],TbNombres[Tecnología]&amp;TbNombres[Problema],TbNombres[Nombre])</f>
        <v>Advdiff1d</v>
      </c>
      <c r="Q27" s="2">
        <v>2</v>
      </c>
      <c r="R27" s="2">
        <v>2</v>
      </c>
      <c r="S27" s="2">
        <v>16</v>
      </c>
      <c r="T27" s="2">
        <v>500</v>
      </c>
      <c r="U27" s="2">
        <v>500</v>
      </c>
      <c r="V27" s="2">
        <v>18.952200000000001</v>
      </c>
      <c r="X27" s="2" t="str">
        <f>_xlfn.XLOOKUP(Runge3[[#This Row],[Metodo]],TbSolver[Metodo],TbSolver[Solver])</f>
        <v>Runge Kutta</v>
      </c>
      <c r="Y27" s="2" t="str">
        <f>_xlfn.XLOOKUP(Runge3[[#This Row],[Hebras]],TbTecnologia[Hebras],TbTecnologia[Tecnología])</f>
        <v>CUDA</v>
      </c>
      <c r="Z27" s="2" t="str" cm="1">
        <f t="array" ref="Z27">_xlfn.XLOOKUP(Runge3[[#This Row],[Tecnología]]&amp;Runge3[[#This Row],[Metodo]],TbTipos[Tecnología]&amp;TbTipos[Metodo],TbTipos[Tipo])</f>
        <v>CUDA sin graph</v>
      </c>
      <c r="AA27" s="2" t="str" cm="1">
        <f t="array" ref="AA27">_xlfn.XLOOKUP(Runge3[[#This Row],[Tecnología]]&amp;Runge3[[#This Row],[Problema]],TbNombres[Tecnología]&amp;TbNombres[Problema],TbNombres[Nombre])</f>
        <v>Brusselator1d shuffle</v>
      </c>
      <c r="AB27" s="2">
        <v>1</v>
      </c>
      <c r="AC27" s="2">
        <v>6</v>
      </c>
      <c r="AD27" s="2">
        <v>256</v>
      </c>
      <c r="AE27" s="2">
        <v>200</v>
      </c>
      <c r="AF27" s="2">
        <v>400</v>
      </c>
      <c r="AG27" s="2">
        <v>16.845500000000001</v>
      </c>
      <c r="AI27" s="2" t="str">
        <f>_xlfn.XLOOKUP(Runge4[[#This Row],[Metodo]],TbSolver[Metodo],TbSolver[Solver])</f>
        <v>Runge Kutta</v>
      </c>
      <c r="AJ27" s="2" t="str">
        <f>_xlfn.XLOOKUP(Runge4[[#This Row],[Hebras]],TbTecnologia[Hebras],TbTecnologia[Tecnología])</f>
        <v>OMP</v>
      </c>
      <c r="AK2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27" s="4" t="str" cm="1">
        <f t="array" ref="AL27">_xlfn.XLOOKUP(Runge4[[#This Row],[Tecnología]]&amp;Runge4[[#This Row],[Problema]],TbNombres[Tecnología]&amp;TbNombres[Problema],TbNombres[Nombre])</f>
        <v>Brusselator2d</v>
      </c>
      <c r="AM27" s="4">
        <v>2</v>
      </c>
      <c r="AN27" s="4">
        <v>4</v>
      </c>
      <c r="AO27" s="4">
        <v>16</v>
      </c>
      <c r="AP27" s="4">
        <v>75</v>
      </c>
      <c r="AQ27" s="4">
        <v>11250</v>
      </c>
      <c r="AR27" s="4">
        <v>59.186100000000003</v>
      </c>
    </row>
    <row r="28" spans="2:44" x14ac:dyDescent="0.2">
      <c r="B28" s="1" t="str">
        <f>_xlfn.XLOOKUP(Runge1[[#This Row],[Metodo]],TbSolver[Metodo],TbSolver[Solver])</f>
        <v>Runge Kutta</v>
      </c>
      <c r="C28" s="1" t="str">
        <f>_xlfn.XLOOKUP(Runge1[[#This Row],[Hebras]],TbTecnologia[Hebras],TbTecnologia[Tecnología])</f>
        <v>OMP</v>
      </c>
      <c r="D28" s="1" t="str" cm="1">
        <f t="array" ref="D28">_xlfn.XLOOKUP(Runge1[[#This Row],[Tecnología]]&amp;Runge1[[#This Row],[Metodo]],TbTipos[Tecnología]&amp;TbTipos[Metodo],TbTipos[Tipo])</f>
        <v>OMP Elementos</v>
      </c>
      <c r="E28" s="1" t="str" cm="1">
        <f t="array" ref="E28">_xlfn.XLOOKUP(Runge1[[#This Row],[Tecnología]]&amp;Runge1[[#This Row],[Problema]],TbNombres[Tecnología]&amp;TbNombres[Problema],TbNombres[Nombre])</f>
        <v>Simple Advdiff</v>
      </c>
      <c r="F28" s="1">
        <v>2</v>
      </c>
      <c r="G28" s="1">
        <v>1</v>
      </c>
      <c r="H28" s="1">
        <v>4</v>
      </c>
      <c r="I28" s="1">
        <v>500</v>
      </c>
      <c r="J28" s="1">
        <v>500</v>
      </c>
      <c r="K28" s="1">
        <v>9.5966100000000001</v>
      </c>
      <c r="M28" s="2" t="str">
        <f>_xlfn.XLOOKUP(Runge2[[#This Row],[Metodo]],TbSolver[Metodo],TbSolver[Solver])</f>
        <v>Runge Kutta</v>
      </c>
      <c r="N28" s="2" t="str">
        <f>_xlfn.XLOOKUP(Runge2[[#This Row],[Hebras]],TbTecnologia[Hebras],TbTecnologia[Tecnología])</f>
        <v>OMP</v>
      </c>
      <c r="O28" s="2" t="str" cm="1">
        <f t="array" ref="O28">_xlfn.XLOOKUP(Runge2[[#This Row],[Tecnología]]&amp;Runge2[[#This Row],[Metodo]],TbTipos[Tecnología]&amp;TbTipos[Metodo],TbTipos[Tipo])</f>
        <v>OMP Elementos</v>
      </c>
      <c r="P28" s="2" t="str" cm="1">
        <f t="array" ref="P28">_xlfn.XLOOKUP(Runge2[[#This Row],[Tecnología]]&amp;Runge2[[#This Row],[Problema]],TbNombres[Tecnología]&amp;TbNombres[Problema],TbNombres[Nombre])</f>
        <v>Advdiff1d</v>
      </c>
      <c r="Q28" s="2">
        <v>2</v>
      </c>
      <c r="R28" s="2">
        <v>2</v>
      </c>
      <c r="S28" s="2">
        <v>4</v>
      </c>
      <c r="T28" s="2">
        <v>500</v>
      </c>
      <c r="U28" s="2">
        <v>500</v>
      </c>
      <c r="V28" s="2">
        <v>21.177099999999999</v>
      </c>
      <c r="X28" s="2" t="str">
        <f>_xlfn.XLOOKUP(Runge3[[#This Row],[Metodo]],TbSolver[Metodo],TbSolver[Solver])</f>
        <v>Runge Kutta</v>
      </c>
      <c r="Y28" s="2" t="str">
        <f>_xlfn.XLOOKUP(Runge3[[#This Row],[Hebras]],TbTecnologia[Hebras],TbTecnologia[Tecnología])</f>
        <v>OMP</v>
      </c>
      <c r="Z28" s="2" t="str" cm="1">
        <f t="array" ref="Z28">_xlfn.XLOOKUP(Runge3[[#This Row],[Tecnología]]&amp;Runge3[[#This Row],[Metodo]],TbTipos[Tecnología]&amp;TbTipos[Metodo],TbTipos[Tipo])</f>
        <v>OMP Elementos</v>
      </c>
      <c r="AA28" s="2" t="str" cm="1">
        <f t="array" ref="AA28">_xlfn.XLOOKUP(Runge3[[#This Row],[Tecnología]]&amp;Runge3[[#This Row],[Problema]],TbNombres[Tecnología]&amp;TbNombres[Problema],TbNombres[Nombre])</f>
        <v>Brusselator1d</v>
      </c>
      <c r="AB28" s="2">
        <v>2</v>
      </c>
      <c r="AC28" s="2">
        <v>3</v>
      </c>
      <c r="AD28" s="2">
        <v>16</v>
      </c>
      <c r="AE28" s="2">
        <v>200</v>
      </c>
      <c r="AF28" s="2">
        <v>400</v>
      </c>
      <c r="AG28" s="2">
        <v>17.2044</v>
      </c>
      <c r="AI28" s="2" t="str">
        <f>_xlfn.XLOOKUP(Runge4[[#This Row],[Metodo]],TbSolver[Metodo],TbSolver[Solver])</f>
        <v>Runge Kutta</v>
      </c>
      <c r="AJ28" s="2" t="str">
        <f>_xlfn.XLOOKUP(Runge4[[#This Row],[Hebras]],TbTecnologia[Hebras],TbTecnologia[Tecnología])</f>
        <v>OMP</v>
      </c>
      <c r="AK2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28" s="4" t="str" cm="1">
        <f t="array" ref="AL28">_xlfn.XLOOKUP(Runge4[[#This Row],[Tecnología]]&amp;Runge4[[#This Row],[Problema]],TbNombres[Tecnología]&amp;TbNombres[Problema],TbNombres[Nombre])</f>
        <v>Brusselator2d</v>
      </c>
      <c r="AM28" s="4">
        <v>1</v>
      </c>
      <c r="AN28" s="4">
        <v>4</v>
      </c>
      <c r="AO28" s="4">
        <v>4</v>
      </c>
      <c r="AP28" s="4">
        <v>75</v>
      </c>
      <c r="AQ28" s="4">
        <v>11250</v>
      </c>
      <c r="AR28" s="4">
        <v>88.089699999999993</v>
      </c>
    </row>
    <row r="29" spans="2:44" x14ac:dyDescent="0.2">
      <c r="B29" s="1" t="str">
        <f>_xlfn.XLOOKUP(Runge1[[#This Row],[Metodo]],TbSolver[Metodo],TbSolver[Solver])</f>
        <v>Runge Kutta</v>
      </c>
      <c r="C29" s="1" t="str">
        <f>_xlfn.XLOOKUP(Runge1[[#This Row],[Hebras]],TbTecnologia[Hebras],TbTecnologia[Tecnología])</f>
        <v>CUDA</v>
      </c>
      <c r="D29" s="1" t="str" cm="1">
        <f t="array" ref="D29">_xlfn.XLOOKUP(Runge1[[#This Row],[Tecnología]]&amp;Runge1[[#This Row],[Metodo]],TbTipos[Tecnología]&amp;TbTipos[Metodo],TbTipos[Tipo])</f>
        <v>CUDA con graph</v>
      </c>
      <c r="E29" s="1" t="str" cm="1">
        <f t="array" ref="E29">_xlfn.XLOOKUP(Runge1[[#This Row],[Tecnología]]&amp;Runge1[[#This Row],[Problema]],TbNombres[Tecnología]&amp;TbNombres[Problema],TbNombres[Nombre])</f>
        <v>Simple Advdiff</v>
      </c>
      <c r="F29" s="1">
        <v>2</v>
      </c>
      <c r="G29" s="1">
        <v>1</v>
      </c>
      <c r="H29" s="1">
        <v>256</v>
      </c>
      <c r="I29" s="1">
        <v>500</v>
      </c>
      <c r="J29" s="1">
        <v>500</v>
      </c>
      <c r="K29" s="1">
        <v>12.6839</v>
      </c>
      <c r="M29" s="2" t="str">
        <f>_xlfn.XLOOKUP(Runge2[[#This Row],[Metodo]],TbSolver[Metodo],TbSolver[Solver])</f>
        <v>Runge Kutta</v>
      </c>
      <c r="N29" s="2" t="str">
        <f>_xlfn.XLOOKUP(Runge2[[#This Row],[Hebras]],TbTecnologia[Hebras],TbTecnologia[Tecnología])</f>
        <v>CUDA</v>
      </c>
      <c r="O29" s="2" t="str" cm="1">
        <f t="array" ref="O29">_xlfn.XLOOKUP(Runge2[[#This Row],[Tecnología]]&amp;Runge2[[#This Row],[Metodo]],TbTipos[Tecnología]&amp;TbTipos[Metodo],TbTipos[Tipo])</f>
        <v>CUDA con graph</v>
      </c>
      <c r="P29" s="2" t="str" cm="1">
        <f t="array" ref="P29">_xlfn.XLOOKUP(Runge2[[#This Row],[Tecnología]]&amp;Runge2[[#This Row],[Problema]],TbNombres[Tecnología]&amp;TbNombres[Problema],TbNombres[Nombre])</f>
        <v>Advdiff1d</v>
      </c>
      <c r="Q29" s="2">
        <v>2</v>
      </c>
      <c r="R29" s="2">
        <v>3</v>
      </c>
      <c r="S29" s="2">
        <v>256</v>
      </c>
      <c r="T29" s="2">
        <v>500</v>
      </c>
      <c r="U29" s="2">
        <v>500</v>
      </c>
      <c r="V29" s="2">
        <v>28.0899</v>
      </c>
      <c r="X29" s="2" t="str">
        <f>_xlfn.XLOOKUP(Runge3[[#This Row],[Metodo]],TbSolver[Metodo],TbSolver[Solver])</f>
        <v>Runge Kutta</v>
      </c>
      <c r="Y29" s="2" t="str">
        <f>_xlfn.XLOOKUP(Runge3[[#This Row],[Hebras]],TbTecnologia[Hebras],TbTecnologia[Tecnología])</f>
        <v>CUDA</v>
      </c>
      <c r="Z29" s="2" t="str" cm="1">
        <f t="array" ref="Z29">_xlfn.XLOOKUP(Runge3[[#This Row],[Tecnología]]&amp;Runge3[[#This Row],[Metodo]],TbTipos[Tecnología]&amp;TbTipos[Metodo],TbTipos[Tipo])</f>
        <v>CUDA sin graph</v>
      </c>
      <c r="AA29" s="2" t="str" cm="1">
        <f t="array" ref="AA29">_xlfn.XLOOKUP(Runge3[[#This Row],[Tecnología]]&amp;Runge3[[#This Row],[Problema]],TbNombres[Tecnología]&amp;TbNombres[Problema],TbNombres[Nombre])</f>
        <v>Brusselator1d</v>
      </c>
      <c r="AB29" s="2">
        <v>1</v>
      </c>
      <c r="AC29" s="2">
        <v>5</v>
      </c>
      <c r="AD29" s="2">
        <v>256</v>
      </c>
      <c r="AE29" s="2">
        <v>200</v>
      </c>
      <c r="AF29" s="2">
        <v>400</v>
      </c>
      <c r="AG29" s="2">
        <v>19.164300000000001</v>
      </c>
      <c r="AI29" s="2" t="str">
        <f>_xlfn.XLOOKUP(Runge4[[#This Row],[Metodo]],TbSolver[Metodo],TbSolver[Solver])</f>
        <v>Runge Kutta</v>
      </c>
      <c r="AJ29" s="2" t="str">
        <f>_xlfn.XLOOKUP(Runge4[[#This Row],[Hebras]],TbTecnologia[Hebras],TbTecnologia[Tecnología])</f>
        <v>OMP</v>
      </c>
      <c r="AK2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29" s="4" t="str" cm="1">
        <f t="array" ref="AL29">_xlfn.XLOOKUP(Runge4[[#This Row],[Tecnología]]&amp;Runge4[[#This Row],[Problema]],TbNombres[Tecnología]&amp;TbNombres[Problema],TbNombres[Nombre])</f>
        <v>Brusselator2d</v>
      </c>
      <c r="AM29" s="4">
        <v>1</v>
      </c>
      <c r="AN29" s="4">
        <v>4</v>
      </c>
      <c r="AO29" s="4">
        <v>16</v>
      </c>
      <c r="AP29" s="4">
        <v>75</v>
      </c>
      <c r="AQ29" s="4">
        <v>11250</v>
      </c>
      <c r="AR29" s="4">
        <v>92.078500000000005</v>
      </c>
    </row>
    <row r="30" spans="2:44" x14ac:dyDescent="0.2">
      <c r="B30" s="1" t="str">
        <f>_xlfn.XLOOKUP(Runge1[[#This Row],[Metodo]],TbSolver[Metodo],TbSolver[Solver])</f>
        <v>Runge Kutta</v>
      </c>
      <c r="C30" s="1" t="str">
        <f>_xlfn.XLOOKUP(Runge1[[#This Row],[Hebras]],TbTecnologia[Hebras],TbTecnologia[Tecnología])</f>
        <v>CUDA</v>
      </c>
      <c r="D30" s="1" t="str" cm="1">
        <f t="array" ref="D30">_xlfn.XLOOKUP(Runge1[[#This Row],[Tecnología]]&amp;Runge1[[#This Row],[Metodo]],TbTipos[Tecnología]&amp;TbTipos[Metodo],TbTipos[Tipo])</f>
        <v>CUDA con graph</v>
      </c>
      <c r="E30" s="1" t="str" cm="1">
        <f t="array" ref="E30">_xlfn.XLOOKUP(Runge1[[#This Row],[Tecnología]]&amp;Runge1[[#This Row],[Problema]],TbNombres[Tecnología]&amp;TbNombres[Problema],TbNombres[Nombre])</f>
        <v>Simple Advdiff shuffle</v>
      </c>
      <c r="F30" s="1">
        <v>2</v>
      </c>
      <c r="G30" s="1">
        <v>2</v>
      </c>
      <c r="H30" s="1">
        <v>256</v>
      </c>
      <c r="I30" s="1">
        <v>500</v>
      </c>
      <c r="J30" s="1">
        <v>500</v>
      </c>
      <c r="K30" s="1">
        <v>12.726599999999999</v>
      </c>
      <c r="M30" s="2" t="str">
        <f>_xlfn.XLOOKUP(Runge2[[#This Row],[Metodo]],TbSolver[Metodo],TbSolver[Solver])</f>
        <v>Runge Kutta</v>
      </c>
      <c r="N30" s="2" t="str">
        <f>_xlfn.XLOOKUP(Runge2[[#This Row],[Hebras]],TbTecnologia[Hebras],TbTecnologia[Tecnología])</f>
        <v>CUDA</v>
      </c>
      <c r="O30" s="2" t="str" cm="1">
        <f t="array" ref="O30">_xlfn.XLOOKUP(Runge2[[#This Row],[Tecnología]]&amp;Runge2[[#This Row],[Metodo]],TbTipos[Tecnología]&amp;TbTipos[Metodo],TbTipos[Tipo])</f>
        <v>CUDA con graph</v>
      </c>
      <c r="P30" s="2" t="str" cm="1">
        <f t="array" ref="P30">_xlfn.XLOOKUP(Runge2[[#This Row],[Tecnología]]&amp;Runge2[[#This Row],[Problema]],TbNombres[Tecnología]&amp;TbNombres[Problema],TbNombres[Nombre])</f>
        <v>Advdiff1d shuffle</v>
      </c>
      <c r="Q30" s="2">
        <v>2</v>
      </c>
      <c r="R30" s="2">
        <v>4</v>
      </c>
      <c r="S30" s="2">
        <v>256</v>
      </c>
      <c r="T30" s="2">
        <v>500</v>
      </c>
      <c r="U30" s="2">
        <v>500</v>
      </c>
      <c r="V30" s="2">
        <v>28.9773</v>
      </c>
      <c r="X30" s="2" t="str">
        <f>_xlfn.XLOOKUP(Runge3[[#This Row],[Metodo]],TbSolver[Metodo],TbSolver[Solver])</f>
        <v>Runge Kutta</v>
      </c>
      <c r="Y30" s="2" t="str">
        <f>_xlfn.XLOOKUP(Runge3[[#This Row],[Hebras]],TbTecnologia[Hebras],TbTecnologia[Tecnología])</f>
        <v>CUDA</v>
      </c>
      <c r="Z30" s="2" t="str" cm="1">
        <f t="array" ref="Z30">_xlfn.XLOOKUP(Runge3[[#This Row],[Tecnología]]&amp;Runge3[[#This Row],[Metodo]],TbTipos[Tecnología]&amp;TbTipos[Metodo],TbTipos[Tipo])</f>
        <v>CUDA sin graph</v>
      </c>
      <c r="AA30" s="2" t="str" cm="1">
        <f t="array" ref="AA30">_xlfn.XLOOKUP(Runge3[[#This Row],[Tecnología]]&amp;Runge3[[#This Row],[Problema]],TbNombres[Tecnología]&amp;TbNombres[Problema],TbNombres[Nombre])</f>
        <v>Brusselator1d grid</v>
      </c>
      <c r="AB30" s="2">
        <v>1</v>
      </c>
      <c r="AC30" s="2">
        <v>7</v>
      </c>
      <c r="AD30" s="2">
        <v>256</v>
      </c>
      <c r="AE30" s="2">
        <v>200</v>
      </c>
      <c r="AF30" s="2">
        <v>400</v>
      </c>
      <c r="AG30" s="2">
        <v>19.444700000000001</v>
      </c>
      <c r="AI30" s="2" t="str">
        <f>_xlfn.XLOOKUP(Runge4[[#This Row],[Metodo]],TbSolver[Metodo],TbSolver[Solver])</f>
        <v>Runge Kutta</v>
      </c>
      <c r="AJ30" s="2" t="str">
        <f>_xlfn.XLOOKUP(Runge4[[#This Row],[Hebras]],TbTecnologia[Hebras],TbTecnologia[Tecnología])</f>
        <v>OMP</v>
      </c>
      <c r="AK3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30" s="4" t="str" cm="1">
        <f t="array" ref="AL30">_xlfn.XLOOKUP(Runge4[[#This Row],[Tecnología]]&amp;Runge4[[#This Row],[Problema]],TbNombres[Tecnología]&amp;TbNombres[Problema],TbNombres[Nombre])</f>
        <v>Brusselator2d</v>
      </c>
      <c r="AM30" s="4">
        <v>2</v>
      </c>
      <c r="AN30" s="4">
        <v>4</v>
      </c>
      <c r="AO30" s="4">
        <v>4</v>
      </c>
      <c r="AP30" s="4">
        <v>75</v>
      </c>
      <c r="AQ30" s="4">
        <v>11250</v>
      </c>
      <c r="AR30" s="4">
        <v>165.86699999999999</v>
      </c>
    </row>
    <row r="31" spans="2:44" x14ac:dyDescent="0.2">
      <c r="B31" s="1" t="str">
        <f>_xlfn.XLOOKUP(Runge1[[#This Row],[Metodo]],TbSolver[Metodo],TbSolver[Solver])</f>
        <v>Runge Kutta</v>
      </c>
      <c r="C31" s="1" t="str">
        <f>_xlfn.XLOOKUP(Runge1[[#This Row],[Hebras]],TbTecnologia[Hebras],TbTecnologia[Tecnología])</f>
        <v>OMP</v>
      </c>
      <c r="D31" s="1" t="str" cm="1">
        <f t="array" ref="D31">_xlfn.XLOOKUP(Runge1[[#This Row],[Tecnología]]&amp;Runge1[[#This Row],[Metodo]],TbTipos[Tecnología]&amp;TbTipos[Metodo],TbTipos[Tipo])</f>
        <v>OMP Elementos</v>
      </c>
      <c r="E31" s="1" t="str" cm="1">
        <f t="array" ref="E31">_xlfn.XLOOKUP(Runge1[[#This Row],[Tecnología]]&amp;Runge1[[#This Row],[Problema]],TbNombres[Tecnología]&amp;TbNombres[Problema],TbNombres[Nombre])</f>
        <v>Simple Advdiff</v>
      </c>
      <c r="F31" s="1">
        <v>2</v>
      </c>
      <c r="G31" s="1">
        <v>1</v>
      </c>
      <c r="H31" s="1">
        <v>1</v>
      </c>
      <c r="I31" s="1">
        <v>500</v>
      </c>
      <c r="J31" s="1">
        <v>500</v>
      </c>
      <c r="K31" s="1">
        <v>15.7828</v>
      </c>
      <c r="M31" s="2" t="str">
        <f>_xlfn.XLOOKUP(Runge2[[#This Row],[Metodo]],TbSolver[Metodo],TbSolver[Solver])</f>
        <v>Runge Kutta</v>
      </c>
      <c r="N31" s="2" t="str">
        <f>_xlfn.XLOOKUP(Runge2[[#This Row],[Hebras]],TbTecnologia[Hebras],TbTecnologia[Tecnología])</f>
        <v>CUDA</v>
      </c>
      <c r="O31" s="2" t="str" cm="1">
        <f t="array" ref="O31">_xlfn.XLOOKUP(Runge2[[#This Row],[Tecnología]]&amp;Runge2[[#This Row],[Metodo]],TbTipos[Tecnología]&amp;TbTipos[Metodo],TbTipos[Tipo])</f>
        <v>CUDA sin graph</v>
      </c>
      <c r="P31" s="2" t="str" cm="1">
        <f t="array" ref="P31">_xlfn.XLOOKUP(Runge2[[#This Row],[Tecnología]]&amp;Runge2[[#This Row],[Problema]],TbNombres[Tecnología]&amp;TbNombres[Problema],TbNombres[Nombre])</f>
        <v>Advdiff1d</v>
      </c>
      <c r="Q31" s="2">
        <v>1</v>
      </c>
      <c r="R31" s="2">
        <v>3</v>
      </c>
      <c r="S31" s="2">
        <v>256</v>
      </c>
      <c r="T31" s="2">
        <v>500</v>
      </c>
      <c r="U31" s="2">
        <v>500</v>
      </c>
      <c r="V31" s="2">
        <v>31.041499999999999</v>
      </c>
      <c r="X31" s="2" t="str">
        <f>_xlfn.XLOOKUP(Runge3[[#This Row],[Metodo]],TbSolver[Metodo],TbSolver[Solver])</f>
        <v>Runge Kutta</v>
      </c>
      <c r="Y31" s="2" t="str">
        <f>_xlfn.XLOOKUP(Runge3[[#This Row],[Hebras]],TbTecnologia[Hebras],TbTecnologia[Tecnología])</f>
        <v>OMP</v>
      </c>
      <c r="Z31" s="2" t="str" cm="1">
        <f t="array" ref="Z31">_xlfn.XLOOKUP(Runge3[[#This Row],[Tecnología]]&amp;Runge3[[#This Row],[Metodo]],TbTipos[Tecnología]&amp;TbTipos[Metodo],TbTipos[Tipo])</f>
        <v>OMP Operaciones</v>
      </c>
      <c r="AA31" s="2" t="str" cm="1">
        <f t="array" ref="AA31">_xlfn.XLOOKUP(Runge3[[#This Row],[Tecnología]]&amp;Runge3[[#This Row],[Problema]],TbNombres[Tecnología]&amp;TbNombres[Problema],TbNombres[Nombre])</f>
        <v>Brusselator1d</v>
      </c>
      <c r="AB31" s="2">
        <v>1</v>
      </c>
      <c r="AC31" s="2">
        <v>3</v>
      </c>
      <c r="AD31" s="2">
        <v>4</v>
      </c>
      <c r="AE31" s="2">
        <v>200</v>
      </c>
      <c r="AF31" s="2">
        <v>400</v>
      </c>
      <c r="AG31" s="2">
        <v>36.188600000000001</v>
      </c>
      <c r="AI31" s="2" t="str">
        <f>_xlfn.XLOOKUP(Runge4[[#This Row],[Metodo]],TbSolver[Metodo],TbSolver[Solver])</f>
        <v>Runge Kutta</v>
      </c>
      <c r="AJ31" s="2" t="str">
        <f>_xlfn.XLOOKUP(Runge4[[#This Row],[Hebras]],TbTecnologia[Hebras],TbTecnologia[Tecnología])</f>
        <v>OMP</v>
      </c>
      <c r="AK3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31" s="4" t="str" cm="1">
        <f t="array" ref="AL31">_xlfn.XLOOKUP(Runge4[[#This Row],[Tecnología]]&amp;Runge4[[#This Row],[Problema]],TbNombres[Tecnología]&amp;TbNombres[Problema],TbNombres[Nombre])</f>
        <v>Brusselator2d</v>
      </c>
      <c r="AM31" s="4">
        <v>1</v>
      </c>
      <c r="AN31" s="4">
        <v>4</v>
      </c>
      <c r="AO31" s="4">
        <v>1</v>
      </c>
      <c r="AP31" s="4">
        <v>75</v>
      </c>
      <c r="AQ31" s="4">
        <v>11250</v>
      </c>
      <c r="AR31" s="4">
        <v>231.25899999999999</v>
      </c>
    </row>
    <row r="32" spans="2:44" x14ac:dyDescent="0.2">
      <c r="B32" s="1" t="str">
        <f>_xlfn.XLOOKUP(Runge1[[#This Row],[Metodo]],TbSolver[Metodo],TbSolver[Solver])</f>
        <v>Runge Kutta</v>
      </c>
      <c r="C32" s="1" t="str">
        <f>_xlfn.XLOOKUP(Runge1[[#This Row],[Hebras]],TbTecnologia[Hebras],TbTecnologia[Tecnología])</f>
        <v>CUDA</v>
      </c>
      <c r="D32" s="1" t="str" cm="1">
        <f t="array" ref="D32">_xlfn.XLOOKUP(Runge1[[#This Row],[Tecnología]]&amp;Runge1[[#This Row],[Metodo]],TbTipos[Tecnología]&amp;TbTipos[Metodo],TbTipos[Tipo])</f>
        <v>CUDA sin graph</v>
      </c>
      <c r="E32" s="1" t="str" cm="1">
        <f t="array" ref="E32">_xlfn.XLOOKUP(Runge1[[#This Row],[Tecnología]]&amp;Runge1[[#This Row],[Problema]],TbNombres[Tecnología]&amp;TbNombres[Problema],TbNombres[Nombre])</f>
        <v>Simple Advdiff</v>
      </c>
      <c r="F32" s="1">
        <v>1</v>
      </c>
      <c r="G32" s="1">
        <v>1</v>
      </c>
      <c r="H32" s="1">
        <v>256</v>
      </c>
      <c r="I32" s="1">
        <v>500</v>
      </c>
      <c r="J32" s="1">
        <v>500</v>
      </c>
      <c r="K32" s="1">
        <v>16.130500000000001</v>
      </c>
      <c r="M32" s="2" t="str">
        <f>_xlfn.XLOOKUP(Runge2[[#This Row],[Metodo]],TbSolver[Metodo],TbSolver[Solver])</f>
        <v>Runge Kutta</v>
      </c>
      <c r="N32" s="2" t="str">
        <f>_xlfn.XLOOKUP(Runge2[[#This Row],[Hebras]],TbTecnologia[Hebras],TbTecnologia[Tecnología])</f>
        <v>CUDA</v>
      </c>
      <c r="O32" s="2" t="str" cm="1">
        <f t="array" ref="O32">_xlfn.XLOOKUP(Runge2[[#This Row],[Tecnología]]&amp;Runge2[[#This Row],[Metodo]],TbTipos[Tecnología]&amp;TbTipos[Metodo],TbTipos[Tipo])</f>
        <v>CUDA sin graph</v>
      </c>
      <c r="P32" s="2" t="str" cm="1">
        <f t="array" ref="P32">_xlfn.XLOOKUP(Runge2[[#This Row],[Tecnología]]&amp;Runge2[[#This Row],[Problema]],TbNombres[Tecnología]&amp;TbNombres[Problema],TbNombres[Nombre])</f>
        <v>Advdiff1d shuffle</v>
      </c>
      <c r="Q32" s="2">
        <v>1</v>
      </c>
      <c r="R32" s="2">
        <v>4</v>
      </c>
      <c r="S32" s="2">
        <v>256</v>
      </c>
      <c r="T32" s="2">
        <v>500</v>
      </c>
      <c r="U32" s="2">
        <v>500</v>
      </c>
      <c r="V32" s="2">
        <v>32.172199999999997</v>
      </c>
      <c r="X32" s="2" t="str">
        <f>_xlfn.XLOOKUP(Runge3[[#This Row],[Metodo]],TbSolver[Metodo],TbSolver[Solver])</f>
        <v>Runge Kutta</v>
      </c>
      <c r="Y32" s="2" t="str">
        <f>_xlfn.XLOOKUP(Runge3[[#This Row],[Hebras]],TbTecnologia[Hebras],TbTecnologia[Tecnología])</f>
        <v>OMP</v>
      </c>
      <c r="Z32" s="2" t="str" cm="1">
        <f t="array" ref="Z32">_xlfn.XLOOKUP(Runge3[[#This Row],[Tecnología]]&amp;Runge3[[#This Row],[Metodo]],TbTipos[Tecnología]&amp;TbTipos[Metodo],TbTipos[Tipo])</f>
        <v>OMP Operaciones</v>
      </c>
      <c r="AA32" s="2" t="str" cm="1">
        <f t="array" ref="AA32">_xlfn.XLOOKUP(Runge3[[#This Row],[Tecnología]]&amp;Runge3[[#This Row],[Problema]],TbNombres[Tecnología]&amp;TbNombres[Problema],TbNombres[Nombre])</f>
        <v>Brusselator1d</v>
      </c>
      <c r="AB32" s="2">
        <v>1</v>
      </c>
      <c r="AC32" s="2">
        <v>3</v>
      </c>
      <c r="AD32" s="2">
        <v>16</v>
      </c>
      <c r="AE32" s="2">
        <v>200</v>
      </c>
      <c r="AF32" s="2">
        <v>400</v>
      </c>
      <c r="AG32" s="2">
        <v>89.827600000000004</v>
      </c>
      <c r="AI32" s="2" t="str">
        <f>_xlfn.XLOOKUP(Runge4[[#This Row],[Metodo]],TbSolver[Metodo],TbSolver[Solver])</f>
        <v>Runge Kutta</v>
      </c>
      <c r="AJ32" s="2" t="str">
        <f>_xlfn.XLOOKUP(Runge4[[#This Row],[Hebras]],TbTecnologia[Hebras],TbTecnologia[Tecnología])</f>
        <v>OMP</v>
      </c>
      <c r="AK3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32" s="4" t="str" cm="1">
        <f t="array" ref="AL32">_xlfn.XLOOKUP(Runge4[[#This Row],[Tecnología]]&amp;Runge4[[#This Row],[Problema]],TbNombres[Tecnología]&amp;TbNombres[Problema],TbNombres[Nombre])</f>
        <v>Brusselator2d</v>
      </c>
      <c r="AM32" s="4">
        <v>2</v>
      </c>
      <c r="AN32" s="4">
        <v>4</v>
      </c>
      <c r="AO32" s="4">
        <v>1</v>
      </c>
      <c r="AP32" s="4">
        <v>75</v>
      </c>
      <c r="AQ32" s="4">
        <v>11250</v>
      </c>
      <c r="AR32" s="4">
        <v>601.79600000000005</v>
      </c>
    </row>
    <row r="33" spans="2:44" x14ac:dyDescent="0.2">
      <c r="B33" s="1" t="str">
        <f>_xlfn.XLOOKUP(Runge1[[#This Row],[Metodo]],TbSolver[Metodo],TbSolver[Solver])</f>
        <v>Runge Kutta</v>
      </c>
      <c r="C33" s="1" t="str">
        <f>_xlfn.XLOOKUP(Runge1[[#This Row],[Hebras]],TbTecnologia[Hebras],TbTecnologia[Tecnología])</f>
        <v>CUDA</v>
      </c>
      <c r="D33" s="1" t="str" cm="1">
        <f t="array" ref="D33">_xlfn.XLOOKUP(Runge1[[#This Row],[Tecnología]]&amp;Runge1[[#This Row],[Metodo]],TbTipos[Tecnología]&amp;TbTipos[Metodo],TbTipos[Tipo])</f>
        <v>CUDA sin graph</v>
      </c>
      <c r="E33" s="1" t="str" cm="1">
        <f t="array" ref="E33">_xlfn.XLOOKUP(Runge1[[#This Row],[Tecnología]]&amp;Runge1[[#This Row],[Problema]],TbNombres[Tecnología]&amp;TbNombres[Problema],TbNombres[Nombre])</f>
        <v>Simple Advdiff shuffle</v>
      </c>
      <c r="F33" s="1">
        <v>1</v>
      </c>
      <c r="G33" s="1">
        <v>2</v>
      </c>
      <c r="H33" s="1">
        <v>256</v>
      </c>
      <c r="I33" s="1">
        <v>500</v>
      </c>
      <c r="J33" s="1">
        <v>500</v>
      </c>
      <c r="K33" s="1">
        <v>16.178000000000001</v>
      </c>
      <c r="M33" s="2" t="str">
        <f>_xlfn.XLOOKUP(Runge2[[#This Row],[Metodo]],TbSolver[Metodo],TbSolver[Solver])</f>
        <v>Runge Kutta</v>
      </c>
      <c r="N33" s="2" t="str">
        <f>_xlfn.XLOOKUP(Runge2[[#This Row],[Hebras]],TbTecnologia[Hebras],TbTecnologia[Tecnología])</f>
        <v>OMP</v>
      </c>
      <c r="O33" s="2" t="str" cm="1">
        <f t="array" ref="O33">_xlfn.XLOOKUP(Runge2[[#This Row],[Tecnología]]&amp;Runge2[[#This Row],[Metodo]],TbTipos[Tecnología]&amp;TbTipos[Metodo],TbTipos[Tipo])</f>
        <v>OMP Operaciones</v>
      </c>
      <c r="P33" s="2" t="str" cm="1">
        <f t="array" ref="P33">_xlfn.XLOOKUP(Runge2[[#This Row],[Tecnología]]&amp;Runge2[[#This Row],[Problema]],TbNombres[Tecnología]&amp;TbNombres[Problema],TbNombres[Nombre])</f>
        <v>Advdiff1d</v>
      </c>
      <c r="Q33" s="2">
        <v>1</v>
      </c>
      <c r="R33" s="2">
        <v>2</v>
      </c>
      <c r="S33" s="2">
        <v>4</v>
      </c>
      <c r="T33" s="2">
        <v>500</v>
      </c>
      <c r="U33" s="2">
        <v>500</v>
      </c>
      <c r="V33" s="2">
        <v>46.340800000000002</v>
      </c>
      <c r="X33" s="4" t="str">
        <f>_xlfn.XLOOKUP(Runge3[[#This Row],[Metodo]],TbSolver[Metodo],TbSolver[Solver])</f>
        <v>Runge Kutta</v>
      </c>
      <c r="Y33" s="4" t="str">
        <f>_xlfn.XLOOKUP(Runge3[[#This Row],[Hebras]],TbTecnologia[Hebras],TbTecnologia[Tecnología])</f>
        <v>CUDA</v>
      </c>
      <c r="Z33" s="4" t="str" cm="1">
        <f t="array" ref="Z33">_xlfn.XLOOKUP(Runge3[[#This Row],[Tecnología]]&amp;Runge3[[#This Row],[Metodo]],TbTipos[Tecnología]&amp;TbTipos[Metodo],TbTipos[Tipo])</f>
        <v>CUDA con graph</v>
      </c>
      <c r="AA33" s="4" t="str" cm="1">
        <f t="array" ref="AA33">_xlfn.XLOOKUP(Runge3[[#This Row],[Tecnología]]&amp;Runge3[[#This Row],[Problema]],TbNombres[Tecnología]&amp;TbNombres[Problema],TbNombres[Nombre])</f>
        <v>Brusselator1d grid</v>
      </c>
      <c r="AB33" s="4">
        <v>2</v>
      </c>
      <c r="AC33" s="4">
        <v>7</v>
      </c>
      <c r="AD33" s="4">
        <v>256</v>
      </c>
      <c r="AE33" s="4">
        <v>250</v>
      </c>
      <c r="AF33" s="4">
        <v>500</v>
      </c>
      <c r="AG33" s="4">
        <v>13.885</v>
      </c>
      <c r="AI33" s="2" t="str">
        <f>_xlfn.XLOOKUP(Runge4[[#This Row],[Metodo]],TbSolver[Metodo],TbSolver[Solver])</f>
        <v>Runge Kutta</v>
      </c>
      <c r="AJ33" s="2" t="str">
        <f>_xlfn.XLOOKUP(Runge4[[#This Row],[Hebras]],TbTecnologia[Hebras],TbTecnologia[Tecnología])</f>
        <v>CUDA</v>
      </c>
      <c r="AK33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33" s="2" t="str" cm="1">
        <f t="array" ref="AL33">_xlfn.XLOOKUP(Runge4[[#This Row],[Tecnología]]&amp;Runge4[[#This Row],[Problema]],TbNombres[Tecnología]&amp;TbNombres[Problema],TbNombres[Nombre])</f>
        <v>Brusselator2d shuffle</v>
      </c>
      <c r="AM33" s="2">
        <v>2</v>
      </c>
      <c r="AN33" s="2">
        <v>9</v>
      </c>
      <c r="AO33" s="2">
        <v>256</v>
      </c>
      <c r="AP33" s="2">
        <v>100</v>
      </c>
      <c r="AQ33" s="2">
        <v>20000</v>
      </c>
      <c r="AR33" s="2">
        <v>24.692</v>
      </c>
    </row>
    <row r="34" spans="2:44" x14ac:dyDescent="0.2">
      <c r="B34" s="1" t="str">
        <f>_xlfn.XLOOKUP(Runge1[[#This Row],[Metodo]],TbSolver[Metodo],TbSolver[Solver])</f>
        <v>Runge Kutta</v>
      </c>
      <c r="C34" s="1" t="str">
        <f>_xlfn.XLOOKUP(Runge1[[#This Row],[Hebras]],TbTecnologia[Hebras],TbTecnologia[Tecnología])</f>
        <v>OMP</v>
      </c>
      <c r="D34" s="1" t="str" cm="1">
        <f t="array" ref="D34">_xlfn.XLOOKUP(Runge1[[#This Row],[Tecnología]]&amp;Runge1[[#This Row],[Metodo]],TbTipos[Tecnología]&amp;TbTipos[Metodo],TbTipos[Tipo])</f>
        <v>OMP Elementos</v>
      </c>
      <c r="E34" s="1" t="str" cm="1">
        <f t="array" ref="E34">_xlfn.XLOOKUP(Runge1[[#This Row],[Tecnología]]&amp;Runge1[[#This Row],[Problema]],TbNombres[Tecnología]&amp;TbNombres[Problema],TbNombres[Nombre])</f>
        <v>Simple Advdiff</v>
      </c>
      <c r="F34" s="1">
        <v>2</v>
      </c>
      <c r="G34" s="1">
        <v>1</v>
      </c>
      <c r="H34" s="1">
        <v>16</v>
      </c>
      <c r="I34" s="1">
        <v>500</v>
      </c>
      <c r="J34" s="1">
        <v>500</v>
      </c>
      <c r="K34" s="1">
        <v>16.979199999999999</v>
      </c>
      <c r="M34" s="2" t="str">
        <f>_xlfn.XLOOKUP(Runge2[[#This Row],[Metodo]],TbSolver[Metodo],TbSolver[Solver])</f>
        <v>Runge Kutta</v>
      </c>
      <c r="N34" s="2" t="str">
        <f>_xlfn.XLOOKUP(Runge2[[#This Row],[Hebras]],TbTecnologia[Hebras],TbTecnologia[Tecnología])</f>
        <v>OMP</v>
      </c>
      <c r="O34" s="2" t="str" cm="1">
        <f t="array" ref="O34">_xlfn.XLOOKUP(Runge2[[#This Row],[Tecnología]]&amp;Runge2[[#This Row],[Metodo]],TbTipos[Tecnología]&amp;TbTipos[Metodo],TbTipos[Tipo])</f>
        <v>OMP Operaciones</v>
      </c>
      <c r="P34" s="2" t="str" cm="1">
        <f t="array" ref="P34">_xlfn.XLOOKUP(Runge2[[#This Row],[Tecnología]]&amp;Runge2[[#This Row],[Problema]],TbNombres[Tecnología]&amp;TbNombres[Problema],TbNombres[Nombre])</f>
        <v>Advdiff1d</v>
      </c>
      <c r="Q34" s="2">
        <v>1</v>
      </c>
      <c r="R34" s="2">
        <v>2</v>
      </c>
      <c r="S34" s="2">
        <v>1</v>
      </c>
      <c r="T34" s="2">
        <v>500</v>
      </c>
      <c r="U34" s="2">
        <v>500</v>
      </c>
      <c r="V34" s="2">
        <v>47.666899999999998</v>
      </c>
      <c r="X34" s="2" t="str">
        <f>_xlfn.XLOOKUP(Runge3[[#This Row],[Metodo]],TbSolver[Metodo],TbSolver[Solver])</f>
        <v>Runge Kutta</v>
      </c>
      <c r="Y34" s="2" t="str">
        <f>_xlfn.XLOOKUP(Runge3[[#This Row],[Hebras]],TbTecnologia[Hebras],TbTecnologia[Tecnología])</f>
        <v>CUDA</v>
      </c>
      <c r="Z34" s="2" t="str" cm="1">
        <f t="array" ref="Z34">_xlfn.XLOOKUP(Runge3[[#This Row],[Tecnología]]&amp;Runge3[[#This Row],[Metodo]],TbTipos[Tecnología]&amp;TbTipos[Metodo],TbTipos[Tipo])</f>
        <v>CUDA sin graph</v>
      </c>
      <c r="AA34" s="2" t="str" cm="1">
        <f t="array" ref="AA34">_xlfn.XLOOKUP(Runge3[[#This Row],[Tecnología]]&amp;Runge3[[#This Row],[Problema]],TbNombres[Tecnología]&amp;TbNombres[Problema],TbNombres[Nombre])</f>
        <v>Brusselator1d grid</v>
      </c>
      <c r="AB34" s="2">
        <v>1</v>
      </c>
      <c r="AC34" s="2">
        <v>7</v>
      </c>
      <c r="AD34" s="2">
        <v>256</v>
      </c>
      <c r="AE34" s="2">
        <v>250</v>
      </c>
      <c r="AF34" s="2">
        <v>500</v>
      </c>
      <c r="AG34" s="2">
        <v>17.446200000000001</v>
      </c>
      <c r="AI34" s="2" t="str">
        <f>_xlfn.XLOOKUP(Runge4[[#This Row],[Metodo]],TbSolver[Metodo],TbSolver[Solver])</f>
        <v>Runge Kutta</v>
      </c>
      <c r="AJ34" s="2" t="str">
        <f>_xlfn.XLOOKUP(Runge4[[#This Row],[Hebras]],TbTecnologia[Hebras],TbTecnologia[Tecnología])</f>
        <v>CUDA</v>
      </c>
      <c r="AK34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34" s="2" t="str" cm="1">
        <f t="array" ref="AL34">_xlfn.XLOOKUP(Runge4[[#This Row],[Tecnología]]&amp;Runge4[[#This Row],[Problema]],TbNombres[Tecnología]&amp;TbNombres[Problema],TbNombres[Nombre])</f>
        <v>Brusselator2d</v>
      </c>
      <c r="AM34" s="2">
        <v>2</v>
      </c>
      <c r="AN34" s="2">
        <v>8</v>
      </c>
      <c r="AO34" s="2">
        <v>256</v>
      </c>
      <c r="AP34" s="2">
        <v>100</v>
      </c>
      <c r="AQ34" s="2">
        <v>20000</v>
      </c>
      <c r="AR34" s="2">
        <v>24.826599999999999</v>
      </c>
    </row>
    <row r="35" spans="2:44" x14ac:dyDescent="0.2">
      <c r="B35" s="1" t="str">
        <f>_xlfn.XLOOKUP(Runge1[[#This Row],[Metodo]],TbSolver[Metodo],TbSolver[Solver])</f>
        <v>Runge Kutta</v>
      </c>
      <c r="C35" s="1" t="str">
        <f>_xlfn.XLOOKUP(Runge1[[#This Row],[Hebras]],TbTecnologia[Hebras],TbTecnologia[Tecnología])</f>
        <v>OMP</v>
      </c>
      <c r="D35" s="1" t="str" cm="1">
        <f t="array" ref="D35">_xlfn.XLOOKUP(Runge1[[#This Row],[Tecnología]]&amp;Runge1[[#This Row],[Metodo]],TbTipos[Tecnología]&amp;TbTipos[Metodo],TbTipos[Tipo])</f>
        <v>OMP Operaciones</v>
      </c>
      <c r="E35" s="1" t="str" cm="1">
        <f t="array" ref="E35">_xlfn.XLOOKUP(Runge1[[#This Row],[Tecnología]]&amp;Runge1[[#This Row],[Problema]],TbNombres[Tecnología]&amp;TbNombres[Problema],TbNombres[Nombre])</f>
        <v>Simple Advdiff</v>
      </c>
      <c r="F35" s="1">
        <v>1</v>
      </c>
      <c r="G35" s="1">
        <v>1</v>
      </c>
      <c r="H35" s="1">
        <v>4</v>
      </c>
      <c r="I35" s="1">
        <v>500</v>
      </c>
      <c r="J35" s="1">
        <v>500</v>
      </c>
      <c r="K35" s="1">
        <v>24.8307</v>
      </c>
      <c r="M35" s="2" t="str">
        <f>_xlfn.XLOOKUP(Runge2[[#This Row],[Metodo]],TbSolver[Metodo],TbSolver[Solver])</f>
        <v>Runge Kutta</v>
      </c>
      <c r="N35" s="2" t="str">
        <f>_xlfn.XLOOKUP(Runge2[[#This Row],[Hebras]],TbTecnologia[Hebras],TbTecnologia[Tecnología])</f>
        <v>OMP</v>
      </c>
      <c r="O35" s="2" t="str" cm="1">
        <f t="array" ref="O35">_xlfn.XLOOKUP(Runge2[[#This Row],[Tecnología]]&amp;Runge2[[#This Row],[Metodo]],TbTipos[Tecnología]&amp;TbTipos[Metodo],TbTipos[Tipo])</f>
        <v>OMP Elementos</v>
      </c>
      <c r="P35" s="2" t="str" cm="1">
        <f t="array" ref="P35">_xlfn.XLOOKUP(Runge2[[#This Row],[Tecnología]]&amp;Runge2[[#This Row],[Problema]],TbNombres[Tecnología]&amp;TbNombres[Problema],TbNombres[Nombre])</f>
        <v>Advdiff1d</v>
      </c>
      <c r="Q35" s="2">
        <v>2</v>
      </c>
      <c r="R35" s="2">
        <v>2</v>
      </c>
      <c r="S35" s="2">
        <v>1</v>
      </c>
      <c r="T35" s="2">
        <v>500</v>
      </c>
      <c r="U35" s="2">
        <v>500</v>
      </c>
      <c r="V35" s="2">
        <v>59.217599999999997</v>
      </c>
      <c r="X35" s="4" t="str">
        <f>_xlfn.XLOOKUP(Runge3[[#This Row],[Metodo]],TbSolver[Metodo],TbSolver[Solver])</f>
        <v>Runge Kutta</v>
      </c>
      <c r="Y35" s="4" t="str">
        <f>_xlfn.XLOOKUP(Runge3[[#This Row],[Hebras]],TbTecnologia[Hebras],TbTecnologia[Tecnología])</f>
        <v>CUDA</v>
      </c>
      <c r="Z35" s="4" t="str" cm="1">
        <f t="array" ref="Z35">_xlfn.XLOOKUP(Runge3[[#This Row],[Tecnología]]&amp;Runge3[[#This Row],[Metodo]],TbTipos[Tecnología]&amp;TbTipos[Metodo],TbTipos[Tipo])</f>
        <v>CUDA con graph</v>
      </c>
      <c r="AA35" s="4" t="str" cm="1">
        <f t="array" ref="AA35">_xlfn.XLOOKUP(Runge3[[#This Row],[Tecnología]]&amp;Runge3[[#This Row],[Problema]],TbNombres[Tecnología]&amp;TbNombres[Problema],TbNombres[Nombre])</f>
        <v>Brusselator1d grid</v>
      </c>
      <c r="AB35" s="4">
        <v>2</v>
      </c>
      <c r="AC35" s="4">
        <v>7</v>
      </c>
      <c r="AD35" s="4">
        <v>256</v>
      </c>
      <c r="AE35" s="4">
        <v>300</v>
      </c>
      <c r="AF35" s="4">
        <v>600</v>
      </c>
      <c r="AG35" s="4">
        <v>13.9244</v>
      </c>
      <c r="AI35" s="2" t="str">
        <f>_xlfn.XLOOKUP(Runge4[[#This Row],[Metodo]],TbSolver[Metodo],TbSolver[Solver])</f>
        <v>Runge Kutta</v>
      </c>
      <c r="AJ35" s="2" t="str">
        <f>_xlfn.XLOOKUP(Runge4[[#This Row],[Hebras]],TbTecnologia[Hebras],TbTecnologia[Tecnología])</f>
        <v>CUDA</v>
      </c>
      <c r="AK35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35" s="2" t="str" cm="1">
        <f t="array" ref="AL35">_xlfn.XLOOKUP(Runge4[[#This Row],[Tecnología]]&amp;Runge4[[#This Row],[Problema]],TbNombres[Tecnología]&amp;TbNombres[Problema],TbNombres[Nombre])</f>
        <v>Brusselator2d</v>
      </c>
      <c r="AM35" s="2">
        <v>1</v>
      </c>
      <c r="AN35" s="2">
        <v>8</v>
      </c>
      <c r="AO35" s="2">
        <v>256</v>
      </c>
      <c r="AP35" s="2">
        <v>100</v>
      </c>
      <c r="AQ35" s="2">
        <v>20000</v>
      </c>
      <c r="AR35" s="2">
        <v>27.382100000000001</v>
      </c>
    </row>
    <row r="36" spans="2:44" x14ac:dyDescent="0.2">
      <c r="B36" s="1" t="str">
        <f>_xlfn.XLOOKUP(Runge1[[#This Row],[Metodo]],TbSolver[Metodo],TbSolver[Solver])</f>
        <v>Runge Kutta</v>
      </c>
      <c r="C36" s="1" t="str">
        <f>_xlfn.XLOOKUP(Runge1[[#This Row],[Hebras]],TbTecnologia[Hebras],TbTecnologia[Tecnología])</f>
        <v>OMP</v>
      </c>
      <c r="D36" s="1" t="str" cm="1">
        <f t="array" ref="D36">_xlfn.XLOOKUP(Runge1[[#This Row],[Tecnología]]&amp;Runge1[[#This Row],[Metodo]],TbTipos[Tecnología]&amp;TbTipos[Metodo],TbTipos[Tipo])</f>
        <v>OMP Operaciones</v>
      </c>
      <c r="E36" s="1" t="str" cm="1">
        <f t="array" ref="E36">_xlfn.XLOOKUP(Runge1[[#This Row],[Tecnología]]&amp;Runge1[[#This Row],[Problema]],TbNombres[Tecnología]&amp;TbNombres[Problema],TbNombres[Nombre])</f>
        <v>Simple Advdiff</v>
      </c>
      <c r="F36" s="1">
        <v>1</v>
      </c>
      <c r="G36" s="1">
        <v>1</v>
      </c>
      <c r="H36" s="1">
        <v>16</v>
      </c>
      <c r="I36" s="1">
        <v>500</v>
      </c>
      <c r="J36" s="1">
        <v>500</v>
      </c>
      <c r="K36" s="1">
        <v>58.3352</v>
      </c>
      <c r="M36" s="2" t="str">
        <f>_xlfn.XLOOKUP(Runge2[[#This Row],[Metodo]],TbSolver[Metodo],TbSolver[Solver])</f>
        <v>Runge Kutta</v>
      </c>
      <c r="N36" s="2" t="str">
        <f>_xlfn.XLOOKUP(Runge2[[#This Row],[Hebras]],TbTecnologia[Hebras],TbTecnologia[Tecnología])</f>
        <v>OMP</v>
      </c>
      <c r="O36" s="2" t="str" cm="1">
        <f t="array" ref="O36">_xlfn.XLOOKUP(Runge2[[#This Row],[Tecnología]]&amp;Runge2[[#This Row],[Metodo]],TbTipos[Tecnología]&amp;TbTipos[Metodo],TbTipos[Tipo])</f>
        <v>OMP Operaciones</v>
      </c>
      <c r="P36" s="2" t="str" cm="1">
        <f t="array" ref="P36">_xlfn.XLOOKUP(Runge2[[#This Row],[Tecnología]]&amp;Runge2[[#This Row],[Problema]],TbNombres[Tecnología]&amp;TbNombres[Problema],TbNombres[Nombre])</f>
        <v>Advdiff1d</v>
      </c>
      <c r="Q36" s="2">
        <v>1</v>
      </c>
      <c r="R36" s="2">
        <v>2</v>
      </c>
      <c r="S36" s="2">
        <v>16</v>
      </c>
      <c r="T36" s="2">
        <v>500</v>
      </c>
      <c r="U36" s="2">
        <v>500</v>
      </c>
      <c r="V36" s="2">
        <v>97.687299999999993</v>
      </c>
      <c r="X36" s="2" t="str">
        <f>_xlfn.XLOOKUP(Runge3[[#This Row],[Metodo]],TbSolver[Metodo],TbSolver[Solver])</f>
        <v>Runge Kutta</v>
      </c>
      <c r="Y36" s="2" t="str">
        <f>_xlfn.XLOOKUP(Runge3[[#This Row],[Hebras]],TbTecnologia[Hebras],TbTecnologia[Tecnología])</f>
        <v>CUDA</v>
      </c>
      <c r="Z36" s="2" t="str" cm="1">
        <f t="array" ref="Z36">_xlfn.XLOOKUP(Runge3[[#This Row],[Tecnología]]&amp;Runge3[[#This Row],[Metodo]],TbTipos[Tecnología]&amp;TbTipos[Metodo],TbTipos[Tipo])</f>
        <v>CUDA sin graph</v>
      </c>
      <c r="AA36" s="2" t="str" cm="1">
        <f t="array" ref="AA36">_xlfn.XLOOKUP(Runge3[[#This Row],[Tecnología]]&amp;Runge3[[#This Row],[Problema]],TbNombres[Tecnología]&amp;TbNombres[Problema],TbNombres[Nombre])</f>
        <v>Brusselator1d grid</v>
      </c>
      <c r="AB36" s="2">
        <v>1</v>
      </c>
      <c r="AC36" s="2">
        <v>7</v>
      </c>
      <c r="AD36" s="2">
        <v>256</v>
      </c>
      <c r="AE36" s="2">
        <v>300</v>
      </c>
      <c r="AF36" s="2">
        <v>600</v>
      </c>
      <c r="AG36" s="2">
        <v>17.123699999999999</v>
      </c>
      <c r="AI36" s="2" t="str">
        <f>_xlfn.XLOOKUP(Runge4[[#This Row],[Metodo]],TbSolver[Metodo],TbSolver[Solver])</f>
        <v>Runge Kutta</v>
      </c>
      <c r="AJ36" s="2" t="str">
        <f>_xlfn.XLOOKUP(Runge4[[#This Row],[Hebras]],TbTecnologia[Hebras],TbTecnologia[Tecnología])</f>
        <v>CUDA</v>
      </c>
      <c r="AK36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36" s="2" t="str" cm="1">
        <f t="array" ref="AL36">_xlfn.XLOOKUP(Runge4[[#This Row],[Tecnología]]&amp;Runge4[[#This Row],[Problema]],TbNombres[Tecnología]&amp;TbNombres[Problema],TbNombres[Nombre])</f>
        <v>Brusselator2d shuffle</v>
      </c>
      <c r="AM36" s="2">
        <v>1</v>
      </c>
      <c r="AN36" s="2">
        <v>9</v>
      </c>
      <c r="AO36" s="2">
        <v>256</v>
      </c>
      <c r="AP36" s="2">
        <v>100</v>
      </c>
      <c r="AQ36" s="2">
        <v>20000</v>
      </c>
      <c r="AR36" s="2">
        <v>27.6431</v>
      </c>
    </row>
    <row r="37" spans="2:44" x14ac:dyDescent="0.2">
      <c r="B37" s="1" t="str">
        <f>_xlfn.XLOOKUP(Runge1[[#This Row],[Metodo]],TbSolver[Metodo],TbSolver[Solver])</f>
        <v>Runge Kutta</v>
      </c>
      <c r="C37" s="1" t="str">
        <f>_xlfn.XLOOKUP(Runge1[[#This Row],[Hebras]],TbTecnologia[Hebras],TbTecnologia[Tecnología])</f>
        <v>OMP</v>
      </c>
      <c r="D37" s="1" t="str" cm="1">
        <f t="array" ref="D37">_xlfn.XLOOKUP(Runge1[[#This Row],[Tecnología]]&amp;Runge1[[#This Row],[Metodo]],TbTipos[Tecnología]&amp;TbTipos[Metodo],TbTipos[Tipo])</f>
        <v>OMP Operaciones</v>
      </c>
      <c r="E37" s="1" t="str" cm="1">
        <f t="array" ref="E37">_xlfn.XLOOKUP(Runge1[[#This Row],[Tecnología]]&amp;Runge1[[#This Row],[Problema]],TbNombres[Tecnología]&amp;TbNombres[Problema],TbNombres[Nombre])</f>
        <v>Simple Advdiff</v>
      </c>
      <c r="F37" s="1">
        <v>1</v>
      </c>
      <c r="G37" s="1">
        <v>1</v>
      </c>
      <c r="H37" s="1">
        <v>1</v>
      </c>
      <c r="I37" s="1">
        <v>1000</v>
      </c>
      <c r="J37" s="1">
        <v>1000</v>
      </c>
      <c r="K37" s="1">
        <v>7.3040399999999996</v>
      </c>
      <c r="M37" s="2" t="str">
        <f>_xlfn.XLOOKUP(Runge2[[#This Row],[Metodo]],TbSolver[Metodo],TbSolver[Solver])</f>
        <v>Runge Kutta</v>
      </c>
      <c r="N37" s="2" t="str">
        <f>_xlfn.XLOOKUP(Runge2[[#This Row],[Hebras]],TbTecnologia[Hebras],TbTecnologia[Tecnología])</f>
        <v>OMP</v>
      </c>
      <c r="O37" s="2" t="str" cm="1">
        <f t="array" ref="O37">_xlfn.XLOOKUP(Runge2[[#This Row],[Tecnología]]&amp;Runge2[[#This Row],[Metodo]],TbTipos[Tecnología]&amp;TbTipos[Metodo],TbTipos[Tipo])</f>
        <v>OMP Elementos</v>
      </c>
      <c r="P37" s="2" t="str" cm="1">
        <f t="array" ref="P37">_xlfn.XLOOKUP(Runge2[[#This Row],[Tecnología]]&amp;Runge2[[#This Row],[Problema]],TbNombres[Tecnología]&amp;TbNombres[Problema],TbNombres[Nombre])</f>
        <v>Advdiff1d</v>
      </c>
      <c r="Q37" s="2">
        <v>2</v>
      </c>
      <c r="R37" s="2">
        <v>2</v>
      </c>
      <c r="S37" s="2">
        <v>16</v>
      </c>
      <c r="T37" s="2">
        <v>1000</v>
      </c>
      <c r="U37" s="2">
        <v>1000</v>
      </c>
      <c r="V37" s="2">
        <v>21.362100000000002</v>
      </c>
      <c r="X37" s="4" t="str">
        <f>_xlfn.XLOOKUP(Runge3[[#This Row],[Metodo]],TbSolver[Metodo],TbSolver[Solver])</f>
        <v>Runge Kutta</v>
      </c>
      <c r="Y37" s="4" t="str">
        <f>_xlfn.XLOOKUP(Runge3[[#This Row],[Hebras]],TbTecnologia[Hebras],TbTecnologia[Tecnología])</f>
        <v>CUDA</v>
      </c>
      <c r="Z37" s="4" t="str" cm="1">
        <f t="array" ref="Z37">_xlfn.XLOOKUP(Runge3[[#This Row],[Tecnología]]&amp;Runge3[[#This Row],[Metodo]],TbTipos[Tecnología]&amp;TbTipos[Metodo],TbTipos[Tipo])</f>
        <v>CUDA con graph</v>
      </c>
      <c r="AA37" s="4" t="str" cm="1">
        <f t="array" ref="AA37">_xlfn.XLOOKUP(Runge3[[#This Row],[Tecnología]]&amp;Runge3[[#This Row],[Problema]],TbNombres[Tecnología]&amp;TbNombres[Problema],TbNombres[Nombre])</f>
        <v>Brusselator1d grid</v>
      </c>
      <c r="AB37" s="4">
        <v>2</v>
      </c>
      <c r="AC37" s="4">
        <v>7</v>
      </c>
      <c r="AD37" s="4">
        <v>256</v>
      </c>
      <c r="AE37" s="4">
        <v>350</v>
      </c>
      <c r="AF37" s="4">
        <v>700</v>
      </c>
      <c r="AG37" s="4">
        <v>13.954800000000001</v>
      </c>
      <c r="AI37" s="4" t="str">
        <f>_xlfn.XLOOKUP(Runge4[[#This Row],[Metodo]],TbSolver[Metodo],TbSolver[Solver])</f>
        <v>Runge Kutta</v>
      </c>
      <c r="AJ37" s="4" t="str">
        <f>_xlfn.XLOOKUP(Runge4[[#This Row],[Hebras]],TbTecnologia[Hebras],TbTecnologia[Tecnología])</f>
        <v>OMP</v>
      </c>
      <c r="AK3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37" s="4" t="str" cm="1">
        <f t="array" ref="AL37">_xlfn.XLOOKUP(Runge4[[#This Row],[Tecnología]]&amp;Runge4[[#This Row],[Problema]],TbNombres[Tecnología]&amp;TbNombres[Problema],TbNombres[Nombre])</f>
        <v>Brusselator2d</v>
      </c>
      <c r="AM37" s="4">
        <v>2</v>
      </c>
      <c r="AN37" s="4">
        <v>4</v>
      </c>
      <c r="AO37" s="4">
        <v>16</v>
      </c>
      <c r="AP37" s="4">
        <v>100</v>
      </c>
      <c r="AQ37" s="4">
        <v>20000</v>
      </c>
      <c r="AR37" s="4">
        <v>91.947000000000003</v>
      </c>
    </row>
    <row r="38" spans="2:44" x14ac:dyDescent="0.2">
      <c r="B38" s="1" t="str">
        <f>_xlfn.XLOOKUP(Runge1[[#This Row],[Metodo]],TbSolver[Metodo],TbSolver[Solver])</f>
        <v>Runge Kutta</v>
      </c>
      <c r="C38" s="1" t="str">
        <f>_xlfn.XLOOKUP(Runge1[[#This Row],[Hebras]],TbTecnologia[Hebras],TbTecnologia[Tecnología])</f>
        <v>CUDA</v>
      </c>
      <c r="D38" s="1" t="str" cm="1">
        <f t="array" ref="D38">_xlfn.XLOOKUP(Runge1[[#This Row],[Tecnología]]&amp;Runge1[[#This Row],[Metodo]],TbTipos[Tecnología]&amp;TbTipos[Metodo],TbTipos[Tipo])</f>
        <v>CUDA con graph</v>
      </c>
      <c r="E38" s="1" t="str" cm="1">
        <f t="array" ref="E38">_xlfn.XLOOKUP(Runge1[[#This Row],[Tecnología]]&amp;Runge1[[#This Row],[Problema]],TbNombres[Tecnología]&amp;TbNombres[Problema],TbNombres[Nombre])</f>
        <v>Simple Advdiff</v>
      </c>
      <c r="F38" s="1">
        <v>2</v>
      </c>
      <c r="G38" s="1">
        <v>1</v>
      </c>
      <c r="H38" s="1">
        <v>256</v>
      </c>
      <c r="I38" s="1">
        <v>1000</v>
      </c>
      <c r="J38" s="1">
        <v>1000</v>
      </c>
      <c r="K38" s="1">
        <v>12.7447</v>
      </c>
      <c r="M38" s="2" t="str">
        <f>_xlfn.XLOOKUP(Runge2[[#This Row],[Metodo]],TbSolver[Metodo],TbSolver[Solver])</f>
        <v>Runge Kutta</v>
      </c>
      <c r="N38" s="2" t="str">
        <f>_xlfn.XLOOKUP(Runge2[[#This Row],[Hebras]],TbTecnologia[Hebras],TbTecnologia[Tecnología])</f>
        <v>CUDA</v>
      </c>
      <c r="O38" s="2" t="str" cm="1">
        <f t="array" ref="O38">_xlfn.XLOOKUP(Runge2[[#This Row],[Tecnología]]&amp;Runge2[[#This Row],[Metodo]],TbTipos[Tecnología]&amp;TbTipos[Metodo],TbTipos[Tipo])</f>
        <v>CUDA con graph</v>
      </c>
      <c r="P38" s="2" t="str" cm="1">
        <f t="array" ref="P38">_xlfn.XLOOKUP(Runge2[[#This Row],[Tecnología]]&amp;Runge2[[#This Row],[Problema]],TbNombres[Tecnología]&amp;TbNombres[Problema],TbNombres[Nombre])</f>
        <v>Advdiff1d</v>
      </c>
      <c r="Q38" s="2">
        <v>2</v>
      </c>
      <c r="R38" s="2">
        <v>3</v>
      </c>
      <c r="S38" s="2">
        <v>256</v>
      </c>
      <c r="T38" s="2">
        <v>1000</v>
      </c>
      <c r="U38" s="2">
        <v>1000</v>
      </c>
      <c r="V38" s="2">
        <v>28.155000000000001</v>
      </c>
      <c r="X38" s="2" t="str">
        <f>_xlfn.XLOOKUP(Runge3[[#This Row],[Metodo]],TbSolver[Metodo],TbSolver[Solver])</f>
        <v>Runge Kutta</v>
      </c>
      <c r="Y38" s="2" t="str">
        <f>_xlfn.XLOOKUP(Runge3[[#This Row],[Hebras]],TbTecnologia[Hebras],TbTecnologia[Tecnología])</f>
        <v>CUDA</v>
      </c>
      <c r="Z38" s="2" t="str" cm="1">
        <f t="array" ref="Z38">_xlfn.XLOOKUP(Runge3[[#This Row],[Tecnología]]&amp;Runge3[[#This Row],[Metodo]],TbTipos[Tecnología]&amp;TbTipos[Metodo],TbTipos[Tipo])</f>
        <v>CUDA sin graph</v>
      </c>
      <c r="AA38" s="2" t="str" cm="1">
        <f t="array" ref="AA38">_xlfn.XLOOKUP(Runge3[[#This Row],[Tecnología]]&amp;Runge3[[#This Row],[Problema]],TbNombres[Tecnología]&amp;TbNombres[Problema],TbNombres[Nombre])</f>
        <v>Brusselator1d grid</v>
      </c>
      <c r="AB38" s="2">
        <v>1</v>
      </c>
      <c r="AC38" s="2">
        <v>7</v>
      </c>
      <c r="AD38" s="2">
        <v>256</v>
      </c>
      <c r="AE38" s="2">
        <v>350</v>
      </c>
      <c r="AF38" s="2">
        <v>700</v>
      </c>
      <c r="AG38" s="2">
        <v>17.1724</v>
      </c>
      <c r="AI38" s="4" t="str">
        <f>_xlfn.XLOOKUP(Runge4[[#This Row],[Metodo]],TbSolver[Metodo],TbSolver[Solver])</f>
        <v>Runge Kutta</v>
      </c>
      <c r="AJ38" s="4" t="str">
        <f>_xlfn.XLOOKUP(Runge4[[#This Row],[Hebras]],TbTecnologia[Hebras],TbTecnologia[Tecnología])</f>
        <v>OMP</v>
      </c>
      <c r="AK3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38" s="4" t="str" cm="1">
        <f t="array" ref="AL38">_xlfn.XLOOKUP(Runge4[[#This Row],[Tecnología]]&amp;Runge4[[#This Row],[Problema]],TbNombres[Tecnología]&amp;TbNombres[Problema],TbNombres[Nombre])</f>
        <v>Brusselator2d</v>
      </c>
      <c r="AM38" s="4">
        <v>1</v>
      </c>
      <c r="AN38" s="4">
        <v>4</v>
      </c>
      <c r="AO38" s="4">
        <v>16</v>
      </c>
      <c r="AP38" s="4">
        <v>100</v>
      </c>
      <c r="AQ38" s="4">
        <v>20000</v>
      </c>
      <c r="AR38" s="4">
        <v>100.03700000000001</v>
      </c>
    </row>
    <row r="39" spans="2:44" x14ac:dyDescent="0.2">
      <c r="B39" s="1" t="str">
        <f>_xlfn.XLOOKUP(Runge1[[#This Row],[Metodo]],TbSolver[Metodo],TbSolver[Solver])</f>
        <v>Runge Kutta</v>
      </c>
      <c r="C39" s="1" t="str">
        <f>_xlfn.XLOOKUP(Runge1[[#This Row],[Hebras]],TbTecnologia[Hebras],TbTecnologia[Tecnología])</f>
        <v>CUDA</v>
      </c>
      <c r="D39" s="1" t="str" cm="1">
        <f t="array" ref="D39">_xlfn.XLOOKUP(Runge1[[#This Row],[Tecnología]]&amp;Runge1[[#This Row],[Metodo]],TbTipos[Tecnología]&amp;TbTipos[Metodo],TbTipos[Tipo])</f>
        <v>CUDA con graph</v>
      </c>
      <c r="E39" s="1" t="str" cm="1">
        <f t="array" ref="E39">_xlfn.XLOOKUP(Runge1[[#This Row],[Tecnología]]&amp;Runge1[[#This Row],[Problema]],TbNombres[Tecnología]&amp;TbNombres[Problema],TbNombres[Nombre])</f>
        <v>Simple Advdiff shuffle</v>
      </c>
      <c r="F39" s="1">
        <v>2</v>
      </c>
      <c r="G39" s="1">
        <v>2</v>
      </c>
      <c r="H39" s="1">
        <v>256</v>
      </c>
      <c r="I39" s="1">
        <v>1000</v>
      </c>
      <c r="J39" s="1">
        <v>1000</v>
      </c>
      <c r="K39" s="1">
        <v>12.8184</v>
      </c>
      <c r="M39" s="2" t="str">
        <f>_xlfn.XLOOKUP(Runge2[[#This Row],[Metodo]],TbSolver[Metodo],TbSolver[Solver])</f>
        <v>Runge Kutta</v>
      </c>
      <c r="N39" s="2" t="str">
        <f>_xlfn.XLOOKUP(Runge2[[#This Row],[Hebras]],TbTecnologia[Hebras],TbTecnologia[Tecnología])</f>
        <v>CUDA</v>
      </c>
      <c r="O39" s="2" t="str" cm="1">
        <f t="array" ref="O39">_xlfn.XLOOKUP(Runge2[[#This Row],[Tecnología]]&amp;Runge2[[#This Row],[Metodo]],TbTipos[Tecnología]&amp;TbTipos[Metodo],TbTipos[Tipo])</f>
        <v>CUDA con graph</v>
      </c>
      <c r="P39" s="2" t="str" cm="1">
        <f t="array" ref="P39">_xlfn.XLOOKUP(Runge2[[#This Row],[Tecnología]]&amp;Runge2[[#This Row],[Problema]],TbNombres[Tecnología]&amp;TbNombres[Problema],TbNombres[Nombre])</f>
        <v>Advdiff1d shuffle</v>
      </c>
      <c r="Q39" s="2">
        <v>2</v>
      </c>
      <c r="R39" s="2">
        <v>4</v>
      </c>
      <c r="S39" s="2">
        <v>256</v>
      </c>
      <c r="T39" s="2">
        <v>1000</v>
      </c>
      <c r="U39" s="2">
        <v>1000</v>
      </c>
      <c r="V39" s="2">
        <v>29.179400000000001</v>
      </c>
      <c r="X39" s="4" t="str">
        <f>_xlfn.XLOOKUP(Runge3[[#This Row],[Metodo]],TbSolver[Metodo],TbSolver[Solver])</f>
        <v>Runge Kutta</v>
      </c>
      <c r="Y39" s="4" t="str">
        <f>_xlfn.XLOOKUP(Runge3[[#This Row],[Hebras]],TbTecnologia[Hebras],TbTecnologia[Tecnología])</f>
        <v>CUDA</v>
      </c>
      <c r="Z39" s="4" t="str" cm="1">
        <f t="array" ref="Z39">_xlfn.XLOOKUP(Runge3[[#This Row],[Tecnología]]&amp;Runge3[[#This Row],[Metodo]],TbTipos[Tecnología]&amp;TbTipos[Metodo],TbTipos[Tipo])</f>
        <v>CUDA con graph</v>
      </c>
      <c r="AA39" s="4" t="str" cm="1">
        <f t="array" ref="AA39">_xlfn.XLOOKUP(Runge3[[#This Row],[Tecnología]]&amp;Runge3[[#This Row],[Problema]],TbNombres[Tecnología]&amp;TbNombres[Problema],TbNombres[Nombre])</f>
        <v>Brusselator1d grid</v>
      </c>
      <c r="AB39" s="4">
        <v>2</v>
      </c>
      <c r="AC39" s="4">
        <v>7</v>
      </c>
      <c r="AD39" s="4">
        <v>256</v>
      </c>
      <c r="AE39" s="4">
        <v>400</v>
      </c>
      <c r="AF39" s="4">
        <v>800</v>
      </c>
      <c r="AG39" s="4">
        <v>14.0098</v>
      </c>
      <c r="AI39" s="4" t="str">
        <f>_xlfn.XLOOKUP(Runge4[[#This Row],[Metodo]],TbSolver[Metodo],TbSolver[Solver])</f>
        <v>Runge Kutta</v>
      </c>
      <c r="AJ39" s="4" t="str">
        <f>_xlfn.XLOOKUP(Runge4[[#This Row],[Hebras]],TbTecnologia[Hebras],TbTecnologia[Tecnología])</f>
        <v>OMP</v>
      </c>
      <c r="AK3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39" s="4" t="str" cm="1">
        <f t="array" ref="AL39">_xlfn.XLOOKUP(Runge4[[#This Row],[Tecnología]]&amp;Runge4[[#This Row],[Problema]],TbNombres[Tecnología]&amp;TbNombres[Problema],TbNombres[Nombre])</f>
        <v>Brusselator2d</v>
      </c>
      <c r="AM39" s="4">
        <v>1</v>
      </c>
      <c r="AN39" s="4">
        <v>4</v>
      </c>
      <c r="AO39" s="4">
        <v>4</v>
      </c>
      <c r="AP39" s="4">
        <v>100</v>
      </c>
      <c r="AQ39" s="4">
        <v>20000</v>
      </c>
      <c r="AR39" s="4">
        <v>136.18899999999999</v>
      </c>
    </row>
    <row r="40" spans="2:44" x14ac:dyDescent="0.2">
      <c r="B40" s="1" t="str">
        <f>_xlfn.XLOOKUP(Runge1[[#This Row],[Metodo]],TbSolver[Metodo],TbSolver[Solver])</f>
        <v>Runge Kutta</v>
      </c>
      <c r="C40" s="1" t="str">
        <f>_xlfn.XLOOKUP(Runge1[[#This Row],[Hebras]],TbTecnologia[Hebras],TbTecnologia[Tecnología])</f>
        <v>OMP</v>
      </c>
      <c r="D40" s="1" t="str" cm="1">
        <f t="array" ref="D40">_xlfn.XLOOKUP(Runge1[[#This Row],[Tecnología]]&amp;Runge1[[#This Row],[Metodo]],TbTipos[Tecnología]&amp;TbTipos[Metodo],TbTipos[Tipo])</f>
        <v>OMP Elementos</v>
      </c>
      <c r="E40" s="1" t="str" cm="1">
        <f t="array" ref="E40">_xlfn.XLOOKUP(Runge1[[#This Row],[Tecnología]]&amp;Runge1[[#This Row],[Problema]],TbNombres[Tecnología]&amp;TbNombres[Problema],TbNombres[Nombre])</f>
        <v>Simple Advdiff</v>
      </c>
      <c r="F40" s="1">
        <v>2</v>
      </c>
      <c r="G40" s="1">
        <v>1</v>
      </c>
      <c r="H40" s="1">
        <v>4</v>
      </c>
      <c r="I40" s="1">
        <v>1000</v>
      </c>
      <c r="J40" s="1">
        <v>1000</v>
      </c>
      <c r="K40" s="1">
        <v>13.587999999999999</v>
      </c>
      <c r="M40" s="2" t="str">
        <f>_xlfn.XLOOKUP(Runge2[[#This Row],[Metodo]],TbSolver[Metodo],TbSolver[Solver])</f>
        <v>Runge Kutta</v>
      </c>
      <c r="N40" s="2" t="str">
        <f>_xlfn.XLOOKUP(Runge2[[#This Row],[Hebras]],TbTecnologia[Hebras],TbTecnologia[Tecnología])</f>
        <v>CUDA</v>
      </c>
      <c r="O40" s="2" t="str" cm="1">
        <f t="array" ref="O40">_xlfn.XLOOKUP(Runge2[[#This Row],[Tecnología]]&amp;Runge2[[#This Row],[Metodo]],TbTipos[Tecnología]&amp;TbTipos[Metodo],TbTipos[Tipo])</f>
        <v>CUDA sin graph</v>
      </c>
      <c r="P40" s="2" t="str" cm="1">
        <f t="array" ref="P40">_xlfn.XLOOKUP(Runge2[[#This Row],[Tecnología]]&amp;Runge2[[#This Row],[Problema]],TbNombres[Tecnología]&amp;TbNombres[Problema],TbNombres[Nombre])</f>
        <v>Advdiff1d</v>
      </c>
      <c r="Q40" s="2">
        <v>1</v>
      </c>
      <c r="R40" s="2">
        <v>3</v>
      </c>
      <c r="S40" s="2">
        <v>256</v>
      </c>
      <c r="T40" s="2">
        <v>1000</v>
      </c>
      <c r="U40" s="2">
        <v>1000</v>
      </c>
      <c r="V40" s="2">
        <v>30.878</v>
      </c>
      <c r="X40" s="2" t="str">
        <f>_xlfn.XLOOKUP(Runge3[[#This Row],[Metodo]],TbSolver[Metodo],TbSolver[Solver])</f>
        <v>Runge Kutta</v>
      </c>
      <c r="Y40" s="2" t="str">
        <f>_xlfn.XLOOKUP(Runge3[[#This Row],[Hebras]],TbTecnologia[Hebras],TbTecnologia[Tecnología])</f>
        <v>CUDA</v>
      </c>
      <c r="Z40" s="2" t="str" cm="1">
        <f t="array" ref="Z40">_xlfn.XLOOKUP(Runge3[[#This Row],[Tecnología]]&amp;Runge3[[#This Row],[Metodo]],TbTipos[Tecnología]&amp;TbTipos[Metodo],TbTipos[Tipo])</f>
        <v>CUDA sin graph</v>
      </c>
      <c r="AA40" s="2" t="str" cm="1">
        <f t="array" ref="AA40">_xlfn.XLOOKUP(Runge3[[#This Row],[Tecnología]]&amp;Runge3[[#This Row],[Problema]],TbNombres[Tecnología]&amp;TbNombres[Problema],TbNombres[Nombre])</f>
        <v>Brusselator1d grid</v>
      </c>
      <c r="AB40" s="2">
        <v>1</v>
      </c>
      <c r="AC40" s="2">
        <v>7</v>
      </c>
      <c r="AD40" s="2">
        <v>256</v>
      </c>
      <c r="AE40" s="2">
        <v>400</v>
      </c>
      <c r="AF40" s="2">
        <v>800</v>
      </c>
      <c r="AG40" s="2">
        <v>17.241</v>
      </c>
      <c r="AI40" s="4" t="str">
        <f>_xlfn.XLOOKUP(Runge4[[#This Row],[Metodo]],TbSolver[Metodo],TbSolver[Solver])</f>
        <v>Runge Kutta</v>
      </c>
      <c r="AJ40" s="4" t="str">
        <f>_xlfn.XLOOKUP(Runge4[[#This Row],[Hebras]],TbTecnologia[Hebras],TbTecnologia[Tecnología])</f>
        <v>OMP</v>
      </c>
      <c r="AK4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40" s="4" t="str" cm="1">
        <f t="array" ref="AL40">_xlfn.XLOOKUP(Runge4[[#This Row],[Tecnología]]&amp;Runge4[[#This Row],[Problema]],TbNombres[Tecnología]&amp;TbNombres[Problema],TbNombres[Nombre])</f>
        <v>Brusselator2d</v>
      </c>
      <c r="AM40" s="4">
        <v>2</v>
      </c>
      <c r="AN40" s="4">
        <v>4</v>
      </c>
      <c r="AO40" s="4">
        <v>4</v>
      </c>
      <c r="AP40" s="4">
        <v>100</v>
      </c>
      <c r="AQ40" s="4">
        <v>20000</v>
      </c>
      <c r="AR40" s="4">
        <v>284.08</v>
      </c>
    </row>
    <row r="41" spans="2:44" x14ac:dyDescent="0.2">
      <c r="B41" s="1" t="str">
        <f>_xlfn.XLOOKUP(Runge1[[#This Row],[Metodo]],TbSolver[Metodo],TbSolver[Solver])</f>
        <v>Runge Kutta</v>
      </c>
      <c r="C41" s="1" t="str">
        <f>_xlfn.XLOOKUP(Runge1[[#This Row],[Hebras]],TbTecnologia[Hebras],TbTecnologia[Tecnología])</f>
        <v>OMP</v>
      </c>
      <c r="D41" s="1" t="str" cm="1">
        <f t="array" ref="D41">_xlfn.XLOOKUP(Runge1[[#This Row],[Tecnología]]&amp;Runge1[[#This Row],[Metodo]],TbTipos[Tecnología]&amp;TbTipos[Metodo],TbTipos[Tipo])</f>
        <v>OMP Elementos</v>
      </c>
      <c r="E41" s="1" t="str" cm="1">
        <f t="array" ref="E41">_xlfn.XLOOKUP(Runge1[[#This Row],[Tecnología]]&amp;Runge1[[#This Row],[Problema]],TbNombres[Tecnología]&amp;TbNombres[Problema],TbNombres[Nombre])</f>
        <v>Simple Advdiff</v>
      </c>
      <c r="F41" s="1">
        <v>2</v>
      </c>
      <c r="G41" s="1">
        <v>1</v>
      </c>
      <c r="H41" s="1">
        <v>16</v>
      </c>
      <c r="I41" s="1">
        <v>1000</v>
      </c>
      <c r="J41" s="1">
        <v>1000</v>
      </c>
      <c r="K41" s="1">
        <v>14.6022</v>
      </c>
      <c r="M41" s="2" t="str">
        <f>_xlfn.XLOOKUP(Runge2[[#This Row],[Metodo]],TbSolver[Metodo],TbSolver[Solver])</f>
        <v>Runge Kutta</v>
      </c>
      <c r="N41" s="2" t="str">
        <f>_xlfn.XLOOKUP(Runge2[[#This Row],[Hebras]],TbTecnologia[Hebras],TbTecnologia[Tecnología])</f>
        <v>CUDA</v>
      </c>
      <c r="O41" s="2" t="str" cm="1">
        <f t="array" ref="O41">_xlfn.XLOOKUP(Runge2[[#This Row],[Tecnología]]&amp;Runge2[[#This Row],[Metodo]],TbTipos[Tecnología]&amp;TbTipos[Metodo],TbTipos[Tipo])</f>
        <v>CUDA sin graph</v>
      </c>
      <c r="P41" s="2" t="str" cm="1">
        <f t="array" ref="P41">_xlfn.XLOOKUP(Runge2[[#This Row],[Tecnología]]&amp;Runge2[[#This Row],[Problema]],TbNombres[Tecnología]&amp;TbNombres[Problema],TbNombres[Nombre])</f>
        <v>Advdiff1d shuffle</v>
      </c>
      <c r="Q41" s="2">
        <v>1</v>
      </c>
      <c r="R41" s="2">
        <v>4</v>
      </c>
      <c r="S41" s="2">
        <v>256</v>
      </c>
      <c r="T41" s="2">
        <v>1000</v>
      </c>
      <c r="U41" s="2">
        <v>1000</v>
      </c>
      <c r="V41" s="2">
        <v>31.9133</v>
      </c>
      <c r="X41" s="4" t="str">
        <f>_xlfn.XLOOKUP(Runge3[[#This Row],[Metodo]],TbSolver[Metodo],TbSolver[Solver])</f>
        <v>Runge Kutta</v>
      </c>
      <c r="Y41" s="4" t="str">
        <f>_xlfn.XLOOKUP(Runge3[[#This Row],[Hebras]],TbTecnologia[Hebras],TbTecnologia[Tecnología])</f>
        <v>CUDA</v>
      </c>
      <c r="Z41" s="4" t="str" cm="1">
        <f t="array" ref="Z41">_xlfn.XLOOKUP(Runge3[[#This Row],[Tecnología]]&amp;Runge3[[#This Row],[Metodo]],TbTipos[Tecnología]&amp;TbTipos[Metodo],TbTipos[Tipo])</f>
        <v>CUDA con graph</v>
      </c>
      <c r="AA41" s="4" t="str" cm="1">
        <f t="array" ref="AA41">_xlfn.XLOOKUP(Runge3[[#This Row],[Tecnología]]&amp;Runge3[[#This Row],[Problema]],TbNombres[Tecnología]&amp;TbNombres[Problema],TbNombres[Nombre])</f>
        <v>Brusselator1d grid</v>
      </c>
      <c r="AB41" s="4">
        <v>2</v>
      </c>
      <c r="AC41" s="4">
        <v>7</v>
      </c>
      <c r="AD41" s="4">
        <v>256</v>
      </c>
      <c r="AE41" s="4">
        <v>450</v>
      </c>
      <c r="AF41" s="4">
        <v>900</v>
      </c>
      <c r="AG41" s="4">
        <v>14.026</v>
      </c>
      <c r="AI41" s="4" t="str">
        <f>_xlfn.XLOOKUP(Runge4[[#This Row],[Metodo]],TbSolver[Metodo],TbSolver[Solver])</f>
        <v>Runge Kutta</v>
      </c>
      <c r="AJ41" s="4" t="str">
        <f>_xlfn.XLOOKUP(Runge4[[#This Row],[Hebras]],TbTecnologia[Hebras],TbTecnologia[Tecnología])</f>
        <v>OMP</v>
      </c>
      <c r="AK4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41" s="4" t="str" cm="1">
        <f t="array" ref="AL41">_xlfn.XLOOKUP(Runge4[[#This Row],[Tecnología]]&amp;Runge4[[#This Row],[Problema]],TbNombres[Tecnología]&amp;TbNombres[Problema],TbNombres[Nombre])</f>
        <v>Brusselator2d</v>
      </c>
      <c r="AM41" s="4">
        <v>1</v>
      </c>
      <c r="AN41" s="4">
        <v>4</v>
      </c>
      <c r="AO41" s="4">
        <v>1</v>
      </c>
      <c r="AP41" s="4">
        <v>100</v>
      </c>
      <c r="AQ41" s="4">
        <v>20000</v>
      </c>
      <c r="AR41" s="4">
        <v>410.04500000000002</v>
      </c>
    </row>
    <row r="42" spans="2:44" x14ac:dyDescent="0.2">
      <c r="B42" s="1" t="str">
        <f>_xlfn.XLOOKUP(Runge1[[#This Row],[Metodo]],TbSolver[Metodo],TbSolver[Solver])</f>
        <v>Runge Kutta</v>
      </c>
      <c r="C42" s="1" t="str">
        <f>_xlfn.XLOOKUP(Runge1[[#This Row],[Hebras]],TbTecnologia[Hebras],TbTecnologia[Tecnología])</f>
        <v>CUDA</v>
      </c>
      <c r="D42" s="1" t="str" cm="1">
        <f t="array" ref="D42">_xlfn.XLOOKUP(Runge1[[#This Row],[Tecnología]]&amp;Runge1[[#This Row],[Metodo]],TbTipos[Tecnología]&amp;TbTipos[Metodo],TbTipos[Tipo])</f>
        <v>CUDA sin graph</v>
      </c>
      <c r="E42" s="1" t="str" cm="1">
        <f t="array" ref="E42">_xlfn.XLOOKUP(Runge1[[#This Row],[Tecnología]]&amp;Runge1[[#This Row],[Problema]],TbNombres[Tecnología]&amp;TbNombres[Problema],TbNombres[Nombre])</f>
        <v>Simple Advdiff</v>
      </c>
      <c r="F42" s="1">
        <v>1</v>
      </c>
      <c r="G42" s="1">
        <v>1</v>
      </c>
      <c r="H42" s="1">
        <v>256</v>
      </c>
      <c r="I42" s="1">
        <v>1000</v>
      </c>
      <c r="J42" s="1">
        <v>1000</v>
      </c>
      <c r="K42" s="1">
        <v>15.9902</v>
      </c>
      <c r="M42" s="2" t="str">
        <f>_xlfn.XLOOKUP(Runge2[[#This Row],[Metodo]],TbSolver[Metodo],TbSolver[Solver])</f>
        <v>Runge Kutta</v>
      </c>
      <c r="N42" s="2" t="str">
        <f>_xlfn.XLOOKUP(Runge2[[#This Row],[Hebras]],TbTecnologia[Hebras],TbTecnologia[Tecnología])</f>
        <v>OMP</v>
      </c>
      <c r="O42" s="2" t="str" cm="1">
        <f t="array" ref="O42">_xlfn.XLOOKUP(Runge2[[#This Row],[Tecnología]]&amp;Runge2[[#This Row],[Metodo]],TbTipos[Tecnología]&amp;TbTipos[Metodo],TbTipos[Tipo])</f>
        <v>OMP Elementos</v>
      </c>
      <c r="P42" s="2" t="str" cm="1">
        <f t="array" ref="P42">_xlfn.XLOOKUP(Runge2[[#This Row],[Tecnología]]&amp;Runge2[[#This Row],[Problema]],TbNombres[Tecnología]&amp;TbNombres[Problema],TbNombres[Nombre])</f>
        <v>Advdiff1d</v>
      </c>
      <c r="Q42" s="2">
        <v>2</v>
      </c>
      <c r="R42" s="2">
        <v>2</v>
      </c>
      <c r="S42" s="2">
        <v>4</v>
      </c>
      <c r="T42" s="2">
        <v>1000</v>
      </c>
      <c r="U42" s="2">
        <v>1000</v>
      </c>
      <c r="V42" s="2">
        <v>36.563499999999998</v>
      </c>
      <c r="X42" s="2" t="str">
        <f>_xlfn.XLOOKUP(Runge3[[#This Row],[Metodo]],TbSolver[Metodo],TbSolver[Solver])</f>
        <v>Runge Kutta</v>
      </c>
      <c r="Y42" s="2" t="str">
        <f>_xlfn.XLOOKUP(Runge3[[#This Row],[Hebras]],TbTecnologia[Hebras],TbTecnologia[Tecnología])</f>
        <v>CUDA</v>
      </c>
      <c r="Z42" s="2" t="str" cm="1">
        <f t="array" ref="Z42">_xlfn.XLOOKUP(Runge3[[#This Row],[Tecnología]]&amp;Runge3[[#This Row],[Metodo]],TbTipos[Tecnología]&amp;TbTipos[Metodo],TbTipos[Tipo])</f>
        <v>CUDA sin graph</v>
      </c>
      <c r="AA42" s="2" t="str" cm="1">
        <f t="array" ref="AA42">_xlfn.XLOOKUP(Runge3[[#This Row],[Tecnología]]&amp;Runge3[[#This Row],[Problema]],TbNombres[Tecnología]&amp;TbNombres[Problema],TbNombres[Nombre])</f>
        <v>Brusselator1d grid</v>
      </c>
      <c r="AB42" s="2">
        <v>1</v>
      </c>
      <c r="AC42" s="2">
        <v>7</v>
      </c>
      <c r="AD42" s="2">
        <v>256</v>
      </c>
      <c r="AE42" s="2">
        <v>450</v>
      </c>
      <c r="AF42" s="2">
        <v>900</v>
      </c>
      <c r="AG42" s="2">
        <v>17.2881</v>
      </c>
      <c r="AI42" s="4" t="str">
        <f>_xlfn.XLOOKUP(Runge4[[#This Row],[Metodo]],TbSolver[Metodo],TbSolver[Solver])</f>
        <v>Runge Kutta</v>
      </c>
      <c r="AJ42" s="4" t="str">
        <f>_xlfn.XLOOKUP(Runge4[[#This Row],[Hebras]],TbTecnologia[Hebras],TbTecnologia[Tecnología])</f>
        <v>OMP</v>
      </c>
      <c r="AK4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42" s="4" t="str" cm="1">
        <f t="array" ref="AL42">_xlfn.XLOOKUP(Runge4[[#This Row],[Tecnología]]&amp;Runge4[[#This Row],[Problema]],TbNombres[Tecnología]&amp;TbNombres[Problema],TbNombres[Nombre])</f>
        <v>Brusselator2d</v>
      </c>
      <c r="AM42" s="4">
        <v>2</v>
      </c>
      <c r="AN42" s="4">
        <v>4</v>
      </c>
      <c r="AO42" s="4">
        <v>1</v>
      </c>
      <c r="AP42" s="4">
        <v>100</v>
      </c>
      <c r="AQ42" s="4">
        <v>20000</v>
      </c>
      <c r="AR42" s="4">
        <v>1071.46</v>
      </c>
    </row>
    <row r="43" spans="2:44" x14ac:dyDescent="0.2">
      <c r="B43" s="1" t="str">
        <f>_xlfn.XLOOKUP(Runge1[[#This Row],[Metodo]],TbSolver[Metodo],TbSolver[Solver])</f>
        <v>Runge Kutta</v>
      </c>
      <c r="C43" s="1" t="str">
        <f>_xlfn.XLOOKUP(Runge1[[#This Row],[Hebras]],TbTecnologia[Hebras],TbTecnologia[Tecnología])</f>
        <v>CUDA</v>
      </c>
      <c r="D43" s="1" t="str" cm="1">
        <f t="array" ref="D43">_xlfn.XLOOKUP(Runge1[[#This Row],[Tecnología]]&amp;Runge1[[#This Row],[Metodo]],TbTipos[Tecnología]&amp;TbTipos[Metodo],TbTipos[Tipo])</f>
        <v>CUDA sin graph</v>
      </c>
      <c r="E43" s="1" t="str" cm="1">
        <f t="array" ref="E43">_xlfn.XLOOKUP(Runge1[[#This Row],[Tecnología]]&amp;Runge1[[#This Row],[Problema]],TbNombres[Tecnología]&amp;TbNombres[Problema],TbNombres[Nombre])</f>
        <v>Simple Advdiff shuffle</v>
      </c>
      <c r="F43" s="1">
        <v>1</v>
      </c>
      <c r="G43" s="1">
        <v>2</v>
      </c>
      <c r="H43" s="1">
        <v>256</v>
      </c>
      <c r="I43" s="1">
        <v>1000</v>
      </c>
      <c r="J43" s="1">
        <v>1000</v>
      </c>
      <c r="K43" s="1">
        <v>16.2043</v>
      </c>
      <c r="M43" s="2" t="str">
        <f>_xlfn.XLOOKUP(Runge2[[#This Row],[Metodo]],TbSolver[Metodo],TbSolver[Solver])</f>
        <v>Runge Kutta</v>
      </c>
      <c r="N43" s="2" t="str">
        <f>_xlfn.XLOOKUP(Runge2[[#This Row],[Hebras]],TbTecnologia[Hebras],TbTecnologia[Tecnología])</f>
        <v>OMP</v>
      </c>
      <c r="O43" s="2" t="str" cm="1">
        <f t="array" ref="O43">_xlfn.XLOOKUP(Runge2[[#This Row],[Tecnología]]&amp;Runge2[[#This Row],[Metodo]],TbTipos[Tecnología]&amp;TbTipos[Metodo],TbTipos[Tipo])</f>
        <v>OMP Operaciones</v>
      </c>
      <c r="P43" s="2" t="str" cm="1">
        <f t="array" ref="P43">_xlfn.XLOOKUP(Runge2[[#This Row],[Tecnología]]&amp;Runge2[[#This Row],[Problema]],TbNombres[Tecnología]&amp;TbNombres[Problema],TbNombres[Nombre])</f>
        <v>Advdiff1d</v>
      </c>
      <c r="Q43" s="2">
        <v>1</v>
      </c>
      <c r="R43" s="2">
        <v>2</v>
      </c>
      <c r="S43" s="2">
        <v>4</v>
      </c>
      <c r="T43" s="2">
        <v>1000</v>
      </c>
      <c r="U43" s="2">
        <v>1000</v>
      </c>
      <c r="V43" s="2">
        <v>60.924799999999998</v>
      </c>
      <c r="X43" s="2" t="str">
        <f>_xlfn.XLOOKUP(Runge3[[#This Row],[Metodo]],TbSolver[Metodo],TbSolver[Solver])</f>
        <v>Runge Kutta</v>
      </c>
      <c r="Y43" s="2" t="str">
        <f>_xlfn.XLOOKUP(Runge3[[#This Row],[Hebras]],TbTecnologia[Hebras],TbTecnologia[Tecnología])</f>
        <v>OMP</v>
      </c>
      <c r="Z43" s="2" t="str" cm="1">
        <f t="array" ref="Z43">_xlfn.XLOOKUP(Runge3[[#This Row],[Tecnología]]&amp;Runge3[[#This Row],[Metodo]],TbTipos[Tecnología]&amp;TbTipos[Metodo],TbTipos[Tipo])</f>
        <v>OMP Elementos</v>
      </c>
      <c r="AA43" s="2" t="str" cm="1">
        <f t="array" ref="AA43">_xlfn.XLOOKUP(Runge3[[#This Row],[Tecnología]]&amp;Runge3[[#This Row],[Problema]],TbNombres[Tecnología]&amp;TbNombres[Problema],TbNombres[Nombre])</f>
        <v>Brusselator1d</v>
      </c>
      <c r="AB43" s="2">
        <v>2</v>
      </c>
      <c r="AC43" s="2">
        <v>3</v>
      </c>
      <c r="AD43" s="2">
        <v>4</v>
      </c>
      <c r="AE43" s="2">
        <v>500</v>
      </c>
      <c r="AF43" s="2">
        <v>1000</v>
      </c>
      <c r="AG43" s="2">
        <v>12.1547</v>
      </c>
      <c r="AI43" s="2" t="str">
        <f>_xlfn.XLOOKUP(Runge4[[#This Row],[Metodo]],TbSolver[Metodo],TbSolver[Solver])</f>
        <v>Runge Kutta</v>
      </c>
      <c r="AJ43" s="2" t="str">
        <f>_xlfn.XLOOKUP(Runge4[[#This Row],[Hebras]],TbTecnologia[Hebras],TbTecnologia[Tecnología])</f>
        <v>CUDA</v>
      </c>
      <c r="AK4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43" s="4" t="str" cm="1">
        <f t="array" ref="AL43">_xlfn.XLOOKUP(Runge4[[#This Row],[Tecnología]]&amp;Runge4[[#This Row],[Problema]],TbNombres[Tecnología]&amp;TbNombres[Problema],TbNombres[Nombre])</f>
        <v>Brusselator2d</v>
      </c>
      <c r="AM43" s="21">
        <v>2</v>
      </c>
      <c r="AN43" s="21">
        <v>8</v>
      </c>
      <c r="AO43" s="21">
        <v>256</v>
      </c>
      <c r="AP43" s="21">
        <v>125</v>
      </c>
      <c r="AQ43" s="21">
        <v>31250</v>
      </c>
      <c r="AR43" s="21">
        <v>25.8644</v>
      </c>
    </row>
    <row r="44" spans="2:44" x14ac:dyDescent="0.2">
      <c r="B44" s="1" t="str">
        <f>_xlfn.XLOOKUP(Runge1[[#This Row],[Metodo]],TbSolver[Metodo],TbSolver[Solver])</f>
        <v>Runge Kutta</v>
      </c>
      <c r="C44" s="1" t="str">
        <f>_xlfn.XLOOKUP(Runge1[[#This Row],[Hebras]],TbTecnologia[Hebras],TbTecnologia[Tecnología])</f>
        <v>OMP</v>
      </c>
      <c r="D44" s="1" t="str" cm="1">
        <f t="array" ref="D44">_xlfn.XLOOKUP(Runge1[[#This Row],[Tecnología]]&amp;Runge1[[#This Row],[Metodo]],TbTipos[Tecnología]&amp;TbTipos[Metodo],TbTipos[Tipo])</f>
        <v>OMP Operaciones</v>
      </c>
      <c r="E44" s="1" t="str" cm="1">
        <f t="array" ref="E44">_xlfn.XLOOKUP(Runge1[[#This Row],[Tecnología]]&amp;Runge1[[#This Row],[Problema]],TbNombres[Tecnología]&amp;TbNombres[Problema],TbNombres[Nombre])</f>
        <v>Simple Advdiff</v>
      </c>
      <c r="F44" s="1">
        <v>1</v>
      </c>
      <c r="G44" s="1">
        <v>1</v>
      </c>
      <c r="H44" s="1">
        <v>4</v>
      </c>
      <c r="I44" s="1">
        <v>1000</v>
      </c>
      <c r="J44" s="1">
        <v>1000</v>
      </c>
      <c r="K44" s="1">
        <v>25.951699999999999</v>
      </c>
      <c r="M44" s="2" t="str">
        <f>_xlfn.XLOOKUP(Runge2[[#This Row],[Metodo]],TbSolver[Metodo],TbSolver[Solver])</f>
        <v>Runge Kutta</v>
      </c>
      <c r="N44" s="2" t="str">
        <f>_xlfn.XLOOKUP(Runge2[[#This Row],[Hebras]],TbTecnologia[Hebras],TbTecnologia[Tecnología])</f>
        <v>OMP</v>
      </c>
      <c r="O44" s="2" t="str" cm="1">
        <f t="array" ref="O44">_xlfn.XLOOKUP(Runge2[[#This Row],[Tecnología]]&amp;Runge2[[#This Row],[Metodo]],TbTipos[Tecnología]&amp;TbTipos[Metodo],TbTipos[Tipo])</f>
        <v>OMP Operaciones</v>
      </c>
      <c r="P44" s="2" t="str" cm="1">
        <f t="array" ref="P44">_xlfn.XLOOKUP(Runge2[[#This Row],[Tecnología]]&amp;Runge2[[#This Row],[Problema]],TbNombres[Tecnología]&amp;TbNombres[Problema],TbNombres[Nombre])</f>
        <v>Advdiff1d</v>
      </c>
      <c r="Q44" s="2">
        <v>1</v>
      </c>
      <c r="R44" s="2">
        <v>2</v>
      </c>
      <c r="S44" s="2">
        <v>16</v>
      </c>
      <c r="T44" s="2">
        <v>1000</v>
      </c>
      <c r="U44" s="2">
        <v>1000</v>
      </c>
      <c r="V44" s="2">
        <v>89.934100000000001</v>
      </c>
      <c r="X44" s="2" t="str">
        <f>_xlfn.XLOOKUP(Runge3[[#This Row],[Metodo]],TbSolver[Metodo],TbSolver[Solver])</f>
        <v>Runge Kutta</v>
      </c>
      <c r="Y44" s="2" t="str">
        <f>_xlfn.XLOOKUP(Runge3[[#This Row],[Hebras]],TbTecnologia[Hebras],TbTecnologia[Tecnología])</f>
        <v>OMP</v>
      </c>
      <c r="Z44" s="2" t="str" cm="1">
        <f t="array" ref="Z44">_xlfn.XLOOKUP(Runge3[[#This Row],[Tecnología]]&amp;Runge3[[#This Row],[Metodo]],TbTipos[Tecnología]&amp;TbTipos[Metodo],TbTipos[Tipo])</f>
        <v>OMP Operaciones</v>
      </c>
      <c r="AA44" s="2" t="str" cm="1">
        <f t="array" ref="AA44">_xlfn.XLOOKUP(Runge3[[#This Row],[Tecnología]]&amp;Runge3[[#This Row],[Problema]],TbNombres[Tecnología]&amp;TbNombres[Problema],TbNombres[Nombre])</f>
        <v>Brusselator1d</v>
      </c>
      <c r="AB44" s="2">
        <v>1</v>
      </c>
      <c r="AC44" s="2">
        <v>3</v>
      </c>
      <c r="AD44" s="2">
        <v>1</v>
      </c>
      <c r="AE44" s="2">
        <v>500</v>
      </c>
      <c r="AF44" s="2">
        <v>1000</v>
      </c>
      <c r="AG44" s="2">
        <v>12.882199999999999</v>
      </c>
      <c r="AI44" s="2" t="str">
        <f>_xlfn.XLOOKUP(Runge4[[#This Row],[Metodo]],TbSolver[Metodo],TbSolver[Solver])</f>
        <v>Runge Kutta</v>
      </c>
      <c r="AJ44" s="2" t="str">
        <f>_xlfn.XLOOKUP(Runge4[[#This Row],[Hebras]],TbTecnologia[Hebras],TbTecnologia[Tecnología])</f>
        <v>CUDA</v>
      </c>
      <c r="AK4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44" s="4" t="str" cm="1">
        <f t="array" ref="AL44">_xlfn.XLOOKUP(Runge4[[#This Row],[Tecnología]]&amp;Runge4[[#This Row],[Problema]],TbNombres[Tecnología]&amp;TbNombres[Problema],TbNombres[Nombre])</f>
        <v>Brusselator2d</v>
      </c>
      <c r="AM44" s="21">
        <v>1</v>
      </c>
      <c r="AN44" s="21">
        <v>8</v>
      </c>
      <c r="AO44" s="21">
        <v>256</v>
      </c>
      <c r="AP44" s="21">
        <v>125</v>
      </c>
      <c r="AQ44" s="21">
        <v>31250</v>
      </c>
      <c r="AR44" s="21">
        <v>28.642199999999999</v>
      </c>
    </row>
    <row r="45" spans="2:44" x14ac:dyDescent="0.2">
      <c r="B45" s="1" t="str">
        <f>_xlfn.XLOOKUP(Runge1[[#This Row],[Metodo]],TbSolver[Metodo],TbSolver[Solver])</f>
        <v>Runge Kutta</v>
      </c>
      <c r="C45" s="1" t="str">
        <f>_xlfn.XLOOKUP(Runge1[[#This Row],[Hebras]],TbTecnologia[Hebras],TbTecnologia[Tecnología])</f>
        <v>OMP</v>
      </c>
      <c r="D45" s="1" t="str" cm="1">
        <f t="array" ref="D45">_xlfn.XLOOKUP(Runge1[[#This Row],[Tecnología]]&amp;Runge1[[#This Row],[Metodo]],TbTipos[Tecnología]&amp;TbTipos[Metodo],TbTipos[Tipo])</f>
        <v>OMP Elementos</v>
      </c>
      <c r="E45" s="1" t="str" cm="1">
        <f t="array" ref="E45">_xlfn.XLOOKUP(Runge1[[#This Row],[Tecnología]]&amp;Runge1[[#This Row],[Problema]],TbNombres[Tecnología]&amp;TbNombres[Problema],TbNombres[Nombre])</f>
        <v>Simple Advdiff</v>
      </c>
      <c r="F45" s="1">
        <v>2</v>
      </c>
      <c r="G45" s="1">
        <v>1</v>
      </c>
      <c r="H45" s="1">
        <v>1</v>
      </c>
      <c r="I45" s="1">
        <v>1000</v>
      </c>
      <c r="J45" s="1">
        <v>1000</v>
      </c>
      <c r="K45" s="1">
        <v>30.9483</v>
      </c>
      <c r="M45" s="2" t="str">
        <f>_xlfn.XLOOKUP(Runge2[[#This Row],[Metodo]],TbSolver[Metodo],TbSolver[Solver])</f>
        <v>Runge Kutta</v>
      </c>
      <c r="N45" s="2" t="str">
        <f>_xlfn.XLOOKUP(Runge2[[#This Row],[Hebras]],TbTecnologia[Hebras],TbTecnologia[Tecnología])</f>
        <v>OMP</v>
      </c>
      <c r="O45" s="2" t="str" cm="1">
        <f t="array" ref="O45">_xlfn.XLOOKUP(Runge2[[#This Row],[Tecnología]]&amp;Runge2[[#This Row],[Metodo]],TbTipos[Tecnología]&amp;TbTipos[Metodo],TbTipos[Tipo])</f>
        <v>OMP Operaciones</v>
      </c>
      <c r="P45" s="2" t="str" cm="1">
        <f t="array" ref="P45">_xlfn.XLOOKUP(Runge2[[#This Row],[Tecnología]]&amp;Runge2[[#This Row],[Problema]],TbNombres[Tecnología]&amp;TbNombres[Problema],TbNombres[Nombre])</f>
        <v>Advdiff1d</v>
      </c>
      <c r="Q45" s="2">
        <v>1</v>
      </c>
      <c r="R45" s="2">
        <v>2</v>
      </c>
      <c r="S45" s="2">
        <v>1</v>
      </c>
      <c r="T45" s="2">
        <v>1000</v>
      </c>
      <c r="U45" s="2">
        <v>1000</v>
      </c>
      <c r="V45" s="2">
        <v>92.846000000000004</v>
      </c>
      <c r="X45" s="2" t="str">
        <f>_xlfn.XLOOKUP(Runge3[[#This Row],[Metodo]],TbSolver[Metodo],TbSolver[Solver])</f>
        <v>Runge Kutta</v>
      </c>
      <c r="Y45" s="2" t="str">
        <f>_xlfn.XLOOKUP(Runge3[[#This Row],[Hebras]],TbTecnologia[Hebras],TbTecnologia[Tecnología])</f>
        <v>CUDA</v>
      </c>
      <c r="Z45" s="2" t="str" cm="1">
        <f t="array" ref="Z45">_xlfn.XLOOKUP(Runge3[[#This Row],[Tecnología]]&amp;Runge3[[#This Row],[Metodo]],TbTipos[Tecnología]&amp;TbTipos[Metodo],TbTipos[Tipo])</f>
        <v>CUDA con graph</v>
      </c>
      <c r="AA45" s="2" t="str" cm="1">
        <f t="array" ref="AA45">_xlfn.XLOOKUP(Runge3[[#This Row],[Tecnología]]&amp;Runge3[[#This Row],[Problema]],TbNombres[Tecnología]&amp;TbNombres[Problema],TbNombres[Nombre])</f>
        <v>Brusselator1d</v>
      </c>
      <c r="AB45" s="2">
        <v>2</v>
      </c>
      <c r="AC45" s="2">
        <v>5</v>
      </c>
      <c r="AD45" s="2">
        <v>256</v>
      </c>
      <c r="AE45" s="2">
        <v>500</v>
      </c>
      <c r="AF45" s="2">
        <v>1000</v>
      </c>
      <c r="AG45" s="2">
        <v>13.7845</v>
      </c>
      <c r="AI45" s="2" t="str">
        <f>_xlfn.XLOOKUP(Runge4[[#This Row],[Metodo]],TbSolver[Metodo],TbSolver[Solver])</f>
        <v>Runge Kutta</v>
      </c>
      <c r="AJ45" s="2" t="str">
        <f>_xlfn.XLOOKUP(Runge4[[#This Row],[Hebras]],TbTecnologia[Hebras],TbTecnologia[Tecnología])</f>
        <v>OMP</v>
      </c>
      <c r="AK4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45" s="4" t="str" cm="1">
        <f t="array" ref="AL45">_xlfn.XLOOKUP(Runge4[[#This Row],[Tecnología]]&amp;Runge4[[#This Row],[Problema]],TbNombres[Tecnología]&amp;TbNombres[Problema],TbNombres[Nombre])</f>
        <v>Brusselator2d</v>
      </c>
      <c r="AM45" s="4">
        <v>1</v>
      </c>
      <c r="AN45" s="4">
        <v>4</v>
      </c>
      <c r="AO45" s="4">
        <v>16</v>
      </c>
      <c r="AP45" s="4">
        <v>125</v>
      </c>
      <c r="AQ45" s="4">
        <v>31250</v>
      </c>
      <c r="AR45" s="4">
        <v>113.97</v>
      </c>
    </row>
    <row r="46" spans="2:44" x14ac:dyDescent="0.2">
      <c r="B46" s="1" t="str">
        <f>_xlfn.XLOOKUP(Runge1[[#This Row],[Metodo]],TbSolver[Metodo],TbSolver[Solver])</f>
        <v>Runge Kutta</v>
      </c>
      <c r="C46" s="1" t="str">
        <f>_xlfn.XLOOKUP(Runge1[[#This Row],[Hebras]],TbTecnologia[Hebras],TbTecnologia[Tecnología])</f>
        <v>OMP</v>
      </c>
      <c r="D46" s="1" t="str" cm="1">
        <f t="array" ref="D46">_xlfn.XLOOKUP(Runge1[[#This Row],[Tecnología]]&amp;Runge1[[#This Row],[Metodo]],TbTipos[Tecnología]&amp;TbTipos[Metodo],TbTipos[Tipo])</f>
        <v>OMP Operaciones</v>
      </c>
      <c r="E46" s="1" t="str" cm="1">
        <f t="array" ref="E46">_xlfn.XLOOKUP(Runge1[[#This Row],[Tecnología]]&amp;Runge1[[#This Row],[Problema]],TbNombres[Tecnología]&amp;TbNombres[Problema],TbNombres[Nombre])</f>
        <v>Simple Advdiff</v>
      </c>
      <c r="F46" s="1">
        <v>1</v>
      </c>
      <c r="G46" s="1">
        <v>1</v>
      </c>
      <c r="H46" s="1">
        <v>16</v>
      </c>
      <c r="I46" s="1">
        <v>1000</v>
      </c>
      <c r="J46" s="1">
        <v>1000</v>
      </c>
      <c r="K46" s="1">
        <v>61.305300000000003</v>
      </c>
      <c r="M46" s="2" t="str">
        <f>_xlfn.XLOOKUP(Runge2[[#This Row],[Metodo]],TbSolver[Metodo],TbSolver[Solver])</f>
        <v>Runge Kutta</v>
      </c>
      <c r="N46" s="2" t="str">
        <f>_xlfn.XLOOKUP(Runge2[[#This Row],[Hebras]],TbTecnologia[Hebras],TbTecnologia[Tecnología])</f>
        <v>OMP</v>
      </c>
      <c r="O46" s="2" t="str" cm="1">
        <f t="array" ref="O46">_xlfn.XLOOKUP(Runge2[[#This Row],[Tecnología]]&amp;Runge2[[#This Row],[Metodo]],TbTipos[Tecnología]&amp;TbTipos[Metodo],TbTipos[Tipo])</f>
        <v>OMP Elementos</v>
      </c>
      <c r="P46" s="2" t="str" cm="1">
        <f t="array" ref="P46">_xlfn.XLOOKUP(Runge2[[#This Row],[Tecnología]]&amp;Runge2[[#This Row],[Problema]],TbNombres[Tecnología]&amp;TbNombres[Problema],TbNombres[Nombre])</f>
        <v>Advdiff1d</v>
      </c>
      <c r="Q46" s="2">
        <v>2</v>
      </c>
      <c r="R46" s="2">
        <v>2</v>
      </c>
      <c r="S46" s="2">
        <v>1</v>
      </c>
      <c r="T46" s="2">
        <v>1000</v>
      </c>
      <c r="U46" s="2">
        <v>1000</v>
      </c>
      <c r="V46" s="2">
        <v>115.922</v>
      </c>
      <c r="X46" s="2" t="str">
        <f>_xlfn.XLOOKUP(Runge3[[#This Row],[Metodo]],TbSolver[Metodo],TbSolver[Solver])</f>
        <v>Runge Kutta</v>
      </c>
      <c r="Y46" s="2" t="str">
        <f>_xlfn.XLOOKUP(Runge3[[#This Row],[Hebras]],TbTecnologia[Hebras],TbTecnologia[Tecnología])</f>
        <v>CUDA</v>
      </c>
      <c r="Z46" s="2" t="str" cm="1">
        <f t="array" ref="Z46">_xlfn.XLOOKUP(Runge3[[#This Row],[Tecnología]]&amp;Runge3[[#This Row],[Metodo]],TbTipos[Tecnología]&amp;TbTipos[Metodo],TbTipos[Tipo])</f>
        <v>CUDA con graph</v>
      </c>
      <c r="AA46" s="2" t="str" cm="1">
        <f t="array" ref="AA46">_xlfn.XLOOKUP(Runge3[[#This Row],[Tecnología]]&amp;Runge3[[#This Row],[Problema]],TbNombres[Tecnología]&amp;TbNombres[Problema],TbNombres[Nombre])</f>
        <v>Brusselator1d grid</v>
      </c>
      <c r="AB46" s="2">
        <v>2</v>
      </c>
      <c r="AC46" s="2">
        <v>7</v>
      </c>
      <c r="AD46" s="2">
        <v>256</v>
      </c>
      <c r="AE46" s="2">
        <v>500</v>
      </c>
      <c r="AF46" s="2">
        <v>1000</v>
      </c>
      <c r="AG46" s="2">
        <v>13.8317</v>
      </c>
      <c r="AI46" s="2" t="str">
        <f>_xlfn.XLOOKUP(Runge4[[#This Row],[Metodo]],TbSolver[Metodo],TbSolver[Solver])</f>
        <v>Runge Kutta</v>
      </c>
      <c r="AJ46" s="2" t="str">
        <f>_xlfn.XLOOKUP(Runge4[[#This Row],[Hebras]],TbTecnologia[Hebras],TbTecnologia[Tecnología])</f>
        <v>OMP</v>
      </c>
      <c r="AK4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46" s="4" t="str" cm="1">
        <f t="array" ref="AL46">_xlfn.XLOOKUP(Runge4[[#This Row],[Tecnología]]&amp;Runge4[[#This Row],[Problema]],TbNombres[Tecnología]&amp;TbNombres[Problema],TbNombres[Nombre])</f>
        <v>Brusselator2d</v>
      </c>
      <c r="AM46" s="4">
        <v>2</v>
      </c>
      <c r="AN46" s="4">
        <v>4</v>
      </c>
      <c r="AO46" s="4">
        <v>16</v>
      </c>
      <c r="AP46" s="4">
        <v>125</v>
      </c>
      <c r="AQ46" s="4">
        <v>31250</v>
      </c>
      <c r="AR46" s="4">
        <v>140.32</v>
      </c>
    </row>
    <row r="47" spans="2:44" x14ac:dyDescent="0.2">
      <c r="B47" s="1" t="str">
        <f>_xlfn.XLOOKUP(Runge1[[#This Row],[Metodo]],TbSolver[Metodo],TbSolver[Solver])</f>
        <v>Runge Kutta</v>
      </c>
      <c r="C47" s="1" t="str">
        <f>_xlfn.XLOOKUP(Runge1[[#This Row],[Hebras]],TbTecnologia[Hebras],TbTecnologia[Tecnología])</f>
        <v>OMP</v>
      </c>
      <c r="D47" s="1" t="str" cm="1">
        <f t="array" ref="D47">_xlfn.XLOOKUP(Runge1[[#This Row],[Tecnología]]&amp;Runge1[[#This Row],[Metodo]],TbTipos[Tecnología]&amp;TbTipos[Metodo],TbTipos[Tipo])</f>
        <v>OMP Operaciones</v>
      </c>
      <c r="E47" s="1" t="str" cm="1">
        <f t="array" ref="E47">_xlfn.XLOOKUP(Runge1[[#This Row],[Tecnología]]&amp;Runge1[[#This Row],[Problema]],TbNombres[Tecnología]&amp;TbNombres[Problema],TbNombres[Nombre])</f>
        <v>Simple Advdiff</v>
      </c>
      <c r="F47" s="17">
        <v>1</v>
      </c>
      <c r="G47" s="17">
        <v>1</v>
      </c>
      <c r="H47" s="17">
        <v>1</v>
      </c>
      <c r="I47" s="17">
        <v>2000</v>
      </c>
      <c r="J47" s="17">
        <v>2000</v>
      </c>
      <c r="K47" s="17">
        <v>12.5032</v>
      </c>
      <c r="M47" s="2" t="str">
        <f>_xlfn.XLOOKUP(Runge2[[#This Row],[Metodo]],TbSolver[Metodo],TbSolver[Solver])</f>
        <v>Runge Kutta</v>
      </c>
      <c r="N47" s="2" t="str">
        <f>_xlfn.XLOOKUP(Runge2[[#This Row],[Hebras]],TbTecnologia[Hebras],TbTecnologia[Tecnología])</f>
        <v>CUDA</v>
      </c>
      <c r="O47" s="2" t="str" cm="1">
        <f t="array" ref="O47">_xlfn.XLOOKUP(Runge2[[#This Row],[Tecnología]]&amp;Runge2[[#This Row],[Metodo]],TbTipos[Tecnología]&amp;TbTipos[Metodo],TbTipos[Tipo])</f>
        <v>CUDA con graph</v>
      </c>
      <c r="P47" s="2" t="str" cm="1">
        <f t="array" ref="P47">_xlfn.XLOOKUP(Runge2[[#This Row],[Tecnología]]&amp;Runge2[[#This Row],[Problema]],TbNombres[Tecnología]&amp;TbNombres[Problema],TbNombres[Nombre])</f>
        <v>Advdiff1d</v>
      </c>
      <c r="Q47" s="2">
        <v>2</v>
      </c>
      <c r="R47" s="2">
        <v>3</v>
      </c>
      <c r="S47" s="2">
        <v>256</v>
      </c>
      <c r="T47" s="2">
        <v>2000</v>
      </c>
      <c r="U47" s="2">
        <v>2000</v>
      </c>
      <c r="V47" s="2">
        <v>28.197199999999999</v>
      </c>
      <c r="X47" s="2" t="str">
        <f>_xlfn.XLOOKUP(Runge3[[#This Row],[Metodo]],TbSolver[Metodo],TbSolver[Solver])</f>
        <v>Runge Kutta</v>
      </c>
      <c r="Y47" s="2" t="str">
        <f>_xlfn.XLOOKUP(Runge3[[#This Row],[Hebras]],TbTecnologia[Hebras],TbTecnologia[Tecnología])</f>
        <v>CUDA</v>
      </c>
      <c r="Z47" s="2" t="str" cm="1">
        <f t="array" ref="Z47">_xlfn.XLOOKUP(Runge3[[#This Row],[Tecnología]]&amp;Runge3[[#This Row],[Metodo]],TbTipos[Tecnología]&amp;TbTipos[Metodo],TbTipos[Tipo])</f>
        <v>CUDA con graph</v>
      </c>
      <c r="AA47" s="2" t="str" cm="1">
        <f t="array" ref="AA47">_xlfn.XLOOKUP(Runge3[[#This Row],[Tecnología]]&amp;Runge3[[#This Row],[Problema]],TbNombres[Tecnología]&amp;TbNombres[Problema],TbNombres[Nombre])</f>
        <v>Brusselator1d shuffle</v>
      </c>
      <c r="AB47" s="2">
        <v>2</v>
      </c>
      <c r="AC47" s="2">
        <v>6</v>
      </c>
      <c r="AD47" s="2">
        <v>256</v>
      </c>
      <c r="AE47" s="2">
        <v>500</v>
      </c>
      <c r="AF47" s="2">
        <v>1000</v>
      </c>
      <c r="AG47" s="2">
        <v>13.8804</v>
      </c>
      <c r="AI47" s="2" t="str">
        <f>_xlfn.XLOOKUP(Runge4[[#This Row],[Metodo]],TbSolver[Metodo],TbSolver[Solver])</f>
        <v>Runge Kutta</v>
      </c>
      <c r="AJ47" s="2" t="str">
        <f>_xlfn.XLOOKUP(Runge4[[#This Row],[Hebras]],TbTecnologia[Hebras],TbTecnologia[Tecnología])</f>
        <v>OMP</v>
      </c>
      <c r="AK4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47" s="4" t="str" cm="1">
        <f t="array" ref="AL47">_xlfn.XLOOKUP(Runge4[[#This Row],[Tecnología]]&amp;Runge4[[#This Row],[Problema]],TbNombres[Tecnología]&amp;TbNombres[Problema],TbNombres[Nombre])</f>
        <v>Brusselator2d</v>
      </c>
      <c r="AM47" s="4">
        <v>1</v>
      </c>
      <c r="AN47" s="4">
        <v>4</v>
      </c>
      <c r="AO47" s="4">
        <v>4</v>
      </c>
      <c r="AP47" s="4">
        <v>125</v>
      </c>
      <c r="AQ47" s="4">
        <v>31250</v>
      </c>
      <c r="AR47" s="4">
        <v>196.16300000000001</v>
      </c>
    </row>
    <row r="48" spans="2:44" x14ac:dyDescent="0.2">
      <c r="B48" s="1" t="str">
        <f>_xlfn.XLOOKUP(Runge1[[#This Row],[Metodo]],TbSolver[Metodo],TbSolver[Solver])</f>
        <v>Runge Kutta</v>
      </c>
      <c r="C48" s="1" t="str">
        <f>_xlfn.XLOOKUP(Runge1[[#This Row],[Hebras]],TbTecnologia[Hebras],TbTecnologia[Tecnología])</f>
        <v>CUDA</v>
      </c>
      <c r="D48" s="1" t="str" cm="1">
        <f t="array" ref="D48">_xlfn.XLOOKUP(Runge1[[#This Row],[Tecnología]]&amp;Runge1[[#This Row],[Metodo]],TbTipos[Tecnología]&amp;TbTipos[Metodo],TbTipos[Tipo])</f>
        <v>CUDA con graph</v>
      </c>
      <c r="E48" s="1" t="str" cm="1">
        <f t="array" ref="E48">_xlfn.XLOOKUP(Runge1[[#This Row],[Tecnología]]&amp;Runge1[[#This Row],[Problema]],TbNombres[Tecnología]&amp;TbNombres[Problema],TbNombres[Nombre])</f>
        <v>Simple Advdiff</v>
      </c>
      <c r="F48" s="1">
        <v>2</v>
      </c>
      <c r="G48" s="1">
        <v>1</v>
      </c>
      <c r="H48" s="1">
        <v>256</v>
      </c>
      <c r="I48" s="1">
        <v>2000</v>
      </c>
      <c r="J48" s="1">
        <v>2000</v>
      </c>
      <c r="K48" s="1">
        <v>12.811299999999999</v>
      </c>
      <c r="M48" s="2" t="str">
        <f>_xlfn.XLOOKUP(Runge2[[#This Row],[Metodo]],TbSolver[Metodo],TbSolver[Solver])</f>
        <v>Runge Kutta</v>
      </c>
      <c r="N48" s="2" t="str">
        <f>_xlfn.XLOOKUP(Runge2[[#This Row],[Hebras]],TbTecnologia[Hebras],TbTecnologia[Tecnología])</f>
        <v>OMP</v>
      </c>
      <c r="O48" s="4" t="str" cm="1">
        <f t="array" ref="O48">_xlfn.XLOOKUP(Runge2[[#This Row],[Tecnología]]&amp;Runge2[[#This Row],[Metodo]],TbTipos[Tecnología]&amp;TbTipos[Metodo],TbTipos[Tipo])</f>
        <v>OMP Elementos</v>
      </c>
      <c r="P48" s="4" t="str" cm="1">
        <f t="array" ref="P48">_xlfn.XLOOKUP(Runge2[[#This Row],[Tecnología]]&amp;Runge2[[#This Row],[Problema]],TbNombres[Tecnología]&amp;TbNombres[Problema],TbNombres[Nombre])</f>
        <v>Advdiff1d</v>
      </c>
      <c r="Q48" s="4">
        <v>2</v>
      </c>
      <c r="R48" s="4">
        <v>2</v>
      </c>
      <c r="S48" s="4">
        <v>16</v>
      </c>
      <c r="T48" s="4">
        <v>2000</v>
      </c>
      <c r="U48" s="4">
        <v>2000</v>
      </c>
      <c r="V48" s="4">
        <v>28.653700000000001</v>
      </c>
      <c r="X48" s="2" t="str">
        <f>_xlfn.XLOOKUP(Runge3[[#This Row],[Metodo]],TbSolver[Metodo],TbSolver[Solver])</f>
        <v>Runge Kutta</v>
      </c>
      <c r="Y48" s="2" t="str">
        <f>_xlfn.XLOOKUP(Runge3[[#This Row],[Hebras]],TbTecnologia[Hebras],TbTecnologia[Tecnología])</f>
        <v>OMP</v>
      </c>
      <c r="Z48" s="2" t="str" cm="1">
        <f t="array" ref="Z48">_xlfn.XLOOKUP(Runge3[[#This Row],[Tecnología]]&amp;Runge3[[#This Row],[Metodo]],TbTipos[Tecnología]&amp;TbTipos[Metodo],TbTipos[Tipo])</f>
        <v>OMP Elementos</v>
      </c>
      <c r="AA48" s="2" t="str" cm="1">
        <f t="array" ref="AA48">_xlfn.XLOOKUP(Runge3[[#This Row],[Tecnología]]&amp;Runge3[[#This Row],[Problema]],TbNombres[Tecnología]&amp;TbNombres[Problema],TbNombres[Nombre])</f>
        <v>Brusselator1d</v>
      </c>
      <c r="AB48" s="2">
        <v>2</v>
      </c>
      <c r="AC48" s="2">
        <v>3</v>
      </c>
      <c r="AD48" s="2">
        <v>16</v>
      </c>
      <c r="AE48" s="2">
        <v>500</v>
      </c>
      <c r="AF48" s="2">
        <v>1000</v>
      </c>
      <c r="AG48" s="2">
        <v>15.1356</v>
      </c>
      <c r="AI48" s="2" t="str">
        <f>_xlfn.XLOOKUP(Runge4[[#This Row],[Metodo]],TbSolver[Metodo],TbSolver[Solver])</f>
        <v>Runge Kutta</v>
      </c>
      <c r="AJ48" s="2" t="str">
        <f>_xlfn.XLOOKUP(Runge4[[#This Row],[Hebras]],TbTecnologia[Hebras],TbTecnologia[Tecnología])</f>
        <v>OMP</v>
      </c>
      <c r="AK4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48" s="4" t="str" cm="1">
        <f t="array" ref="AL48">_xlfn.XLOOKUP(Runge4[[#This Row],[Tecnología]]&amp;Runge4[[#This Row],[Problema]],TbNombres[Tecnología]&amp;TbNombres[Problema],TbNombres[Nombre])</f>
        <v>Brusselator2d</v>
      </c>
      <c r="AM48" s="4">
        <v>2</v>
      </c>
      <c r="AN48" s="4">
        <v>4</v>
      </c>
      <c r="AO48" s="4">
        <v>4</v>
      </c>
      <c r="AP48" s="4">
        <v>125</v>
      </c>
      <c r="AQ48" s="4">
        <v>31250</v>
      </c>
      <c r="AR48" s="4">
        <v>451.32799999999997</v>
      </c>
    </row>
    <row r="49" spans="2:44" x14ac:dyDescent="0.2">
      <c r="B49" s="1" t="str">
        <f>_xlfn.XLOOKUP(Runge1[[#This Row],[Metodo]],TbSolver[Metodo],TbSolver[Solver])</f>
        <v>Runge Kutta</v>
      </c>
      <c r="C49" s="1" t="str">
        <f>_xlfn.XLOOKUP(Runge1[[#This Row],[Hebras]],TbTecnologia[Hebras],TbTecnologia[Tecnología])</f>
        <v>CUDA</v>
      </c>
      <c r="D49" s="1" t="str" cm="1">
        <f t="array" ref="D49">_xlfn.XLOOKUP(Runge1[[#This Row],[Tecnología]]&amp;Runge1[[#This Row],[Metodo]],TbTipos[Tecnología]&amp;TbTipos[Metodo],TbTipos[Tipo])</f>
        <v>CUDA con graph</v>
      </c>
      <c r="E49" s="1" t="str" cm="1">
        <f t="array" ref="E49">_xlfn.XLOOKUP(Runge1[[#This Row],[Tecnología]]&amp;Runge1[[#This Row],[Problema]],TbNombres[Tecnología]&amp;TbNombres[Problema],TbNombres[Nombre])</f>
        <v>Simple Advdiff shuffle</v>
      </c>
      <c r="F49" s="1">
        <v>2</v>
      </c>
      <c r="G49" s="1">
        <v>2</v>
      </c>
      <c r="H49" s="1">
        <v>256</v>
      </c>
      <c r="I49" s="1">
        <v>2000</v>
      </c>
      <c r="J49" s="1">
        <v>2000</v>
      </c>
      <c r="K49" s="1">
        <v>12.8325</v>
      </c>
      <c r="M49" s="2" t="str">
        <f>_xlfn.XLOOKUP(Runge2[[#This Row],[Metodo]],TbSolver[Metodo],TbSolver[Solver])</f>
        <v>Runge Kutta</v>
      </c>
      <c r="N49" s="2" t="str">
        <f>_xlfn.XLOOKUP(Runge2[[#This Row],[Hebras]],TbTecnologia[Hebras],TbTecnologia[Tecnología])</f>
        <v>CUDA</v>
      </c>
      <c r="O49" s="2" t="str" cm="1">
        <f t="array" ref="O49">_xlfn.XLOOKUP(Runge2[[#This Row],[Tecnología]]&amp;Runge2[[#This Row],[Metodo]],TbTipos[Tecnología]&amp;TbTipos[Metodo],TbTipos[Tipo])</f>
        <v>CUDA con graph</v>
      </c>
      <c r="P49" s="2" t="str" cm="1">
        <f t="array" ref="P49">_xlfn.XLOOKUP(Runge2[[#This Row],[Tecnología]]&amp;Runge2[[#This Row],[Problema]],TbNombres[Tecnología]&amp;TbNombres[Problema],TbNombres[Nombre])</f>
        <v>Advdiff1d shuffle</v>
      </c>
      <c r="Q49" s="2">
        <v>2</v>
      </c>
      <c r="R49" s="2">
        <v>4</v>
      </c>
      <c r="S49" s="2">
        <v>256</v>
      </c>
      <c r="T49" s="2">
        <v>2000</v>
      </c>
      <c r="U49" s="2">
        <v>2000</v>
      </c>
      <c r="V49" s="2">
        <v>29.2395</v>
      </c>
      <c r="X49" s="2" t="str">
        <f>_xlfn.XLOOKUP(Runge3[[#This Row],[Metodo]],TbSolver[Metodo],TbSolver[Solver])</f>
        <v>Runge Kutta</v>
      </c>
      <c r="Y49" s="2" t="str">
        <f>_xlfn.XLOOKUP(Runge3[[#This Row],[Hebras]],TbTecnologia[Hebras],TbTecnologia[Tecnología])</f>
        <v>CUDA</v>
      </c>
      <c r="Z49" s="2" t="str" cm="1">
        <f t="array" ref="Z49">_xlfn.XLOOKUP(Runge3[[#This Row],[Tecnología]]&amp;Runge3[[#This Row],[Metodo]],TbTipos[Tecnología]&amp;TbTipos[Metodo],TbTipos[Tipo])</f>
        <v>CUDA sin graph</v>
      </c>
      <c r="AA49" s="2" t="str" cm="1">
        <f t="array" ref="AA49">_xlfn.XLOOKUP(Runge3[[#This Row],[Tecnología]]&amp;Runge3[[#This Row],[Problema]],TbNombres[Tecnología]&amp;TbNombres[Problema],TbNombres[Nombre])</f>
        <v>Brusselator1d grid</v>
      </c>
      <c r="AB49" s="2">
        <v>1</v>
      </c>
      <c r="AC49" s="2">
        <v>7</v>
      </c>
      <c r="AD49" s="2">
        <v>256</v>
      </c>
      <c r="AE49" s="2">
        <v>500</v>
      </c>
      <c r="AF49" s="2">
        <v>1000</v>
      </c>
      <c r="AG49" s="2">
        <v>16.8781</v>
      </c>
      <c r="AI49" s="2" t="str">
        <f>_xlfn.XLOOKUP(Runge4[[#This Row],[Metodo]],TbSolver[Metodo],TbSolver[Solver])</f>
        <v>Runge Kutta</v>
      </c>
      <c r="AJ49" s="2" t="str">
        <f>_xlfn.XLOOKUP(Runge4[[#This Row],[Hebras]],TbTecnologia[Hebras],TbTecnologia[Tecnología])</f>
        <v>OMP</v>
      </c>
      <c r="AK4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49" s="4" t="str" cm="1">
        <f t="array" ref="AL49">_xlfn.XLOOKUP(Runge4[[#This Row],[Tecnología]]&amp;Runge4[[#This Row],[Problema]],TbNombres[Tecnología]&amp;TbNombres[Problema],TbNombres[Nombre])</f>
        <v>Brusselator2d</v>
      </c>
      <c r="AM49" s="4">
        <v>1</v>
      </c>
      <c r="AN49" s="4">
        <v>4</v>
      </c>
      <c r="AO49" s="4">
        <v>1</v>
      </c>
      <c r="AP49" s="4">
        <v>125</v>
      </c>
      <c r="AQ49" s="4">
        <v>31250</v>
      </c>
      <c r="AR49" s="4">
        <v>650.47500000000002</v>
      </c>
    </row>
    <row r="50" spans="2:44" x14ac:dyDescent="0.2">
      <c r="B50" s="1" t="str">
        <f>_xlfn.XLOOKUP(Runge1[[#This Row],[Metodo]],TbSolver[Metodo],TbSolver[Solver])</f>
        <v>Runge Kutta</v>
      </c>
      <c r="C50" s="1" t="str">
        <f>_xlfn.XLOOKUP(Runge1[[#This Row],[Hebras]],TbTecnologia[Hebras],TbTecnologia[Tecnología])</f>
        <v>CUDA</v>
      </c>
      <c r="D50" s="1" t="str" cm="1">
        <f t="array" ref="D50">_xlfn.XLOOKUP(Runge1[[#This Row],[Tecnología]]&amp;Runge1[[#This Row],[Metodo]],TbTipos[Tecnología]&amp;TbTipos[Metodo],TbTipos[Tipo])</f>
        <v>CUDA sin graph</v>
      </c>
      <c r="E50" s="1" t="str" cm="1">
        <f t="array" ref="E50">_xlfn.XLOOKUP(Runge1[[#This Row],[Tecnología]]&amp;Runge1[[#This Row],[Problema]],TbNombres[Tecnología]&amp;TbNombres[Problema],TbNombres[Nombre])</f>
        <v>Simple Advdiff</v>
      </c>
      <c r="F50" s="1">
        <v>1</v>
      </c>
      <c r="G50" s="1">
        <v>1</v>
      </c>
      <c r="H50" s="1">
        <v>256</v>
      </c>
      <c r="I50" s="1">
        <v>2000</v>
      </c>
      <c r="J50" s="1">
        <v>2000</v>
      </c>
      <c r="K50" s="1">
        <v>16.205400000000001</v>
      </c>
      <c r="M50" s="2" t="str">
        <f>_xlfn.XLOOKUP(Runge2[[#This Row],[Metodo]],TbSolver[Metodo],TbSolver[Solver])</f>
        <v>Runge Kutta</v>
      </c>
      <c r="N50" s="2" t="str">
        <f>_xlfn.XLOOKUP(Runge2[[#This Row],[Hebras]],TbTecnologia[Hebras],TbTecnologia[Tecnología])</f>
        <v>CUDA</v>
      </c>
      <c r="O50" s="2" t="str" cm="1">
        <f t="array" ref="O50">_xlfn.XLOOKUP(Runge2[[#This Row],[Tecnología]]&amp;Runge2[[#This Row],[Metodo]],TbTipos[Tecnología]&amp;TbTipos[Metodo],TbTipos[Tipo])</f>
        <v>CUDA sin graph</v>
      </c>
      <c r="P50" s="2" t="str" cm="1">
        <f t="array" ref="P50">_xlfn.XLOOKUP(Runge2[[#This Row],[Tecnología]]&amp;Runge2[[#This Row],[Problema]],TbNombres[Tecnología]&amp;TbNombres[Problema],TbNombres[Nombre])</f>
        <v>Advdiff1d</v>
      </c>
      <c r="Q50" s="2">
        <v>1</v>
      </c>
      <c r="R50" s="2">
        <v>3</v>
      </c>
      <c r="S50" s="2">
        <v>256</v>
      </c>
      <c r="T50" s="2">
        <v>2000</v>
      </c>
      <c r="U50" s="2">
        <v>2000</v>
      </c>
      <c r="V50" s="2">
        <v>31.2256</v>
      </c>
      <c r="X50" s="2" t="str">
        <f>_xlfn.XLOOKUP(Runge3[[#This Row],[Metodo]],TbSolver[Metodo],TbSolver[Solver])</f>
        <v>Runge Kutta</v>
      </c>
      <c r="Y50" s="2" t="str">
        <f>_xlfn.XLOOKUP(Runge3[[#This Row],[Hebras]],TbTecnologia[Hebras],TbTecnologia[Tecnología])</f>
        <v>CUDA</v>
      </c>
      <c r="Z50" s="2" t="str" cm="1">
        <f t="array" ref="Z50">_xlfn.XLOOKUP(Runge3[[#This Row],[Tecnología]]&amp;Runge3[[#This Row],[Metodo]],TbTipos[Tecnología]&amp;TbTipos[Metodo],TbTipos[Tipo])</f>
        <v>CUDA sin graph</v>
      </c>
      <c r="AA50" s="2" t="str" cm="1">
        <f t="array" ref="AA50">_xlfn.XLOOKUP(Runge3[[#This Row],[Tecnología]]&amp;Runge3[[#This Row],[Problema]],TbNombres[Tecnología]&amp;TbNombres[Problema],TbNombres[Nombre])</f>
        <v>Brusselator1d shuffle</v>
      </c>
      <c r="AB50" s="2">
        <v>1</v>
      </c>
      <c r="AC50" s="2">
        <v>6</v>
      </c>
      <c r="AD50" s="2">
        <v>256</v>
      </c>
      <c r="AE50" s="2">
        <v>500</v>
      </c>
      <c r="AF50" s="2">
        <v>1000</v>
      </c>
      <c r="AG50" s="2">
        <v>16.9712</v>
      </c>
      <c r="AI50" s="2" t="str">
        <f>_xlfn.XLOOKUP(Runge4[[#This Row],[Metodo]],TbSolver[Metodo],TbSolver[Solver])</f>
        <v>Runge Kutta</v>
      </c>
      <c r="AJ50" s="2" t="str">
        <f>_xlfn.XLOOKUP(Runge4[[#This Row],[Hebras]],TbTecnologia[Hebras],TbTecnologia[Tecnología])</f>
        <v>OMP</v>
      </c>
      <c r="AK5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50" s="4" t="str" cm="1">
        <f t="array" ref="AL50">_xlfn.XLOOKUP(Runge4[[#This Row],[Tecnología]]&amp;Runge4[[#This Row],[Problema]],TbNombres[Tecnología]&amp;TbNombres[Problema],TbNombres[Nombre])</f>
        <v>Brusselator2d</v>
      </c>
      <c r="AM50" s="4">
        <v>2</v>
      </c>
      <c r="AN50" s="4">
        <v>4</v>
      </c>
      <c r="AO50" s="4">
        <v>1</v>
      </c>
      <c r="AP50" s="4">
        <v>125</v>
      </c>
      <c r="AQ50" s="4">
        <v>31250</v>
      </c>
      <c r="AR50" s="4">
        <v>1683.63</v>
      </c>
    </row>
    <row r="51" spans="2:44" x14ac:dyDescent="0.2">
      <c r="B51" s="1" t="str">
        <f>_xlfn.XLOOKUP(Runge1[[#This Row],[Metodo]],TbSolver[Metodo],TbSolver[Solver])</f>
        <v>Runge Kutta</v>
      </c>
      <c r="C51" s="1" t="str">
        <f>_xlfn.XLOOKUP(Runge1[[#This Row],[Hebras]],TbTecnologia[Hebras],TbTecnologia[Tecnología])</f>
        <v>CUDA</v>
      </c>
      <c r="D51" s="1" t="str" cm="1">
        <f t="array" ref="D51">_xlfn.XLOOKUP(Runge1[[#This Row],[Tecnología]]&amp;Runge1[[#This Row],[Metodo]],TbTipos[Tecnología]&amp;TbTipos[Metodo],TbTipos[Tipo])</f>
        <v>CUDA sin graph</v>
      </c>
      <c r="E51" s="1" t="str" cm="1">
        <f t="array" ref="E51">_xlfn.XLOOKUP(Runge1[[#This Row],[Tecnología]]&amp;Runge1[[#This Row],[Problema]],TbNombres[Tecnología]&amp;TbNombres[Problema],TbNombres[Nombre])</f>
        <v>Simple Advdiff shuffle</v>
      </c>
      <c r="F51" s="1">
        <v>1</v>
      </c>
      <c r="G51" s="1">
        <v>2</v>
      </c>
      <c r="H51" s="1">
        <v>256</v>
      </c>
      <c r="I51" s="1">
        <v>2000</v>
      </c>
      <c r="J51" s="1">
        <v>2000</v>
      </c>
      <c r="K51" s="1">
        <v>17.6327</v>
      </c>
      <c r="M51" s="2" t="str">
        <f>_xlfn.XLOOKUP(Runge2[[#This Row],[Metodo]],TbSolver[Metodo],TbSolver[Solver])</f>
        <v>Runge Kutta</v>
      </c>
      <c r="N51" s="2" t="str">
        <f>_xlfn.XLOOKUP(Runge2[[#This Row],[Hebras]],TbTecnologia[Hebras],TbTecnologia[Tecnología])</f>
        <v>CUDA</v>
      </c>
      <c r="O51" s="2" t="str" cm="1">
        <f t="array" ref="O51">_xlfn.XLOOKUP(Runge2[[#This Row],[Tecnología]]&amp;Runge2[[#This Row],[Metodo]],TbTipos[Tecnología]&amp;TbTipos[Metodo],TbTipos[Tipo])</f>
        <v>CUDA sin graph</v>
      </c>
      <c r="P51" s="2" t="str" cm="1">
        <f t="array" ref="P51">_xlfn.XLOOKUP(Runge2[[#This Row],[Tecnología]]&amp;Runge2[[#This Row],[Problema]],TbNombres[Tecnología]&amp;TbNombres[Problema],TbNombres[Nombre])</f>
        <v>Advdiff1d shuffle</v>
      </c>
      <c r="Q51" s="2">
        <v>1</v>
      </c>
      <c r="R51" s="2">
        <v>4</v>
      </c>
      <c r="S51" s="2">
        <v>256</v>
      </c>
      <c r="T51" s="2">
        <v>2000</v>
      </c>
      <c r="U51" s="2">
        <v>2000</v>
      </c>
      <c r="V51" s="2">
        <v>32.1464</v>
      </c>
      <c r="X51" s="2" t="str">
        <f>_xlfn.XLOOKUP(Runge3[[#This Row],[Metodo]],TbSolver[Metodo],TbSolver[Solver])</f>
        <v>Runge Kutta</v>
      </c>
      <c r="Y51" s="2" t="str">
        <f>_xlfn.XLOOKUP(Runge3[[#This Row],[Hebras]],TbTecnologia[Hebras],TbTecnologia[Tecnología])</f>
        <v>CUDA</v>
      </c>
      <c r="Z51" s="2" t="str" cm="1">
        <f t="array" ref="Z51">_xlfn.XLOOKUP(Runge3[[#This Row],[Tecnología]]&amp;Runge3[[#This Row],[Metodo]],TbTipos[Tecnología]&amp;TbTipos[Metodo],TbTipos[Tipo])</f>
        <v>CUDA sin graph</v>
      </c>
      <c r="AA51" s="2" t="str" cm="1">
        <f t="array" ref="AA51">_xlfn.XLOOKUP(Runge3[[#This Row],[Tecnología]]&amp;Runge3[[#This Row],[Problema]],TbNombres[Tecnología]&amp;TbNombres[Problema],TbNombres[Nombre])</f>
        <v>Brusselator1d</v>
      </c>
      <c r="AB51" s="2">
        <v>1</v>
      </c>
      <c r="AC51" s="2">
        <v>5</v>
      </c>
      <c r="AD51" s="2">
        <v>256</v>
      </c>
      <c r="AE51" s="2">
        <v>500</v>
      </c>
      <c r="AF51" s="2">
        <v>1000</v>
      </c>
      <c r="AG51" s="2">
        <v>17.084399999999999</v>
      </c>
      <c r="AI51" s="2" t="str">
        <f>_xlfn.XLOOKUP(Runge4[[#This Row],[Metodo]],TbSolver[Metodo],TbSolver[Solver])</f>
        <v>Runge Kutta</v>
      </c>
      <c r="AJ51" s="2" t="str">
        <f>_xlfn.XLOOKUP(Runge4[[#This Row],[Hebras]],TbTecnologia[Hebras],TbTecnologia[Tecnología])</f>
        <v>CUDA</v>
      </c>
      <c r="AK5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51" s="4" t="str" cm="1">
        <f t="array" ref="AL51">_xlfn.XLOOKUP(Runge4[[#This Row],[Tecnología]]&amp;Runge4[[#This Row],[Problema]],TbNombres[Tecnología]&amp;TbNombres[Problema],TbNombres[Nombre])</f>
        <v>Brusselator2d</v>
      </c>
      <c r="AM51" s="21">
        <v>2</v>
      </c>
      <c r="AN51" s="21">
        <v>8</v>
      </c>
      <c r="AO51" s="21">
        <v>256</v>
      </c>
      <c r="AP51" s="21">
        <v>150</v>
      </c>
      <c r="AQ51" s="21">
        <v>45000</v>
      </c>
      <c r="AR51" s="21">
        <v>33.9236</v>
      </c>
    </row>
    <row r="52" spans="2:44" x14ac:dyDescent="0.2">
      <c r="B52" s="1" t="str">
        <f>_xlfn.XLOOKUP(Runge1[[#This Row],[Metodo]],TbSolver[Metodo],TbSolver[Solver])</f>
        <v>Runge Kutta</v>
      </c>
      <c r="C52" s="1" t="str">
        <f>_xlfn.XLOOKUP(Runge1[[#This Row],[Hebras]],TbTecnologia[Hebras],TbTecnologia[Tecnología])</f>
        <v>OMP</v>
      </c>
      <c r="D52" s="1" t="str" cm="1">
        <f t="array" ref="D52">_xlfn.XLOOKUP(Runge1[[#This Row],[Tecnología]]&amp;Runge1[[#This Row],[Metodo]],TbTipos[Tecnología]&amp;TbTipos[Metodo],TbTipos[Tipo])</f>
        <v>OMP Elementos</v>
      </c>
      <c r="E52" s="1" t="str" cm="1">
        <f t="array" ref="E52">_xlfn.XLOOKUP(Runge1[[#This Row],[Tecnología]]&amp;Runge1[[#This Row],[Problema]],TbNombres[Tecnología]&amp;TbNombres[Problema],TbNombres[Nombre])</f>
        <v>Simple Advdiff</v>
      </c>
      <c r="F52" s="17">
        <v>2</v>
      </c>
      <c r="G52" s="17">
        <v>1</v>
      </c>
      <c r="H52" s="17">
        <v>16</v>
      </c>
      <c r="I52" s="17">
        <v>2000</v>
      </c>
      <c r="J52" s="17">
        <v>2000</v>
      </c>
      <c r="K52" s="17">
        <v>18.5932</v>
      </c>
      <c r="M52" s="2" t="str">
        <f>_xlfn.XLOOKUP(Runge2[[#This Row],[Metodo]],TbSolver[Metodo],TbSolver[Solver])</f>
        <v>Runge Kutta</v>
      </c>
      <c r="N52" s="2" t="str">
        <f>_xlfn.XLOOKUP(Runge2[[#This Row],[Hebras]],TbTecnologia[Hebras],TbTecnologia[Tecnología])</f>
        <v>OMP</v>
      </c>
      <c r="O52" s="4" t="str" cm="1">
        <f t="array" ref="O52">_xlfn.XLOOKUP(Runge2[[#This Row],[Tecnología]]&amp;Runge2[[#This Row],[Metodo]],TbTipos[Tecnología]&amp;TbTipos[Metodo],TbTipos[Tipo])</f>
        <v>OMP Elementos</v>
      </c>
      <c r="P52" s="4" t="str" cm="1">
        <f t="array" ref="P52">_xlfn.XLOOKUP(Runge2[[#This Row],[Tecnología]]&amp;Runge2[[#This Row],[Problema]],TbNombres[Tecnología]&amp;TbNombres[Problema],TbNombres[Nombre])</f>
        <v>Advdiff1d</v>
      </c>
      <c r="Q52" s="4">
        <v>2</v>
      </c>
      <c r="R52" s="4">
        <v>2</v>
      </c>
      <c r="S52" s="4">
        <v>4</v>
      </c>
      <c r="T52" s="4">
        <v>2000</v>
      </c>
      <c r="U52" s="4">
        <v>2000</v>
      </c>
      <c r="V52" s="4">
        <v>68.4422</v>
      </c>
      <c r="X52" s="2" t="str">
        <f>_xlfn.XLOOKUP(Runge3[[#This Row],[Metodo]],TbSolver[Metodo],TbSolver[Solver])</f>
        <v>Runge Kutta</v>
      </c>
      <c r="Y52" s="2" t="str">
        <f>_xlfn.XLOOKUP(Runge3[[#This Row],[Hebras]],TbTecnologia[Hebras],TbTecnologia[Tecnología])</f>
        <v>OMP</v>
      </c>
      <c r="Z52" s="2" t="str" cm="1">
        <f t="array" ref="Z52">_xlfn.XLOOKUP(Runge3[[#This Row],[Tecnología]]&amp;Runge3[[#This Row],[Metodo]],TbTipos[Tecnología]&amp;TbTipos[Metodo],TbTipos[Tipo])</f>
        <v>OMP Elementos</v>
      </c>
      <c r="AA52" s="2" t="str" cm="1">
        <f t="array" ref="AA52">_xlfn.XLOOKUP(Runge3[[#This Row],[Tecnología]]&amp;Runge3[[#This Row],[Problema]],TbNombres[Tecnología]&amp;TbNombres[Problema],TbNombres[Nombre])</f>
        <v>Brusselator1d</v>
      </c>
      <c r="AB52" s="2">
        <v>2</v>
      </c>
      <c r="AC52" s="2">
        <v>3</v>
      </c>
      <c r="AD52" s="2">
        <v>1</v>
      </c>
      <c r="AE52" s="2">
        <v>500</v>
      </c>
      <c r="AF52" s="2">
        <v>1000</v>
      </c>
      <c r="AG52" s="2">
        <v>24.2197</v>
      </c>
      <c r="AI52" s="2" t="str">
        <f>_xlfn.XLOOKUP(Runge4[[#This Row],[Metodo]],TbSolver[Metodo],TbSolver[Solver])</f>
        <v>Runge Kutta</v>
      </c>
      <c r="AJ52" s="2" t="str">
        <f>_xlfn.XLOOKUP(Runge4[[#This Row],[Hebras]],TbTecnologia[Hebras],TbTecnologia[Tecnología])</f>
        <v>CUDA</v>
      </c>
      <c r="AK5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52" s="4" t="str" cm="1">
        <f t="array" ref="AL52">_xlfn.XLOOKUP(Runge4[[#This Row],[Tecnología]]&amp;Runge4[[#This Row],[Problema]],TbNombres[Tecnología]&amp;TbNombres[Problema],TbNombres[Nombre])</f>
        <v>Brusselator2d</v>
      </c>
      <c r="AM52" s="21">
        <v>1</v>
      </c>
      <c r="AN52" s="21">
        <v>8</v>
      </c>
      <c r="AO52" s="21">
        <v>256</v>
      </c>
      <c r="AP52" s="21">
        <v>150</v>
      </c>
      <c r="AQ52" s="21">
        <v>45000</v>
      </c>
      <c r="AR52" s="21">
        <v>36.383000000000003</v>
      </c>
    </row>
    <row r="53" spans="2:44" x14ac:dyDescent="0.2">
      <c r="B53" s="1" t="str">
        <f>_xlfn.XLOOKUP(Runge1[[#This Row],[Metodo]],TbSolver[Metodo],TbSolver[Solver])</f>
        <v>Runge Kutta</v>
      </c>
      <c r="C53" s="1" t="str">
        <f>_xlfn.XLOOKUP(Runge1[[#This Row],[Hebras]],TbTecnologia[Hebras],TbTecnologia[Tecnología])</f>
        <v>OMP</v>
      </c>
      <c r="D53" s="1" t="str" cm="1">
        <f t="array" ref="D53">_xlfn.XLOOKUP(Runge1[[#This Row],[Tecnología]]&amp;Runge1[[#This Row],[Metodo]],TbTipos[Tecnología]&amp;TbTipos[Metodo],TbTipos[Tipo])</f>
        <v>OMP Elementos</v>
      </c>
      <c r="E53" s="1" t="str" cm="1">
        <f t="array" ref="E53">_xlfn.XLOOKUP(Runge1[[#This Row],[Tecnología]]&amp;Runge1[[#This Row],[Problema]],TbNombres[Tecnología]&amp;TbNombres[Problema],TbNombres[Nombre])</f>
        <v>Simple Advdiff</v>
      </c>
      <c r="F53" s="17">
        <v>2</v>
      </c>
      <c r="G53" s="17">
        <v>1</v>
      </c>
      <c r="H53" s="17">
        <v>4</v>
      </c>
      <c r="I53" s="17">
        <v>2000</v>
      </c>
      <c r="J53" s="17">
        <v>2000</v>
      </c>
      <c r="K53" s="17">
        <v>21.409400000000002</v>
      </c>
      <c r="M53" s="2" t="str">
        <f>_xlfn.XLOOKUP(Runge2[[#This Row],[Metodo]],TbSolver[Metodo],TbSolver[Solver])</f>
        <v>Runge Kutta</v>
      </c>
      <c r="N53" s="2" t="str">
        <f>_xlfn.XLOOKUP(Runge2[[#This Row],[Hebras]],TbTecnologia[Hebras],TbTecnologia[Tecnología])</f>
        <v>OMP</v>
      </c>
      <c r="O53" s="4" t="str" cm="1">
        <f t="array" ref="O53">_xlfn.XLOOKUP(Runge2[[#This Row],[Tecnología]]&amp;Runge2[[#This Row],[Metodo]],TbTipos[Tecnología]&amp;TbTipos[Metodo],TbTipos[Tipo])</f>
        <v>OMP Operaciones</v>
      </c>
      <c r="P53" s="4" t="str" cm="1">
        <f t="array" ref="P53">_xlfn.XLOOKUP(Runge2[[#This Row],[Tecnología]]&amp;Runge2[[#This Row],[Problema]],TbNombres[Tecnología]&amp;TbNombres[Problema],TbNombres[Nombre])</f>
        <v>Advdiff1d</v>
      </c>
      <c r="Q53" s="4">
        <v>1</v>
      </c>
      <c r="R53" s="4">
        <v>2</v>
      </c>
      <c r="S53" s="4">
        <v>4</v>
      </c>
      <c r="T53" s="4">
        <v>2000</v>
      </c>
      <c r="U53" s="4">
        <v>2000</v>
      </c>
      <c r="V53" s="4">
        <v>85.378799999999998</v>
      </c>
      <c r="X53" s="2" t="str">
        <f>_xlfn.XLOOKUP(Runge3[[#This Row],[Metodo]],TbSolver[Metodo],TbSolver[Solver])</f>
        <v>Runge Kutta</v>
      </c>
      <c r="Y53" s="2" t="str">
        <f>_xlfn.XLOOKUP(Runge3[[#This Row],[Hebras]],TbTecnologia[Hebras],TbTecnologia[Tecnología])</f>
        <v>OMP</v>
      </c>
      <c r="Z53" s="2" t="str" cm="1">
        <f t="array" ref="Z53">_xlfn.XLOOKUP(Runge3[[#This Row],[Tecnología]]&amp;Runge3[[#This Row],[Metodo]],TbTipos[Tecnología]&amp;TbTipos[Metodo],TbTipos[Tipo])</f>
        <v>OMP Operaciones</v>
      </c>
      <c r="AA53" s="2" t="str" cm="1">
        <f t="array" ref="AA53">_xlfn.XLOOKUP(Runge3[[#This Row],[Tecnología]]&amp;Runge3[[#This Row],[Problema]],TbNombres[Tecnología]&amp;TbNombres[Problema],TbNombres[Nombre])</f>
        <v>Brusselator1d</v>
      </c>
      <c r="AB53" s="2">
        <v>1</v>
      </c>
      <c r="AC53" s="2">
        <v>3</v>
      </c>
      <c r="AD53" s="2">
        <v>4</v>
      </c>
      <c r="AE53" s="2">
        <v>500</v>
      </c>
      <c r="AF53" s="2">
        <v>1000</v>
      </c>
      <c r="AG53" s="2">
        <v>36.987299999999998</v>
      </c>
      <c r="AI53" s="4" t="str">
        <f>_xlfn.XLOOKUP(Runge4[[#This Row],[Metodo]],TbSolver[Metodo],TbSolver[Solver])</f>
        <v>Runge Kutta</v>
      </c>
      <c r="AJ53" s="4" t="str">
        <f>_xlfn.XLOOKUP(Runge4[[#This Row],[Hebras]],TbTecnologia[Hebras],TbTecnologia[Tecnología])</f>
        <v>OMP</v>
      </c>
      <c r="AK5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53" s="4" t="str" cm="1">
        <f t="array" ref="AL53">_xlfn.XLOOKUP(Runge4[[#This Row],[Tecnología]]&amp;Runge4[[#This Row],[Problema]],TbNombres[Tecnología]&amp;TbNombres[Problema],TbNombres[Nombre])</f>
        <v>Brusselator2d</v>
      </c>
      <c r="AM53" s="4">
        <v>1</v>
      </c>
      <c r="AN53" s="4">
        <v>4</v>
      </c>
      <c r="AO53" s="4">
        <v>16</v>
      </c>
      <c r="AP53" s="4">
        <v>150</v>
      </c>
      <c r="AQ53" s="4">
        <v>45000</v>
      </c>
      <c r="AR53" s="4">
        <v>140.703</v>
      </c>
    </row>
    <row r="54" spans="2:44" x14ac:dyDescent="0.2">
      <c r="B54" s="1" t="str">
        <f>_xlfn.XLOOKUP(Runge1[[#This Row],[Metodo]],TbSolver[Metodo],TbSolver[Solver])</f>
        <v>Runge Kutta</v>
      </c>
      <c r="C54" s="1" t="str">
        <f>_xlfn.XLOOKUP(Runge1[[#This Row],[Hebras]],TbTecnologia[Hebras],TbTecnologia[Tecnología])</f>
        <v>OMP</v>
      </c>
      <c r="D54" s="1" t="str" cm="1">
        <f t="array" ref="D54">_xlfn.XLOOKUP(Runge1[[#This Row],[Tecnología]]&amp;Runge1[[#This Row],[Metodo]],TbTipos[Tecnología]&amp;TbTipos[Metodo],TbTipos[Tipo])</f>
        <v>OMP Operaciones</v>
      </c>
      <c r="E54" s="1" t="str" cm="1">
        <f t="array" ref="E54">_xlfn.XLOOKUP(Runge1[[#This Row],[Tecnología]]&amp;Runge1[[#This Row],[Problema]],TbNombres[Tecnología]&amp;TbNombres[Problema],TbNombres[Nombre])</f>
        <v>Simple Advdiff</v>
      </c>
      <c r="F54" s="17">
        <v>1</v>
      </c>
      <c r="G54" s="17">
        <v>1</v>
      </c>
      <c r="H54" s="17">
        <v>4</v>
      </c>
      <c r="I54" s="17">
        <v>2000</v>
      </c>
      <c r="J54" s="17">
        <v>2000</v>
      </c>
      <c r="K54" s="17">
        <v>26.4908</v>
      </c>
      <c r="M54" s="2" t="str">
        <f>_xlfn.XLOOKUP(Runge2[[#This Row],[Metodo]],TbSolver[Metodo],TbSolver[Solver])</f>
        <v>Runge Kutta</v>
      </c>
      <c r="N54" s="2" t="str">
        <f>_xlfn.XLOOKUP(Runge2[[#This Row],[Hebras]],TbTecnologia[Hebras],TbTecnologia[Tecnología])</f>
        <v>OMP</v>
      </c>
      <c r="O54" s="4" t="str" cm="1">
        <f t="array" ref="O54">_xlfn.XLOOKUP(Runge2[[#This Row],[Tecnología]]&amp;Runge2[[#This Row],[Metodo]],TbTipos[Tecnología]&amp;TbTipos[Metodo],TbTipos[Tipo])</f>
        <v>OMP Operaciones</v>
      </c>
      <c r="P54" s="4" t="str" cm="1">
        <f t="array" ref="P54">_xlfn.XLOOKUP(Runge2[[#This Row],[Tecnología]]&amp;Runge2[[#This Row],[Problema]],TbNombres[Tecnología]&amp;TbNombres[Problema],TbNombres[Nombre])</f>
        <v>Advdiff1d</v>
      </c>
      <c r="Q54" s="4">
        <v>1</v>
      </c>
      <c r="R54" s="4">
        <v>2</v>
      </c>
      <c r="S54" s="4">
        <v>16</v>
      </c>
      <c r="T54" s="4">
        <v>2000</v>
      </c>
      <c r="U54" s="4">
        <v>2000</v>
      </c>
      <c r="V54" s="4">
        <v>98.411199999999994</v>
      </c>
      <c r="X54" s="2" t="str">
        <f>_xlfn.XLOOKUP(Runge3[[#This Row],[Metodo]],TbSolver[Metodo],TbSolver[Solver])</f>
        <v>Runge Kutta</v>
      </c>
      <c r="Y54" s="2" t="str">
        <f>_xlfn.XLOOKUP(Runge3[[#This Row],[Hebras]],TbTecnologia[Hebras],TbTecnologia[Tecnología])</f>
        <v>OMP</v>
      </c>
      <c r="Z54" s="2" t="str" cm="1">
        <f t="array" ref="Z54">_xlfn.XLOOKUP(Runge3[[#This Row],[Tecnología]]&amp;Runge3[[#This Row],[Metodo]],TbTipos[Tecnología]&amp;TbTipos[Metodo],TbTipos[Tipo])</f>
        <v>OMP Operaciones</v>
      </c>
      <c r="AA54" s="2" t="str" cm="1">
        <f t="array" ref="AA54">_xlfn.XLOOKUP(Runge3[[#This Row],[Tecnología]]&amp;Runge3[[#This Row],[Problema]],TbNombres[Tecnología]&amp;TbNombres[Problema],TbNombres[Nombre])</f>
        <v>Brusselator1d</v>
      </c>
      <c r="AB54" s="2">
        <v>1</v>
      </c>
      <c r="AC54" s="2">
        <v>3</v>
      </c>
      <c r="AD54" s="2">
        <v>16</v>
      </c>
      <c r="AE54" s="2">
        <v>500</v>
      </c>
      <c r="AF54" s="2">
        <v>1000</v>
      </c>
      <c r="AG54" s="2">
        <v>91.450400000000002</v>
      </c>
      <c r="AI54" s="4" t="str">
        <f>_xlfn.XLOOKUP(Runge4[[#This Row],[Metodo]],TbSolver[Metodo],TbSolver[Solver])</f>
        <v>Runge Kutta</v>
      </c>
      <c r="AJ54" s="4" t="str">
        <f>_xlfn.XLOOKUP(Runge4[[#This Row],[Hebras]],TbTecnologia[Hebras],TbTecnologia[Tecnología])</f>
        <v>OMP</v>
      </c>
      <c r="AK5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54" s="4" t="str" cm="1">
        <f t="array" ref="AL54">_xlfn.XLOOKUP(Runge4[[#This Row],[Tecnología]]&amp;Runge4[[#This Row],[Problema]],TbNombres[Tecnología]&amp;TbNombres[Problema],TbNombres[Nombre])</f>
        <v>Brusselator2d</v>
      </c>
      <c r="AM54" s="4">
        <v>2</v>
      </c>
      <c r="AN54" s="4">
        <v>4</v>
      </c>
      <c r="AO54" s="4">
        <v>16</v>
      </c>
      <c r="AP54" s="4">
        <v>150</v>
      </c>
      <c r="AQ54" s="4">
        <v>45000</v>
      </c>
      <c r="AR54" s="4">
        <v>189.822</v>
      </c>
    </row>
    <row r="55" spans="2:44" x14ac:dyDescent="0.2">
      <c r="B55" s="1" t="str">
        <f>_xlfn.XLOOKUP(Runge1[[#This Row],[Metodo]],TbSolver[Metodo],TbSolver[Solver])</f>
        <v>Runge Kutta</v>
      </c>
      <c r="C55" s="1" t="str">
        <f>_xlfn.XLOOKUP(Runge1[[#This Row],[Hebras]],TbTecnologia[Hebras],TbTecnologia[Tecnología])</f>
        <v>OMP</v>
      </c>
      <c r="D55" s="1" t="str" cm="1">
        <f t="array" ref="D55">_xlfn.XLOOKUP(Runge1[[#This Row],[Tecnología]]&amp;Runge1[[#This Row],[Metodo]],TbTipos[Tecnología]&amp;TbTipos[Metodo],TbTipos[Tipo])</f>
        <v>OMP Operaciones</v>
      </c>
      <c r="E55" s="1" t="str" cm="1">
        <f t="array" ref="E55">_xlfn.XLOOKUP(Runge1[[#This Row],[Tecnología]]&amp;Runge1[[#This Row],[Problema]],TbNombres[Tecnología]&amp;TbNombres[Problema],TbNombres[Nombre])</f>
        <v>Simple Advdiff</v>
      </c>
      <c r="F55" s="17">
        <v>1</v>
      </c>
      <c r="G55" s="17">
        <v>1</v>
      </c>
      <c r="H55" s="17">
        <v>16</v>
      </c>
      <c r="I55" s="17">
        <v>2000</v>
      </c>
      <c r="J55" s="17">
        <v>2000</v>
      </c>
      <c r="K55" s="17">
        <v>59.838799999999999</v>
      </c>
      <c r="M55" s="2" t="str">
        <f>_xlfn.XLOOKUP(Runge2[[#This Row],[Metodo]],TbSolver[Metodo],TbSolver[Solver])</f>
        <v>Runge Kutta</v>
      </c>
      <c r="N55" s="2" t="str">
        <f>_xlfn.XLOOKUP(Runge2[[#This Row],[Hebras]],TbTecnologia[Hebras],TbTecnologia[Tecnología])</f>
        <v>OMP</v>
      </c>
      <c r="O55" s="4" t="str" cm="1">
        <f t="array" ref="O55">_xlfn.XLOOKUP(Runge2[[#This Row],[Tecnología]]&amp;Runge2[[#This Row],[Metodo]],TbTipos[Tecnología]&amp;TbTipos[Metodo],TbTipos[Tipo])</f>
        <v>OMP Operaciones</v>
      </c>
      <c r="P55" s="4" t="str" cm="1">
        <f t="array" ref="P55">_xlfn.XLOOKUP(Runge2[[#This Row],[Tecnología]]&amp;Runge2[[#This Row],[Problema]],TbNombres[Tecnología]&amp;TbNombres[Problema],TbNombres[Nombre])</f>
        <v>Advdiff1d</v>
      </c>
      <c r="Q55" s="4">
        <v>1</v>
      </c>
      <c r="R55" s="4">
        <v>2</v>
      </c>
      <c r="S55" s="4">
        <v>1</v>
      </c>
      <c r="T55" s="4">
        <v>2000</v>
      </c>
      <c r="U55" s="4">
        <v>2000</v>
      </c>
      <c r="V55" s="4">
        <v>178.887</v>
      </c>
      <c r="X55" s="2" t="str">
        <f>_xlfn.XLOOKUP(Runge3[[#This Row],[Metodo]],TbSolver[Metodo],TbSolver[Solver])</f>
        <v>Runge Kutta</v>
      </c>
      <c r="Y55" s="2" t="str">
        <f>_xlfn.XLOOKUP(Runge3[[#This Row],[Hebras]],TbTecnologia[Hebras],TbTecnologia[Tecnología])</f>
        <v>CUDA</v>
      </c>
      <c r="Z55" s="2" t="str" cm="1">
        <f t="array" ref="Z55">_xlfn.XLOOKUP(Runge3[[#This Row],[Tecnología]]&amp;Runge3[[#This Row],[Metodo]],TbTipos[Tecnología]&amp;TbTipos[Metodo],TbTipos[Tipo])</f>
        <v>CUDA con graph</v>
      </c>
      <c r="AA55" s="2" t="str" cm="1">
        <f t="array" ref="AA55">_xlfn.XLOOKUP(Runge3[[#This Row],[Tecnología]]&amp;Runge3[[#This Row],[Problema]],TbNombres[Tecnología]&amp;TbNombres[Problema],TbNombres[Nombre])</f>
        <v>Brusselator1d</v>
      </c>
      <c r="AB55" s="2">
        <v>2</v>
      </c>
      <c r="AC55" s="2">
        <v>5</v>
      </c>
      <c r="AD55" s="2">
        <v>256</v>
      </c>
      <c r="AE55" s="2">
        <v>1000</v>
      </c>
      <c r="AF55" s="2">
        <v>2000</v>
      </c>
      <c r="AG55" s="2">
        <v>13.797800000000001</v>
      </c>
      <c r="AI55" s="4" t="str">
        <f>_xlfn.XLOOKUP(Runge4[[#This Row],[Metodo]],TbSolver[Metodo],TbSolver[Solver])</f>
        <v>Runge Kutta</v>
      </c>
      <c r="AJ55" s="4" t="str">
        <f>_xlfn.XLOOKUP(Runge4[[#This Row],[Hebras]],TbTecnologia[Hebras],TbTecnologia[Tecnología])</f>
        <v>OMP</v>
      </c>
      <c r="AK5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55" s="4" t="str" cm="1">
        <f t="array" ref="AL55">_xlfn.XLOOKUP(Runge4[[#This Row],[Tecnología]]&amp;Runge4[[#This Row],[Problema]],TbNombres[Tecnología]&amp;TbNombres[Problema],TbNombres[Nombre])</f>
        <v>Brusselator2d</v>
      </c>
      <c r="AM55" s="4">
        <v>1</v>
      </c>
      <c r="AN55" s="4">
        <v>4</v>
      </c>
      <c r="AO55" s="4">
        <v>4</v>
      </c>
      <c r="AP55" s="4">
        <v>150</v>
      </c>
      <c r="AQ55" s="4">
        <v>45000</v>
      </c>
      <c r="AR55" s="4">
        <v>270.86099999999999</v>
      </c>
    </row>
    <row r="56" spans="2:44" x14ac:dyDescent="0.2">
      <c r="B56" s="1" t="str">
        <f>_xlfn.XLOOKUP(Runge1[[#This Row],[Metodo]],TbSolver[Metodo],TbSolver[Solver])</f>
        <v>Runge Kutta</v>
      </c>
      <c r="C56" s="1" t="str">
        <f>_xlfn.XLOOKUP(Runge1[[#This Row],[Hebras]],TbTecnologia[Hebras],TbTecnologia[Tecnología])</f>
        <v>OMP</v>
      </c>
      <c r="D56" s="1" t="str" cm="1">
        <f t="array" ref="D56">_xlfn.XLOOKUP(Runge1[[#This Row],[Tecnología]]&amp;Runge1[[#This Row],[Metodo]],TbTipos[Tecnología]&amp;TbTipos[Metodo],TbTipos[Tipo])</f>
        <v>OMP Elementos</v>
      </c>
      <c r="E56" s="1" t="str" cm="1">
        <f t="array" ref="E56">_xlfn.XLOOKUP(Runge1[[#This Row],[Tecnología]]&amp;Runge1[[#This Row],[Problema]],TbNombres[Tecnología]&amp;TbNombres[Problema],TbNombres[Nombre])</f>
        <v>Simple Advdiff</v>
      </c>
      <c r="F56" s="17">
        <v>2</v>
      </c>
      <c r="G56" s="17">
        <v>1</v>
      </c>
      <c r="H56" s="17">
        <v>1</v>
      </c>
      <c r="I56" s="17">
        <v>2000</v>
      </c>
      <c r="J56" s="17">
        <v>2000</v>
      </c>
      <c r="K56" s="17">
        <v>61.594099999999997</v>
      </c>
      <c r="M56" s="2" t="str">
        <f>_xlfn.XLOOKUP(Runge2[[#This Row],[Metodo]],TbSolver[Metodo],TbSolver[Solver])</f>
        <v>Runge Kutta</v>
      </c>
      <c r="N56" s="2" t="str">
        <f>_xlfn.XLOOKUP(Runge2[[#This Row],[Hebras]],TbTecnologia[Hebras],TbTecnologia[Tecnología])</f>
        <v>OMP</v>
      </c>
      <c r="O56" s="4" t="str" cm="1">
        <f t="array" ref="O56">_xlfn.XLOOKUP(Runge2[[#This Row],[Tecnología]]&amp;Runge2[[#This Row],[Metodo]],TbTipos[Tecnología]&amp;TbTipos[Metodo],TbTipos[Tipo])</f>
        <v>OMP Elementos</v>
      </c>
      <c r="P56" s="4" t="str" cm="1">
        <f t="array" ref="P56">_xlfn.XLOOKUP(Runge2[[#This Row],[Tecnología]]&amp;Runge2[[#This Row],[Problema]],TbNombres[Tecnología]&amp;TbNombres[Problema],TbNombres[Nombre])</f>
        <v>Advdiff1d</v>
      </c>
      <c r="Q56" s="4">
        <v>2</v>
      </c>
      <c r="R56" s="4">
        <v>2</v>
      </c>
      <c r="S56" s="4">
        <v>1</v>
      </c>
      <c r="T56" s="4">
        <v>2000</v>
      </c>
      <c r="U56" s="4">
        <v>2000</v>
      </c>
      <c r="V56" s="4">
        <v>231.09399999999999</v>
      </c>
      <c r="X56" s="2" t="str">
        <f>_xlfn.XLOOKUP(Runge3[[#This Row],[Metodo]],TbSolver[Metodo],TbSolver[Solver])</f>
        <v>Runge Kutta</v>
      </c>
      <c r="Y56" s="2" t="str">
        <f>_xlfn.XLOOKUP(Runge3[[#This Row],[Hebras]],TbTecnologia[Hebras],TbTecnologia[Tecnología])</f>
        <v>CUDA</v>
      </c>
      <c r="Z56" s="2" t="str" cm="1">
        <f t="array" ref="Z56">_xlfn.XLOOKUP(Runge3[[#This Row],[Tecnología]]&amp;Runge3[[#This Row],[Metodo]],TbTipos[Tecnología]&amp;TbTipos[Metodo],TbTipos[Tipo])</f>
        <v>CUDA con graph</v>
      </c>
      <c r="AA56" s="2" t="str" cm="1">
        <f t="array" ref="AA56">_xlfn.XLOOKUP(Runge3[[#This Row],[Tecnología]]&amp;Runge3[[#This Row],[Problema]],TbNombres[Tecnología]&amp;TbNombres[Problema],TbNombres[Nombre])</f>
        <v>Brusselator1d grid</v>
      </c>
      <c r="AB56" s="2">
        <v>2</v>
      </c>
      <c r="AC56" s="2">
        <v>7</v>
      </c>
      <c r="AD56" s="2">
        <v>256</v>
      </c>
      <c r="AE56" s="2">
        <v>1000</v>
      </c>
      <c r="AF56" s="2">
        <v>2000</v>
      </c>
      <c r="AG56" s="2">
        <v>13.9056</v>
      </c>
      <c r="AI56" s="4" t="str">
        <f>_xlfn.XLOOKUP(Runge4[[#This Row],[Metodo]],TbSolver[Metodo],TbSolver[Solver])</f>
        <v>Runge Kutta</v>
      </c>
      <c r="AJ56" s="4" t="str">
        <f>_xlfn.XLOOKUP(Runge4[[#This Row],[Hebras]],TbTecnologia[Hebras],TbTecnologia[Tecnología])</f>
        <v>OMP</v>
      </c>
      <c r="AK5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56" s="4" t="str" cm="1">
        <f t="array" ref="AL56">_xlfn.XLOOKUP(Runge4[[#This Row],[Tecnología]]&amp;Runge4[[#This Row],[Problema]],TbNombres[Tecnología]&amp;TbNombres[Problema],TbNombres[Nombre])</f>
        <v>Brusselator2d</v>
      </c>
      <c r="AM56" s="4">
        <v>2</v>
      </c>
      <c r="AN56" s="4">
        <v>4</v>
      </c>
      <c r="AO56" s="4">
        <v>4</v>
      </c>
      <c r="AP56" s="4">
        <v>150</v>
      </c>
      <c r="AQ56" s="4">
        <v>45000</v>
      </c>
      <c r="AR56" s="4">
        <v>646.80999999999995</v>
      </c>
    </row>
    <row r="57" spans="2:44" x14ac:dyDescent="0.2">
      <c r="B57" s="1" t="str">
        <f>_xlfn.XLOOKUP(Runge1[[#This Row],[Metodo]],TbSolver[Metodo],TbSolver[Solver])</f>
        <v>Runge Kutta</v>
      </c>
      <c r="C57" s="1" t="str">
        <f>_xlfn.XLOOKUP(Runge1[[#This Row],[Hebras]],TbTecnologia[Hebras],TbTecnologia[Tecnología])</f>
        <v>CUDA</v>
      </c>
      <c r="D57" s="1" t="str" cm="1">
        <f t="array" ref="D57">_xlfn.XLOOKUP(Runge1[[#This Row],[Tecnología]]&amp;Runge1[[#This Row],[Metodo]],TbTipos[Tecnología]&amp;TbTipos[Metodo],TbTipos[Tipo])</f>
        <v>CUDA con graph</v>
      </c>
      <c r="E57" s="1" t="str" cm="1">
        <f t="array" ref="E57">_xlfn.XLOOKUP(Runge1[[#This Row],[Tecnología]]&amp;Runge1[[#This Row],[Problema]],TbNombres[Tecnología]&amp;TbNombres[Problema],TbNombres[Nombre])</f>
        <v>Simple Advdiff shuffle</v>
      </c>
      <c r="F57" s="1">
        <v>2</v>
      </c>
      <c r="G57" s="1">
        <v>2</v>
      </c>
      <c r="H57" s="1">
        <v>256</v>
      </c>
      <c r="I57" s="1">
        <v>5000</v>
      </c>
      <c r="J57" s="1">
        <v>5000</v>
      </c>
      <c r="K57" s="1">
        <v>13.033099999999999</v>
      </c>
      <c r="M57" s="2" t="str">
        <f>_xlfn.XLOOKUP(Runge2[[#This Row],[Metodo]],TbSolver[Metodo],TbSolver[Solver])</f>
        <v>Runge Kutta</v>
      </c>
      <c r="N57" s="2" t="str">
        <f>_xlfn.XLOOKUP(Runge2[[#This Row],[Hebras]],TbTecnologia[Hebras],TbTecnologia[Tecnología])</f>
        <v>CUDA</v>
      </c>
      <c r="O57" s="2" t="str" cm="1">
        <f t="array" ref="O57">_xlfn.XLOOKUP(Runge2[[#This Row],[Tecnología]]&amp;Runge2[[#This Row],[Metodo]],TbTipos[Tecnología]&amp;TbTipos[Metodo],TbTipos[Tipo])</f>
        <v>CUDA con graph</v>
      </c>
      <c r="P57" s="2" t="str" cm="1">
        <f t="array" ref="P57">_xlfn.XLOOKUP(Runge2[[#This Row],[Tecnología]]&amp;Runge2[[#This Row],[Problema]],TbNombres[Tecnología]&amp;TbNombres[Problema],TbNombres[Nombre])</f>
        <v>Advdiff1d</v>
      </c>
      <c r="Q57" s="2">
        <v>2</v>
      </c>
      <c r="R57" s="2">
        <v>3</v>
      </c>
      <c r="S57" s="2">
        <v>256</v>
      </c>
      <c r="T57" s="2">
        <v>5000</v>
      </c>
      <c r="U57" s="2">
        <v>5000</v>
      </c>
      <c r="V57" s="2">
        <v>28.538799999999998</v>
      </c>
      <c r="X57" s="2" t="str">
        <f>_xlfn.XLOOKUP(Runge3[[#This Row],[Metodo]],TbSolver[Metodo],TbSolver[Solver])</f>
        <v>Runge Kutta</v>
      </c>
      <c r="Y57" s="2" t="str">
        <f>_xlfn.XLOOKUP(Runge3[[#This Row],[Hebras]],TbTecnologia[Hebras],TbTecnologia[Tecnología])</f>
        <v>CUDA</v>
      </c>
      <c r="Z57" s="2" t="str" cm="1">
        <f t="array" ref="Z57">_xlfn.XLOOKUP(Runge3[[#This Row],[Tecnología]]&amp;Runge3[[#This Row],[Metodo]],TbTipos[Tecnología]&amp;TbTipos[Metodo],TbTipos[Tipo])</f>
        <v>CUDA con graph</v>
      </c>
      <c r="AA57" s="2" t="str" cm="1">
        <f t="array" ref="AA57">_xlfn.XLOOKUP(Runge3[[#This Row],[Tecnología]]&amp;Runge3[[#This Row],[Problema]],TbNombres[Tecnología]&amp;TbNombres[Problema],TbNombres[Nombre])</f>
        <v>Brusselator1d shuffle</v>
      </c>
      <c r="AB57" s="2">
        <v>2</v>
      </c>
      <c r="AC57" s="2">
        <v>6</v>
      </c>
      <c r="AD57" s="2">
        <v>256</v>
      </c>
      <c r="AE57" s="2">
        <v>1000</v>
      </c>
      <c r="AF57" s="2">
        <v>2000</v>
      </c>
      <c r="AG57" s="2">
        <v>13.928100000000001</v>
      </c>
      <c r="AI57" s="4" t="str">
        <f>_xlfn.XLOOKUP(Runge4[[#This Row],[Metodo]],TbSolver[Metodo],TbSolver[Solver])</f>
        <v>Runge Kutta</v>
      </c>
      <c r="AJ57" s="4" t="str">
        <f>_xlfn.XLOOKUP(Runge4[[#This Row],[Hebras]],TbTecnologia[Hebras],TbTecnologia[Tecnología])</f>
        <v>OMP</v>
      </c>
      <c r="AK5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57" s="4" t="str" cm="1">
        <f t="array" ref="AL57">_xlfn.XLOOKUP(Runge4[[#This Row],[Tecnología]]&amp;Runge4[[#This Row],[Problema]],TbNombres[Tecnología]&amp;TbNombres[Problema],TbNombres[Nombre])</f>
        <v>Brusselator2d</v>
      </c>
      <c r="AM57" s="4">
        <v>1</v>
      </c>
      <c r="AN57" s="4">
        <v>4</v>
      </c>
      <c r="AO57" s="4">
        <v>1</v>
      </c>
      <c r="AP57" s="4">
        <v>150</v>
      </c>
      <c r="AQ57" s="4">
        <v>45000</v>
      </c>
      <c r="AR57" s="4">
        <v>963.83900000000006</v>
      </c>
    </row>
    <row r="58" spans="2:44" x14ac:dyDescent="0.2">
      <c r="B58" s="1" t="str">
        <f>_xlfn.XLOOKUP(Runge1[[#This Row],[Metodo]],TbSolver[Metodo],TbSolver[Solver])</f>
        <v>Runge Kutta</v>
      </c>
      <c r="C58" s="1" t="str">
        <f>_xlfn.XLOOKUP(Runge1[[#This Row],[Hebras]],TbTecnologia[Hebras],TbTecnologia[Tecnología])</f>
        <v>CUDA</v>
      </c>
      <c r="D58" s="1" t="str" cm="1">
        <f t="array" ref="D58">_xlfn.XLOOKUP(Runge1[[#This Row],[Tecnología]]&amp;Runge1[[#This Row],[Metodo]],TbTipos[Tecnología]&amp;TbTipos[Metodo],TbTipos[Tipo])</f>
        <v>CUDA con graph</v>
      </c>
      <c r="E58" s="1" t="str" cm="1">
        <f t="array" ref="E58">_xlfn.XLOOKUP(Runge1[[#This Row],[Tecnología]]&amp;Runge1[[#This Row],[Problema]],TbNombres[Tecnología]&amp;TbNombres[Problema],TbNombres[Nombre])</f>
        <v>Simple Advdiff</v>
      </c>
      <c r="F58" s="1">
        <v>2</v>
      </c>
      <c r="G58" s="1">
        <v>1</v>
      </c>
      <c r="H58" s="1">
        <v>256</v>
      </c>
      <c r="I58" s="1">
        <v>5000</v>
      </c>
      <c r="J58" s="1">
        <v>5000</v>
      </c>
      <c r="K58" s="1">
        <v>13.042</v>
      </c>
      <c r="M58" s="2" t="str">
        <f>_xlfn.XLOOKUP(Runge2[[#This Row],[Metodo]],TbSolver[Metodo],TbSolver[Solver])</f>
        <v>Runge Kutta</v>
      </c>
      <c r="N58" s="2" t="str">
        <f>_xlfn.XLOOKUP(Runge2[[#This Row],[Hebras]],TbTecnologia[Hebras],TbTecnologia[Tecnología])</f>
        <v>CUDA</v>
      </c>
      <c r="O58" s="2" t="str" cm="1">
        <f t="array" ref="O58">_xlfn.XLOOKUP(Runge2[[#This Row],[Tecnología]]&amp;Runge2[[#This Row],[Metodo]],TbTipos[Tecnología]&amp;TbTipos[Metodo],TbTipos[Tipo])</f>
        <v>CUDA con graph</v>
      </c>
      <c r="P58" s="2" t="str" cm="1">
        <f t="array" ref="P58">_xlfn.XLOOKUP(Runge2[[#This Row],[Tecnología]]&amp;Runge2[[#This Row],[Problema]],TbNombres[Tecnología]&amp;TbNombres[Problema],TbNombres[Nombre])</f>
        <v>Advdiff1d shuffle</v>
      </c>
      <c r="Q58" s="2">
        <v>2</v>
      </c>
      <c r="R58" s="2">
        <v>4</v>
      </c>
      <c r="S58" s="2">
        <v>256</v>
      </c>
      <c r="T58" s="2">
        <v>5000</v>
      </c>
      <c r="U58" s="2">
        <v>5000</v>
      </c>
      <c r="V58" s="2">
        <v>29.455300000000001</v>
      </c>
      <c r="X58" s="2" t="str">
        <f>_xlfn.XLOOKUP(Runge3[[#This Row],[Metodo]],TbSolver[Metodo],TbSolver[Solver])</f>
        <v>Runge Kutta</v>
      </c>
      <c r="Y58" s="2" t="str">
        <f>_xlfn.XLOOKUP(Runge3[[#This Row],[Hebras]],TbTecnologia[Hebras],TbTecnologia[Tecnología])</f>
        <v>CUDA</v>
      </c>
      <c r="Z58" s="2" t="str" cm="1">
        <f t="array" ref="Z58">_xlfn.XLOOKUP(Runge3[[#This Row],[Tecnología]]&amp;Runge3[[#This Row],[Metodo]],TbTipos[Tecnología]&amp;TbTipos[Metodo],TbTipos[Tipo])</f>
        <v>CUDA sin graph</v>
      </c>
      <c r="AA58" s="2" t="str" cm="1">
        <f t="array" ref="AA58">_xlfn.XLOOKUP(Runge3[[#This Row],[Tecnología]]&amp;Runge3[[#This Row],[Problema]],TbNombres[Tecnología]&amp;TbNombres[Problema],TbNombres[Nombre])</f>
        <v>Brusselator1d grid</v>
      </c>
      <c r="AB58" s="2">
        <v>1</v>
      </c>
      <c r="AC58" s="2">
        <v>7</v>
      </c>
      <c r="AD58" s="2">
        <v>256</v>
      </c>
      <c r="AE58" s="2">
        <v>1000</v>
      </c>
      <c r="AF58" s="2">
        <v>2000</v>
      </c>
      <c r="AG58" s="2">
        <v>16.9695</v>
      </c>
      <c r="AI58" s="4" t="str">
        <f>_xlfn.XLOOKUP(Runge4[[#This Row],[Metodo]],TbSolver[Metodo],TbSolver[Solver])</f>
        <v>Runge Kutta</v>
      </c>
      <c r="AJ58" s="4" t="str">
        <f>_xlfn.XLOOKUP(Runge4[[#This Row],[Hebras]],TbTecnologia[Hebras],TbTecnologia[Tecnología])</f>
        <v>OMP</v>
      </c>
      <c r="AK5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58" s="4" t="str" cm="1">
        <f t="array" ref="AL58">_xlfn.XLOOKUP(Runge4[[#This Row],[Tecnología]]&amp;Runge4[[#This Row],[Problema]],TbNombres[Tecnología]&amp;TbNombres[Problema],TbNombres[Nombre])</f>
        <v>Brusselator2d</v>
      </c>
      <c r="AM58" s="4">
        <v>2</v>
      </c>
      <c r="AN58" s="4">
        <v>4</v>
      </c>
      <c r="AO58" s="4">
        <v>1</v>
      </c>
      <c r="AP58" s="4">
        <v>150</v>
      </c>
      <c r="AQ58" s="4">
        <v>45000</v>
      </c>
      <c r="AR58" s="4">
        <v>2420.3200000000002</v>
      </c>
    </row>
    <row r="59" spans="2:44" x14ac:dyDescent="0.2">
      <c r="B59" s="1" t="str">
        <f>_xlfn.XLOOKUP(Runge1[[#This Row],[Metodo]],TbSolver[Metodo],TbSolver[Solver])</f>
        <v>Runge Kutta</v>
      </c>
      <c r="C59" s="1" t="str">
        <f>_xlfn.XLOOKUP(Runge1[[#This Row],[Hebras]],TbTecnologia[Hebras],TbTecnologia[Tecnología])</f>
        <v>CUDA</v>
      </c>
      <c r="D59" s="1" t="str" cm="1">
        <f t="array" ref="D59">_xlfn.XLOOKUP(Runge1[[#This Row],[Tecnología]]&amp;Runge1[[#This Row],[Metodo]],TbTipos[Tecnología]&amp;TbTipos[Metodo],TbTipos[Tipo])</f>
        <v>CUDA sin graph</v>
      </c>
      <c r="E59" s="1" t="str" cm="1">
        <f t="array" ref="E59">_xlfn.XLOOKUP(Runge1[[#This Row],[Tecnología]]&amp;Runge1[[#This Row],[Problema]],TbNombres[Tecnología]&amp;TbNombres[Problema],TbNombres[Nombre])</f>
        <v>Simple Advdiff</v>
      </c>
      <c r="F59" s="1">
        <v>1</v>
      </c>
      <c r="G59" s="1">
        <v>1</v>
      </c>
      <c r="H59" s="1">
        <v>256</v>
      </c>
      <c r="I59" s="1">
        <v>5000</v>
      </c>
      <c r="J59" s="1">
        <v>5000</v>
      </c>
      <c r="K59" s="1">
        <v>16.254300000000001</v>
      </c>
      <c r="M59" s="2" t="str">
        <f>_xlfn.XLOOKUP(Runge2[[#This Row],[Metodo]],TbSolver[Metodo],TbSolver[Solver])</f>
        <v>Runge Kutta</v>
      </c>
      <c r="N59" s="2" t="str">
        <f>_xlfn.XLOOKUP(Runge2[[#This Row],[Hebras]],TbTecnologia[Hebras],TbTecnologia[Tecnología])</f>
        <v>CUDA</v>
      </c>
      <c r="O59" s="2" t="str" cm="1">
        <f t="array" ref="O59">_xlfn.XLOOKUP(Runge2[[#This Row],[Tecnología]]&amp;Runge2[[#This Row],[Metodo]],TbTipos[Tecnología]&amp;TbTipos[Metodo],TbTipos[Tipo])</f>
        <v>CUDA sin graph</v>
      </c>
      <c r="P59" s="2" t="str" cm="1">
        <f t="array" ref="P59">_xlfn.XLOOKUP(Runge2[[#This Row],[Tecnología]]&amp;Runge2[[#This Row],[Problema]],TbNombres[Tecnología]&amp;TbNombres[Problema],TbNombres[Nombre])</f>
        <v>Advdiff1d</v>
      </c>
      <c r="Q59" s="2">
        <v>1</v>
      </c>
      <c r="R59" s="2">
        <v>3</v>
      </c>
      <c r="S59" s="2">
        <v>256</v>
      </c>
      <c r="T59" s="2">
        <v>5000</v>
      </c>
      <c r="U59" s="2">
        <v>5000</v>
      </c>
      <c r="V59" s="2">
        <v>31.218399999999999</v>
      </c>
      <c r="X59" s="2" t="str">
        <f>_xlfn.XLOOKUP(Runge3[[#This Row],[Metodo]],TbSolver[Metodo],TbSolver[Solver])</f>
        <v>Runge Kutta</v>
      </c>
      <c r="Y59" s="2" t="str">
        <f>_xlfn.XLOOKUP(Runge3[[#This Row],[Hebras]],TbTecnologia[Hebras],TbTecnologia[Tecnología])</f>
        <v>CUDA</v>
      </c>
      <c r="Z59" s="2" t="str" cm="1">
        <f t="array" ref="Z59">_xlfn.XLOOKUP(Runge3[[#This Row],[Tecnología]]&amp;Runge3[[#This Row],[Metodo]],TbTipos[Tecnología]&amp;TbTipos[Metodo],TbTipos[Tipo])</f>
        <v>CUDA sin graph</v>
      </c>
      <c r="AA59" s="2" t="str" cm="1">
        <f t="array" ref="AA59">_xlfn.XLOOKUP(Runge3[[#This Row],[Tecnología]]&amp;Runge3[[#This Row],[Problema]],TbNombres[Tecnología]&amp;TbNombres[Problema],TbNombres[Nombre])</f>
        <v>Brusselator1d shuffle</v>
      </c>
      <c r="AB59" s="2">
        <v>1</v>
      </c>
      <c r="AC59" s="2">
        <v>6</v>
      </c>
      <c r="AD59" s="2">
        <v>256</v>
      </c>
      <c r="AE59" s="2">
        <v>1000</v>
      </c>
      <c r="AF59" s="2">
        <v>2000</v>
      </c>
      <c r="AG59" s="2">
        <v>16.985800000000001</v>
      </c>
      <c r="AI59" s="2" t="str">
        <f>_xlfn.XLOOKUP(Runge4[[#This Row],[Metodo]],TbSolver[Metodo],TbSolver[Solver])</f>
        <v>Runge Kutta</v>
      </c>
      <c r="AJ59" s="2" t="str">
        <f>_xlfn.XLOOKUP(Runge4[[#This Row],[Hebras]],TbTecnologia[Hebras],TbTecnologia[Tecnología])</f>
        <v>CUDA</v>
      </c>
      <c r="AK5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59" s="4" t="str" cm="1">
        <f t="array" ref="AL59">_xlfn.XLOOKUP(Runge4[[#This Row],[Tecnología]]&amp;Runge4[[#This Row],[Problema]],TbNombres[Tecnología]&amp;TbNombres[Problema],TbNombres[Nombre])</f>
        <v>Brusselator2d</v>
      </c>
      <c r="AM59" s="21">
        <v>2</v>
      </c>
      <c r="AN59" s="21">
        <v>8</v>
      </c>
      <c r="AO59" s="21">
        <v>256</v>
      </c>
      <c r="AP59" s="21">
        <v>175</v>
      </c>
      <c r="AQ59" s="21">
        <v>61250</v>
      </c>
      <c r="AR59" s="21">
        <v>42.475999999999999</v>
      </c>
    </row>
    <row r="60" spans="2:44" x14ac:dyDescent="0.2">
      <c r="B60" s="1" t="str">
        <f>_xlfn.XLOOKUP(Runge1[[#This Row],[Metodo]],TbSolver[Metodo],TbSolver[Solver])</f>
        <v>Runge Kutta</v>
      </c>
      <c r="C60" s="1" t="str">
        <f>_xlfn.XLOOKUP(Runge1[[#This Row],[Hebras]],TbTecnologia[Hebras],TbTecnologia[Tecnología])</f>
        <v>CUDA</v>
      </c>
      <c r="D60" s="1" t="str" cm="1">
        <f t="array" ref="D60">_xlfn.XLOOKUP(Runge1[[#This Row],[Tecnología]]&amp;Runge1[[#This Row],[Metodo]],TbTipos[Tecnología]&amp;TbTipos[Metodo],TbTipos[Tipo])</f>
        <v>CUDA sin graph</v>
      </c>
      <c r="E60" s="1" t="str" cm="1">
        <f t="array" ref="E60">_xlfn.XLOOKUP(Runge1[[#This Row],[Tecnología]]&amp;Runge1[[#This Row],[Problema]],TbNombres[Tecnología]&amp;TbNombres[Problema],TbNombres[Nombre])</f>
        <v>Simple Advdiff shuffle</v>
      </c>
      <c r="F60" s="1">
        <v>1</v>
      </c>
      <c r="G60" s="1">
        <v>2</v>
      </c>
      <c r="H60" s="1">
        <v>256</v>
      </c>
      <c r="I60" s="1">
        <v>5000</v>
      </c>
      <c r="J60" s="1">
        <v>5000</v>
      </c>
      <c r="K60" s="1">
        <v>16.41</v>
      </c>
      <c r="M60" s="2" t="str">
        <f>_xlfn.XLOOKUP(Runge2[[#This Row],[Metodo]],TbSolver[Metodo],TbSolver[Solver])</f>
        <v>Runge Kutta</v>
      </c>
      <c r="N60" s="2" t="str">
        <f>_xlfn.XLOOKUP(Runge2[[#This Row],[Hebras]],TbTecnologia[Hebras],TbTecnologia[Tecnología])</f>
        <v>CUDA</v>
      </c>
      <c r="O60" s="2" t="str" cm="1">
        <f t="array" ref="O60">_xlfn.XLOOKUP(Runge2[[#This Row],[Tecnología]]&amp;Runge2[[#This Row],[Metodo]],TbTipos[Tecnología]&amp;TbTipos[Metodo],TbTipos[Tipo])</f>
        <v>CUDA sin graph</v>
      </c>
      <c r="P60" s="2" t="str" cm="1">
        <f t="array" ref="P60">_xlfn.XLOOKUP(Runge2[[#This Row],[Tecnología]]&amp;Runge2[[#This Row],[Problema]],TbNombres[Tecnología]&amp;TbNombres[Problema],TbNombres[Nombre])</f>
        <v>Advdiff1d shuffle</v>
      </c>
      <c r="Q60" s="2">
        <v>1</v>
      </c>
      <c r="R60" s="2">
        <v>4</v>
      </c>
      <c r="S60" s="2">
        <v>256</v>
      </c>
      <c r="T60" s="2">
        <v>5000</v>
      </c>
      <c r="U60" s="2">
        <v>5000</v>
      </c>
      <c r="V60" s="2">
        <v>32.3249</v>
      </c>
      <c r="X60" s="2" t="str">
        <f>_xlfn.XLOOKUP(Runge3[[#This Row],[Metodo]],TbSolver[Metodo],TbSolver[Solver])</f>
        <v>Runge Kutta</v>
      </c>
      <c r="Y60" s="2" t="str">
        <f>_xlfn.XLOOKUP(Runge3[[#This Row],[Hebras]],TbTecnologia[Hebras],TbTecnologia[Tecnología])</f>
        <v>CUDA</v>
      </c>
      <c r="Z60" s="2" t="str" cm="1">
        <f t="array" ref="Z60">_xlfn.XLOOKUP(Runge3[[#This Row],[Tecnología]]&amp;Runge3[[#This Row],[Metodo]],TbTipos[Tecnología]&amp;TbTipos[Metodo],TbTipos[Tipo])</f>
        <v>CUDA sin graph</v>
      </c>
      <c r="AA60" s="2" t="str" cm="1">
        <f t="array" ref="AA60">_xlfn.XLOOKUP(Runge3[[#This Row],[Tecnología]]&amp;Runge3[[#This Row],[Problema]],TbNombres[Tecnología]&amp;TbNombres[Problema],TbNombres[Nombre])</f>
        <v>Brusselator1d</v>
      </c>
      <c r="AB60" s="2">
        <v>1</v>
      </c>
      <c r="AC60" s="2">
        <v>5</v>
      </c>
      <c r="AD60" s="2">
        <v>256</v>
      </c>
      <c r="AE60" s="2">
        <v>1000</v>
      </c>
      <c r="AF60" s="2">
        <v>2000</v>
      </c>
      <c r="AG60" s="2">
        <v>17.097100000000001</v>
      </c>
      <c r="AI60" s="2" t="str">
        <f>_xlfn.XLOOKUP(Runge4[[#This Row],[Metodo]],TbSolver[Metodo],TbSolver[Solver])</f>
        <v>Runge Kutta</v>
      </c>
      <c r="AJ60" s="2" t="str">
        <f>_xlfn.XLOOKUP(Runge4[[#This Row],[Hebras]],TbTecnologia[Hebras],TbTecnologia[Tecnología])</f>
        <v>CUDA</v>
      </c>
      <c r="AK6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60" s="4" t="str" cm="1">
        <f t="array" ref="AL60">_xlfn.XLOOKUP(Runge4[[#This Row],[Tecnología]]&amp;Runge4[[#This Row],[Problema]],TbNombres[Tecnología]&amp;TbNombres[Problema],TbNombres[Nombre])</f>
        <v>Brusselator2d</v>
      </c>
      <c r="AM60" s="21">
        <v>1</v>
      </c>
      <c r="AN60" s="21">
        <v>8</v>
      </c>
      <c r="AO60" s="21">
        <v>256</v>
      </c>
      <c r="AP60" s="21">
        <v>175</v>
      </c>
      <c r="AQ60" s="21">
        <v>61250</v>
      </c>
      <c r="AR60" s="21">
        <v>44.959899999999998</v>
      </c>
    </row>
    <row r="61" spans="2:44" x14ac:dyDescent="0.2">
      <c r="B61" s="1" t="str">
        <f>_xlfn.XLOOKUP(Runge1[[#This Row],[Metodo]],TbSolver[Metodo],TbSolver[Solver])</f>
        <v>Runge Kutta</v>
      </c>
      <c r="C61" s="1" t="str">
        <f>_xlfn.XLOOKUP(Runge1[[#This Row],[Hebras]],TbTecnologia[Hebras],TbTecnologia[Tecnología])</f>
        <v>OMP</v>
      </c>
      <c r="D61" s="1" t="str" cm="1">
        <f t="array" ref="D61">_xlfn.XLOOKUP(Runge1[[#This Row],[Tecnología]]&amp;Runge1[[#This Row],[Metodo]],TbTipos[Tecnología]&amp;TbTipos[Metodo],TbTipos[Tipo])</f>
        <v>OMP Elementos</v>
      </c>
      <c r="E61" s="1" t="str" cm="1">
        <f t="array" ref="E61">_xlfn.XLOOKUP(Runge1[[#This Row],[Tecnología]]&amp;Runge1[[#This Row],[Problema]],TbNombres[Tecnología]&amp;TbNombres[Problema],TbNombres[Nombre])</f>
        <v>Simple Advdiff</v>
      </c>
      <c r="F61" s="17">
        <v>2</v>
      </c>
      <c r="G61" s="17">
        <v>1</v>
      </c>
      <c r="H61" s="17">
        <v>16</v>
      </c>
      <c r="I61" s="17">
        <v>5000</v>
      </c>
      <c r="J61" s="17">
        <v>5000</v>
      </c>
      <c r="K61" s="17">
        <v>24.156700000000001</v>
      </c>
      <c r="M61" s="2" t="str">
        <f>_xlfn.XLOOKUP(Runge2[[#This Row],[Metodo]],TbSolver[Metodo],TbSolver[Solver])</f>
        <v>Runge Kutta</v>
      </c>
      <c r="N61" s="2" t="str">
        <f>_xlfn.XLOOKUP(Runge2[[#This Row],[Hebras]],TbTecnologia[Hebras],TbTecnologia[Tecnología])</f>
        <v>OMP</v>
      </c>
      <c r="O61" s="4" t="str" cm="1">
        <f t="array" ref="O61">_xlfn.XLOOKUP(Runge2[[#This Row],[Tecnología]]&amp;Runge2[[#This Row],[Metodo]],TbTipos[Tecnología]&amp;TbTipos[Metodo],TbTipos[Tipo])</f>
        <v>OMP Elementos</v>
      </c>
      <c r="P61" s="4" t="str" cm="1">
        <f t="array" ref="P61">_xlfn.XLOOKUP(Runge2[[#This Row],[Tecnología]]&amp;Runge2[[#This Row],[Problema]],TbNombres[Tecnología]&amp;TbNombres[Problema],TbNombres[Nombre])</f>
        <v>Advdiff1d</v>
      </c>
      <c r="Q61" s="4">
        <v>2</v>
      </c>
      <c r="R61" s="4">
        <v>2</v>
      </c>
      <c r="S61" s="4">
        <v>16</v>
      </c>
      <c r="T61" s="4">
        <v>5000</v>
      </c>
      <c r="U61" s="4">
        <v>5000</v>
      </c>
      <c r="V61" s="4">
        <v>51.324300000000001</v>
      </c>
      <c r="X61" s="2" t="str">
        <f>_xlfn.XLOOKUP(Runge3[[#This Row],[Metodo]],TbSolver[Metodo],TbSolver[Solver])</f>
        <v>Runge Kutta</v>
      </c>
      <c r="Y61" s="2" t="str">
        <f>_xlfn.XLOOKUP(Runge3[[#This Row],[Hebras]],TbTecnologia[Hebras],TbTecnologia[Tecnología])</f>
        <v>OMP</v>
      </c>
      <c r="Z61" s="2" t="str" cm="1">
        <f t="array" ref="Z61">_xlfn.XLOOKUP(Runge3[[#This Row],[Tecnología]]&amp;Runge3[[#This Row],[Metodo]],TbTipos[Tecnología]&amp;TbTipos[Metodo],TbTipos[Tipo])</f>
        <v>OMP Elementos</v>
      </c>
      <c r="AA61" s="2" t="str" cm="1">
        <f t="array" ref="AA61">_xlfn.XLOOKUP(Runge3[[#This Row],[Tecnología]]&amp;Runge3[[#This Row],[Problema]],TbNombres[Tecnología]&amp;TbNombres[Problema],TbNombres[Nombre])</f>
        <v>Brusselator1d</v>
      </c>
      <c r="AB61" s="2">
        <v>2</v>
      </c>
      <c r="AC61" s="2">
        <v>3</v>
      </c>
      <c r="AD61" s="2">
        <v>4</v>
      </c>
      <c r="AE61" s="2">
        <v>1000</v>
      </c>
      <c r="AF61" s="2">
        <v>2000</v>
      </c>
      <c r="AG61" s="2">
        <v>17.784600000000001</v>
      </c>
      <c r="AI61" s="2" t="str">
        <f>_xlfn.XLOOKUP(Runge4[[#This Row],[Metodo]],TbSolver[Metodo],TbSolver[Solver])</f>
        <v>Runge Kutta</v>
      </c>
      <c r="AJ61" s="2" t="str">
        <f>_xlfn.XLOOKUP(Runge4[[#This Row],[Hebras]],TbTecnologia[Hebras],TbTecnologia[Tecnología])</f>
        <v>OMP</v>
      </c>
      <c r="AK6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61" s="4" t="str" cm="1">
        <f t="array" ref="AL61">_xlfn.XLOOKUP(Runge4[[#This Row],[Tecnología]]&amp;Runge4[[#This Row],[Problema]],TbNombres[Tecnología]&amp;TbNombres[Problema],TbNombres[Nombre])</f>
        <v>Brusselator2d</v>
      </c>
      <c r="AM61" s="4">
        <v>1</v>
      </c>
      <c r="AN61" s="4">
        <v>4</v>
      </c>
      <c r="AO61" s="4">
        <v>16</v>
      </c>
      <c r="AP61" s="4">
        <v>175</v>
      </c>
      <c r="AQ61" s="4">
        <v>61250</v>
      </c>
      <c r="AR61" s="4">
        <v>159.261</v>
      </c>
    </row>
    <row r="62" spans="2:44" x14ac:dyDescent="0.2">
      <c r="B62" s="1" t="str">
        <f>_xlfn.XLOOKUP(Runge1[[#This Row],[Metodo]],TbSolver[Metodo],TbSolver[Solver])</f>
        <v>Runge Kutta</v>
      </c>
      <c r="C62" s="1" t="str">
        <f>_xlfn.XLOOKUP(Runge1[[#This Row],[Hebras]],TbTecnologia[Hebras],TbTecnologia[Tecnología])</f>
        <v>OMP</v>
      </c>
      <c r="D62" s="1" t="str" cm="1">
        <f t="array" ref="D62">_xlfn.XLOOKUP(Runge1[[#This Row],[Tecnología]]&amp;Runge1[[#This Row],[Metodo]],TbTipos[Tecnología]&amp;TbTipos[Metodo],TbTipos[Tipo])</f>
        <v>OMP Operaciones</v>
      </c>
      <c r="E62" s="1" t="str" cm="1">
        <f t="array" ref="E62">_xlfn.XLOOKUP(Runge1[[#This Row],[Tecnología]]&amp;Runge1[[#This Row],[Problema]],TbNombres[Tecnología]&amp;TbNombres[Problema],TbNombres[Nombre])</f>
        <v>Simple Advdiff</v>
      </c>
      <c r="F62" s="17">
        <v>1</v>
      </c>
      <c r="G62" s="17">
        <v>1</v>
      </c>
      <c r="H62" s="17">
        <v>1</v>
      </c>
      <c r="I62" s="17">
        <v>5000</v>
      </c>
      <c r="J62" s="17">
        <v>5000</v>
      </c>
      <c r="K62" s="17">
        <v>27.7988</v>
      </c>
      <c r="M62" s="2" t="str">
        <f>_xlfn.XLOOKUP(Runge2[[#This Row],[Metodo]],TbSolver[Metodo],TbSolver[Solver])</f>
        <v>Runge Kutta</v>
      </c>
      <c r="N62" s="2" t="str">
        <f>_xlfn.XLOOKUP(Runge2[[#This Row],[Hebras]],TbTecnologia[Hebras],TbTecnologia[Tecnología])</f>
        <v>OMP</v>
      </c>
      <c r="O62" s="4" t="str" cm="1">
        <f t="array" ref="O62">_xlfn.XLOOKUP(Runge2[[#This Row],[Tecnología]]&amp;Runge2[[#This Row],[Metodo]],TbTipos[Tecnología]&amp;TbTipos[Metodo],TbTipos[Tipo])</f>
        <v>OMP Operaciones</v>
      </c>
      <c r="P62" s="4" t="str" cm="1">
        <f t="array" ref="P62">_xlfn.XLOOKUP(Runge2[[#This Row],[Tecnología]]&amp;Runge2[[#This Row],[Problema]],TbNombres[Tecnología]&amp;TbNombres[Problema],TbNombres[Nombre])</f>
        <v>Advdiff1d</v>
      </c>
      <c r="Q62" s="4">
        <v>1</v>
      </c>
      <c r="R62" s="4">
        <v>2</v>
      </c>
      <c r="S62" s="4">
        <v>16</v>
      </c>
      <c r="T62" s="4">
        <v>5000</v>
      </c>
      <c r="U62" s="4">
        <v>5000</v>
      </c>
      <c r="V62" s="4">
        <v>117.56100000000001</v>
      </c>
      <c r="X62" s="2" t="str">
        <f>_xlfn.XLOOKUP(Runge3[[#This Row],[Metodo]],TbSolver[Metodo],TbSolver[Solver])</f>
        <v>Runge Kutta</v>
      </c>
      <c r="Y62" s="2" t="str">
        <f>_xlfn.XLOOKUP(Runge3[[#This Row],[Hebras]],TbTecnologia[Hebras],TbTecnologia[Tecnología])</f>
        <v>OMP</v>
      </c>
      <c r="Z62" s="2" t="str" cm="1">
        <f t="array" ref="Z62">_xlfn.XLOOKUP(Runge3[[#This Row],[Tecnología]]&amp;Runge3[[#This Row],[Metodo]],TbTipos[Tecnología]&amp;TbTipos[Metodo],TbTipos[Tipo])</f>
        <v>OMP Elementos</v>
      </c>
      <c r="AA62" s="2" t="str" cm="1">
        <f t="array" ref="AA62">_xlfn.XLOOKUP(Runge3[[#This Row],[Tecnología]]&amp;Runge3[[#This Row],[Problema]],TbNombres[Tecnología]&amp;TbNombres[Problema],TbNombres[Nombre])</f>
        <v>Brusselator1d</v>
      </c>
      <c r="AB62" s="2">
        <v>2</v>
      </c>
      <c r="AC62" s="2">
        <v>3</v>
      </c>
      <c r="AD62" s="2">
        <v>16</v>
      </c>
      <c r="AE62" s="2">
        <v>1000</v>
      </c>
      <c r="AF62" s="2">
        <v>2000</v>
      </c>
      <c r="AG62" s="2">
        <v>19.337499999999999</v>
      </c>
      <c r="AI62" s="2" t="str">
        <f>_xlfn.XLOOKUP(Runge4[[#This Row],[Metodo]],TbSolver[Metodo],TbSolver[Solver])</f>
        <v>Runge Kutta</v>
      </c>
      <c r="AJ62" s="2" t="str">
        <f>_xlfn.XLOOKUP(Runge4[[#This Row],[Hebras]],TbTecnologia[Hebras],TbTecnologia[Tecnología])</f>
        <v>OMP</v>
      </c>
      <c r="AK6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62" s="4" t="str" cm="1">
        <f t="array" ref="AL62">_xlfn.XLOOKUP(Runge4[[#This Row],[Tecnología]]&amp;Runge4[[#This Row],[Problema]],TbNombres[Tecnología]&amp;TbNombres[Problema],TbNombres[Nombre])</f>
        <v>Brusselator2d</v>
      </c>
      <c r="AM62" s="4">
        <v>2</v>
      </c>
      <c r="AN62" s="4">
        <v>4</v>
      </c>
      <c r="AO62" s="4">
        <v>16</v>
      </c>
      <c r="AP62" s="4">
        <v>175</v>
      </c>
      <c r="AQ62" s="4">
        <v>61250</v>
      </c>
      <c r="AR62" s="4">
        <v>254.37700000000001</v>
      </c>
    </row>
    <row r="63" spans="2:44" x14ac:dyDescent="0.2">
      <c r="B63" s="1" t="str">
        <f>_xlfn.XLOOKUP(Runge1[[#This Row],[Metodo]],TbSolver[Metodo],TbSolver[Solver])</f>
        <v>Runge Kutta</v>
      </c>
      <c r="C63" s="1" t="str">
        <f>_xlfn.XLOOKUP(Runge1[[#This Row],[Hebras]],TbTecnologia[Hebras],TbTecnologia[Tecnología])</f>
        <v>OMP</v>
      </c>
      <c r="D63" s="1" t="str" cm="1">
        <f t="array" ref="D63">_xlfn.XLOOKUP(Runge1[[#This Row],[Tecnología]]&amp;Runge1[[#This Row],[Metodo]],TbTipos[Tecnología]&amp;TbTipos[Metodo],TbTipos[Tipo])</f>
        <v>OMP Operaciones</v>
      </c>
      <c r="E63" s="1" t="str" cm="1">
        <f t="array" ref="E63">_xlfn.XLOOKUP(Runge1[[#This Row],[Tecnología]]&amp;Runge1[[#This Row],[Problema]],TbNombres[Tecnología]&amp;TbNombres[Problema],TbNombres[Nombre])</f>
        <v>Simple Advdiff</v>
      </c>
      <c r="F63" s="17">
        <v>1</v>
      </c>
      <c r="G63" s="17">
        <v>1</v>
      </c>
      <c r="H63" s="17">
        <v>4</v>
      </c>
      <c r="I63" s="17">
        <v>5000</v>
      </c>
      <c r="J63" s="17">
        <v>5000</v>
      </c>
      <c r="K63" s="17">
        <v>30.970500000000001</v>
      </c>
      <c r="M63" s="2" t="str">
        <f>_xlfn.XLOOKUP(Runge2[[#This Row],[Metodo]],TbSolver[Metodo],TbSolver[Solver])</f>
        <v>Runge Kutta</v>
      </c>
      <c r="N63" s="2" t="str">
        <f>_xlfn.XLOOKUP(Runge2[[#This Row],[Hebras]],TbTecnologia[Hebras],TbTecnologia[Tecnología])</f>
        <v>OMP</v>
      </c>
      <c r="O63" s="4" t="str" cm="1">
        <f t="array" ref="O63">_xlfn.XLOOKUP(Runge2[[#This Row],[Tecnología]]&amp;Runge2[[#This Row],[Metodo]],TbTipos[Tecnología]&amp;TbTipos[Metodo],TbTipos[Tipo])</f>
        <v>OMP Operaciones</v>
      </c>
      <c r="P63" s="4" t="str" cm="1">
        <f t="array" ref="P63">_xlfn.XLOOKUP(Runge2[[#This Row],[Tecnología]]&amp;Runge2[[#This Row],[Problema]],TbNombres[Tecnología]&amp;TbNombres[Problema],TbNombres[Nombre])</f>
        <v>Advdiff1d</v>
      </c>
      <c r="Q63" s="4">
        <v>1</v>
      </c>
      <c r="R63" s="4">
        <v>2</v>
      </c>
      <c r="S63" s="4">
        <v>4</v>
      </c>
      <c r="T63" s="4">
        <v>5000</v>
      </c>
      <c r="U63" s="4">
        <v>5000</v>
      </c>
      <c r="V63" s="4">
        <v>160.376</v>
      </c>
      <c r="X63" s="2" t="str">
        <f>_xlfn.XLOOKUP(Runge3[[#This Row],[Metodo]],TbSolver[Metodo],TbSolver[Solver])</f>
        <v>Runge Kutta</v>
      </c>
      <c r="Y63" s="2" t="str">
        <f>_xlfn.XLOOKUP(Runge3[[#This Row],[Hebras]],TbTecnologia[Hebras],TbTecnologia[Tecnología])</f>
        <v>OMP</v>
      </c>
      <c r="Z63" s="2" t="str" cm="1">
        <f t="array" ref="Z63">_xlfn.XLOOKUP(Runge3[[#This Row],[Tecnología]]&amp;Runge3[[#This Row],[Metodo]],TbTipos[Tecnología]&amp;TbTipos[Metodo],TbTipos[Tipo])</f>
        <v>OMP Operaciones</v>
      </c>
      <c r="AA63" s="2" t="str" cm="1">
        <f t="array" ref="AA63">_xlfn.XLOOKUP(Runge3[[#This Row],[Tecnología]]&amp;Runge3[[#This Row],[Problema]],TbNombres[Tecnología]&amp;TbNombres[Problema],TbNombres[Nombre])</f>
        <v>Brusselator1d</v>
      </c>
      <c r="AB63" s="2">
        <v>1</v>
      </c>
      <c r="AC63" s="2">
        <v>3</v>
      </c>
      <c r="AD63" s="2">
        <v>1</v>
      </c>
      <c r="AE63" s="2">
        <v>1000</v>
      </c>
      <c r="AF63" s="2">
        <v>2000</v>
      </c>
      <c r="AG63" s="2">
        <v>22.602</v>
      </c>
      <c r="AI63" s="2" t="str">
        <f>_xlfn.XLOOKUP(Runge4[[#This Row],[Metodo]],TbSolver[Metodo],TbSolver[Solver])</f>
        <v>Runge Kutta</v>
      </c>
      <c r="AJ63" s="2" t="str">
        <f>_xlfn.XLOOKUP(Runge4[[#This Row],[Hebras]],TbTecnologia[Hebras],TbTecnologia[Tecnología])</f>
        <v>OMP</v>
      </c>
      <c r="AK6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63" s="4" t="str" cm="1">
        <f t="array" ref="AL63">_xlfn.XLOOKUP(Runge4[[#This Row],[Tecnología]]&amp;Runge4[[#This Row],[Problema]],TbNombres[Tecnología]&amp;TbNombres[Problema],TbNombres[Nombre])</f>
        <v>Brusselator2d</v>
      </c>
      <c r="AM63" s="4">
        <v>1</v>
      </c>
      <c r="AN63" s="4">
        <v>4</v>
      </c>
      <c r="AO63" s="4">
        <v>4</v>
      </c>
      <c r="AP63" s="4">
        <v>175</v>
      </c>
      <c r="AQ63" s="4">
        <v>61250</v>
      </c>
      <c r="AR63" s="4">
        <v>361.65800000000002</v>
      </c>
    </row>
    <row r="64" spans="2:44" x14ac:dyDescent="0.2">
      <c r="B64" s="1" t="str">
        <f>_xlfn.XLOOKUP(Runge1[[#This Row],[Metodo]],TbSolver[Metodo],TbSolver[Solver])</f>
        <v>Runge Kutta</v>
      </c>
      <c r="C64" s="1" t="str">
        <f>_xlfn.XLOOKUP(Runge1[[#This Row],[Hebras]],TbTecnologia[Hebras],TbTecnologia[Tecnología])</f>
        <v>OMP</v>
      </c>
      <c r="D64" s="1" t="str" cm="1">
        <f t="array" ref="D64">_xlfn.XLOOKUP(Runge1[[#This Row],[Tecnología]]&amp;Runge1[[#This Row],[Metodo]],TbTipos[Tecnología]&amp;TbTipos[Metodo],TbTipos[Tipo])</f>
        <v>OMP Elementos</v>
      </c>
      <c r="E64" s="1" t="str" cm="1">
        <f t="array" ref="E64">_xlfn.XLOOKUP(Runge1[[#This Row],[Tecnología]]&amp;Runge1[[#This Row],[Problema]],TbNombres[Tecnología]&amp;TbNombres[Problema],TbNombres[Nombre])</f>
        <v>Simple Advdiff</v>
      </c>
      <c r="F64" s="17">
        <v>2</v>
      </c>
      <c r="G64" s="17">
        <v>1</v>
      </c>
      <c r="H64" s="17">
        <v>4</v>
      </c>
      <c r="I64" s="17">
        <v>5000</v>
      </c>
      <c r="J64" s="17">
        <v>5000</v>
      </c>
      <c r="K64" s="17">
        <v>44.545099999999998</v>
      </c>
      <c r="M64" s="2" t="str">
        <f>_xlfn.XLOOKUP(Runge2[[#This Row],[Metodo]],TbSolver[Metodo],TbSolver[Solver])</f>
        <v>Runge Kutta</v>
      </c>
      <c r="N64" s="2" t="str">
        <f>_xlfn.XLOOKUP(Runge2[[#This Row],[Hebras]],TbTecnologia[Hebras],TbTecnologia[Tecnología])</f>
        <v>OMP</v>
      </c>
      <c r="O64" s="4" t="str" cm="1">
        <f t="array" ref="O64">_xlfn.XLOOKUP(Runge2[[#This Row],[Tecnología]]&amp;Runge2[[#This Row],[Metodo]],TbTipos[Tecnología]&amp;TbTipos[Metodo],TbTipos[Tipo])</f>
        <v>OMP Elementos</v>
      </c>
      <c r="P64" s="4" t="str" cm="1">
        <f t="array" ref="P64">_xlfn.XLOOKUP(Runge2[[#This Row],[Tecnología]]&amp;Runge2[[#This Row],[Problema]],TbNombres[Tecnología]&amp;TbNombres[Problema],TbNombres[Nombre])</f>
        <v>Advdiff1d</v>
      </c>
      <c r="Q64" s="4">
        <v>2</v>
      </c>
      <c r="R64" s="4">
        <v>2</v>
      </c>
      <c r="S64" s="4">
        <v>4</v>
      </c>
      <c r="T64" s="4">
        <v>5000</v>
      </c>
      <c r="U64" s="4">
        <v>5000</v>
      </c>
      <c r="V64" s="4">
        <v>163.90700000000001</v>
      </c>
      <c r="X64" s="2" t="str">
        <f>_xlfn.XLOOKUP(Runge3[[#This Row],[Metodo]],TbSolver[Metodo],TbSolver[Solver])</f>
        <v>Runge Kutta</v>
      </c>
      <c r="Y64" s="2" t="str">
        <f>_xlfn.XLOOKUP(Runge3[[#This Row],[Hebras]],TbTecnologia[Hebras],TbTecnologia[Tecnología])</f>
        <v>OMP</v>
      </c>
      <c r="Z64" s="2" t="str" cm="1">
        <f t="array" ref="Z64">_xlfn.XLOOKUP(Runge3[[#This Row],[Tecnología]]&amp;Runge3[[#This Row],[Metodo]],TbTipos[Tecnología]&amp;TbTipos[Metodo],TbTipos[Tipo])</f>
        <v>OMP Operaciones</v>
      </c>
      <c r="AA64" s="2" t="str" cm="1">
        <f t="array" ref="AA64">_xlfn.XLOOKUP(Runge3[[#This Row],[Tecnología]]&amp;Runge3[[#This Row],[Problema]],TbNombres[Tecnología]&amp;TbNombres[Problema],TbNombres[Nombre])</f>
        <v>Brusselator1d</v>
      </c>
      <c r="AB64" s="2">
        <v>1</v>
      </c>
      <c r="AC64" s="2">
        <v>3</v>
      </c>
      <c r="AD64" s="2">
        <v>4</v>
      </c>
      <c r="AE64" s="2">
        <v>1000</v>
      </c>
      <c r="AF64" s="2">
        <v>2000</v>
      </c>
      <c r="AG64" s="2">
        <v>39.355499999999999</v>
      </c>
      <c r="AI64" s="2" t="str">
        <f>_xlfn.XLOOKUP(Runge4[[#This Row],[Metodo]],TbSolver[Metodo],TbSolver[Solver])</f>
        <v>Runge Kutta</v>
      </c>
      <c r="AJ64" s="2" t="str">
        <f>_xlfn.XLOOKUP(Runge4[[#This Row],[Hebras]],TbTecnologia[Hebras],TbTecnologia[Tecnología])</f>
        <v>OMP</v>
      </c>
      <c r="AK6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64" s="4" t="str" cm="1">
        <f t="array" ref="AL64">_xlfn.XLOOKUP(Runge4[[#This Row],[Tecnología]]&amp;Runge4[[#This Row],[Problema]],TbNombres[Tecnología]&amp;TbNombres[Problema],TbNombres[Nombre])</f>
        <v>Brusselator2d</v>
      </c>
      <c r="AM64" s="4">
        <v>2</v>
      </c>
      <c r="AN64" s="4">
        <v>4</v>
      </c>
      <c r="AO64" s="4">
        <v>4</v>
      </c>
      <c r="AP64" s="4">
        <v>175</v>
      </c>
      <c r="AQ64" s="4">
        <v>61250</v>
      </c>
      <c r="AR64" s="4">
        <v>880.08699999999999</v>
      </c>
    </row>
    <row r="65" spans="2:44" x14ac:dyDescent="0.2">
      <c r="B65" s="1" t="str">
        <f>_xlfn.XLOOKUP(Runge1[[#This Row],[Metodo]],TbSolver[Metodo],TbSolver[Solver])</f>
        <v>Runge Kutta</v>
      </c>
      <c r="C65" s="1" t="str">
        <f>_xlfn.XLOOKUP(Runge1[[#This Row],[Hebras]],TbTecnologia[Hebras],TbTecnologia[Tecnología])</f>
        <v>OMP</v>
      </c>
      <c r="D65" s="1" t="str" cm="1">
        <f t="array" ref="D65">_xlfn.XLOOKUP(Runge1[[#This Row],[Tecnología]]&amp;Runge1[[#This Row],[Metodo]],TbTipos[Tecnología]&amp;TbTipos[Metodo],TbTipos[Tipo])</f>
        <v>OMP Operaciones</v>
      </c>
      <c r="E65" s="1" t="str" cm="1">
        <f t="array" ref="E65">_xlfn.XLOOKUP(Runge1[[#This Row],[Tecnología]]&amp;Runge1[[#This Row],[Problema]],TbNombres[Tecnología]&amp;TbNombres[Problema],TbNombres[Nombre])</f>
        <v>Simple Advdiff</v>
      </c>
      <c r="F65" s="17">
        <v>1</v>
      </c>
      <c r="G65" s="17">
        <v>1</v>
      </c>
      <c r="H65" s="17">
        <v>16</v>
      </c>
      <c r="I65" s="17">
        <v>5000</v>
      </c>
      <c r="J65" s="17">
        <v>5000</v>
      </c>
      <c r="K65" s="17">
        <v>61.200400000000002</v>
      </c>
      <c r="M65" s="2" t="str">
        <f>_xlfn.XLOOKUP(Runge2[[#This Row],[Metodo]],TbSolver[Metodo],TbSolver[Solver])</f>
        <v>Runge Kutta</v>
      </c>
      <c r="N65" s="2" t="str">
        <f>_xlfn.XLOOKUP(Runge2[[#This Row],[Hebras]],TbTecnologia[Hebras],TbTecnologia[Tecnología])</f>
        <v>OMP</v>
      </c>
      <c r="O65" s="4" t="str" cm="1">
        <f t="array" ref="O65">_xlfn.XLOOKUP(Runge2[[#This Row],[Tecnología]]&amp;Runge2[[#This Row],[Metodo]],TbTipos[Tecnología]&amp;TbTipos[Metodo],TbTipos[Tipo])</f>
        <v>OMP Operaciones</v>
      </c>
      <c r="P65" s="4" t="str" cm="1">
        <f t="array" ref="P65">_xlfn.XLOOKUP(Runge2[[#This Row],[Tecnología]]&amp;Runge2[[#This Row],[Problema]],TbNombres[Tecnología]&amp;TbNombres[Problema],TbNombres[Nombre])</f>
        <v>Advdiff1d</v>
      </c>
      <c r="Q65" s="4">
        <v>1</v>
      </c>
      <c r="R65" s="4">
        <v>2</v>
      </c>
      <c r="S65" s="4">
        <v>1</v>
      </c>
      <c r="T65" s="4">
        <v>5000</v>
      </c>
      <c r="U65" s="4">
        <v>5000</v>
      </c>
      <c r="V65" s="4">
        <v>439.41300000000001</v>
      </c>
      <c r="X65" s="2" t="str">
        <f>_xlfn.XLOOKUP(Runge3[[#This Row],[Metodo]],TbSolver[Metodo],TbSolver[Solver])</f>
        <v>Runge Kutta</v>
      </c>
      <c r="Y65" s="2" t="str">
        <f>_xlfn.XLOOKUP(Runge3[[#This Row],[Hebras]],TbTecnologia[Hebras],TbTecnologia[Tecnología])</f>
        <v>OMP</v>
      </c>
      <c r="Z65" s="2" t="str" cm="1">
        <f t="array" ref="Z65">_xlfn.XLOOKUP(Runge3[[#This Row],[Tecnología]]&amp;Runge3[[#This Row],[Metodo]],TbTipos[Tecnología]&amp;TbTipos[Metodo],TbTipos[Tipo])</f>
        <v>OMP Elementos</v>
      </c>
      <c r="AA65" s="2" t="str" cm="1">
        <f t="array" ref="AA65">_xlfn.XLOOKUP(Runge3[[#This Row],[Tecnología]]&amp;Runge3[[#This Row],[Problema]],TbNombres[Tecnología]&amp;TbNombres[Problema],TbNombres[Nombre])</f>
        <v>Brusselator1d</v>
      </c>
      <c r="AB65" s="2">
        <v>2</v>
      </c>
      <c r="AC65" s="2">
        <v>3</v>
      </c>
      <c r="AD65" s="2">
        <v>1</v>
      </c>
      <c r="AE65" s="2">
        <v>1000</v>
      </c>
      <c r="AF65" s="2">
        <v>2000</v>
      </c>
      <c r="AG65" s="2">
        <v>47.749899999999997</v>
      </c>
      <c r="AI65" s="2" t="str">
        <f>_xlfn.XLOOKUP(Runge4[[#This Row],[Metodo]],TbSolver[Metodo],TbSolver[Solver])</f>
        <v>Runge Kutta</v>
      </c>
      <c r="AJ65" s="2" t="str">
        <f>_xlfn.XLOOKUP(Runge4[[#This Row],[Hebras]],TbTecnologia[Hebras],TbTecnologia[Tecnología])</f>
        <v>OMP</v>
      </c>
      <c r="AK6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65" s="4" t="str" cm="1">
        <f t="array" ref="AL65">_xlfn.XLOOKUP(Runge4[[#This Row],[Tecnología]]&amp;Runge4[[#This Row],[Problema]],TbNombres[Tecnología]&amp;TbNombres[Problema],TbNombres[Nombre])</f>
        <v>Brusselator2d</v>
      </c>
      <c r="AM65" s="4">
        <v>1</v>
      </c>
      <c r="AN65" s="4">
        <v>4</v>
      </c>
      <c r="AO65" s="4">
        <v>1</v>
      </c>
      <c r="AP65" s="4">
        <v>175</v>
      </c>
      <c r="AQ65" s="4">
        <v>61250</v>
      </c>
      <c r="AR65" s="4">
        <v>1337.41</v>
      </c>
    </row>
    <row r="66" spans="2:44" x14ac:dyDescent="0.2">
      <c r="B66" s="1" t="str">
        <f>_xlfn.XLOOKUP(Runge1[[#This Row],[Metodo]],TbSolver[Metodo],TbSolver[Solver])</f>
        <v>Runge Kutta</v>
      </c>
      <c r="C66" s="1" t="str">
        <f>_xlfn.XLOOKUP(Runge1[[#This Row],[Hebras]],TbTecnologia[Hebras],TbTecnologia[Tecnología])</f>
        <v>OMP</v>
      </c>
      <c r="D66" s="1" t="str" cm="1">
        <f t="array" ref="D66">_xlfn.XLOOKUP(Runge1[[#This Row],[Tecnología]]&amp;Runge1[[#This Row],[Metodo]],TbTipos[Tecnología]&amp;TbTipos[Metodo],TbTipos[Tipo])</f>
        <v>OMP Elementos</v>
      </c>
      <c r="E66" s="1" t="str" cm="1">
        <f t="array" ref="E66">_xlfn.XLOOKUP(Runge1[[#This Row],[Tecnología]]&amp;Runge1[[#This Row],[Problema]],TbNombres[Tecnología]&amp;TbNombres[Problema],TbNombres[Nombre])</f>
        <v>Simple Advdiff</v>
      </c>
      <c r="F66" s="17">
        <v>2</v>
      </c>
      <c r="G66" s="17">
        <v>1</v>
      </c>
      <c r="H66" s="17">
        <v>1</v>
      </c>
      <c r="I66" s="17">
        <v>5000</v>
      </c>
      <c r="J66" s="17">
        <v>5000</v>
      </c>
      <c r="K66" s="17">
        <v>152.15</v>
      </c>
      <c r="M66" s="2" t="str">
        <f>_xlfn.XLOOKUP(Runge2[[#This Row],[Metodo]],TbSolver[Metodo],TbSolver[Solver])</f>
        <v>Runge Kutta</v>
      </c>
      <c r="N66" s="2" t="str">
        <f>_xlfn.XLOOKUP(Runge2[[#This Row],[Hebras]],TbTecnologia[Hebras],TbTecnologia[Tecnología])</f>
        <v>OMP</v>
      </c>
      <c r="O66" s="4" t="str" cm="1">
        <f t="array" ref="O66">_xlfn.XLOOKUP(Runge2[[#This Row],[Tecnología]]&amp;Runge2[[#This Row],[Metodo]],TbTipos[Tecnología]&amp;TbTipos[Metodo],TbTipos[Tipo])</f>
        <v>OMP Elementos</v>
      </c>
      <c r="P66" s="4" t="str" cm="1">
        <f t="array" ref="P66">_xlfn.XLOOKUP(Runge2[[#This Row],[Tecnología]]&amp;Runge2[[#This Row],[Problema]],TbNombres[Tecnología]&amp;TbNombres[Problema],TbNombres[Nombre])</f>
        <v>Advdiff1d</v>
      </c>
      <c r="Q66" s="4">
        <v>2</v>
      </c>
      <c r="R66" s="4">
        <v>2</v>
      </c>
      <c r="S66" s="4">
        <v>1</v>
      </c>
      <c r="T66" s="4">
        <v>5000</v>
      </c>
      <c r="U66" s="4">
        <v>5000</v>
      </c>
      <c r="V66" s="4">
        <v>575.30899999999997</v>
      </c>
      <c r="X66" s="2" t="str">
        <f>_xlfn.XLOOKUP(Runge3[[#This Row],[Metodo]],TbSolver[Metodo],TbSolver[Solver])</f>
        <v>Runge Kutta</v>
      </c>
      <c r="Y66" s="2" t="str">
        <f>_xlfn.XLOOKUP(Runge3[[#This Row],[Hebras]],TbTecnologia[Hebras],TbTecnologia[Tecnología])</f>
        <v>OMP</v>
      </c>
      <c r="Z66" s="2" t="str" cm="1">
        <f t="array" ref="Z66">_xlfn.XLOOKUP(Runge3[[#This Row],[Tecnología]]&amp;Runge3[[#This Row],[Metodo]],TbTipos[Tecnología]&amp;TbTipos[Metodo],TbTipos[Tipo])</f>
        <v>OMP Operaciones</v>
      </c>
      <c r="AA66" s="2" t="str" cm="1">
        <f t="array" ref="AA66">_xlfn.XLOOKUP(Runge3[[#This Row],[Tecnología]]&amp;Runge3[[#This Row],[Problema]],TbNombres[Tecnología]&amp;TbNombres[Problema],TbNombres[Nombre])</f>
        <v>Brusselator1d</v>
      </c>
      <c r="AB66" s="2">
        <v>1</v>
      </c>
      <c r="AC66" s="2">
        <v>3</v>
      </c>
      <c r="AD66" s="2">
        <v>16</v>
      </c>
      <c r="AE66" s="2">
        <v>1000</v>
      </c>
      <c r="AF66" s="2">
        <v>2000</v>
      </c>
      <c r="AG66" s="2">
        <v>96.912199999999999</v>
      </c>
      <c r="AI66" s="2" t="str">
        <f>_xlfn.XLOOKUP(Runge4[[#This Row],[Metodo]],TbSolver[Metodo],TbSolver[Solver])</f>
        <v>Runge Kutta</v>
      </c>
      <c r="AJ66" s="2" t="str">
        <f>_xlfn.XLOOKUP(Runge4[[#This Row],[Hebras]],TbTecnologia[Hebras],TbTecnologia[Tecnología])</f>
        <v>OMP</v>
      </c>
      <c r="AK6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66" s="4" t="str" cm="1">
        <f t="array" ref="AL66">_xlfn.XLOOKUP(Runge4[[#This Row],[Tecnología]]&amp;Runge4[[#This Row],[Problema]],TbNombres[Tecnología]&amp;TbNombres[Problema],TbNombres[Nombre])</f>
        <v>Brusselator2d</v>
      </c>
      <c r="AM66" s="4">
        <v>2</v>
      </c>
      <c r="AN66" s="4">
        <v>4</v>
      </c>
      <c r="AO66" s="4">
        <v>1</v>
      </c>
      <c r="AP66" s="4">
        <v>175</v>
      </c>
      <c r="AQ66" s="4">
        <v>61250</v>
      </c>
      <c r="AR66" s="4">
        <v>3282.84</v>
      </c>
    </row>
    <row r="67" spans="2:44" x14ac:dyDescent="0.2">
      <c r="B67" s="1" t="str">
        <f>_xlfn.XLOOKUP(Runge1[[#This Row],[Metodo]],TbSolver[Metodo],TbSolver[Solver])</f>
        <v>Runge Kutta</v>
      </c>
      <c r="C67" s="1" t="str">
        <f>_xlfn.XLOOKUP(Runge1[[#This Row],[Hebras]],TbTecnologia[Hebras],TbTecnologia[Tecnología])</f>
        <v>OMP</v>
      </c>
      <c r="D67" s="1" t="str" cm="1">
        <f t="array" ref="D67">_xlfn.XLOOKUP(Runge1[[#This Row],[Tecnología]]&amp;Runge1[[#This Row],[Metodo]],TbTipos[Tecnología]&amp;TbTipos[Metodo],TbTipos[Tipo])</f>
        <v>OMP Elementos</v>
      </c>
      <c r="E67" s="1" t="str" cm="1">
        <f t="array" ref="E67">_xlfn.XLOOKUP(Runge1[[#This Row],[Tecnología]]&amp;Runge1[[#This Row],[Problema]],TbNombres[Tecnología]&amp;TbNombres[Problema],TbNombres[Nombre])</f>
        <v>Simple Advdiff</v>
      </c>
      <c r="F67" s="17">
        <v>2</v>
      </c>
      <c r="G67" s="17">
        <v>1</v>
      </c>
      <c r="H67" s="17">
        <v>16</v>
      </c>
      <c r="I67" s="17">
        <v>7500</v>
      </c>
      <c r="J67" s="17">
        <v>7500</v>
      </c>
      <c r="K67" s="17">
        <v>27.8492</v>
      </c>
      <c r="M67" s="2" t="str">
        <f>_xlfn.XLOOKUP(Runge2[[#This Row],[Metodo]],TbSolver[Metodo],TbSolver[Solver])</f>
        <v>Runge Kutta</v>
      </c>
      <c r="N67" s="2" t="str">
        <f>_xlfn.XLOOKUP(Runge2[[#This Row],[Hebras]],TbTecnologia[Hebras],TbTecnologia[Tecnología])</f>
        <v>OMP</v>
      </c>
      <c r="O67" s="4" t="str" cm="1">
        <f t="array" ref="O67">_xlfn.XLOOKUP(Runge2[[#This Row],[Tecnología]]&amp;Runge2[[#This Row],[Metodo]],TbTipos[Tecnología]&amp;TbTipos[Metodo],TbTipos[Tipo])</f>
        <v>OMP Elementos</v>
      </c>
      <c r="P67" s="4" t="str" cm="1">
        <f t="array" ref="P67">_xlfn.XLOOKUP(Runge2[[#This Row],[Tecnología]]&amp;Runge2[[#This Row],[Problema]],TbNombres[Tecnología]&amp;TbNombres[Problema],TbNombres[Nombre])</f>
        <v>Advdiff1d</v>
      </c>
      <c r="Q67" s="4">
        <v>2</v>
      </c>
      <c r="R67" s="4">
        <v>2</v>
      </c>
      <c r="S67" s="4">
        <v>16</v>
      </c>
      <c r="T67" s="4">
        <v>7500</v>
      </c>
      <c r="U67" s="4">
        <v>7500</v>
      </c>
      <c r="V67" s="4">
        <v>73.536000000000001</v>
      </c>
      <c r="X67" s="2" t="str">
        <f>_xlfn.XLOOKUP(Runge3[[#This Row],[Metodo]],TbSolver[Metodo],TbSolver[Solver])</f>
        <v>Runge Kutta</v>
      </c>
      <c r="Y67" s="2" t="str">
        <f>_xlfn.XLOOKUP(Runge3[[#This Row],[Hebras]],TbTecnologia[Hebras],TbTecnologia[Tecnología])</f>
        <v>CUDA</v>
      </c>
      <c r="Z67" s="2" t="str" cm="1">
        <f t="array" ref="Z67">_xlfn.XLOOKUP(Runge3[[#This Row],[Tecnología]]&amp;Runge3[[#This Row],[Metodo]],TbTipos[Tecnología]&amp;TbTipos[Metodo],TbTipos[Tipo])</f>
        <v>CUDA con graph</v>
      </c>
      <c r="AA67" s="2" t="str" cm="1">
        <f t="array" ref="AA67">_xlfn.XLOOKUP(Runge3[[#This Row],[Tecnología]]&amp;Runge3[[#This Row],[Problema]],TbNombres[Tecnología]&amp;TbNombres[Problema],TbNombres[Nombre])</f>
        <v>Brusselator1d</v>
      </c>
      <c r="AB67" s="2">
        <v>2</v>
      </c>
      <c r="AC67" s="2">
        <v>5</v>
      </c>
      <c r="AD67" s="2">
        <v>256</v>
      </c>
      <c r="AE67" s="2">
        <v>2000</v>
      </c>
      <c r="AF67" s="2">
        <v>4000</v>
      </c>
      <c r="AG67" s="2">
        <v>13.908799999999999</v>
      </c>
      <c r="AI67" s="2" t="str">
        <f>_xlfn.XLOOKUP(Runge4[[#This Row],[Metodo]],TbSolver[Metodo],TbSolver[Solver])</f>
        <v>Runge Kutta</v>
      </c>
      <c r="AJ67" s="2" t="str">
        <f>_xlfn.XLOOKUP(Runge4[[#This Row],[Hebras]],TbTecnologia[Hebras],TbTecnologia[Tecnología])</f>
        <v>CUDA</v>
      </c>
      <c r="AK67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67" s="2" t="str" cm="1">
        <f t="array" ref="AL67">_xlfn.XLOOKUP(Runge4[[#This Row],[Tecnología]]&amp;Runge4[[#This Row],[Problema]],TbNombres[Tecnología]&amp;TbNombres[Problema],TbNombres[Nombre])</f>
        <v>Brusselator2d</v>
      </c>
      <c r="AM67" s="2">
        <v>2</v>
      </c>
      <c r="AN67" s="2">
        <v>8</v>
      </c>
      <c r="AO67" s="2">
        <v>256</v>
      </c>
      <c r="AP67" s="2">
        <v>200</v>
      </c>
      <c r="AQ67" s="2">
        <v>80000</v>
      </c>
      <c r="AR67" s="2">
        <v>48.7956</v>
      </c>
    </row>
    <row r="68" spans="2:44" x14ac:dyDescent="0.2">
      <c r="B68" s="1" t="str">
        <f>_xlfn.XLOOKUP(Runge1[[#This Row],[Metodo]],TbSolver[Metodo],TbSolver[Solver])</f>
        <v>Runge Kutta</v>
      </c>
      <c r="C68" s="1" t="str">
        <f>_xlfn.XLOOKUP(Runge1[[#This Row],[Hebras]],TbTecnologia[Hebras],TbTecnologia[Tecnología])</f>
        <v>OMP</v>
      </c>
      <c r="D68" s="1" t="str" cm="1">
        <f t="array" ref="D68">_xlfn.XLOOKUP(Runge1[[#This Row],[Tecnología]]&amp;Runge1[[#This Row],[Metodo]],TbTipos[Tecnología]&amp;TbTipos[Metodo],TbTipos[Tipo])</f>
        <v>OMP Operaciones</v>
      </c>
      <c r="E68" s="1" t="str" cm="1">
        <f t="array" ref="E68">_xlfn.XLOOKUP(Runge1[[#This Row],[Tecnología]]&amp;Runge1[[#This Row],[Problema]],TbNombres[Tecnología]&amp;TbNombres[Problema],TbNombres[Nombre])</f>
        <v>Simple Advdiff</v>
      </c>
      <c r="F68" s="17">
        <v>1</v>
      </c>
      <c r="G68" s="17">
        <v>1</v>
      </c>
      <c r="H68" s="17">
        <v>4</v>
      </c>
      <c r="I68" s="17">
        <v>7500</v>
      </c>
      <c r="J68" s="17">
        <v>7500</v>
      </c>
      <c r="K68" s="17">
        <v>35.200299999999999</v>
      </c>
      <c r="M68" s="2" t="str">
        <f>_xlfn.XLOOKUP(Runge2[[#This Row],[Metodo]],TbSolver[Metodo],TbSolver[Solver])</f>
        <v>Runge Kutta</v>
      </c>
      <c r="N68" s="2" t="str">
        <f>_xlfn.XLOOKUP(Runge2[[#This Row],[Hebras]],TbTecnologia[Hebras],TbTecnologia[Tecnología])</f>
        <v>OMP</v>
      </c>
      <c r="O68" s="4" t="str" cm="1">
        <f t="array" ref="O68">_xlfn.XLOOKUP(Runge2[[#This Row],[Tecnología]]&amp;Runge2[[#This Row],[Metodo]],TbTipos[Tecnología]&amp;TbTipos[Metodo],TbTipos[Tipo])</f>
        <v>OMP Operaciones</v>
      </c>
      <c r="P68" s="4" t="str" cm="1">
        <f t="array" ref="P68">_xlfn.XLOOKUP(Runge2[[#This Row],[Tecnología]]&amp;Runge2[[#This Row],[Problema]],TbNombres[Tecnología]&amp;TbNombres[Problema],TbNombres[Nombre])</f>
        <v>Advdiff1d</v>
      </c>
      <c r="Q68" s="4">
        <v>1</v>
      </c>
      <c r="R68" s="4">
        <v>2</v>
      </c>
      <c r="S68" s="4">
        <v>16</v>
      </c>
      <c r="T68" s="4">
        <v>7500</v>
      </c>
      <c r="U68" s="4">
        <v>7500</v>
      </c>
      <c r="V68" s="4">
        <v>137.41800000000001</v>
      </c>
      <c r="X68" s="2" t="str">
        <f>_xlfn.XLOOKUP(Runge3[[#This Row],[Metodo]],TbSolver[Metodo],TbSolver[Solver])</f>
        <v>Runge Kutta</v>
      </c>
      <c r="Y68" s="2" t="str">
        <f>_xlfn.XLOOKUP(Runge3[[#This Row],[Hebras]],TbTecnologia[Hebras],TbTecnologia[Tecnología])</f>
        <v>CUDA</v>
      </c>
      <c r="Z68" s="2" t="str" cm="1">
        <f t="array" ref="Z68">_xlfn.XLOOKUP(Runge3[[#This Row],[Tecnología]]&amp;Runge3[[#This Row],[Metodo]],TbTipos[Tecnología]&amp;TbTipos[Metodo],TbTipos[Tipo])</f>
        <v>CUDA con graph</v>
      </c>
      <c r="AA68" s="2" t="str" cm="1">
        <f t="array" ref="AA68">_xlfn.XLOOKUP(Runge3[[#This Row],[Tecnología]]&amp;Runge3[[#This Row],[Problema]],TbNombres[Tecnología]&amp;TbNombres[Problema],TbNombres[Nombre])</f>
        <v>Brusselator1d grid</v>
      </c>
      <c r="AB68" s="2">
        <v>2</v>
      </c>
      <c r="AC68" s="2">
        <v>7</v>
      </c>
      <c r="AD68" s="2">
        <v>256</v>
      </c>
      <c r="AE68" s="2">
        <v>2000</v>
      </c>
      <c r="AF68" s="2">
        <v>4000</v>
      </c>
      <c r="AG68" s="2">
        <v>13.9933</v>
      </c>
      <c r="AI68" s="2" t="str">
        <f>_xlfn.XLOOKUP(Runge4[[#This Row],[Metodo]],TbSolver[Metodo],TbSolver[Solver])</f>
        <v>Runge Kutta</v>
      </c>
      <c r="AJ68" s="2" t="str">
        <f>_xlfn.XLOOKUP(Runge4[[#This Row],[Hebras]],TbTecnologia[Hebras],TbTecnologia[Tecnología])</f>
        <v>CUDA</v>
      </c>
      <c r="AK68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68" s="2" t="str" cm="1">
        <f t="array" ref="AL68">_xlfn.XLOOKUP(Runge4[[#This Row],[Tecnología]]&amp;Runge4[[#This Row],[Problema]],TbNombres[Tecnología]&amp;TbNombres[Problema],TbNombres[Nombre])</f>
        <v>Brusselator2d shuffle</v>
      </c>
      <c r="AM68" s="2">
        <v>2</v>
      </c>
      <c r="AN68" s="2">
        <v>9</v>
      </c>
      <c r="AO68" s="2">
        <v>256</v>
      </c>
      <c r="AP68" s="2">
        <v>200</v>
      </c>
      <c r="AQ68" s="2">
        <v>80000</v>
      </c>
      <c r="AR68" s="2">
        <v>49.072600000000001</v>
      </c>
    </row>
    <row r="69" spans="2:44" x14ac:dyDescent="0.2">
      <c r="B69" s="1" t="str">
        <f>_xlfn.XLOOKUP(Runge1[[#This Row],[Metodo]],TbSolver[Metodo],TbSolver[Solver])</f>
        <v>Runge Kutta</v>
      </c>
      <c r="C69" s="1" t="str">
        <f>_xlfn.XLOOKUP(Runge1[[#This Row],[Hebras]],TbTecnologia[Hebras],TbTecnologia[Tecnología])</f>
        <v>OMP</v>
      </c>
      <c r="D69" s="1" t="str" cm="1">
        <f t="array" ref="D69">_xlfn.XLOOKUP(Runge1[[#This Row],[Tecnología]]&amp;Runge1[[#This Row],[Metodo]],TbTipos[Tecnología]&amp;TbTipos[Metodo],TbTipos[Tipo])</f>
        <v>OMP Operaciones</v>
      </c>
      <c r="E69" s="1" t="str" cm="1">
        <f t="array" ref="E69">_xlfn.XLOOKUP(Runge1[[#This Row],[Tecnología]]&amp;Runge1[[#This Row],[Problema]],TbNombres[Tecnología]&amp;TbNombres[Problema],TbNombres[Nombre])</f>
        <v>Simple Advdiff</v>
      </c>
      <c r="F69" s="17">
        <v>1</v>
      </c>
      <c r="G69" s="17">
        <v>1</v>
      </c>
      <c r="H69" s="17">
        <v>1</v>
      </c>
      <c r="I69" s="17">
        <v>7500</v>
      </c>
      <c r="J69" s="17">
        <v>7500</v>
      </c>
      <c r="K69" s="17">
        <v>40.605899999999998</v>
      </c>
      <c r="M69" s="2" t="str">
        <f>_xlfn.XLOOKUP(Runge2[[#This Row],[Metodo]],TbSolver[Metodo],TbSolver[Solver])</f>
        <v>Runge Kutta</v>
      </c>
      <c r="N69" s="2" t="str">
        <f>_xlfn.XLOOKUP(Runge2[[#This Row],[Hebras]],TbTecnologia[Hebras],TbTecnologia[Tecnología])</f>
        <v>OMP</v>
      </c>
      <c r="O69" s="4" t="str" cm="1">
        <f t="array" ref="O69">_xlfn.XLOOKUP(Runge2[[#This Row],[Tecnología]]&amp;Runge2[[#This Row],[Metodo]],TbTipos[Tecnología]&amp;TbTipos[Metodo],TbTipos[Tipo])</f>
        <v>OMP Operaciones</v>
      </c>
      <c r="P69" s="4" t="str" cm="1">
        <f t="array" ref="P69">_xlfn.XLOOKUP(Runge2[[#This Row],[Tecnología]]&amp;Runge2[[#This Row],[Problema]],TbNombres[Tecnología]&amp;TbNombres[Problema],TbNombres[Nombre])</f>
        <v>Advdiff1d</v>
      </c>
      <c r="Q69" s="4">
        <v>1</v>
      </c>
      <c r="R69" s="4">
        <v>2</v>
      </c>
      <c r="S69" s="4">
        <v>4</v>
      </c>
      <c r="T69" s="4">
        <v>7500</v>
      </c>
      <c r="U69" s="4">
        <v>7500</v>
      </c>
      <c r="V69" s="4">
        <v>223.31299999999999</v>
      </c>
      <c r="X69" s="2" t="str">
        <f>_xlfn.XLOOKUP(Runge3[[#This Row],[Metodo]],TbSolver[Metodo],TbSolver[Solver])</f>
        <v>Runge Kutta</v>
      </c>
      <c r="Y69" s="2" t="str">
        <f>_xlfn.XLOOKUP(Runge3[[#This Row],[Hebras]],TbTecnologia[Hebras],TbTecnologia[Tecnología])</f>
        <v>CUDA</v>
      </c>
      <c r="Z69" s="2" t="str" cm="1">
        <f t="array" ref="Z69">_xlfn.XLOOKUP(Runge3[[#This Row],[Tecnología]]&amp;Runge3[[#This Row],[Metodo]],TbTipos[Tecnología]&amp;TbTipos[Metodo],TbTipos[Tipo])</f>
        <v>CUDA con graph</v>
      </c>
      <c r="AA69" s="2" t="str" cm="1">
        <f t="array" ref="AA69">_xlfn.XLOOKUP(Runge3[[#This Row],[Tecnología]]&amp;Runge3[[#This Row],[Problema]],TbNombres[Tecnología]&amp;TbNombres[Problema],TbNombres[Nombre])</f>
        <v>Brusselator1d shuffle</v>
      </c>
      <c r="AB69" s="2">
        <v>2</v>
      </c>
      <c r="AC69" s="2">
        <v>6</v>
      </c>
      <c r="AD69" s="2">
        <v>256</v>
      </c>
      <c r="AE69" s="2">
        <v>2000</v>
      </c>
      <c r="AF69" s="2">
        <v>4000</v>
      </c>
      <c r="AG69" s="2">
        <v>14.0442</v>
      </c>
      <c r="AI69" s="2" t="str">
        <f>_xlfn.XLOOKUP(Runge4[[#This Row],[Metodo]],TbSolver[Metodo],TbSolver[Solver])</f>
        <v>Runge Kutta</v>
      </c>
      <c r="AJ69" s="2" t="str">
        <f>_xlfn.XLOOKUP(Runge4[[#This Row],[Hebras]],TbTecnologia[Hebras],TbTecnologia[Tecnología])</f>
        <v>CUDA</v>
      </c>
      <c r="AK69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69" s="2" t="str" cm="1">
        <f t="array" ref="AL69">_xlfn.XLOOKUP(Runge4[[#This Row],[Tecnología]]&amp;Runge4[[#This Row],[Problema]],TbNombres[Tecnología]&amp;TbNombres[Problema],TbNombres[Nombre])</f>
        <v>Brusselator2d shuffle</v>
      </c>
      <c r="AM69" s="2">
        <v>1</v>
      </c>
      <c r="AN69" s="2">
        <v>9</v>
      </c>
      <c r="AO69" s="2">
        <v>256</v>
      </c>
      <c r="AP69" s="2">
        <v>200</v>
      </c>
      <c r="AQ69" s="2">
        <v>80000</v>
      </c>
      <c r="AR69" s="2">
        <v>50.024799999999999</v>
      </c>
    </row>
    <row r="70" spans="2:44" x14ac:dyDescent="0.2">
      <c r="B70" s="1" t="str">
        <f>_xlfn.XLOOKUP(Runge1[[#This Row],[Metodo]],TbSolver[Metodo],TbSolver[Solver])</f>
        <v>Runge Kutta</v>
      </c>
      <c r="C70" s="1" t="str">
        <f>_xlfn.XLOOKUP(Runge1[[#This Row],[Hebras]],TbTecnologia[Hebras],TbTecnologia[Tecnología])</f>
        <v>OMP</v>
      </c>
      <c r="D70" s="1" t="str" cm="1">
        <f t="array" ref="D70">_xlfn.XLOOKUP(Runge1[[#This Row],[Tecnología]]&amp;Runge1[[#This Row],[Metodo]],TbTipos[Tecnología]&amp;TbTipos[Metodo],TbTipos[Tipo])</f>
        <v>OMP Operaciones</v>
      </c>
      <c r="E70" s="1" t="str" cm="1">
        <f t="array" ref="E70">_xlfn.XLOOKUP(Runge1[[#This Row],[Tecnología]]&amp;Runge1[[#This Row],[Problema]],TbNombres[Tecnología]&amp;TbNombres[Problema],TbNombres[Nombre])</f>
        <v>Simple Advdiff</v>
      </c>
      <c r="F70" s="17">
        <v>1</v>
      </c>
      <c r="G70" s="17">
        <v>1</v>
      </c>
      <c r="H70" s="17">
        <v>16</v>
      </c>
      <c r="I70" s="17">
        <v>7500</v>
      </c>
      <c r="J70" s="17">
        <v>7500</v>
      </c>
      <c r="K70" s="17">
        <v>61.053100000000001</v>
      </c>
      <c r="M70" s="2" t="str">
        <f>_xlfn.XLOOKUP(Runge2[[#This Row],[Metodo]],TbSolver[Metodo],TbSolver[Solver])</f>
        <v>Runge Kutta</v>
      </c>
      <c r="N70" s="2" t="str">
        <f>_xlfn.XLOOKUP(Runge2[[#This Row],[Hebras]],TbTecnologia[Hebras],TbTecnologia[Tecnología])</f>
        <v>OMP</v>
      </c>
      <c r="O70" s="4" t="str" cm="1">
        <f t="array" ref="O70">_xlfn.XLOOKUP(Runge2[[#This Row],[Tecnología]]&amp;Runge2[[#This Row],[Metodo]],TbTipos[Tecnología]&amp;TbTipos[Metodo],TbTipos[Tipo])</f>
        <v>OMP Elementos</v>
      </c>
      <c r="P70" s="4" t="str" cm="1">
        <f t="array" ref="P70">_xlfn.XLOOKUP(Runge2[[#This Row],[Tecnología]]&amp;Runge2[[#This Row],[Problema]],TbNombres[Tecnología]&amp;TbNombres[Problema],TbNombres[Nombre])</f>
        <v>Advdiff1d</v>
      </c>
      <c r="Q70" s="4">
        <v>2</v>
      </c>
      <c r="R70" s="4">
        <v>2</v>
      </c>
      <c r="S70" s="4">
        <v>4</v>
      </c>
      <c r="T70" s="4">
        <v>7500</v>
      </c>
      <c r="U70" s="4">
        <v>7500</v>
      </c>
      <c r="V70" s="4">
        <v>245.40700000000001</v>
      </c>
      <c r="X70" s="2" t="str">
        <f>_xlfn.XLOOKUP(Runge3[[#This Row],[Metodo]],TbSolver[Metodo],TbSolver[Solver])</f>
        <v>Runge Kutta</v>
      </c>
      <c r="Y70" s="2" t="str">
        <f>_xlfn.XLOOKUP(Runge3[[#This Row],[Hebras]],TbTecnologia[Hebras],TbTecnologia[Tecnología])</f>
        <v>CUDA</v>
      </c>
      <c r="Z70" s="2" t="str" cm="1">
        <f t="array" ref="Z70">_xlfn.XLOOKUP(Runge3[[#This Row],[Tecnología]]&amp;Runge3[[#This Row],[Metodo]],TbTipos[Tecnología]&amp;TbTipos[Metodo],TbTipos[Tipo])</f>
        <v>CUDA sin graph</v>
      </c>
      <c r="AA70" s="2" t="str" cm="1">
        <f t="array" ref="AA70">_xlfn.XLOOKUP(Runge3[[#This Row],[Tecnología]]&amp;Runge3[[#This Row],[Problema]],TbNombres[Tecnología]&amp;TbNombres[Problema],TbNombres[Nombre])</f>
        <v>Brusselator1d shuffle</v>
      </c>
      <c r="AB70" s="2">
        <v>1</v>
      </c>
      <c r="AC70" s="2">
        <v>6</v>
      </c>
      <c r="AD70" s="2">
        <v>256</v>
      </c>
      <c r="AE70" s="2">
        <v>2000</v>
      </c>
      <c r="AF70" s="2">
        <v>4000</v>
      </c>
      <c r="AG70" s="2">
        <v>17.095600000000001</v>
      </c>
      <c r="AI70" s="2" t="str">
        <f>_xlfn.XLOOKUP(Runge4[[#This Row],[Metodo]],TbSolver[Metodo],TbSolver[Solver])</f>
        <v>Runge Kutta</v>
      </c>
      <c r="AJ70" s="2" t="str">
        <f>_xlfn.XLOOKUP(Runge4[[#This Row],[Hebras]],TbTecnologia[Hebras],TbTecnologia[Tecnología])</f>
        <v>CUDA</v>
      </c>
      <c r="AK70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70" s="2" t="str" cm="1">
        <f t="array" ref="AL70">_xlfn.XLOOKUP(Runge4[[#This Row],[Tecnología]]&amp;Runge4[[#This Row],[Problema]],TbNombres[Tecnología]&amp;TbNombres[Problema],TbNombres[Nombre])</f>
        <v>Brusselator2d</v>
      </c>
      <c r="AM70" s="2">
        <v>1</v>
      </c>
      <c r="AN70" s="2">
        <v>8</v>
      </c>
      <c r="AO70" s="2">
        <v>256</v>
      </c>
      <c r="AP70" s="2">
        <v>200</v>
      </c>
      <c r="AQ70" s="2">
        <v>80000</v>
      </c>
      <c r="AR70" s="2">
        <v>50.073500000000003</v>
      </c>
    </row>
    <row r="71" spans="2:44" x14ac:dyDescent="0.2">
      <c r="B71" s="1" t="str">
        <f>_xlfn.XLOOKUP(Runge1[[#This Row],[Metodo]],TbSolver[Metodo],TbSolver[Solver])</f>
        <v>Runge Kutta</v>
      </c>
      <c r="C71" s="1" t="str">
        <f>_xlfn.XLOOKUP(Runge1[[#This Row],[Hebras]],TbTecnologia[Hebras],TbTecnologia[Tecnología])</f>
        <v>OMP</v>
      </c>
      <c r="D71" s="1" t="str" cm="1">
        <f t="array" ref="D71">_xlfn.XLOOKUP(Runge1[[#This Row],[Tecnología]]&amp;Runge1[[#This Row],[Metodo]],TbTipos[Tecnología]&amp;TbTipos[Metodo],TbTipos[Tipo])</f>
        <v>OMP Elementos</v>
      </c>
      <c r="E71" s="1" t="str" cm="1">
        <f t="array" ref="E71">_xlfn.XLOOKUP(Runge1[[#This Row],[Tecnología]]&amp;Runge1[[#This Row],[Problema]],TbNombres[Tecnología]&amp;TbNombres[Problema],TbNombres[Nombre])</f>
        <v>Simple Advdiff</v>
      </c>
      <c r="F71" s="17">
        <v>2</v>
      </c>
      <c r="G71" s="17">
        <v>1</v>
      </c>
      <c r="H71" s="17">
        <v>4</v>
      </c>
      <c r="I71" s="17">
        <v>7500</v>
      </c>
      <c r="J71" s="17">
        <v>7500</v>
      </c>
      <c r="K71" s="17">
        <v>65.373199999999997</v>
      </c>
      <c r="M71" s="2" t="str">
        <f>_xlfn.XLOOKUP(Runge2[[#This Row],[Metodo]],TbSolver[Metodo],TbSolver[Solver])</f>
        <v>Runge Kutta</v>
      </c>
      <c r="N71" s="2" t="str">
        <f>_xlfn.XLOOKUP(Runge2[[#This Row],[Hebras]],TbTecnologia[Hebras],TbTecnologia[Tecnología])</f>
        <v>OMP</v>
      </c>
      <c r="O71" s="4" t="str" cm="1">
        <f t="array" ref="O71">_xlfn.XLOOKUP(Runge2[[#This Row],[Tecnología]]&amp;Runge2[[#This Row],[Metodo]],TbTipos[Tecnología]&amp;TbTipos[Metodo],TbTipos[Tipo])</f>
        <v>OMP Operaciones</v>
      </c>
      <c r="P71" s="4" t="str" cm="1">
        <f t="array" ref="P71">_xlfn.XLOOKUP(Runge2[[#This Row],[Tecnología]]&amp;Runge2[[#This Row],[Problema]],TbNombres[Tecnología]&amp;TbNombres[Problema],TbNombres[Nombre])</f>
        <v>Advdiff1d</v>
      </c>
      <c r="Q71" s="4">
        <v>1</v>
      </c>
      <c r="R71" s="4">
        <v>2</v>
      </c>
      <c r="S71" s="4">
        <v>1</v>
      </c>
      <c r="T71" s="4">
        <v>7500</v>
      </c>
      <c r="U71" s="4">
        <v>7500</v>
      </c>
      <c r="V71" s="4">
        <v>658.49</v>
      </c>
      <c r="X71" s="2" t="str">
        <f>_xlfn.XLOOKUP(Runge3[[#This Row],[Metodo]],TbSolver[Metodo],TbSolver[Solver])</f>
        <v>Runge Kutta</v>
      </c>
      <c r="Y71" s="2" t="str">
        <f>_xlfn.XLOOKUP(Runge3[[#This Row],[Hebras]],TbTecnologia[Hebras],TbTecnologia[Tecnología])</f>
        <v>CUDA</v>
      </c>
      <c r="Z71" s="2" t="str" cm="1">
        <f t="array" ref="Z71">_xlfn.XLOOKUP(Runge3[[#This Row],[Tecnología]]&amp;Runge3[[#This Row],[Metodo]],TbTipos[Tecnología]&amp;TbTipos[Metodo],TbTipos[Tipo])</f>
        <v>CUDA sin graph</v>
      </c>
      <c r="AA71" s="2" t="str" cm="1">
        <f t="array" ref="AA71">_xlfn.XLOOKUP(Runge3[[#This Row],[Tecnología]]&amp;Runge3[[#This Row],[Problema]],TbNombres[Tecnología]&amp;TbNombres[Problema],TbNombres[Nombre])</f>
        <v>Brusselator1d</v>
      </c>
      <c r="AB71" s="2">
        <v>1</v>
      </c>
      <c r="AC71" s="2">
        <v>5</v>
      </c>
      <c r="AD71" s="2">
        <v>256</v>
      </c>
      <c r="AE71" s="2">
        <v>2000</v>
      </c>
      <c r="AF71" s="2">
        <v>4000</v>
      </c>
      <c r="AG71" s="2">
        <v>17.201499999999999</v>
      </c>
      <c r="AI71" s="4" t="str">
        <f>_xlfn.XLOOKUP(Runge4[[#This Row],[Metodo]],TbSolver[Metodo],TbSolver[Solver])</f>
        <v>Runge Kutta</v>
      </c>
      <c r="AJ71" s="4" t="str">
        <f>_xlfn.XLOOKUP(Runge4[[#This Row],[Hebras]],TbTecnologia[Hebras],TbTecnologia[Tecnología])</f>
        <v>OMP</v>
      </c>
      <c r="AK7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71" s="4" t="str" cm="1">
        <f t="array" ref="AL71">_xlfn.XLOOKUP(Runge4[[#This Row],[Tecnología]]&amp;Runge4[[#This Row],[Problema]],TbNombres[Tecnología]&amp;TbNombres[Problema],TbNombres[Nombre])</f>
        <v>Brusselator2d</v>
      </c>
      <c r="AM71" s="4">
        <v>1</v>
      </c>
      <c r="AN71" s="4">
        <v>4</v>
      </c>
      <c r="AO71" s="4">
        <v>16</v>
      </c>
      <c r="AP71" s="4">
        <v>200</v>
      </c>
      <c r="AQ71" s="4">
        <v>80000</v>
      </c>
      <c r="AR71" s="4">
        <v>185.49299999999999</v>
      </c>
    </row>
    <row r="72" spans="2:44" x14ac:dyDescent="0.2">
      <c r="B72" s="1" t="str">
        <f>_xlfn.XLOOKUP(Runge1[[#This Row],[Metodo]],TbSolver[Metodo],TbSolver[Solver])</f>
        <v>Runge Kutta</v>
      </c>
      <c r="C72" s="1" t="str">
        <f>_xlfn.XLOOKUP(Runge1[[#This Row],[Hebras]],TbTecnologia[Hebras],TbTecnologia[Tecnología])</f>
        <v>OMP</v>
      </c>
      <c r="D72" s="1" t="str" cm="1">
        <f t="array" ref="D72">_xlfn.XLOOKUP(Runge1[[#This Row],[Tecnología]]&amp;Runge1[[#This Row],[Metodo]],TbTipos[Tecnología]&amp;TbTipos[Metodo],TbTipos[Tipo])</f>
        <v>OMP Elementos</v>
      </c>
      <c r="E72" s="1" t="str" cm="1">
        <f t="array" ref="E72">_xlfn.XLOOKUP(Runge1[[#This Row],[Tecnología]]&amp;Runge1[[#This Row],[Problema]],TbNombres[Tecnología]&amp;TbNombres[Problema],TbNombres[Nombre])</f>
        <v>Simple Advdiff</v>
      </c>
      <c r="F72" s="17">
        <v>2</v>
      </c>
      <c r="G72" s="17">
        <v>1</v>
      </c>
      <c r="H72" s="17">
        <v>1</v>
      </c>
      <c r="I72" s="17">
        <v>7500</v>
      </c>
      <c r="J72" s="17">
        <v>7500</v>
      </c>
      <c r="K72" s="17">
        <v>228.49299999999999</v>
      </c>
      <c r="M72" s="2" t="str">
        <f>_xlfn.XLOOKUP(Runge2[[#This Row],[Metodo]],TbSolver[Metodo],TbSolver[Solver])</f>
        <v>Runge Kutta</v>
      </c>
      <c r="N72" s="2" t="str">
        <f>_xlfn.XLOOKUP(Runge2[[#This Row],[Hebras]],TbTecnologia[Hebras],TbTecnologia[Tecnología])</f>
        <v>OMP</v>
      </c>
      <c r="O72" s="4" t="str" cm="1">
        <f t="array" ref="O72">_xlfn.XLOOKUP(Runge2[[#This Row],[Tecnología]]&amp;Runge2[[#This Row],[Metodo]],TbTipos[Tecnología]&amp;TbTipos[Metodo],TbTipos[Tipo])</f>
        <v>OMP Elementos</v>
      </c>
      <c r="P72" s="4" t="str" cm="1">
        <f t="array" ref="P72">_xlfn.XLOOKUP(Runge2[[#This Row],[Tecnología]]&amp;Runge2[[#This Row],[Problema]],TbNombres[Tecnología]&amp;TbNombres[Problema],TbNombres[Nombre])</f>
        <v>Advdiff1d</v>
      </c>
      <c r="Q72" s="4">
        <v>2</v>
      </c>
      <c r="R72" s="4">
        <v>2</v>
      </c>
      <c r="S72" s="4">
        <v>1</v>
      </c>
      <c r="T72" s="4">
        <v>7500</v>
      </c>
      <c r="U72" s="4">
        <v>7500</v>
      </c>
      <c r="V72" s="4">
        <v>863.10400000000004</v>
      </c>
      <c r="X72" s="2" t="str">
        <f>_xlfn.XLOOKUP(Runge3[[#This Row],[Metodo]],TbSolver[Metodo],TbSolver[Solver])</f>
        <v>Runge Kutta</v>
      </c>
      <c r="Y72" s="2" t="str">
        <f>_xlfn.XLOOKUP(Runge3[[#This Row],[Hebras]],TbTecnologia[Hebras],TbTecnologia[Tecnología])</f>
        <v>CUDA</v>
      </c>
      <c r="Z72" s="2" t="str" cm="1">
        <f t="array" ref="Z72">_xlfn.XLOOKUP(Runge3[[#This Row],[Tecnología]]&amp;Runge3[[#This Row],[Metodo]],TbTipos[Tecnología]&amp;TbTipos[Metodo],TbTipos[Tipo])</f>
        <v>CUDA sin graph</v>
      </c>
      <c r="AA72" s="2" t="str" cm="1">
        <f t="array" ref="AA72">_xlfn.XLOOKUP(Runge3[[#This Row],[Tecnología]]&amp;Runge3[[#This Row],[Problema]],TbNombres[Tecnología]&amp;TbNombres[Problema],TbNombres[Nombre])</f>
        <v>Brusselator1d grid</v>
      </c>
      <c r="AB72" s="2">
        <v>1</v>
      </c>
      <c r="AC72" s="2">
        <v>7</v>
      </c>
      <c r="AD72" s="2">
        <v>256</v>
      </c>
      <c r="AE72" s="2">
        <v>2000</v>
      </c>
      <c r="AF72" s="2">
        <v>4000</v>
      </c>
      <c r="AG72" s="2">
        <v>17.2821</v>
      </c>
      <c r="AI72" s="4" t="str">
        <f>_xlfn.XLOOKUP(Runge4[[#This Row],[Metodo]],TbSolver[Metodo],TbSolver[Solver])</f>
        <v>Runge Kutta</v>
      </c>
      <c r="AJ72" s="4" t="str">
        <f>_xlfn.XLOOKUP(Runge4[[#This Row],[Hebras]],TbTecnologia[Hebras],TbTecnologia[Tecnología])</f>
        <v>OMP</v>
      </c>
      <c r="AK7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72" s="4" t="str" cm="1">
        <f t="array" ref="AL72">_xlfn.XLOOKUP(Runge4[[#This Row],[Tecnología]]&amp;Runge4[[#This Row],[Problema]],TbNombres[Tecnología]&amp;TbNombres[Problema],TbNombres[Nombre])</f>
        <v>Brusselator2d</v>
      </c>
      <c r="AM72" s="4">
        <v>2</v>
      </c>
      <c r="AN72" s="4">
        <v>4</v>
      </c>
      <c r="AO72" s="4">
        <v>16</v>
      </c>
      <c r="AP72" s="4">
        <v>200</v>
      </c>
      <c r="AQ72" s="4">
        <v>80000</v>
      </c>
      <c r="AR72" s="4">
        <v>337.33600000000001</v>
      </c>
    </row>
    <row r="73" spans="2:44" x14ac:dyDescent="0.2">
      <c r="B73" s="1" t="str">
        <f>_xlfn.XLOOKUP(Runge1[[#This Row],[Metodo]],TbSolver[Metodo],TbSolver[Solver])</f>
        <v>Runge Kutta</v>
      </c>
      <c r="C73" s="1" t="str">
        <f>_xlfn.XLOOKUP(Runge1[[#This Row],[Hebras]],TbTecnologia[Hebras],TbTecnologia[Tecnología])</f>
        <v>CUDA</v>
      </c>
      <c r="D73" s="1" t="str" cm="1">
        <f t="array" ref="D73">_xlfn.XLOOKUP(Runge1[[#This Row],[Tecnología]]&amp;Runge1[[#This Row],[Metodo]],TbTipos[Tecnología]&amp;TbTipos[Metodo],TbTipos[Tipo])</f>
        <v>CUDA con graph</v>
      </c>
      <c r="E73" s="1" t="str" cm="1">
        <f t="array" ref="E73">_xlfn.XLOOKUP(Runge1[[#This Row],[Tecnología]]&amp;Runge1[[#This Row],[Problema]],TbNombres[Tecnología]&amp;TbNombres[Problema],TbNombres[Nombre])</f>
        <v>Simple Advdiff</v>
      </c>
      <c r="F73" s="1">
        <v>2</v>
      </c>
      <c r="G73" s="1">
        <v>1</v>
      </c>
      <c r="H73" s="1">
        <v>256</v>
      </c>
      <c r="I73" s="1">
        <v>10000</v>
      </c>
      <c r="J73" s="1">
        <v>10000</v>
      </c>
      <c r="K73" s="1">
        <v>12.9445</v>
      </c>
      <c r="M73" s="4" t="str">
        <f>_xlfn.XLOOKUP(Runge2[[#This Row],[Metodo]],TbSolver[Metodo],TbSolver[Solver])</f>
        <v>Runge Kutta</v>
      </c>
      <c r="N73" s="4" t="str">
        <f>_xlfn.XLOOKUP(Runge2[[#This Row],[Hebras]],TbTecnologia[Hebras],TbTecnologia[Tecnología])</f>
        <v>CUDA</v>
      </c>
      <c r="O73" s="4" t="str" cm="1">
        <f t="array" ref="O73">_xlfn.XLOOKUP(Runge2[[#This Row],[Tecnología]]&amp;Runge2[[#This Row],[Metodo]],TbTipos[Tecnología]&amp;TbTipos[Metodo],TbTipos[Tipo])</f>
        <v>CUDA con graph</v>
      </c>
      <c r="P73" s="4" t="str" cm="1">
        <f t="array" ref="P73">_xlfn.XLOOKUP(Runge2[[#This Row],[Tecnología]]&amp;Runge2[[#This Row],[Problema]],TbNombres[Tecnología]&amp;TbNombres[Problema],TbNombres[Nombre])</f>
        <v>Advdiff1d</v>
      </c>
      <c r="Q73" s="4">
        <v>2</v>
      </c>
      <c r="R73" s="4">
        <v>3</v>
      </c>
      <c r="S73" s="4">
        <v>256</v>
      </c>
      <c r="T73" s="4">
        <v>10000</v>
      </c>
      <c r="U73" s="4">
        <v>10000</v>
      </c>
      <c r="V73" s="4">
        <v>28.323499999999999</v>
      </c>
      <c r="X73" s="2" t="str">
        <f>_xlfn.XLOOKUP(Runge3[[#This Row],[Metodo]],TbSolver[Metodo],TbSolver[Solver])</f>
        <v>Runge Kutta</v>
      </c>
      <c r="Y73" s="2" t="str">
        <f>_xlfn.XLOOKUP(Runge3[[#This Row],[Hebras]],TbTecnologia[Hebras],TbTecnologia[Tecnología])</f>
        <v>OMP</v>
      </c>
      <c r="Z73" s="2" t="str" cm="1">
        <f t="array" ref="Z73">_xlfn.XLOOKUP(Runge3[[#This Row],[Tecnología]]&amp;Runge3[[#This Row],[Metodo]],TbTipos[Tecnología]&amp;TbTipos[Metodo],TbTipos[Tipo])</f>
        <v>OMP Elementos</v>
      </c>
      <c r="AA73" s="2" t="str" cm="1">
        <f t="array" ref="AA73">_xlfn.XLOOKUP(Runge3[[#This Row],[Tecnología]]&amp;Runge3[[#This Row],[Problema]],TbNombres[Tecnología]&amp;TbNombres[Problema],TbNombres[Nombre])</f>
        <v>Brusselator1d</v>
      </c>
      <c r="AB73" s="4">
        <v>2</v>
      </c>
      <c r="AC73" s="4">
        <v>3</v>
      </c>
      <c r="AD73" s="4">
        <v>16</v>
      </c>
      <c r="AE73" s="4">
        <v>2000</v>
      </c>
      <c r="AF73" s="4">
        <v>4000</v>
      </c>
      <c r="AG73" s="4">
        <v>19.2804</v>
      </c>
      <c r="AI73" s="4" t="str">
        <f>_xlfn.XLOOKUP(Runge4[[#This Row],[Metodo]],TbSolver[Metodo],TbSolver[Solver])</f>
        <v>Runge Kutta</v>
      </c>
      <c r="AJ73" s="4" t="str">
        <f>_xlfn.XLOOKUP(Runge4[[#This Row],[Hebras]],TbTecnologia[Hebras],TbTecnologia[Tecnología])</f>
        <v>OMP</v>
      </c>
      <c r="AK7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73" s="4" t="str" cm="1">
        <f t="array" ref="AL73">_xlfn.XLOOKUP(Runge4[[#This Row],[Tecnología]]&amp;Runge4[[#This Row],[Problema]],TbNombres[Tecnología]&amp;TbNombres[Problema],TbNombres[Nombre])</f>
        <v>Brusselator2d</v>
      </c>
      <c r="AM73" s="4">
        <v>1</v>
      </c>
      <c r="AN73" s="4">
        <v>4</v>
      </c>
      <c r="AO73" s="4">
        <v>4</v>
      </c>
      <c r="AP73" s="4">
        <v>200</v>
      </c>
      <c r="AQ73" s="4">
        <v>80000</v>
      </c>
      <c r="AR73" s="4">
        <v>468.233</v>
      </c>
    </row>
    <row r="74" spans="2:44" x14ac:dyDescent="0.2">
      <c r="B74" s="1" t="str">
        <f>_xlfn.XLOOKUP(Runge1[[#This Row],[Metodo]],TbSolver[Metodo],TbSolver[Solver])</f>
        <v>Runge Kutta</v>
      </c>
      <c r="C74" s="1" t="str">
        <f>_xlfn.XLOOKUP(Runge1[[#This Row],[Hebras]],TbTecnologia[Hebras],TbTecnologia[Tecnología])</f>
        <v>CUDA</v>
      </c>
      <c r="D74" s="1" t="str" cm="1">
        <f t="array" ref="D74">_xlfn.XLOOKUP(Runge1[[#This Row],[Tecnología]]&amp;Runge1[[#This Row],[Metodo]],TbTipos[Tecnología]&amp;TbTipos[Metodo],TbTipos[Tipo])</f>
        <v>CUDA sin graph</v>
      </c>
      <c r="E74" s="1" t="str" cm="1">
        <f t="array" ref="E74">_xlfn.XLOOKUP(Runge1[[#This Row],[Tecnología]]&amp;Runge1[[#This Row],[Problema]],TbNombres[Tecnología]&amp;TbNombres[Problema],TbNombres[Nombre])</f>
        <v>Simple Advdiff</v>
      </c>
      <c r="F74" s="1">
        <v>1</v>
      </c>
      <c r="G74" s="1">
        <v>1</v>
      </c>
      <c r="H74" s="1">
        <v>256</v>
      </c>
      <c r="I74" s="1">
        <v>10000</v>
      </c>
      <c r="J74" s="1">
        <v>10000</v>
      </c>
      <c r="K74" s="1">
        <v>19.186399999999999</v>
      </c>
      <c r="M74" s="2" t="str">
        <f>_xlfn.XLOOKUP(Runge2[[#This Row],[Metodo]],TbSolver[Metodo],TbSolver[Solver])</f>
        <v>Runge Kutta</v>
      </c>
      <c r="N74" s="2" t="str">
        <f>_xlfn.XLOOKUP(Runge2[[#This Row],[Hebras]],TbTecnologia[Hebras],TbTecnologia[Tecnología])</f>
        <v>CUDA</v>
      </c>
      <c r="O74" s="2" t="str" cm="1">
        <f t="array" ref="O74">_xlfn.XLOOKUP(Runge2[[#This Row],[Tecnología]]&amp;Runge2[[#This Row],[Metodo]],TbTipos[Tecnología]&amp;TbTipos[Metodo],TbTipos[Tipo])</f>
        <v>CUDA sin graph</v>
      </c>
      <c r="P74" s="2" t="str" cm="1">
        <f t="array" ref="P74">_xlfn.XLOOKUP(Runge2[[#This Row],[Tecnología]]&amp;Runge2[[#This Row],[Problema]],TbNombres[Tecnología]&amp;TbNombres[Problema],TbNombres[Nombre])</f>
        <v>Advdiff1d</v>
      </c>
      <c r="Q74" s="2">
        <v>1</v>
      </c>
      <c r="R74" s="2">
        <v>3</v>
      </c>
      <c r="S74" s="2">
        <v>256</v>
      </c>
      <c r="T74" s="2">
        <v>10000</v>
      </c>
      <c r="U74" s="2">
        <v>10000</v>
      </c>
      <c r="V74" s="2">
        <v>31.145700000000001</v>
      </c>
      <c r="X74" s="2" t="str">
        <f>_xlfn.XLOOKUP(Runge3[[#This Row],[Metodo]],TbSolver[Metodo],TbSolver[Solver])</f>
        <v>Runge Kutta</v>
      </c>
      <c r="Y74" s="2" t="str">
        <f>_xlfn.XLOOKUP(Runge3[[#This Row],[Hebras]],TbTecnologia[Hebras],TbTecnologia[Tecnología])</f>
        <v>OMP</v>
      </c>
      <c r="Z74" s="2" t="str" cm="1">
        <f t="array" ref="Z74">_xlfn.XLOOKUP(Runge3[[#This Row],[Tecnología]]&amp;Runge3[[#This Row],[Metodo]],TbTipos[Tecnología]&amp;TbTipos[Metodo],TbTipos[Tipo])</f>
        <v>OMP Elementos</v>
      </c>
      <c r="AA74" s="2" t="str" cm="1">
        <f t="array" ref="AA74">_xlfn.XLOOKUP(Runge3[[#This Row],[Tecnología]]&amp;Runge3[[#This Row],[Problema]],TbNombres[Tecnología]&amp;TbNombres[Problema],TbNombres[Nombre])</f>
        <v>Brusselator1d</v>
      </c>
      <c r="AB74" s="4">
        <v>2</v>
      </c>
      <c r="AC74" s="4">
        <v>3</v>
      </c>
      <c r="AD74" s="4">
        <v>4</v>
      </c>
      <c r="AE74" s="4">
        <v>2000</v>
      </c>
      <c r="AF74" s="4">
        <v>4000</v>
      </c>
      <c r="AG74" s="4">
        <v>29.727900000000002</v>
      </c>
      <c r="AI74" s="4" t="str">
        <f>_xlfn.XLOOKUP(Runge4[[#This Row],[Metodo]],TbSolver[Metodo],TbSolver[Solver])</f>
        <v>Runge Kutta</v>
      </c>
      <c r="AJ74" s="4" t="str">
        <f>_xlfn.XLOOKUP(Runge4[[#This Row],[Hebras]],TbTecnologia[Hebras],TbTecnologia[Tecnología])</f>
        <v>OMP</v>
      </c>
      <c r="AK7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74" s="4" t="str" cm="1">
        <f t="array" ref="AL74">_xlfn.XLOOKUP(Runge4[[#This Row],[Tecnología]]&amp;Runge4[[#This Row],[Problema]],TbNombres[Tecnología]&amp;TbNombres[Problema],TbNombres[Nombre])</f>
        <v>Brusselator2d</v>
      </c>
      <c r="AM74" s="4">
        <v>2</v>
      </c>
      <c r="AN74" s="4">
        <v>4</v>
      </c>
      <c r="AO74" s="4">
        <v>4</v>
      </c>
      <c r="AP74" s="4">
        <v>200</v>
      </c>
      <c r="AQ74" s="4">
        <v>80000</v>
      </c>
      <c r="AR74" s="4">
        <v>1145.17</v>
      </c>
    </row>
    <row r="75" spans="2:44" x14ac:dyDescent="0.2">
      <c r="B75" s="1" t="str">
        <f>_xlfn.XLOOKUP(Runge1[[#This Row],[Metodo]],TbSolver[Metodo],TbSolver[Solver])</f>
        <v>Runge Kutta</v>
      </c>
      <c r="C75" s="1" t="str">
        <f>_xlfn.XLOOKUP(Runge1[[#This Row],[Hebras]],TbTecnologia[Hebras],TbTecnologia[Tecnología])</f>
        <v>OMP</v>
      </c>
      <c r="D75" s="1" t="str" cm="1">
        <f t="array" ref="D75">_xlfn.XLOOKUP(Runge1[[#This Row],[Tecnología]]&amp;Runge1[[#This Row],[Metodo]],TbTipos[Tecnología]&amp;TbTipos[Metodo],TbTipos[Tipo])</f>
        <v>OMP Elementos</v>
      </c>
      <c r="E75" s="1" t="str" cm="1">
        <f t="array" ref="E75">_xlfn.XLOOKUP(Runge1[[#This Row],[Tecnología]]&amp;Runge1[[#This Row],[Problema]],TbNombres[Tecnología]&amp;TbNombres[Problema],TbNombres[Nombre])</f>
        <v>Simple Advdiff</v>
      </c>
      <c r="F75" s="17">
        <v>2</v>
      </c>
      <c r="G75" s="17">
        <v>1</v>
      </c>
      <c r="H75" s="17">
        <v>16</v>
      </c>
      <c r="I75" s="17">
        <v>10000</v>
      </c>
      <c r="J75" s="17">
        <v>10000</v>
      </c>
      <c r="K75" s="17">
        <v>33.976799999999997</v>
      </c>
      <c r="M75" s="2" t="str">
        <f>_xlfn.XLOOKUP(Runge2[[#This Row],[Metodo]],TbSolver[Metodo],TbSolver[Solver])</f>
        <v>Runge Kutta</v>
      </c>
      <c r="N75" s="2" t="str">
        <f>_xlfn.XLOOKUP(Runge2[[#This Row],[Hebras]],TbTecnologia[Hebras],TbTecnologia[Tecnología])</f>
        <v>OMP</v>
      </c>
      <c r="O75" s="4" t="str" cm="1">
        <f t="array" ref="O75">_xlfn.XLOOKUP(Runge2[[#This Row],[Tecnología]]&amp;Runge2[[#This Row],[Metodo]],TbTipos[Tecnología]&amp;TbTipos[Metodo],TbTipos[Tipo])</f>
        <v>OMP Elementos</v>
      </c>
      <c r="P75" s="4" t="str" cm="1">
        <f t="array" ref="P75">_xlfn.XLOOKUP(Runge2[[#This Row],[Tecnología]]&amp;Runge2[[#This Row],[Problema]],TbNombres[Tecnología]&amp;TbNombres[Problema],TbNombres[Nombre])</f>
        <v>Advdiff1d</v>
      </c>
      <c r="Q75" s="4">
        <v>2</v>
      </c>
      <c r="R75" s="4">
        <v>2</v>
      </c>
      <c r="S75" s="4">
        <v>16</v>
      </c>
      <c r="T75" s="4">
        <v>10000</v>
      </c>
      <c r="U75" s="4">
        <v>10000</v>
      </c>
      <c r="V75" s="4">
        <v>94.157799999999995</v>
      </c>
      <c r="X75" s="2" t="str">
        <f>_xlfn.XLOOKUP(Runge3[[#This Row],[Metodo]],TbSolver[Metodo],TbSolver[Solver])</f>
        <v>Runge Kutta</v>
      </c>
      <c r="Y75" s="2" t="str">
        <f>_xlfn.XLOOKUP(Runge3[[#This Row],[Hebras]],TbTecnologia[Hebras],TbTecnologia[Tecnología])</f>
        <v>OMP</v>
      </c>
      <c r="Z75" s="2" t="str" cm="1">
        <f t="array" ref="Z75">_xlfn.XLOOKUP(Runge3[[#This Row],[Tecnología]]&amp;Runge3[[#This Row],[Metodo]],TbTipos[Tecnología]&amp;TbTipos[Metodo],TbTipos[Tipo])</f>
        <v>OMP Operaciones</v>
      </c>
      <c r="AA75" s="2" t="str" cm="1">
        <f t="array" ref="AA75">_xlfn.XLOOKUP(Runge3[[#This Row],[Tecnología]]&amp;Runge3[[#This Row],[Problema]],TbNombres[Tecnología]&amp;TbNombres[Problema],TbNombres[Nombre])</f>
        <v>Brusselator1d</v>
      </c>
      <c r="AB75" s="4">
        <v>1</v>
      </c>
      <c r="AC75" s="4">
        <v>3</v>
      </c>
      <c r="AD75" s="4">
        <v>1</v>
      </c>
      <c r="AE75" s="4">
        <v>2000</v>
      </c>
      <c r="AF75" s="4">
        <v>4000</v>
      </c>
      <c r="AG75" s="4">
        <v>41.281500000000001</v>
      </c>
      <c r="AI75" s="4" t="str">
        <f>_xlfn.XLOOKUP(Runge4[[#This Row],[Metodo]],TbSolver[Metodo],TbSolver[Solver])</f>
        <v>Runge Kutta</v>
      </c>
      <c r="AJ75" s="4" t="str">
        <f>_xlfn.XLOOKUP(Runge4[[#This Row],[Hebras]],TbTecnologia[Hebras],TbTecnologia[Tecnología])</f>
        <v>OMP</v>
      </c>
      <c r="AK7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75" s="4" t="str" cm="1">
        <f t="array" ref="AL75">_xlfn.XLOOKUP(Runge4[[#This Row],[Tecnología]]&amp;Runge4[[#This Row],[Problema]],TbNombres[Tecnología]&amp;TbNombres[Problema],TbNombres[Nombre])</f>
        <v>Brusselator2d</v>
      </c>
      <c r="AM75" s="4">
        <v>1</v>
      </c>
      <c r="AN75" s="4">
        <v>4</v>
      </c>
      <c r="AO75" s="4">
        <v>1</v>
      </c>
      <c r="AP75" s="4">
        <v>200</v>
      </c>
      <c r="AQ75" s="4">
        <v>80000</v>
      </c>
      <c r="AR75" s="4">
        <v>1786.83</v>
      </c>
    </row>
    <row r="76" spans="2:44" x14ac:dyDescent="0.2">
      <c r="B76" s="1" t="str">
        <f>_xlfn.XLOOKUP(Runge1[[#This Row],[Metodo]],TbSolver[Metodo],TbSolver[Solver])</f>
        <v>Runge Kutta</v>
      </c>
      <c r="C76" s="1" t="str">
        <f>_xlfn.XLOOKUP(Runge1[[#This Row],[Hebras]],TbTecnologia[Hebras],TbTecnologia[Tecnología])</f>
        <v>OMP</v>
      </c>
      <c r="D76" s="1" t="str" cm="1">
        <f t="array" ref="D76">_xlfn.XLOOKUP(Runge1[[#This Row],[Tecnología]]&amp;Runge1[[#This Row],[Metodo]],TbTipos[Tecnología]&amp;TbTipos[Metodo],TbTipos[Tipo])</f>
        <v>OMP Operaciones</v>
      </c>
      <c r="E76" s="1" t="str" cm="1">
        <f t="array" ref="E76">_xlfn.XLOOKUP(Runge1[[#This Row],[Tecnología]]&amp;Runge1[[#This Row],[Problema]],TbNombres[Tecnología]&amp;TbNombres[Problema],TbNombres[Nombre])</f>
        <v>Simple Advdiff</v>
      </c>
      <c r="F76" s="17">
        <v>1</v>
      </c>
      <c r="G76" s="17">
        <v>1</v>
      </c>
      <c r="H76" s="17">
        <v>4</v>
      </c>
      <c r="I76" s="17">
        <v>10000</v>
      </c>
      <c r="J76" s="17">
        <v>10000</v>
      </c>
      <c r="K76" s="17">
        <v>38.475299999999997</v>
      </c>
      <c r="M76" s="2" t="str">
        <f>_xlfn.XLOOKUP(Runge2[[#This Row],[Metodo]],TbSolver[Metodo],TbSolver[Solver])</f>
        <v>Runge Kutta</v>
      </c>
      <c r="N76" s="2" t="str">
        <f>_xlfn.XLOOKUP(Runge2[[#This Row],[Hebras]],TbTecnologia[Hebras],TbTecnologia[Tecnología])</f>
        <v>OMP</v>
      </c>
      <c r="O76" s="4" t="str" cm="1">
        <f t="array" ref="O76">_xlfn.XLOOKUP(Runge2[[#This Row],[Tecnología]]&amp;Runge2[[#This Row],[Metodo]],TbTipos[Tecnología]&amp;TbTipos[Metodo],TbTipos[Tipo])</f>
        <v>OMP Operaciones</v>
      </c>
      <c r="P76" s="4" t="str" cm="1">
        <f t="array" ref="P76">_xlfn.XLOOKUP(Runge2[[#This Row],[Tecnología]]&amp;Runge2[[#This Row],[Problema]],TbNombres[Tecnología]&amp;TbNombres[Problema],TbNombres[Nombre])</f>
        <v>Advdiff1d</v>
      </c>
      <c r="Q76" s="4">
        <v>1</v>
      </c>
      <c r="R76" s="4">
        <v>2</v>
      </c>
      <c r="S76" s="4">
        <v>16</v>
      </c>
      <c r="T76" s="4">
        <v>10000</v>
      </c>
      <c r="U76" s="4">
        <v>10000</v>
      </c>
      <c r="V76" s="4">
        <v>151.233</v>
      </c>
      <c r="X76" s="2" t="str">
        <f>_xlfn.XLOOKUP(Runge3[[#This Row],[Metodo]],TbSolver[Metodo],TbSolver[Solver])</f>
        <v>Runge Kutta</v>
      </c>
      <c r="Y76" s="2" t="str">
        <f>_xlfn.XLOOKUP(Runge3[[#This Row],[Hebras]],TbTecnologia[Hebras],TbTecnologia[Tecnología])</f>
        <v>OMP</v>
      </c>
      <c r="Z76" s="2" t="str" cm="1">
        <f t="array" ref="Z76">_xlfn.XLOOKUP(Runge3[[#This Row],[Tecnología]]&amp;Runge3[[#This Row],[Metodo]],TbTipos[Tecnología]&amp;TbTipos[Metodo],TbTipos[Tipo])</f>
        <v>OMP Operaciones</v>
      </c>
      <c r="AA76" s="2" t="str" cm="1">
        <f t="array" ref="AA76">_xlfn.XLOOKUP(Runge3[[#This Row],[Tecnología]]&amp;Runge3[[#This Row],[Problema]],TbNombres[Tecnología]&amp;TbNombres[Problema],TbNombres[Nombre])</f>
        <v>Brusselator1d</v>
      </c>
      <c r="AB76" s="4">
        <v>1</v>
      </c>
      <c r="AC76" s="4">
        <v>3</v>
      </c>
      <c r="AD76" s="4">
        <v>4</v>
      </c>
      <c r="AE76" s="4">
        <v>2000</v>
      </c>
      <c r="AF76" s="4">
        <v>4000</v>
      </c>
      <c r="AG76" s="4">
        <v>42.180300000000003</v>
      </c>
      <c r="AI76" s="4" t="str">
        <f>_xlfn.XLOOKUP(Runge4[[#This Row],[Metodo]],TbSolver[Metodo],TbSolver[Solver])</f>
        <v>Runge Kutta</v>
      </c>
      <c r="AJ76" s="4" t="str">
        <f>_xlfn.XLOOKUP(Runge4[[#This Row],[Hebras]],TbTecnologia[Hebras],TbTecnologia[Tecnología])</f>
        <v>OMP</v>
      </c>
      <c r="AK7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76" s="4" t="str" cm="1">
        <f t="array" ref="AL76">_xlfn.XLOOKUP(Runge4[[#This Row],[Tecnología]]&amp;Runge4[[#This Row],[Problema]],TbNombres[Tecnología]&amp;TbNombres[Problema],TbNombres[Nombre])</f>
        <v>Brusselator2d</v>
      </c>
      <c r="AM76" s="4">
        <v>2</v>
      </c>
      <c r="AN76" s="4">
        <v>4</v>
      </c>
      <c r="AO76" s="4">
        <v>1</v>
      </c>
      <c r="AP76" s="4">
        <v>200</v>
      </c>
      <c r="AQ76" s="4">
        <v>80000</v>
      </c>
      <c r="AR76" s="4">
        <v>4281.99</v>
      </c>
    </row>
    <row r="77" spans="2:44" x14ac:dyDescent="0.2">
      <c r="B77" s="1" t="str">
        <f>_xlfn.XLOOKUP(Runge1[[#This Row],[Metodo]],TbSolver[Metodo],TbSolver[Solver])</f>
        <v>Runge Kutta</v>
      </c>
      <c r="C77" s="1" t="str">
        <f>_xlfn.XLOOKUP(Runge1[[#This Row],[Hebras]],TbTecnologia[Hebras],TbTecnologia[Tecnología])</f>
        <v>OMP</v>
      </c>
      <c r="D77" s="1" t="str" cm="1">
        <f t="array" ref="D77">_xlfn.XLOOKUP(Runge1[[#This Row],[Tecnología]]&amp;Runge1[[#This Row],[Metodo]],TbTipos[Tecnología]&amp;TbTipos[Metodo],TbTipos[Tipo])</f>
        <v>OMP Operaciones</v>
      </c>
      <c r="E77" s="1" t="str" cm="1">
        <f t="array" ref="E77">_xlfn.XLOOKUP(Runge1[[#This Row],[Tecnología]]&amp;Runge1[[#This Row],[Problema]],TbNombres[Tecnología]&amp;TbNombres[Problema],TbNombres[Nombre])</f>
        <v>Simple Advdiff</v>
      </c>
      <c r="F77" s="17">
        <v>1</v>
      </c>
      <c r="G77" s="17">
        <v>1</v>
      </c>
      <c r="H77" s="17">
        <v>1</v>
      </c>
      <c r="I77" s="17">
        <v>10000</v>
      </c>
      <c r="J77" s="17">
        <v>10000</v>
      </c>
      <c r="K77" s="17">
        <v>53.5259</v>
      </c>
      <c r="M77" s="2" t="str">
        <f>_xlfn.XLOOKUP(Runge2[[#This Row],[Metodo]],TbSolver[Metodo],TbSolver[Solver])</f>
        <v>Runge Kutta</v>
      </c>
      <c r="N77" s="2" t="str">
        <f>_xlfn.XLOOKUP(Runge2[[#This Row],[Hebras]],TbTecnologia[Hebras],TbTecnologia[Tecnología])</f>
        <v>OMP</v>
      </c>
      <c r="O77" s="4" t="str" cm="1">
        <f t="array" ref="O77">_xlfn.XLOOKUP(Runge2[[#This Row],[Tecnología]]&amp;Runge2[[#This Row],[Metodo]],TbTipos[Tecnología]&amp;TbTipos[Metodo],TbTipos[Tipo])</f>
        <v>OMP Operaciones</v>
      </c>
      <c r="P77" s="4" t="str" cm="1">
        <f t="array" ref="P77">_xlfn.XLOOKUP(Runge2[[#This Row],[Tecnología]]&amp;Runge2[[#This Row],[Problema]],TbNombres[Tecnología]&amp;TbNombres[Problema],TbNombres[Nombre])</f>
        <v>Advdiff1d</v>
      </c>
      <c r="Q77" s="4">
        <v>1</v>
      </c>
      <c r="R77" s="4">
        <v>2</v>
      </c>
      <c r="S77" s="4">
        <v>4</v>
      </c>
      <c r="T77" s="4">
        <v>10000</v>
      </c>
      <c r="U77" s="4">
        <v>10000</v>
      </c>
      <c r="V77" s="4">
        <v>287.221</v>
      </c>
      <c r="X77" s="2" t="str">
        <f>_xlfn.XLOOKUP(Runge3[[#This Row],[Metodo]],TbSolver[Metodo],TbSolver[Solver])</f>
        <v>Runge Kutta</v>
      </c>
      <c r="Y77" s="2" t="str">
        <f>_xlfn.XLOOKUP(Runge3[[#This Row],[Hebras]],TbTecnologia[Hebras],TbTecnologia[Tecnología])</f>
        <v>OMP</v>
      </c>
      <c r="Z77" s="2" t="str" cm="1">
        <f t="array" ref="Z77">_xlfn.XLOOKUP(Runge3[[#This Row],[Tecnología]]&amp;Runge3[[#This Row],[Metodo]],TbTipos[Tecnología]&amp;TbTipos[Metodo],TbTipos[Tipo])</f>
        <v>OMP Operaciones</v>
      </c>
      <c r="AA77" s="2" t="str" cm="1">
        <f t="array" ref="AA77">_xlfn.XLOOKUP(Runge3[[#This Row],[Tecnología]]&amp;Runge3[[#This Row],[Problema]],TbNombres[Tecnología]&amp;TbNombres[Problema],TbNombres[Nombre])</f>
        <v>Brusselator1d</v>
      </c>
      <c r="AB77" s="4">
        <v>1</v>
      </c>
      <c r="AC77" s="4">
        <v>3</v>
      </c>
      <c r="AD77" s="4">
        <v>16</v>
      </c>
      <c r="AE77" s="4">
        <v>2000</v>
      </c>
      <c r="AF77" s="4">
        <v>4000</v>
      </c>
      <c r="AG77" s="4">
        <v>84.235600000000005</v>
      </c>
      <c r="AI77" s="2" t="str">
        <f>_xlfn.XLOOKUP(Runge4[[#This Row],[Metodo]],TbSolver[Metodo],TbSolver[Solver])</f>
        <v>Runge Kutta</v>
      </c>
      <c r="AJ77" s="2" t="str">
        <f>_xlfn.XLOOKUP(Runge4[[#This Row],[Hebras]],TbTecnologia[Hebras],TbTecnologia[Tecnología])</f>
        <v>CUDA</v>
      </c>
      <c r="AK7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77" s="4" t="str" cm="1">
        <f t="array" ref="AL77">_xlfn.XLOOKUP(Runge4[[#This Row],[Tecnología]]&amp;Runge4[[#This Row],[Problema]],TbNombres[Tecnología]&amp;TbNombres[Problema],TbNombres[Nombre])</f>
        <v>Brusselator2d</v>
      </c>
      <c r="AM77" s="21">
        <v>2</v>
      </c>
      <c r="AN77" s="21">
        <v>8</v>
      </c>
      <c r="AO77" s="21">
        <v>256</v>
      </c>
      <c r="AP77" s="21">
        <v>225</v>
      </c>
      <c r="AQ77" s="21">
        <v>101250</v>
      </c>
      <c r="AR77" s="21">
        <v>59.8003</v>
      </c>
    </row>
    <row r="78" spans="2:44" x14ac:dyDescent="0.2">
      <c r="B78" s="1" t="str">
        <f>_xlfn.XLOOKUP(Runge1[[#This Row],[Metodo]],TbSolver[Metodo],TbSolver[Solver])</f>
        <v>Runge Kutta</v>
      </c>
      <c r="C78" s="1" t="str">
        <f>_xlfn.XLOOKUP(Runge1[[#This Row],[Hebras]],TbTecnologia[Hebras],TbTecnologia[Tecnología])</f>
        <v>OMP</v>
      </c>
      <c r="D78" s="1" t="str" cm="1">
        <f t="array" ref="D78">_xlfn.XLOOKUP(Runge1[[#This Row],[Tecnología]]&amp;Runge1[[#This Row],[Metodo]],TbTipos[Tecnología]&amp;TbTipos[Metodo],TbTipos[Tipo])</f>
        <v>OMP Operaciones</v>
      </c>
      <c r="E78" s="1" t="str" cm="1">
        <f t="array" ref="E78">_xlfn.XLOOKUP(Runge1[[#This Row],[Tecnología]]&amp;Runge1[[#This Row],[Problema]],TbNombres[Tecnología]&amp;TbNombres[Problema],TbNombres[Nombre])</f>
        <v>Simple Advdiff</v>
      </c>
      <c r="F78" s="17">
        <v>1</v>
      </c>
      <c r="G78" s="17">
        <v>1</v>
      </c>
      <c r="H78" s="17">
        <v>16</v>
      </c>
      <c r="I78" s="17">
        <v>10000</v>
      </c>
      <c r="J78" s="17">
        <v>10000</v>
      </c>
      <c r="K78" s="17">
        <v>63.599400000000003</v>
      </c>
      <c r="M78" s="2" t="str">
        <f>_xlfn.XLOOKUP(Runge2[[#This Row],[Metodo]],TbSolver[Metodo],TbSolver[Solver])</f>
        <v>Runge Kutta</v>
      </c>
      <c r="N78" s="2" t="str">
        <f>_xlfn.XLOOKUP(Runge2[[#This Row],[Hebras]],TbTecnologia[Hebras],TbTecnologia[Tecnología])</f>
        <v>OMP</v>
      </c>
      <c r="O78" s="4" t="str" cm="1">
        <f t="array" ref="O78">_xlfn.XLOOKUP(Runge2[[#This Row],[Tecnología]]&amp;Runge2[[#This Row],[Metodo]],TbTipos[Tecnología]&amp;TbTipos[Metodo],TbTipos[Tipo])</f>
        <v>OMP Elementos</v>
      </c>
      <c r="P78" s="4" t="str" cm="1">
        <f t="array" ref="P78">_xlfn.XLOOKUP(Runge2[[#This Row],[Tecnología]]&amp;Runge2[[#This Row],[Problema]],TbNombres[Tecnología]&amp;TbNombres[Problema],TbNombres[Nombre])</f>
        <v>Advdiff1d</v>
      </c>
      <c r="Q78" s="4">
        <v>2</v>
      </c>
      <c r="R78" s="4">
        <v>2</v>
      </c>
      <c r="S78" s="4">
        <v>4</v>
      </c>
      <c r="T78" s="4">
        <v>10000</v>
      </c>
      <c r="U78" s="4">
        <v>10000</v>
      </c>
      <c r="V78" s="4">
        <v>322.10599999999999</v>
      </c>
      <c r="X78" s="2" t="str">
        <f>_xlfn.XLOOKUP(Runge3[[#This Row],[Metodo]],TbSolver[Metodo],TbSolver[Solver])</f>
        <v>Runge Kutta</v>
      </c>
      <c r="Y78" s="2" t="str">
        <f>_xlfn.XLOOKUP(Runge3[[#This Row],[Hebras]],TbTecnologia[Hebras],TbTecnologia[Tecnología])</f>
        <v>OMP</v>
      </c>
      <c r="Z78" s="2" t="str" cm="1">
        <f t="array" ref="Z78">_xlfn.XLOOKUP(Runge3[[#This Row],[Tecnología]]&amp;Runge3[[#This Row],[Metodo]],TbTipos[Tecnología]&amp;TbTipos[Metodo],TbTipos[Tipo])</f>
        <v>OMP Elementos</v>
      </c>
      <c r="AA78" s="2" t="str" cm="1">
        <f t="array" ref="AA78">_xlfn.XLOOKUP(Runge3[[#This Row],[Tecnología]]&amp;Runge3[[#This Row],[Problema]],TbNombres[Tecnología]&amp;TbNombres[Problema],TbNombres[Nombre])</f>
        <v>Brusselator1d</v>
      </c>
      <c r="AB78" s="4">
        <v>2</v>
      </c>
      <c r="AC78" s="4">
        <v>3</v>
      </c>
      <c r="AD78" s="4">
        <v>1</v>
      </c>
      <c r="AE78" s="4">
        <v>2000</v>
      </c>
      <c r="AF78" s="4">
        <v>4000</v>
      </c>
      <c r="AG78" s="4">
        <v>95.204899999999995</v>
      </c>
      <c r="AI78" s="2" t="str">
        <f>_xlfn.XLOOKUP(Runge4[[#This Row],[Metodo]],TbSolver[Metodo],TbSolver[Solver])</f>
        <v>Runge Kutta</v>
      </c>
      <c r="AJ78" s="2" t="str">
        <f>_xlfn.XLOOKUP(Runge4[[#This Row],[Hebras]],TbTecnologia[Hebras],TbTecnologia[Tecnología])</f>
        <v>CUDA</v>
      </c>
      <c r="AK7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78" s="4" t="str" cm="1">
        <f t="array" ref="AL78">_xlfn.XLOOKUP(Runge4[[#This Row],[Tecnología]]&amp;Runge4[[#This Row],[Problema]],TbNombres[Tecnología]&amp;TbNombres[Problema],TbNombres[Nombre])</f>
        <v>Brusselator2d</v>
      </c>
      <c r="AM78" s="21">
        <v>1</v>
      </c>
      <c r="AN78" s="21">
        <v>8</v>
      </c>
      <c r="AO78" s="21">
        <v>256</v>
      </c>
      <c r="AP78" s="21">
        <v>225</v>
      </c>
      <c r="AQ78" s="21">
        <v>101250</v>
      </c>
      <c r="AR78" s="21">
        <v>61.4313</v>
      </c>
    </row>
    <row r="79" spans="2:44" x14ac:dyDescent="0.2">
      <c r="B79" s="1" t="str">
        <f>_xlfn.XLOOKUP(Runge1[[#This Row],[Metodo]],TbSolver[Metodo],TbSolver[Solver])</f>
        <v>Runge Kutta</v>
      </c>
      <c r="C79" s="1" t="str">
        <f>_xlfn.XLOOKUP(Runge1[[#This Row],[Hebras]],TbTecnologia[Hebras],TbTecnologia[Tecnología])</f>
        <v>OMP</v>
      </c>
      <c r="D79" s="1" t="str" cm="1">
        <f t="array" ref="D79">_xlfn.XLOOKUP(Runge1[[#This Row],[Tecnología]]&amp;Runge1[[#This Row],[Metodo]],TbTipos[Tecnología]&amp;TbTipos[Metodo],TbTipos[Tipo])</f>
        <v>OMP Elementos</v>
      </c>
      <c r="E79" s="1" t="str" cm="1">
        <f t="array" ref="E79">_xlfn.XLOOKUP(Runge1[[#This Row],[Tecnología]]&amp;Runge1[[#This Row],[Problema]],TbNombres[Tecnología]&amp;TbNombres[Problema],TbNombres[Nombre])</f>
        <v>Simple Advdiff</v>
      </c>
      <c r="F79" s="17">
        <v>2</v>
      </c>
      <c r="G79" s="17">
        <v>1</v>
      </c>
      <c r="H79" s="17">
        <v>4</v>
      </c>
      <c r="I79" s="17">
        <v>10000</v>
      </c>
      <c r="J79" s="17">
        <v>10000</v>
      </c>
      <c r="K79" s="17">
        <v>84.958200000000005</v>
      </c>
      <c r="M79" s="2" t="str">
        <f>_xlfn.XLOOKUP(Runge2[[#This Row],[Metodo]],TbSolver[Metodo],TbSolver[Solver])</f>
        <v>Runge Kutta</v>
      </c>
      <c r="N79" s="2" t="str">
        <f>_xlfn.XLOOKUP(Runge2[[#This Row],[Hebras]],TbTecnologia[Hebras],TbTecnologia[Tecnología])</f>
        <v>OMP</v>
      </c>
      <c r="O79" s="4" t="str" cm="1">
        <f t="array" ref="O79">_xlfn.XLOOKUP(Runge2[[#This Row],[Tecnología]]&amp;Runge2[[#This Row],[Metodo]],TbTipos[Tecnología]&amp;TbTipos[Metodo],TbTipos[Tipo])</f>
        <v>OMP Operaciones</v>
      </c>
      <c r="P79" s="4" t="str" cm="1">
        <f t="array" ref="P79">_xlfn.XLOOKUP(Runge2[[#This Row],[Tecnología]]&amp;Runge2[[#This Row],[Problema]],TbNombres[Tecnología]&amp;TbNombres[Problema],TbNombres[Nombre])</f>
        <v>Advdiff1d</v>
      </c>
      <c r="Q79" s="4">
        <v>1</v>
      </c>
      <c r="R79" s="4">
        <v>2</v>
      </c>
      <c r="S79" s="4">
        <v>1</v>
      </c>
      <c r="T79" s="4">
        <v>10000</v>
      </c>
      <c r="U79" s="4">
        <v>10000</v>
      </c>
      <c r="V79" s="4">
        <v>875.72500000000002</v>
      </c>
      <c r="X79" s="2" t="str">
        <f>_xlfn.XLOOKUP(Runge3[[#This Row],[Metodo]],TbSolver[Metodo],TbSolver[Solver])</f>
        <v>Runge Kutta</v>
      </c>
      <c r="Y79" s="2" t="str">
        <f>_xlfn.XLOOKUP(Runge3[[#This Row],[Hebras]],TbTecnologia[Hebras],TbTecnologia[Tecnología])</f>
        <v>CUDA</v>
      </c>
      <c r="Z79" s="2" t="str" cm="1">
        <f t="array" ref="Z79">_xlfn.XLOOKUP(Runge3[[#This Row],[Tecnología]]&amp;Runge3[[#This Row],[Metodo]],TbTipos[Tecnología]&amp;TbTipos[Metodo],TbTipos[Tipo])</f>
        <v>CUDA con graph</v>
      </c>
      <c r="AA79" s="2" t="str" cm="1">
        <f t="array" ref="AA79">_xlfn.XLOOKUP(Runge3[[#This Row],[Tecnología]]&amp;Runge3[[#This Row],[Problema]],TbNombres[Tecnología]&amp;TbNombres[Problema],TbNombres[Nombre])</f>
        <v>Brusselator1d</v>
      </c>
      <c r="AB79" s="2">
        <v>2</v>
      </c>
      <c r="AC79" s="2">
        <v>5</v>
      </c>
      <c r="AD79" s="2">
        <v>256</v>
      </c>
      <c r="AE79" s="2">
        <v>5000</v>
      </c>
      <c r="AF79" s="2">
        <v>10000</v>
      </c>
      <c r="AG79" s="2">
        <v>14.1684</v>
      </c>
      <c r="AI79" s="2" t="str">
        <f>_xlfn.XLOOKUP(Runge4[[#This Row],[Metodo]],TbSolver[Metodo],TbSolver[Solver])</f>
        <v>Runge Kutta</v>
      </c>
      <c r="AJ79" s="2" t="str">
        <f>_xlfn.XLOOKUP(Runge4[[#This Row],[Hebras]],TbTecnologia[Hebras],TbTecnologia[Tecnología])</f>
        <v>OMP</v>
      </c>
      <c r="AK7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79" s="4" t="str" cm="1">
        <f t="array" ref="AL79">_xlfn.XLOOKUP(Runge4[[#This Row],[Tecnología]]&amp;Runge4[[#This Row],[Problema]],TbNombres[Tecnología]&amp;TbNombres[Problema],TbNombres[Nombre])</f>
        <v>Brusselator2d</v>
      </c>
      <c r="AM79" s="21">
        <v>1</v>
      </c>
      <c r="AN79" s="21">
        <v>4</v>
      </c>
      <c r="AO79" s="21">
        <v>16</v>
      </c>
      <c r="AP79" s="21">
        <v>225</v>
      </c>
      <c r="AQ79" s="21">
        <v>101250</v>
      </c>
      <c r="AR79" s="21">
        <v>204.79599999999999</v>
      </c>
    </row>
    <row r="80" spans="2:44" x14ac:dyDescent="0.2">
      <c r="B80" s="1" t="str">
        <f>_xlfn.XLOOKUP(Runge1[[#This Row],[Metodo]],TbSolver[Metodo],TbSolver[Solver])</f>
        <v>Runge Kutta</v>
      </c>
      <c r="C80" s="1" t="str">
        <f>_xlfn.XLOOKUP(Runge1[[#This Row],[Hebras]],TbTecnologia[Hebras],TbTecnologia[Tecnología])</f>
        <v>OMP</v>
      </c>
      <c r="D80" s="1" t="str" cm="1">
        <f t="array" ref="D80">_xlfn.XLOOKUP(Runge1[[#This Row],[Tecnología]]&amp;Runge1[[#This Row],[Metodo]],TbTipos[Tecnología]&amp;TbTipos[Metodo],TbTipos[Tipo])</f>
        <v>OMP Elementos</v>
      </c>
      <c r="E80" s="1" t="str" cm="1">
        <f t="array" ref="E80">_xlfn.XLOOKUP(Runge1[[#This Row],[Tecnología]]&amp;Runge1[[#This Row],[Problema]],TbNombres[Tecnología]&amp;TbNombres[Problema],TbNombres[Nombre])</f>
        <v>Simple Advdiff</v>
      </c>
      <c r="F80" s="17">
        <v>2</v>
      </c>
      <c r="G80" s="17">
        <v>1</v>
      </c>
      <c r="H80" s="17">
        <v>1</v>
      </c>
      <c r="I80" s="17">
        <v>10000</v>
      </c>
      <c r="J80" s="17">
        <v>10000</v>
      </c>
      <c r="K80" s="17">
        <v>303.40300000000002</v>
      </c>
      <c r="M80" s="2" t="str">
        <f>_xlfn.XLOOKUP(Runge2[[#This Row],[Metodo]],TbSolver[Metodo],TbSolver[Solver])</f>
        <v>Runge Kutta</v>
      </c>
      <c r="N80" s="2" t="str">
        <f>_xlfn.XLOOKUP(Runge2[[#This Row],[Hebras]],TbTecnologia[Hebras],TbTecnologia[Tecnología])</f>
        <v>OMP</v>
      </c>
      <c r="O80" s="4" t="str" cm="1">
        <f t="array" ref="O80">_xlfn.XLOOKUP(Runge2[[#This Row],[Tecnología]]&amp;Runge2[[#This Row],[Metodo]],TbTipos[Tecnología]&amp;TbTipos[Metodo],TbTipos[Tipo])</f>
        <v>OMP Elementos</v>
      </c>
      <c r="P80" s="4" t="str" cm="1">
        <f t="array" ref="P80">_xlfn.XLOOKUP(Runge2[[#This Row],[Tecnología]]&amp;Runge2[[#This Row],[Problema]],TbNombres[Tecnología]&amp;TbNombres[Problema],TbNombres[Nombre])</f>
        <v>Advdiff1d</v>
      </c>
      <c r="Q80" s="4">
        <v>2</v>
      </c>
      <c r="R80" s="4">
        <v>2</v>
      </c>
      <c r="S80" s="4">
        <v>1</v>
      </c>
      <c r="T80" s="4">
        <v>10000</v>
      </c>
      <c r="U80" s="4">
        <v>10000</v>
      </c>
      <c r="V80" s="4">
        <v>1151.53</v>
      </c>
      <c r="X80" s="2" t="str">
        <f>_xlfn.XLOOKUP(Runge3[[#This Row],[Metodo]],TbSolver[Metodo],TbSolver[Solver])</f>
        <v>Runge Kutta</v>
      </c>
      <c r="Y80" s="2" t="str">
        <f>_xlfn.XLOOKUP(Runge3[[#This Row],[Hebras]],TbTecnologia[Hebras],TbTecnologia[Tecnología])</f>
        <v>CUDA</v>
      </c>
      <c r="Z80" s="2" t="str" cm="1">
        <f t="array" ref="Z80">_xlfn.XLOOKUP(Runge3[[#This Row],[Tecnología]]&amp;Runge3[[#This Row],[Metodo]],TbTipos[Tecnología]&amp;TbTipos[Metodo],TbTipos[Tipo])</f>
        <v>CUDA con graph</v>
      </c>
      <c r="AA80" s="2" t="str" cm="1">
        <f t="array" ref="AA80">_xlfn.XLOOKUP(Runge3[[#This Row],[Tecnología]]&amp;Runge3[[#This Row],[Problema]],TbNombres[Tecnología]&amp;TbNombres[Problema],TbNombres[Nombre])</f>
        <v>Brusselator1d shuffle</v>
      </c>
      <c r="AB80" s="2">
        <v>2</v>
      </c>
      <c r="AC80" s="2">
        <v>6</v>
      </c>
      <c r="AD80" s="2">
        <v>256</v>
      </c>
      <c r="AE80" s="2">
        <v>5000</v>
      </c>
      <c r="AF80" s="2">
        <v>10000</v>
      </c>
      <c r="AG80" s="2">
        <v>14.3065</v>
      </c>
      <c r="AI80" s="2" t="str">
        <f>_xlfn.XLOOKUP(Runge4[[#This Row],[Metodo]],TbSolver[Metodo],TbSolver[Solver])</f>
        <v>Runge Kutta</v>
      </c>
      <c r="AJ80" s="2" t="str">
        <f>_xlfn.XLOOKUP(Runge4[[#This Row],[Hebras]],TbTecnologia[Hebras],TbTecnologia[Tecnología])</f>
        <v>OMP</v>
      </c>
      <c r="AK8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80" s="4" t="str" cm="1">
        <f t="array" ref="AL80">_xlfn.XLOOKUP(Runge4[[#This Row],[Tecnología]]&amp;Runge4[[#This Row],[Problema]],TbNombres[Tecnología]&amp;TbNombres[Problema],TbNombres[Nombre])</f>
        <v>Brusselator2d</v>
      </c>
      <c r="AM80" s="21">
        <v>2</v>
      </c>
      <c r="AN80" s="21">
        <v>4</v>
      </c>
      <c r="AO80" s="21">
        <v>16</v>
      </c>
      <c r="AP80" s="21">
        <v>225</v>
      </c>
      <c r="AQ80" s="21">
        <v>101250</v>
      </c>
      <c r="AR80" s="21">
        <v>422.089</v>
      </c>
    </row>
    <row r="81" spans="2:44" x14ac:dyDescent="0.2">
      <c r="B81" s="1" t="str">
        <f>_xlfn.XLOOKUP(Runge1[[#This Row],[Metodo]],TbSolver[Metodo],TbSolver[Solver])</f>
        <v>Runge Kutta</v>
      </c>
      <c r="C81" s="1" t="str">
        <f>_xlfn.XLOOKUP(Runge1[[#This Row],[Hebras]],TbTecnologia[Hebras],TbTecnologia[Tecnología])</f>
        <v>CUDA</v>
      </c>
      <c r="D81" s="1" t="str" cm="1">
        <f t="array" ref="D81">_xlfn.XLOOKUP(Runge1[[#This Row],[Tecnología]]&amp;Runge1[[#This Row],[Metodo]],TbTipos[Tecnología]&amp;TbTipos[Metodo],TbTipos[Tipo])</f>
        <v>CUDA con graph</v>
      </c>
      <c r="E81" s="1" t="str" cm="1">
        <f t="array" ref="E81">_xlfn.XLOOKUP(Runge1[[#This Row],[Tecnología]]&amp;Runge1[[#This Row],[Problema]],TbNombres[Tecnología]&amp;TbNombres[Problema],TbNombres[Nombre])</f>
        <v>Simple Advdiff</v>
      </c>
      <c r="F81" s="20">
        <v>2</v>
      </c>
      <c r="G81" s="20">
        <v>1</v>
      </c>
      <c r="H81" s="20">
        <v>256</v>
      </c>
      <c r="I81" s="20">
        <v>15000</v>
      </c>
      <c r="J81" s="20">
        <v>15000</v>
      </c>
      <c r="K81" s="20">
        <v>13.8285</v>
      </c>
      <c r="M81" s="2" t="str">
        <f>_xlfn.XLOOKUP(Runge2[[#This Row],[Metodo]],TbSolver[Metodo],TbSolver[Solver])</f>
        <v>Runge Kutta</v>
      </c>
      <c r="N81" s="2" t="str">
        <f>_xlfn.XLOOKUP(Runge2[[#This Row],[Hebras]],TbTecnologia[Hebras],TbTecnologia[Tecnología])</f>
        <v>CUDA</v>
      </c>
      <c r="O81" s="4" t="str" cm="1">
        <f t="array" ref="O81">_xlfn.XLOOKUP(Runge2[[#This Row],[Tecnología]]&amp;Runge2[[#This Row],[Metodo]],TbTipos[Tecnología]&amp;TbTipos[Metodo],TbTipos[Tipo])</f>
        <v>CUDA con graph</v>
      </c>
      <c r="P81" s="4" t="str" cm="1">
        <f t="array" ref="P81">_xlfn.XLOOKUP(Runge2[[#This Row],[Tecnología]]&amp;Runge2[[#This Row],[Problema]],TbNombres[Tecnología]&amp;TbNombres[Problema],TbNombres[Nombre])</f>
        <v>Advdiff1d</v>
      </c>
      <c r="Q81" s="21">
        <v>2</v>
      </c>
      <c r="R81" s="21">
        <v>3</v>
      </c>
      <c r="S81" s="21">
        <v>256</v>
      </c>
      <c r="T81" s="21">
        <v>15000</v>
      </c>
      <c r="U81" s="21">
        <v>15000</v>
      </c>
      <c r="V81" s="21">
        <v>29.764299999999999</v>
      </c>
      <c r="X81" s="2" t="str">
        <f>_xlfn.XLOOKUP(Runge3[[#This Row],[Metodo]],TbSolver[Metodo],TbSolver[Solver])</f>
        <v>Runge Kutta</v>
      </c>
      <c r="Y81" s="2" t="str">
        <f>_xlfn.XLOOKUP(Runge3[[#This Row],[Hebras]],TbTecnologia[Hebras],TbTecnologia[Tecnología])</f>
        <v>CUDA</v>
      </c>
      <c r="Z81" s="2" t="str" cm="1">
        <f t="array" ref="Z81">_xlfn.XLOOKUP(Runge3[[#This Row],[Tecnología]]&amp;Runge3[[#This Row],[Metodo]],TbTipos[Tecnología]&amp;TbTipos[Metodo],TbTipos[Tipo])</f>
        <v>CUDA con graph</v>
      </c>
      <c r="AA81" s="2" t="str" cm="1">
        <f t="array" ref="AA81">_xlfn.XLOOKUP(Runge3[[#This Row],[Tecnología]]&amp;Runge3[[#This Row],[Problema]],TbNombres[Tecnología]&amp;TbNombres[Problema],TbNombres[Nombre])</f>
        <v>Brusselator1d grid</v>
      </c>
      <c r="AB81" s="2">
        <v>2</v>
      </c>
      <c r="AC81" s="2">
        <v>7</v>
      </c>
      <c r="AD81" s="2">
        <v>256</v>
      </c>
      <c r="AE81" s="2">
        <v>5000</v>
      </c>
      <c r="AF81" s="2">
        <v>10000</v>
      </c>
      <c r="AG81" s="2">
        <v>14.404299999999999</v>
      </c>
      <c r="AI81" s="2" t="str">
        <f>_xlfn.XLOOKUP(Runge4[[#This Row],[Metodo]],TbSolver[Metodo],TbSolver[Solver])</f>
        <v>Runge Kutta</v>
      </c>
      <c r="AJ81" s="2" t="str">
        <f>_xlfn.XLOOKUP(Runge4[[#This Row],[Hebras]],TbTecnologia[Hebras],TbTecnologia[Tecnología])</f>
        <v>OMP</v>
      </c>
      <c r="AK8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81" s="4" t="str" cm="1">
        <f t="array" ref="AL81">_xlfn.XLOOKUP(Runge4[[#This Row],[Tecnología]]&amp;Runge4[[#This Row],[Problema]],TbNombres[Tecnología]&amp;TbNombres[Problema],TbNombres[Nombre])</f>
        <v>Brusselator2d</v>
      </c>
      <c r="AM81" s="21">
        <v>1</v>
      </c>
      <c r="AN81" s="21">
        <v>4</v>
      </c>
      <c r="AO81" s="21">
        <v>4</v>
      </c>
      <c r="AP81" s="21">
        <v>225</v>
      </c>
      <c r="AQ81" s="21">
        <v>101250</v>
      </c>
      <c r="AR81" s="21">
        <v>521.51700000000005</v>
      </c>
    </row>
    <row r="82" spans="2:44" x14ac:dyDescent="0.2">
      <c r="B82" s="1" t="str">
        <f>_xlfn.XLOOKUP(Runge1[[#This Row],[Metodo]],TbSolver[Metodo],TbSolver[Solver])</f>
        <v>Runge Kutta</v>
      </c>
      <c r="C82" s="1" t="str">
        <f>_xlfn.XLOOKUP(Runge1[[#This Row],[Hebras]],TbTecnologia[Hebras],TbTecnologia[Tecnología])</f>
        <v>CUDA</v>
      </c>
      <c r="D82" s="1" t="str" cm="1">
        <f t="array" ref="D82">_xlfn.XLOOKUP(Runge1[[#This Row],[Tecnología]]&amp;Runge1[[#This Row],[Metodo]],TbTipos[Tecnología]&amp;TbTipos[Metodo],TbTipos[Tipo])</f>
        <v>CUDA sin graph</v>
      </c>
      <c r="E82" s="1" t="str" cm="1">
        <f t="array" ref="E82">_xlfn.XLOOKUP(Runge1[[#This Row],[Tecnología]]&amp;Runge1[[#This Row],[Problema]],TbNombres[Tecnología]&amp;TbNombres[Problema],TbNombres[Nombre])</f>
        <v>Simple Advdiff</v>
      </c>
      <c r="F82" s="20">
        <v>1</v>
      </c>
      <c r="G82" s="20">
        <v>1</v>
      </c>
      <c r="H82" s="20">
        <v>256</v>
      </c>
      <c r="I82" s="20">
        <v>15000</v>
      </c>
      <c r="J82" s="20">
        <v>15000</v>
      </c>
      <c r="K82" s="20">
        <v>16.915199999999999</v>
      </c>
      <c r="M82" s="2" t="str">
        <f>_xlfn.XLOOKUP(Runge2[[#This Row],[Metodo]],TbSolver[Metodo],TbSolver[Solver])</f>
        <v>Runge Kutta</v>
      </c>
      <c r="N82" s="2" t="str">
        <f>_xlfn.XLOOKUP(Runge2[[#This Row],[Hebras]],TbTecnologia[Hebras],TbTecnologia[Tecnología])</f>
        <v>CUDA</v>
      </c>
      <c r="O82" s="4" t="str" cm="1">
        <f t="array" ref="O82">_xlfn.XLOOKUP(Runge2[[#This Row],[Tecnología]]&amp;Runge2[[#This Row],[Metodo]],TbTipos[Tecnología]&amp;TbTipos[Metodo],TbTipos[Tipo])</f>
        <v>CUDA sin graph</v>
      </c>
      <c r="P82" s="4" t="str" cm="1">
        <f t="array" ref="P82">_xlfn.XLOOKUP(Runge2[[#This Row],[Tecnología]]&amp;Runge2[[#This Row],[Problema]],TbNombres[Tecnología]&amp;TbNombres[Problema],TbNombres[Nombre])</f>
        <v>Advdiff1d</v>
      </c>
      <c r="Q82" s="21">
        <v>1</v>
      </c>
      <c r="R82" s="21">
        <v>3</v>
      </c>
      <c r="S82" s="21">
        <v>256</v>
      </c>
      <c r="T82" s="21">
        <v>15000</v>
      </c>
      <c r="U82" s="21">
        <v>15000</v>
      </c>
      <c r="V82" s="21">
        <v>32.794499999999999</v>
      </c>
      <c r="X82" s="2" t="str">
        <f>_xlfn.XLOOKUP(Runge3[[#This Row],[Metodo]],TbSolver[Metodo],TbSolver[Solver])</f>
        <v>Runge Kutta</v>
      </c>
      <c r="Y82" s="2" t="str">
        <f>_xlfn.XLOOKUP(Runge3[[#This Row],[Hebras]],TbTecnologia[Hebras],TbTecnologia[Tecnología])</f>
        <v>CUDA</v>
      </c>
      <c r="Z82" s="2" t="str" cm="1">
        <f t="array" ref="Z82">_xlfn.XLOOKUP(Runge3[[#This Row],[Tecnología]]&amp;Runge3[[#This Row],[Metodo]],TbTipos[Tecnología]&amp;TbTipos[Metodo],TbTipos[Tipo])</f>
        <v>CUDA sin graph</v>
      </c>
      <c r="AA82" s="2" t="str" cm="1">
        <f t="array" ref="AA82">_xlfn.XLOOKUP(Runge3[[#This Row],[Tecnología]]&amp;Runge3[[#This Row],[Problema]],TbNombres[Tecnología]&amp;TbNombres[Problema],TbNombres[Nombre])</f>
        <v>Brusselator1d</v>
      </c>
      <c r="AB82" s="2">
        <v>1</v>
      </c>
      <c r="AC82" s="2">
        <v>5</v>
      </c>
      <c r="AD82" s="2">
        <v>256</v>
      </c>
      <c r="AE82" s="2">
        <v>5000</v>
      </c>
      <c r="AF82" s="2">
        <v>10000</v>
      </c>
      <c r="AG82" s="2">
        <v>17.438700000000001</v>
      </c>
      <c r="AI82" s="2" t="str">
        <f>_xlfn.XLOOKUP(Runge4[[#This Row],[Metodo]],TbSolver[Metodo],TbSolver[Solver])</f>
        <v>Runge Kutta</v>
      </c>
      <c r="AJ82" s="2" t="str">
        <f>_xlfn.XLOOKUP(Runge4[[#This Row],[Hebras]],TbTecnologia[Hebras],TbTecnologia[Tecnología])</f>
        <v>OMP</v>
      </c>
      <c r="AK8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82" s="4" t="str" cm="1">
        <f t="array" ref="AL82">_xlfn.XLOOKUP(Runge4[[#This Row],[Tecnología]]&amp;Runge4[[#This Row],[Problema]],TbNombres[Tecnología]&amp;TbNombres[Problema],TbNombres[Nombre])</f>
        <v>Brusselator2d</v>
      </c>
      <c r="AM82" s="21">
        <v>2</v>
      </c>
      <c r="AN82" s="21">
        <v>4</v>
      </c>
      <c r="AO82" s="21">
        <v>4</v>
      </c>
      <c r="AP82" s="21">
        <v>225</v>
      </c>
      <c r="AQ82" s="21">
        <v>101250</v>
      </c>
      <c r="AR82" s="21">
        <v>1467.49</v>
      </c>
    </row>
    <row r="83" spans="2:44" x14ac:dyDescent="0.2">
      <c r="B83" s="1" t="str">
        <f>_xlfn.XLOOKUP(Runge1[[#This Row],[Metodo]],TbSolver[Metodo],TbSolver[Solver])</f>
        <v>Runge Kutta</v>
      </c>
      <c r="C83" s="1" t="str">
        <f>_xlfn.XLOOKUP(Runge1[[#This Row],[Hebras]],TbTecnologia[Hebras],TbTecnologia[Tecnología])</f>
        <v>OMP</v>
      </c>
      <c r="D83" s="1" t="str" cm="1">
        <f t="array" ref="D83">_xlfn.XLOOKUP(Runge1[[#This Row],[Tecnología]]&amp;Runge1[[#This Row],[Metodo]],TbTipos[Tecnología]&amp;TbTipos[Metodo],TbTipos[Tipo])</f>
        <v>OMP Operaciones</v>
      </c>
      <c r="E83" s="1" t="str" cm="1">
        <f t="array" ref="E83">_xlfn.XLOOKUP(Runge1[[#This Row],[Tecnología]]&amp;Runge1[[#This Row],[Problema]],TbNombres[Tecnología]&amp;TbNombres[Problema],TbNombres[Nombre])</f>
        <v>Simple Advdiff</v>
      </c>
      <c r="F83" s="17">
        <v>1</v>
      </c>
      <c r="G83" s="17">
        <v>1</v>
      </c>
      <c r="H83" s="17">
        <v>4</v>
      </c>
      <c r="I83" s="17">
        <v>15000</v>
      </c>
      <c r="J83" s="17">
        <v>15000</v>
      </c>
      <c r="K83" s="17">
        <v>44.523899999999998</v>
      </c>
      <c r="M83" s="2" t="str">
        <f>_xlfn.XLOOKUP(Runge2[[#This Row],[Metodo]],TbSolver[Metodo],TbSolver[Solver])</f>
        <v>Runge Kutta</v>
      </c>
      <c r="N83" s="2" t="str">
        <f>_xlfn.XLOOKUP(Runge2[[#This Row],[Hebras]],TbTecnologia[Hebras],TbTecnologia[Tecnología])</f>
        <v>OMP</v>
      </c>
      <c r="O83" s="4" t="str" cm="1">
        <f t="array" ref="O83">_xlfn.XLOOKUP(Runge2[[#This Row],[Tecnología]]&amp;Runge2[[#This Row],[Metodo]],TbTipos[Tecnología]&amp;TbTipos[Metodo],TbTipos[Tipo])</f>
        <v>OMP Elementos</v>
      </c>
      <c r="P83" s="4" t="str" cm="1">
        <f t="array" ref="P83">_xlfn.XLOOKUP(Runge2[[#This Row],[Tecnología]]&amp;Runge2[[#This Row],[Problema]],TbNombres[Tecnología]&amp;TbNombres[Problema],TbNombres[Nombre])</f>
        <v>Advdiff1d</v>
      </c>
      <c r="Q83" s="4">
        <v>2</v>
      </c>
      <c r="R83" s="4">
        <v>2</v>
      </c>
      <c r="S83" s="4">
        <v>16</v>
      </c>
      <c r="T83" s="4">
        <v>15000</v>
      </c>
      <c r="U83" s="4">
        <v>15000</v>
      </c>
      <c r="V83" s="4">
        <v>137.40700000000001</v>
      </c>
      <c r="X83" s="2" t="str">
        <f>_xlfn.XLOOKUP(Runge3[[#This Row],[Metodo]],TbSolver[Metodo],TbSolver[Solver])</f>
        <v>Runge Kutta</v>
      </c>
      <c r="Y83" s="2" t="str">
        <f>_xlfn.XLOOKUP(Runge3[[#This Row],[Hebras]],TbTecnologia[Hebras],TbTecnologia[Tecnología])</f>
        <v>CUDA</v>
      </c>
      <c r="Z83" s="2" t="str" cm="1">
        <f t="array" ref="Z83">_xlfn.XLOOKUP(Runge3[[#This Row],[Tecnología]]&amp;Runge3[[#This Row],[Metodo]],TbTipos[Tecnología]&amp;TbTipos[Metodo],TbTipos[Tipo])</f>
        <v>CUDA sin graph</v>
      </c>
      <c r="AA83" s="2" t="str" cm="1">
        <f t="array" ref="AA83">_xlfn.XLOOKUP(Runge3[[#This Row],[Tecnología]]&amp;Runge3[[#This Row],[Problema]],TbNombres[Tecnología]&amp;TbNombres[Problema],TbNombres[Nombre])</f>
        <v>Brusselator1d grid</v>
      </c>
      <c r="AB83" s="2">
        <v>1</v>
      </c>
      <c r="AC83" s="2">
        <v>7</v>
      </c>
      <c r="AD83" s="2">
        <v>256</v>
      </c>
      <c r="AE83" s="2">
        <v>5000</v>
      </c>
      <c r="AF83" s="2">
        <v>10000</v>
      </c>
      <c r="AG83" s="2">
        <v>17.483899999999998</v>
      </c>
      <c r="AI83" s="2" t="str">
        <f>_xlfn.XLOOKUP(Runge4[[#This Row],[Metodo]],TbSolver[Metodo],TbSolver[Solver])</f>
        <v>Runge Kutta</v>
      </c>
      <c r="AJ83" s="2" t="str">
        <f>_xlfn.XLOOKUP(Runge4[[#This Row],[Hebras]],TbTecnologia[Hebras],TbTecnologia[Tecnología])</f>
        <v>OMP</v>
      </c>
      <c r="AK8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83" s="4" t="str" cm="1">
        <f t="array" ref="AL83">_xlfn.XLOOKUP(Runge4[[#This Row],[Tecnología]]&amp;Runge4[[#This Row],[Problema]],TbNombres[Tecnología]&amp;TbNombres[Problema],TbNombres[Nombre])</f>
        <v>Brusselator2d</v>
      </c>
      <c r="AM83" s="21">
        <v>1</v>
      </c>
      <c r="AN83" s="21">
        <v>4</v>
      </c>
      <c r="AO83" s="21">
        <v>1</v>
      </c>
      <c r="AP83" s="21">
        <v>225</v>
      </c>
      <c r="AQ83" s="21">
        <v>101250</v>
      </c>
      <c r="AR83" s="21">
        <v>2042.65</v>
      </c>
    </row>
    <row r="84" spans="2:44" x14ac:dyDescent="0.2">
      <c r="B84" s="1" t="str">
        <f>_xlfn.XLOOKUP(Runge1[[#This Row],[Metodo]],TbSolver[Metodo],TbSolver[Solver])</f>
        <v>Runge Kutta</v>
      </c>
      <c r="C84" s="1" t="str">
        <f>_xlfn.XLOOKUP(Runge1[[#This Row],[Hebras]],TbTecnologia[Hebras],TbTecnologia[Tecnología])</f>
        <v>OMP</v>
      </c>
      <c r="D84" s="1" t="str" cm="1">
        <f t="array" ref="D84">_xlfn.XLOOKUP(Runge1[[#This Row],[Tecnología]]&amp;Runge1[[#This Row],[Metodo]],TbTipos[Tecnología]&amp;TbTipos[Metodo],TbTipos[Tipo])</f>
        <v>OMP Elementos</v>
      </c>
      <c r="E84" s="1" t="str" cm="1">
        <f t="array" ref="E84">_xlfn.XLOOKUP(Runge1[[#This Row],[Tecnología]]&amp;Runge1[[#This Row],[Problema]],TbNombres[Tecnología]&amp;TbNombres[Problema],TbNombres[Nombre])</f>
        <v>Simple Advdiff</v>
      </c>
      <c r="F84" s="17">
        <v>2</v>
      </c>
      <c r="G84" s="17">
        <v>1</v>
      </c>
      <c r="H84" s="17">
        <v>16</v>
      </c>
      <c r="I84" s="17">
        <v>15000</v>
      </c>
      <c r="J84" s="17">
        <v>15000</v>
      </c>
      <c r="K84" s="17">
        <v>45.901899999999998</v>
      </c>
      <c r="M84" s="2" t="str">
        <f>_xlfn.XLOOKUP(Runge2[[#This Row],[Metodo]],TbSolver[Metodo],TbSolver[Solver])</f>
        <v>Runge Kutta</v>
      </c>
      <c r="N84" s="2" t="str">
        <f>_xlfn.XLOOKUP(Runge2[[#This Row],[Hebras]],TbTecnologia[Hebras],TbTecnologia[Tecnología])</f>
        <v>OMP</v>
      </c>
      <c r="O84" s="4" t="str" cm="1">
        <f t="array" ref="O84">_xlfn.XLOOKUP(Runge2[[#This Row],[Tecnología]]&amp;Runge2[[#This Row],[Metodo]],TbTipos[Tecnología]&amp;TbTipos[Metodo],TbTipos[Tipo])</f>
        <v>OMP Operaciones</v>
      </c>
      <c r="P84" s="4" t="str" cm="1">
        <f t="array" ref="P84">_xlfn.XLOOKUP(Runge2[[#This Row],[Tecnología]]&amp;Runge2[[#This Row],[Problema]],TbNombres[Tecnología]&amp;TbNombres[Problema],TbNombres[Nombre])</f>
        <v>Advdiff1d</v>
      </c>
      <c r="Q84" s="4">
        <v>1</v>
      </c>
      <c r="R84" s="4">
        <v>2</v>
      </c>
      <c r="S84" s="4">
        <v>16</v>
      </c>
      <c r="T84" s="4">
        <v>15000</v>
      </c>
      <c r="U84" s="4">
        <v>15000</v>
      </c>
      <c r="V84" s="4">
        <v>185.04499999999999</v>
      </c>
      <c r="X84" s="2" t="str">
        <f>_xlfn.XLOOKUP(Runge3[[#This Row],[Metodo]],TbSolver[Metodo],TbSolver[Solver])</f>
        <v>Runge Kutta</v>
      </c>
      <c r="Y84" s="2" t="str">
        <f>_xlfn.XLOOKUP(Runge3[[#This Row],[Hebras]],TbTecnologia[Hebras],TbTecnologia[Tecnología])</f>
        <v>CUDA</v>
      </c>
      <c r="Z84" s="2" t="str" cm="1">
        <f t="array" ref="Z84">_xlfn.XLOOKUP(Runge3[[#This Row],[Tecnología]]&amp;Runge3[[#This Row],[Metodo]],TbTipos[Tecnología]&amp;TbTipos[Metodo],TbTipos[Tipo])</f>
        <v>CUDA sin graph</v>
      </c>
      <c r="AA84" s="2" t="str" cm="1">
        <f t="array" ref="AA84">_xlfn.XLOOKUP(Runge3[[#This Row],[Tecnología]]&amp;Runge3[[#This Row],[Problema]],TbNombres[Tecnología]&amp;TbNombres[Problema],TbNombres[Nombre])</f>
        <v>Brusselator1d shuffle</v>
      </c>
      <c r="AB84" s="2">
        <v>1</v>
      </c>
      <c r="AC84" s="2">
        <v>6</v>
      </c>
      <c r="AD84" s="2">
        <v>256</v>
      </c>
      <c r="AE84" s="2">
        <v>5000</v>
      </c>
      <c r="AF84" s="2">
        <v>10000</v>
      </c>
      <c r="AG84" s="2">
        <v>17.822700000000001</v>
      </c>
      <c r="AI84" s="2" t="str">
        <f>_xlfn.XLOOKUP(Runge4[[#This Row],[Metodo]],TbSolver[Metodo],TbSolver[Solver])</f>
        <v>Runge Kutta</v>
      </c>
      <c r="AJ84" s="2" t="str">
        <f>_xlfn.XLOOKUP(Runge4[[#This Row],[Hebras]],TbTecnologia[Hebras],TbTecnologia[Tecnología])</f>
        <v>OMP</v>
      </c>
      <c r="AK8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84" s="4" t="str" cm="1">
        <f t="array" ref="AL84">_xlfn.XLOOKUP(Runge4[[#This Row],[Tecnología]]&amp;Runge4[[#This Row],[Problema]],TbNombres[Tecnología]&amp;TbNombres[Problema],TbNombres[Nombre])</f>
        <v>Brusselator2d</v>
      </c>
      <c r="AM84" s="21">
        <v>2</v>
      </c>
      <c r="AN84" s="21">
        <v>4</v>
      </c>
      <c r="AO84" s="21">
        <v>1</v>
      </c>
      <c r="AP84" s="21">
        <v>225</v>
      </c>
      <c r="AQ84" s="21">
        <v>101250</v>
      </c>
      <c r="AR84" s="21">
        <v>5455.33</v>
      </c>
    </row>
    <row r="85" spans="2:44" x14ac:dyDescent="0.2">
      <c r="B85" s="1" t="str">
        <f>_xlfn.XLOOKUP(Runge1[[#This Row],[Metodo]],TbSolver[Metodo],TbSolver[Solver])</f>
        <v>Runge Kutta</v>
      </c>
      <c r="C85" s="1" t="str">
        <f>_xlfn.XLOOKUP(Runge1[[#This Row],[Hebras]],TbTecnologia[Hebras],TbTecnologia[Tecnología])</f>
        <v>OMP</v>
      </c>
      <c r="D85" s="1" t="str" cm="1">
        <f t="array" ref="D85">_xlfn.XLOOKUP(Runge1[[#This Row],[Tecnología]]&amp;Runge1[[#This Row],[Metodo]],TbTipos[Tecnología]&amp;TbTipos[Metodo],TbTipos[Tipo])</f>
        <v>OMP Operaciones</v>
      </c>
      <c r="E85" s="1" t="str" cm="1">
        <f t="array" ref="E85">_xlfn.XLOOKUP(Runge1[[#This Row],[Tecnología]]&amp;Runge1[[#This Row],[Problema]],TbNombres[Tecnología]&amp;TbNombres[Problema],TbNombres[Nombre])</f>
        <v>Simple Advdiff</v>
      </c>
      <c r="F85" s="17">
        <v>1</v>
      </c>
      <c r="G85" s="17">
        <v>1</v>
      </c>
      <c r="H85" s="17">
        <v>16</v>
      </c>
      <c r="I85" s="17">
        <v>15000</v>
      </c>
      <c r="J85" s="17">
        <v>15000</v>
      </c>
      <c r="K85" s="17">
        <v>67.195400000000006</v>
      </c>
      <c r="M85" s="2" t="str">
        <f>_xlfn.XLOOKUP(Runge2[[#This Row],[Metodo]],TbSolver[Metodo],TbSolver[Solver])</f>
        <v>Runge Kutta</v>
      </c>
      <c r="N85" s="2" t="str">
        <f>_xlfn.XLOOKUP(Runge2[[#This Row],[Hebras]],TbTecnologia[Hebras],TbTecnologia[Tecnología])</f>
        <v>OMP</v>
      </c>
      <c r="O85" s="4" t="str" cm="1">
        <f t="array" ref="O85">_xlfn.XLOOKUP(Runge2[[#This Row],[Tecnología]]&amp;Runge2[[#This Row],[Metodo]],TbTipos[Tecnología]&amp;TbTipos[Metodo],TbTipos[Tipo])</f>
        <v>OMP Operaciones</v>
      </c>
      <c r="P85" s="4" t="str" cm="1">
        <f t="array" ref="P85">_xlfn.XLOOKUP(Runge2[[#This Row],[Tecnología]]&amp;Runge2[[#This Row],[Problema]],TbNombres[Tecnología]&amp;TbNombres[Problema],TbNombres[Nombre])</f>
        <v>Advdiff1d</v>
      </c>
      <c r="Q85" s="4">
        <v>1</v>
      </c>
      <c r="R85" s="4">
        <v>2</v>
      </c>
      <c r="S85" s="4">
        <v>4</v>
      </c>
      <c r="T85" s="4">
        <v>15000</v>
      </c>
      <c r="U85" s="4">
        <v>15000</v>
      </c>
      <c r="V85" s="4">
        <v>410.32299999999998</v>
      </c>
      <c r="X85" s="2" t="str">
        <f>_xlfn.XLOOKUP(Runge3[[#This Row],[Metodo]],TbSolver[Metodo],TbSolver[Solver])</f>
        <v>Runge Kutta</v>
      </c>
      <c r="Y85" s="2" t="str">
        <f>_xlfn.XLOOKUP(Runge3[[#This Row],[Hebras]],TbTecnologia[Hebras],TbTecnologia[Tecnología])</f>
        <v>OMP</v>
      </c>
      <c r="Z85" s="2" t="str" cm="1">
        <f t="array" ref="Z85">_xlfn.XLOOKUP(Runge3[[#This Row],[Tecnología]]&amp;Runge3[[#This Row],[Metodo]],TbTipos[Tecnología]&amp;TbTipos[Metodo],TbTipos[Tipo])</f>
        <v>OMP Elementos</v>
      </c>
      <c r="AA85" s="2" t="str" cm="1">
        <f t="array" ref="AA85">_xlfn.XLOOKUP(Runge3[[#This Row],[Tecnología]]&amp;Runge3[[#This Row],[Problema]],TbNombres[Tecnología]&amp;TbNombres[Problema],TbNombres[Nombre])</f>
        <v>Brusselator1d</v>
      </c>
      <c r="AB85" s="4">
        <v>2</v>
      </c>
      <c r="AC85" s="4">
        <v>3</v>
      </c>
      <c r="AD85" s="4">
        <v>16</v>
      </c>
      <c r="AE85" s="4">
        <v>5000</v>
      </c>
      <c r="AF85" s="4">
        <v>10000</v>
      </c>
      <c r="AG85" s="4">
        <v>29.418800000000001</v>
      </c>
      <c r="AI85" s="2" t="str">
        <f>_xlfn.XLOOKUP(Runge4[[#This Row],[Metodo]],TbSolver[Metodo],TbSolver[Solver])</f>
        <v>Runge Kutta</v>
      </c>
      <c r="AJ85" s="2" t="str">
        <f>_xlfn.XLOOKUP(Runge4[[#This Row],[Hebras]],TbTecnologia[Hebras],TbTecnologia[Tecnología])</f>
        <v>CUDA</v>
      </c>
      <c r="AK8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85" s="4" t="str" cm="1">
        <f t="array" ref="AL85">_xlfn.XLOOKUP(Runge4[[#This Row],[Tecnología]]&amp;Runge4[[#This Row],[Problema]],TbNombres[Tecnología]&amp;TbNombres[Problema],TbNombres[Nombre])</f>
        <v>Brusselator2d</v>
      </c>
      <c r="AM85" s="21">
        <v>2</v>
      </c>
      <c r="AN85" s="21">
        <v>8</v>
      </c>
      <c r="AO85" s="21">
        <v>256</v>
      </c>
      <c r="AP85" s="21">
        <v>250</v>
      </c>
      <c r="AQ85" s="21">
        <v>125000</v>
      </c>
      <c r="AR85" s="21">
        <v>76.344099999999997</v>
      </c>
    </row>
    <row r="86" spans="2:44" x14ac:dyDescent="0.2">
      <c r="B86" s="1" t="str">
        <f>_xlfn.XLOOKUP(Runge1[[#This Row],[Metodo]],TbSolver[Metodo],TbSolver[Solver])</f>
        <v>Runge Kutta</v>
      </c>
      <c r="C86" s="1" t="str">
        <f>_xlfn.XLOOKUP(Runge1[[#This Row],[Hebras]],TbTecnologia[Hebras],TbTecnologia[Tecnología])</f>
        <v>OMP</v>
      </c>
      <c r="D86" s="1" t="str" cm="1">
        <f t="array" ref="D86">_xlfn.XLOOKUP(Runge1[[#This Row],[Tecnología]]&amp;Runge1[[#This Row],[Metodo]],TbTipos[Tecnología]&amp;TbTipos[Metodo],TbTipos[Tipo])</f>
        <v>OMP Operaciones</v>
      </c>
      <c r="E86" s="1" t="str" cm="1">
        <f t="array" ref="E86">_xlfn.XLOOKUP(Runge1[[#This Row],[Tecnología]]&amp;Runge1[[#This Row],[Problema]],TbNombres[Tecnología]&amp;TbNombres[Problema],TbNombres[Nombre])</f>
        <v>Simple Advdiff</v>
      </c>
      <c r="F86" s="17">
        <v>1</v>
      </c>
      <c r="G86" s="17">
        <v>1</v>
      </c>
      <c r="H86" s="17">
        <v>1</v>
      </c>
      <c r="I86" s="17">
        <v>15000</v>
      </c>
      <c r="J86" s="17">
        <v>15000</v>
      </c>
      <c r="K86" s="17">
        <v>78.578999999999994</v>
      </c>
      <c r="M86" s="2" t="str">
        <f>_xlfn.XLOOKUP(Runge2[[#This Row],[Metodo]],TbSolver[Metodo],TbSolver[Solver])</f>
        <v>Runge Kutta</v>
      </c>
      <c r="N86" s="2" t="str">
        <f>_xlfn.XLOOKUP(Runge2[[#This Row],[Hebras]],TbTecnologia[Hebras],TbTecnologia[Tecnología])</f>
        <v>OMP</v>
      </c>
      <c r="O86" s="4" t="str" cm="1">
        <f t="array" ref="O86">_xlfn.XLOOKUP(Runge2[[#This Row],[Tecnología]]&amp;Runge2[[#This Row],[Metodo]],TbTipos[Tecnología]&amp;TbTipos[Metodo],TbTipos[Tipo])</f>
        <v>OMP Elementos</v>
      </c>
      <c r="P86" s="4" t="str" cm="1">
        <f t="array" ref="P86">_xlfn.XLOOKUP(Runge2[[#This Row],[Tecnología]]&amp;Runge2[[#This Row],[Problema]],TbNombres[Tecnología]&amp;TbNombres[Problema],TbNombres[Nombre])</f>
        <v>Advdiff1d</v>
      </c>
      <c r="Q86" s="4">
        <v>2</v>
      </c>
      <c r="R86" s="4">
        <v>2</v>
      </c>
      <c r="S86" s="4">
        <v>4</v>
      </c>
      <c r="T86" s="4">
        <v>15000</v>
      </c>
      <c r="U86" s="4">
        <v>15000</v>
      </c>
      <c r="V86" s="4">
        <v>482.97199999999998</v>
      </c>
      <c r="X86" s="2" t="str">
        <f>_xlfn.XLOOKUP(Runge3[[#This Row],[Metodo]],TbSolver[Metodo],TbSolver[Solver])</f>
        <v>Runge Kutta</v>
      </c>
      <c r="Y86" s="2" t="str">
        <f>_xlfn.XLOOKUP(Runge3[[#This Row],[Hebras]],TbTecnologia[Hebras],TbTecnologia[Tecnología])</f>
        <v>OMP</v>
      </c>
      <c r="Z86" s="2" t="str" cm="1">
        <f t="array" ref="Z86">_xlfn.XLOOKUP(Runge3[[#This Row],[Tecnología]]&amp;Runge3[[#This Row],[Metodo]],TbTipos[Tecnología]&amp;TbTipos[Metodo],TbTipos[Tipo])</f>
        <v>OMP Operaciones</v>
      </c>
      <c r="AA86" s="2" t="str" cm="1">
        <f t="array" ref="AA86">_xlfn.XLOOKUP(Runge3[[#This Row],[Tecnología]]&amp;Runge3[[#This Row],[Problema]],TbNombres[Tecnología]&amp;TbNombres[Problema],TbNombres[Nombre])</f>
        <v>Brusselator1d</v>
      </c>
      <c r="AB86" s="4">
        <v>1</v>
      </c>
      <c r="AC86" s="4">
        <v>3</v>
      </c>
      <c r="AD86" s="4">
        <v>4</v>
      </c>
      <c r="AE86" s="4">
        <v>5000</v>
      </c>
      <c r="AF86" s="4">
        <v>10000</v>
      </c>
      <c r="AG86" s="4">
        <v>59.658799999999999</v>
      </c>
      <c r="AI86" s="2" t="str">
        <f>_xlfn.XLOOKUP(Runge4[[#This Row],[Metodo]],TbSolver[Metodo],TbSolver[Solver])</f>
        <v>Runge Kutta</v>
      </c>
      <c r="AJ86" s="2" t="str">
        <f>_xlfn.XLOOKUP(Runge4[[#This Row],[Hebras]],TbTecnologia[Hebras],TbTecnologia[Tecnología])</f>
        <v>CUDA</v>
      </c>
      <c r="AK8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86" s="4" t="str" cm="1">
        <f t="array" ref="AL86">_xlfn.XLOOKUP(Runge4[[#This Row],[Tecnología]]&amp;Runge4[[#This Row],[Problema]],TbNombres[Tecnología]&amp;TbNombres[Problema],TbNombres[Nombre])</f>
        <v>Brusselator2d</v>
      </c>
      <c r="AM86" s="21">
        <v>1</v>
      </c>
      <c r="AN86" s="21">
        <v>8</v>
      </c>
      <c r="AO86" s="21">
        <v>256</v>
      </c>
      <c r="AP86" s="21">
        <v>250</v>
      </c>
      <c r="AQ86" s="21">
        <v>125000</v>
      </c>
      <c r="AR86" s="21">
        <v>77.1447</v>
      </c>
    </row>
    <row r="87" spans="2:44" x14ac:dyDescent="0.2">
      <c r="B87" s="1" t="str">
        <f>_xlfn.XLOOKUP(Runge1[[#This Row],[Metodo]],TbSolver[Metodo],TbSolver[Solver])</f>
        <v>Runge Kutta</v>
      </c>
      <c r="C87" s="1" t="str">
        <f>_xlfn.XLOOKUP(Runge1[[#This Row],[Hebras]],TbTecnologia[Hebras],TbTecnologia[Tecnología])</f>
        <v>OMP</v>
      </c>
      <c r="D87" s="1" t="str" cm="1">
        <f t="array" ref="D87">_xlfn.XLOOKUP(Runge1[[#This Row],[Tecnología]]&amp;Runge1[[#This Row],[Metodo]],TbTipos[Tecnología]&amp;TbTipos[Metodo],TbTipos[Tipo])</f>
        <v>OMP Elementos</v>
      </c>
      <c r="E87" s="1" t="str" cm="1">
        <f t="array" ref="E87">_xlfn.XLOOKUP(Runge1[[#This Row],[Tecnología]]&amp;Runge1[[#This Row],[Problema]],TbNombres[Tecnología]&amp;TbNombres[Problema],TbNombres[Nombre])</f>
        <v>Simple Advdiff</v>
      </c>
      <c r="F87" s="17">
        <v>2</v>
      </c>
      <c r="G87" s="17">
        <v>1</v>
      </c>
      <c r="H87" s="17">
        <v>4</v>
      </c>
      <c r="I87" s="17">
        <v>15000</v>
      </c>
      <c r="J87" s="17">
        <v>15000</v>
      </c>
      <c r="K87" s="17">
        <v>125.498</v>
      </c>
      <c r="M87" s="2" t="str">
        <f>_xlfn.XLOOKUP(Runge2[[#This Row],[Metodo]],TbSolver[Metodo],TbSolver[Solver])</f>
        <v>Runge Kutta</v>
      </c>
      <c r="N87" s="2" t="str">
        <f>_xlfn.XLOOKUP(Runge2[[#This Row],[Hebras]],TbTecnologia[Hebras],TbTecnologia[Tecnología])</f>
        <v>OMP</v>
      </c>
      <c r="O87" s="4" t="str" cm="1">
        <f t="array" ref="O87">_xlfn.XLOOKUP(Runge2[[#This Row],[Tecnología]]&amp;Runge2[[#This Row],[Metodo]],TbTipos[Tecnología]&amp;TbTipos[Metodo],TbTipos[Tipo])</f>
        <v>OMP Operaciones</v>
      </c>
      <c r="P87" s="4" t="str" cm="1">
        <f t="array" ref="P87">_xlfn.XLOOKUP(Runge2[[#This Row],[Tecnología]]&amp;Runge2[[#This Row],[Problema]],TbNombres[Tecnología]&amp;TbNombres[Problema],TbNombres[Nombre])</f>
        <v>Advdiff1d</v>
      </c>
      <c r="Q87" s="4">
        <v>1</v>
      </c>
      <c r="R87" s="4">
        <v>2</v>
      </c>
      <c r="S87" s="4">
        <v>1</v>
      </c>
      <c r="T87" s="4">
        <v>15000</v>
      </c>
      <c r="U87" s="4">
        <v>15000</v>
      </c>
      <c r="V87" s="4">
        <v>1311.98</v>
      </c>
      <c r="X87" s="2" t="str">
        <f>_xlfn.XLOOKUP(Runge3[[#This Row],[Metodo]],TbSolver[Metodo],TbSolver[Solver])</f>
        <v>Runge Kutta</v>
      </c>
      <c r="Y87" s="2" t="str">
        <f>_xlfn.XLOOKUP(Runge3[[#This Row],[Hebras]],TbTecnologia[Hebras],TbTecnologia[Tecnología])</f>
        <v>OMP</v>
      </c>
      <c r="Z87" s="2" t="str" cm="1">
        <f t="array" ref="Z87">_xlfn.XLOOKUP(Runge3[[#This Row],[Tecnología]]&amp;Runge3[[#This Row],[Metodo]],TbTipos[Tecnología]&amp;TbTipos[Metodo],TbTipos[Tipo])</f>
        <v>OMP Elementos</v>
      </c>
      <c r="AA87" s="2" t="str" cm="1">
        <f t="array" ref="AA87">_xlfn.XLOOKUP(Runge3[[#This Row],[Tecnología]]&amp;Runge3[[#This Row],[Problema]],TbNombres[Tecnología]&amp;TbNombres[Problema],TbNombres[Nombre])</f>
        <v>Brusselator1d</v>
      </c>
      <c r="AB87" s="4">
        <v>2</v>
      </c>
      <c r="AC87" s="4">
        <v>3</v>
      </c>
      <c r="AD87" s="4">
        <v>4</v>
      </c>
      <c r="AE87" s="4">
        <v>5000</v>
      </c>
      <c r="AF87" s="4">
        <v>10000</v>
      </c>
      <c r="AG87" s="4">
        <v>66.589399999999998</v>
      </c>
      <c r="AI87" s="2" t="str">
        <f>_xlfn.XLOOKUP(Runge4[[#This Row],[Metodo]],TbSolver[Metodo],TbSolver[Solver])</f>
        <v>Runge Kutta</v>
      </c>
      <c r="AJ87" s="2" t="str">
        <f>_xlfn.XLOOKUP(Runge4[[#This Row],[Hebras]],TbTecnologia[Hebras],TbTecnologia[Tecnología])</f>
        <v>OMP</v>
      </c>
      <c r="AK87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87" s="4" t="str" cm="1">
        <f t="array" ref="AL87">_xlfn.XLOOKUP(Runge4[[#This Row],[Tecnología]]&amp;Runge4[[#This Row],[Problema]],TbNombres[Tecnología]&amp;TbNombres[Problema],TbNombres[Nombre])</f>
        <v>Brusselator2d</v>
      </c>
      <c r="AM87" s="21">
        <v>1</v>
      </c>
      <c r="AN87" s="21">
        <v>4</v>
      </c>
      <c r="AO87" s="21">
        <v>16</v>
      </c>
      <c r="AP87" s="21">
        <v>250</v>
      </c>
      <c r="AQ87" s="21">
        <v>125000</v>
      </c>
      <c r="AR87" s="21">
        <v>236.42</v>
      </c>
    </row>
    <row r="88" spans="2:44" x14ac:dyDescent="0.2">
      <c r="B88" s="1" t="str">
        <f>_xlfn.XLOOKUP(Runge1[[#This Row],[Metodo]],TbSolver[Metodo],TbSolver[Solver])</f>
        <v>Runge Kutta</v>
      </c>
      <c r="C88" s="1" t="str">
        <f>_xlfn.XLOOKUP(Runge1[[#This Row],[Hebras]],TbTecnologia[Hebras],TbTecnologia[Tecnología])</f>
        <v>OMP</v>
      </c>
      <c r="D88" s="1" t="str" cm="1">
        <f t="array" ref="D88">_xlfn.XLOOKUP(Runge1[[#This Row],[Tecnología]]&amp;Runge1[[#This Row],[Metodo]],TbTipos[Tecnología]&amp;TbTipos[Metodo],TbTipos[Tipo])</f>
        <v>OMP Elementos</v>
      </c>
      <c r="E88" s="1" t="str" cm="1">
        <f t="array" ref="E88">_xlfn.XLOOKUP(Runge1[[#This Row],[Tecnología]]&amp;Runge1[[#This Row],[Problema]],TbNombres[Tecnología]&amp;TbNombres[Problema],TbNombres[Nombre])</f>
        <v>Simple Advdiff</v>
      </c>
      <c r="F88" s="17">
        <v>2</v>
      </c>
      <c r="G88" s="17">
        <v>1</v>
      </c>
      <c r="H88" s="17">
        <v>1</v>
      </c>
      <c r="I88" s="17">
        <v>15000</v>
      </c>
      <c r="J88" s="17">
        <v>15000</v>
      </c>
      <c r="K88" s="17">
        <v>455.19499999999999</v>
      </c>
      <c r="M88" s="2" t="str">
        <f>_xlfn.XLOOKUP(Runge2[[#This Row],[Metodo]],TbSolver[Metodo],TbSolver[Solver])</f>
        <v>Runge Kutta</v>
      </c>
      <c r="N88" s="2" t="str">
        <f>_xlfn.XLOOKUP(Runge2[[#This Row],[Hebras]],TbTecnologia[Hebras],TbTecnologia[Tecnología])</f>
        <v>OMP</v>
      </c>
      <c r="O88" s="4" t="str" cm="1">
        <f t="array" ref="O88">_xlfn.XLOOKUP(Runge2[[#This Row],[Tecnología]]&amp;Runge2[[#This Row],[Metodo]],TbTipos[Tecnología]&amp;TbTipos[Metodo],TbTipos[Tipo])</f>
        <v>OMP Elementos</v>
      </c>
      <c r="P88" s="4" t="str" cm="1">
        <f t="array" ref="P88">_xlfn.XLOOKUP(Runge2[[#This Row],[Tecnología]]&amp;Runge2[[#This Row],[Problema]],TbNombres[Tecnología]&amp;TbNombres[Problema],TbNombres[Nombre])</f>
        <v>Advdiff1d</v>
      </c>
      <c r="Q88" s="4">
        <v>2</v>
      </c>
      <c r="R88" s="4">
        <v>2</v>
      </c>
      <c r="S88" s="4">
        <v>1</v>
      </c>
      <c r="T88" s="4">
        <v>15000</v>
      </c>
      <c r="U88" s="4">
        <v>15000</v>
      </c>
      <c r="V88" s="4">
        <v>1723.25</v>
      </c>
      <c r="X88" s="2" t="str">
        <f>_xlfn.XLOOKUP(Runge3[[#This Row],[Metodo]],TbSolver[Metodo],TbSolver[Solver])</f>
        <v>Runge Kutta</v>
      </c>
      <c r="Y88" s="2" t="str">
        <f>_xlfn.XLOOKUP(Runge3[[#This Row],[Hebras]],TbTecnologia[Hebras],TbTecnologia[Tecnología])</f>
        <v>OMP</v>
      </c>
      <c r="Z88" s="2" t="str" cm="1">
        <f t="array" ref="Z88">_xlfn.XLOOKUP(Runge3[[#This Row],[Tecnología]]&amp;Runge3[[#This Row],[Metodo]],TbTipos[Tecnología]&amp;TbTipos[Metodo],TbTipos[Tipo])</f>
        <v>OMP Operaciones</v>
      </c>
      <c r="AA88" s="2" t="str" cm="1">
        <f t="array" ref="AA88">_xlfn.XLOOKUP(Runge3[[#This Row],[Tecnología]]&amp;Runge3[[#This Row],[Problema]],TbNombres[Tecnología]&amp;TbNombres[Problema],TbNombres[Nombre])</f>
        <v>Brusselator1d</v>
      </c>
      <c r="AB88" s="4">
        <v>1</v>
      </c>
      <c r="AC88" s="4">
        <v>3</v>
      </c>
      <c r="AD88" s="4">
        <v>16</v>
      </c>
      <c r="AE88" s="4">
        <v>5000</v>
      </c>
      <c r="AF88" s="4">
        <v>10000</v>
      </c>
      <c r="AG88" s="4">
        <v>95.799800000000005</v>
      </c>
      <c r="AI88" s="2" t="str">
        <f>_xlfn.XLOOKUP(Runge4[[#This Row],[Metodo]],TbSolver[Metodo],TbSolver[Solver])</f>
        <v>Runge Kutta</v>
      </c>
      <c r="AJ88" s="2" t="str">
        <f>_xlfn.XLOOKUP(Runge4[[#This Row],[Hebras]],TbTecnologia[Hebras],TbTecnologia[Tecnología])</f>
        <v>OMP</v>
      </c>
      <c r="AK88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88" s="4" t="str" cm="1">
        <f t="array" ref="AL88">_xlfn.XLOOKUP(Runge4[[#This Row],[Tecnología]]&amp;Runge4[[#This Row],[Problema]],TbNombres[Tecnología]&amp;TbNombres[Problema],TbNombres[Nombre])</f>
        <v>Brusselator2d</v>
      </c>
      <c r="AM88" s="21">
        <v>2</v>
      </c>
      <c r="AN88" s="21">
        <v>4</v>
      </c>
      <c r="AO88" s="21">
        <v>16</v>
      </c>
      <c r="AP88" s="21">
        <v>250</v>
      </c>
      <c r="AQ88" s="21">
        <v>125000</v>
      </c>
      <c r="AR88" s="21">
        <v>507.97399999999999</v>
      </c>
    </row>
    <row r="89" spans="2:44" x14ac:dyDescent="0.2">
      <c r="B89" s="1" t="str">
        <f>_xlfn.XLOOKUP(Runge1[[#This Row],[Metodo]],TbSolver[Metodo],TbSolver[Solver])</f>
        <v>Runge Kutta</v>
      </c>
      <c r="C89" s="1" t="str">
        <f>_xlfn.XLOOKUP(Runge1[[#This Row],[Hebras]],TbTecnologia[Hebras],TbTecnologia[Tecnología])</f>
        <v>CUDA</v>
      </c>
      <c r="D89" s="1" t="str" cm="1">
        <f t="array" ref="D89">_xlfn.XLOOKUP(Runge1[[#This Row],[Tecnología]]&amp;Runge1[[#This Row],[Metodo]],TbTipos[Tecnología]&amp;TbTipos[Metodo],TbTipos[Tipo])</f>
        <v>CUDA con graph</v>
      </c>
      <c r="E89" s="1" t="str" cm="1">
        <f t="array" ref="E89">_xlfn.XLOOKUP(Runge1[[#This Row],[Tecnología]]&amp;Runge1[[#This Row],[Problema]],TbNombres[Tecnología]&amp;TbNombres[Problema],TbNombres[Nombre])</f>
        <v>Simple Advdiff</v>
      </c>
      <c r="F89" s="1">
        <v>2</v>
      </c>
      <c r="G89" s="1">
        <v>1</v>
      </c>
      <c r="H89" s="1">
        <v>256</v>
      </c>
      <c r="I89" s="1">
        <v>20000</v>
      </c>
      <c r="J89" s="1">
        <v>20000</v>
      </c>
      <c r="K89" s="1">
        <v>16.968599999999999</v>
      </c>
      <c r="M89" s="4" t="str">
        <f>_xlfn.XLOOKUP(Runge2[[#This Row],[Metodo]],TbSolver[Metodo],TbSolver[Solver])</f>
        <v>Runge Kutta</v>
      </c>
      <c r="N89" s="4" t="str">
        <f>_xlfn.XLOOKUP(Runge2[[#This Row],[Hebras]],TbTecnologia[Hebras],TbTecnologia[Tecnología])</f>
        <v>CUDA</v>
      </c>
      <c r="O89" s="4" t="str" cm="1">
        <f t="array" ref="O89">_xlfn.XLOOKUP(Runge2[[#This Row],[Tecnología]]&amp;Runge2[[#This Row],[Metodo]],TbTipos[Tecnología]&amp;TbTipos[Metodo],TbTipos[Tipo])</f>
        <v>CUDA con graph</v>
      </c>
      <c r="P89" s="4" t="str" cm="1">
        <f t="array" ref="P89">_xlfn.XLOOKUP(Runge2[[#This Row],[Tecnología]]&amp;Runge2[[#This Row],[Problema]],TbNombres[Tecnología]&amp;TbNombres[Problema],TbNombres[Nombre])</f>
        <v>Advdiff1d</v>
      </c>
      <c r="Q89" s="4">
        <v>2</v>
      </c>
      <c r="R89" s="4">
        <v>3</v>
      </c>
      <c r="S89" s="4">
        <v>256</v>
      </c>
      <c r="T89" s="4">
        <v>20000</v>
      </c>
      <c r="U89" s="4">
        <v>20000</v>
      </c>
      <c r="V89" s="4">
        <v>48.682600000000001</v>
      </c>
      <c r="X89" s="2" t="str">
        <f>_xlfn.XLOOKUP(Runge3[[#This Row],[Metodo]],TbSolver[Metodo],TbSolver[Solver])</f>
        <v>Runge Kutta</v>
      </c>
      <c r="Y89" s="2" t="str">
        <f>_xlfn.XLOOKUP(Runge3[[#This Row],[Hebras]],TbTecnologia[Hebras],TbTecnologia[Tecnología])</f>
        <v>OMP</v>
      </c>
      <c r="Z89" s="2" t="str" cm="1">
        <f t="array" ref="Z89">_xlfn.XLOOKUP(Runge3[[#This Row],[Tecnología]]&amp;Runge3[[#This Row],[Metodo]],TbTipos[Tecnología]&amp;TbTipos[Metodo],TbTipos[Tipo])</f>
        <v>OMP Operaciones</v>
      </c>
      <c r="AA89" s="2" t="str" cm="1">
        <f t="array" ref="AA89">_xlfn.XLOOKUP(Runge3[[#This Row],[Tecnología]]&amp;Runge3[[#This Row],[Problema]],TbNombres[Tecnología]&amp;TbNombres[Problema],TbNombres[Nombre])</f>
        <v>Brusselator1d</v>
      </c>
      <c r="AB89" s="4">
        <v>1</v>
      </c>
      <c r="AC89" s="4">
        <v>3</v>
      </c>
      <c r="AD89" s="4">
        <v>1</v>
      </c>
      <c r="AE89" s="4">
        <v>5000</v>
      </c>
      <c r="AF89" s="4">
        <v>10000</v>
      </c>
      <c r="AG89" s="4">
        <v>97.689599999999999</v>
      </c>
      <c r="AI89" s="2" t="str">
        <f>_xlfn.XLOOKUP(Runge4[[#This Row],[Metodo]],TbSolver[Metodo],TbSolver[Solver])</f>
        <v>Runge Kutta</v>
      </c>
      <c r="AJ89" s="2" t="str">
        <f>_xlfn.XLOOKUP(Runge4[[#This Row],[Hebras]],TbTecnologia[Hebras],TbTecnologia[Tecnología])</f>
        <v>OMP</v>
      </c>
      <c r="AK89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89" s="4" t="str" cm="1">
        <f t="array" ref="AL89">_xlfn.XLOOKUP(Runge4[[#This Row],[Tecnología]]&amp;Runge4[[#This Row],[Problema]],TbNombres[Tecnología]&amp;TbNombres[Problema],TbNombres[Nombre])</f>
        <v>Brusselator2d</v>
      </c>
      <c r="AM89" s="21">
        <v>1</v>
      </c>
      <c r="AN89" s="21">
        <v>4</v>
      </c>
      <c r="AO89" s="21">
        <v>4</v>
      </c>
      <c r="AP89" s="21">
        <v>250</v>
      </c>
      <c r="AQ89" s="21">
        <v>125000</v>
      </c>
      <c r="AR89" s="21">
        <v>636.94899999999996</v>
      </c>
    </row>
    <row r="90" spans="2:44" x14ac:dyDescent="0.2">
      <c r="B90" s="1" t="str">
        <f>_xlfn.XLOOKUP(Runge1[[#This Row],[Metodo]],TbSolver[Metodo],TbSolver[Solver])</f>
        <v>Runge Kutta</v>
      </c>
      <c r="C90" s="1" t="str">
        <f>_xlfn.XLOOKUP(Runge1[[#This Row],[Hebras]],TbTecnologia[Hebras],TbTecnologia[Tecnología])</f>
        <v>CUDA</v>
      </c>
      <c r="D90" s="1" t="str" cm="1">
        <f t="array" ref="D90">_xlfn.XLOOKUP(Runge1[[#This Row],[Tecnología]]&amp;Runge1[[#This Row],[Metodo]],TbTipos[Tecnología]&amp;TbTipos[Metodo],TbTipos[Tipo])</f>
        <v>CUDA con graph</v>
      </c>
      <c r="E90" s="1" t="str" cm="1">
        <f t="array" ref="E90">_xlfn.XLOOKUP(Runge1[[#This Row],[Tecnología]]&amp;Runge1[[#This Row],[Problema]],TbNombres[Tecnología]&amp;TbNombres[Problema],TbNombres[Nombre])</f>
        <v>Simple Advdiff</v>
      </c>
      <c r="F90" s="20">
        <v>2</v>
      </c>
      <c r="G90" s="20">
        <v>1</v>
      </c>
      <c r="H90" s="20">
        <v>256</v>
      </c>
      <c r="I90" s="20">
        <v>20000</v>
      </c>
      <c r="J90" s="20">
        <v>20000</v>
      </c>
      <c r="K90" s="20">
        <v>17.407299999999999</v>
      </c>
      <c r="M90" s="2" t="str">
        <f>_xlfn.XLOOKUP(Runge2[[#This Row],[Metodo]],TbSolver[Metodo],TbSolver[Solver])</f>
        <v>Runge Kutta</v>
      </c>
      <c r="N90" s="2" t="str">
        <f>_xlfn.XLOOKUP(Runge2[[#This Row],[Hebras]],TbTecnologia[Hebras],TbTecnologia[Tecnología])</f>
        <v>CUDA</v>
      </c>
      <c r="O90" s="4" t="str" cm="1">
        <f t="array" ref="O90">_xlfn.XLOOKUP(Runge2[[#This Row],[Tecnología]]&amp;Runge2[[#This Row],[Metodo]],TbTipos[Tecnología]&amp;TbTipos[Metodo],TbTipos[Tipo])</f>
        <v>CUDA con graph</v>
      </c>
      <c r="P90" s="4" t="str" cm="1">
        <f t="array" ref="P90">_xlfn.XLOOKUP(Runge2[[#This Row],[Tecnología]]&amp;Runge2[[#This Row],[Problema]],TbNombres[Tecnología]&amp;TbNombres[Problema],TbNombres[Nombre])</f>
        <v>Advdiff1d</v>
      </c>
      <c r="Q90" s="21">
        <v>2</v>
      </c>
      <c r="R90" s="21">
        <v>3</v>
      </c>
      <c r="S90" s="21">
        <v>256</v>
      </c>
      <c r="T90" s="21">
        <v>20000</v>
      </c>
      <c r="U90" s="21">
        <v>20000</v>
      </c>
      <c r="V90" s="21">
        <v>49.887999999999998</v>
      </c>
      <c r="X90" s="2" t="str">
        <f>_xlfn.XLOOKUP(Runge3[[#This Row],[Metodo]],TbSolver[Metodo],TbSolver[Solver])</f>
        <v>Runge Kutta</v>
      </c>
      <c r="Y90" s="2" t="str">
        <f>_xlfn.XLOOKUP(Runge3[[#This Row],[Hebras]],TbTecnologia[Hebras],TbTecnologia[Tecnología])</f>
        <v>OMP</v>
      </c>
      <c r="Z90" s="2" t="str" cm="1">
        <f t="array" ref="Z90">_xlfn.XLOOKUP(Runge3[[#This Row],[Tecnología]]&amp;Runge3[[#This Row],[Metodo]],TbTipos[Tecnología]&amp;TbTipos[Metodo],TbTipos[Tipo])</f>
        <v>OMP Elementos</v>
      </c>
      <c r="AA90" s="2" t="str" cm="1">
        <f t="array" ref="AA90">_xlfn.XLOOKUP(Runge3[[#This Row],[Tecnología]]&amp;Runge3[[#This Row],[Problema]],TbNombres[Tecnología]&amp;TbNombres[Problema],TbNombres[Nombre])</f>
        <v>Brusselator1d</v>
      </c>
      <c r="AB90" s="4">
        <v>2</v>
      </c>
      <c r="AC90" s="4">
        <v>3</v>
      </c>
      <c r="AD90" s="4">
        <v>1</v>
      </c>
      <c r="AE90" s="4">
        <v>5000</v>
      </c>
      <c r="AF90" s="4">
        <v>10000</v>
      </c>
      <c r="AG90" s="4">
        <v>237.566</v>
      </c>
      <c r="AI90" s="2" t="str">
        <f>_xlfn.XLOOKUP(Runge4[[#This Row],[Metodo]],TbSolver[Metodo],TbSolver[Solver])</f>
        <v>Runge Kutta</v>
      </c>
      <c r="AJ90" s="2" t="str">
        <f>_xlfn.XLOOKUP(Runge4[[#This Row],[Hebras]],TbTecnologia[Hebras],TbTecnologia[Tecnología])</f>
        <v>OMP</v>
      </c>
      <c r="AK90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90" s="4" t="str" cm="1">
        <f t="array" ref="AL90">_xlfn.XLOOKUP(Runge4[[#This Row],[Tecnología]]&amp;Runge4[[#This Row],[Problema]],TbNombres[Tecnología]&amp;TbNombres[Problema],TbNombres[Nombre])</f>
        <v>Brusselator2d</v>
      </c>
      <c r="AM90" s="21">
        <v>2</v>
      </c>
      <c r="AN90" s="21">
        <v>4</v>
      </c>
      <c r="AO90" s="21">
        <v>4</v>
      </c>
      <c r="AP90" s="21">
        <v>250</v>
      </c>
      <c r="AQ90" s="21">
        <v>125000</v>
      </c>
      <c r="AR90" s="21">
        <v>1808.36</v>
      </c>
    </row>
    <row r="91" spans="2:44" x14ac:dyDescent="0.2">
      <c r="B91" s="1" t="str">
        <f>_xlfn.XLOOKUP(Runge1[[#This Row],[Metodo]],TbSolver[Metodo],TbSolver[Solver])</f>
        <v>Runge Kutta</v>
      </c>
      <c r="C91" s="1" t="str">
        <f>_xlfn.XLOOKUP(Runge1[[#This Row],[Hebras]],TbTecnologia[Hebras],TbTecnologia[Tecnología])</f>
        <v>CUDA</v>
      </c>
      <c r="D91" s="1" t="str" cm="1">
        <f t="array" ref="D91">_xlfn.XLOOKUP(Runge1[[#This Row],[Tecnología]]&amp;Runge1[[#This Row],[Metodo]],TbTipos[Tecnología]&amp;TbTipos[Metodo],TbTipos[Tipo])</f>
        <v>CUDA sin graph</v>
      </c>
      <c r="E91" s="1" t="str" cm="1">
        <f t="array" ref="E91">_xlfn.XLOOKUP(Runge1[[#This Row],[Tecnología]]&amp;Runge1[[#This Row],[Problema]],TbNombres[Tecnología]&amp;TbNombres[Problema],TbNombres[Nombre])</f>
        <v>Simple Advdiff</v>
      </c>
      <c r="F91" s="20">
        <v>1</v>
      </c>
      <c r="G91" s="20">
        <v>1</v>
      </c>
      <c r="H91" s="20">
        <v>256</v>
      </c>
      <c r="I91" s="20">
        <v>20000</v>
      </c>
      <c r="J91" s="20">
        <v>20000</v>
      </c>
      <c r="K91" s="20">
        <v>20.266500000000001</v>
      </c>
      <c r="M91" s="2" t="str">
        <f>_xlfn.XLOOKUP(Runge2[[#This Row],[Metodo]],TbSolver[Metodo],TbSolver[Solver])</f>
        <v>Runge Kutta</v>
      </c>
      <c r="N91" s="2" t="str">
        <f>_xlfn.XLOOKUP(Runge2[[#This Row],[Hebras]],TbTecnologia[Hebras],TbTecnologia[Tecnología])</f>
        <v>CUDA</v>
      </c>
      <c r="O91" s="2" t="str" cm="1">
        <f t="array" ref="O91">_xlfn.XLOOKUP(Runge2[[#This Row],[Tecnología]]&amp;Runge2[[#This Row],[Metodo]],TbTipos[Tecnología]&amp;TbTipos[Metodo],TbTipos[Tipo])</f>
        <v>CUDA sin graph</v>
      </c>
      <c r="P91" s="2" t="str" cm="1">
        <f t="array" ref="P91">_xlfn.XLOOKUP(Runge2[[#This Row],[Tecnología]]&amp;Runge2[[#This Row],[Problema]],TbNombres[Tecnología]&amp;TbNombres[Problema],TbNombres[Nombre])</f>
        <v>Advdiff1d</v>
      </c>
      <c r="Q91" s="2">
        <v>1</v>
      </c>
      <c r="R91" s="2">
        <v>3</v>
      </c>
      <c r="S91" s="2">
        <v>256</v>
      </c>
      <c r="T91" s="2">
        <v>20000</v>
      </c>
      <c r="U91" s="2">
        <v>20000</v>
      </c>
      <c r="V91" s="2">
        <v>51.704099999999997</v>
      </c>
      <c r="X91" s="2" t="str">
        <f>_xlfn.XLOOKUP(Runge3[[#This Row],[Metodo]],TbSolver[Metodo],TbSolver[Solver])</f>
        <v>Runge Kutta</v>
      </c>
      <c r="Y91" s="2" t="str">
        <f>_xlfn.XLOOKUP(Runge3[[#This Row],[Hebras]],TbTecnologia[Hebras],TbTecnologia[Tecnología])</f>
        <v>OMP</v>
      </c>
      <c r="Z91" s="2" t="str" cm="1">
        <f t="array" ref="Z91">_xlfn.XLOOKUP(Runge3[[#This Row],[Tecnología]]&amp;Runge3[[#This Row],[Metodo]],TbTipos[Tecnología]&amp;TbTipos[Metodo],TbTipos[Tipo])</f>
        <v>OMP Elementos</v>
      </c>
      <c r="AA91" s="2" t="str" cm="1">
        <f t="array" ref="AA91">_xlfn.XLOOKUP(Runge3[[#This Row],[Tecnología]]&amp;Runge3[[#This Row],[Problema]],TbNombres[Tecnología]&amp;TbNombres[Problema],TbNombres[Nombre])</f>
        <v>Brusselator1d</v>
      </c>
      <c r="AB91" s="4">
        <v>2</v>
      </c>
      <c r="AC91" s="4">
        <v>3</v>
      </c>
      <c r="AD91" s="4">
        <v>16</v>
      </c>
      <c r="AE91" s="4">
        <v>7500</v>
      </c>
      <c r="AF91" s="4">
        <v>15000</v>
      </c>
      <c r="AG91" s="4">
        <v>37.206400000000002</v>
      </c>
      <c r="AI91" s="2" t="str">
        <f>_xlfn.XLOOKUP(Runge4[[#This Row],[Metodo]],TbSolver[Metodo],TbSolver[Solver])</f>
        <v>Runge Kutta</v>
      </c>
      <c r="AJ91" s="2" t="str">
        <f>_xlfn.XLOOKUP(Runge4[[#This Row],[Hebras]],TbTecnologia[Hebras],TbTecnologia[Tecnología])</f>
        <v>OMP</v>
      </c>
      <c r="AK9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Operaciones</v>
      </c>
      <c r="AL91" s="4" t="str" cm="1">
        <f t="array" ref="AL91">_xlfn.XLOOKUP(Runge4[[#This Row],[Tecnología]]&amp;Runge4[[#This Row],[Problema]],TbNombres[Tecnología]&amp;TbNombres[Problema],TbNombres[Nombre])</f>
        <v>Brusselator2d</v>
      </c>
      <c r="AM91" s="21">
        <v>1</v>
      </c>
      <c r="AN91" s="21">
        <v>4</v>
      </c>
      <c r="AO91" s="21">
        <v>1</v>
      </c>
      <c r="AP91" s="21">
        <v>250</v>
      </c>
      <c r="AQ91" s="21">
        <v>125000</v>
      </c>
      <c r="AR91" s="21">
        <v>2531.0100000000002</v>
      </c>
    </row>
    <row r="92" spans="2:44" x14ac:dyDescent="0.2">
      <c r="B92" s="1" t="str">
        <f>_xlfn.XLOOKUP(Runge1[[#This Row],[Metodo]],TbSolver[Metodo],TbSolver[Solver])</f>
        <v>Runge Kutta</v>
      </c>
      <c r="C92" s="1" t="str">
        <f>_xlfn.XLOOKUP(Runge1[[#This Row],[Hebras]],TbTecnologia[Hebras],TbTecnologia[Tecnología])</f>
        <v>CUDA</v>
      </c>
      <c r="D92" s="1" t="str" cm="1">
        <f t="array" ref="D92">_xlfn.XLOOKUP(Runge1[[#This Row],[Tecnología]]&amp;Runge1[[#This Row],[Metodo]],TbTipos[Tecnología]&amp;TbTipos[Metodo],TbTipos[Tipo])</f>
        <v>CUDA sin graph</v>
      </c>
      <c r="E92" s="1" t="str" cm="1">
        <f t="array" ref="E92">_xlfn.XLOOKUP(Runge1[[#This Row],[Tecnología]]&amp;Runge1[[#This Row],[Problema]],TbNombres[Tecnología]&amp;TbNombres[Problema],TbNombres[Nombre])</f>
        <v>Simple Advdiff</v>
      </c>
      <c r="F92" s="1">
        <v>1</v>
      </c>
      <c r="G92" s="1">
        <v>1</v>
      </c>
      <c r="H92" s="1">
        <v>256</v>
      </c>
      <c r="I92" s="1">
        <v>20000</v>
      </c>
      <c r="J92" s="1">
        <v>20000</v>
      </c>
      <c r="K92" s="1">
        <v>20.569500000000001</v>
      </c>
      <c r="M92" s="2" t="str">
        <f>_xlfn.XLOOKUP(Runge2[[#This Row],[Metodo]],TbSolver[Metodo],TbSolver[Solver])</f>
        <v>Runge Kutta</v>
      </c>
      <c r="N92" s="2" t="str">
        <f>_xlfn.XLOOKUP(Runge2[[#This Row],[Hebras]],TbTecnologia[Hebras],TbTecnologia[Tecnología])</f>
        <v>CUDA</v>
      </c>
      <c r="O92" s="4" t="str" cm="1">
        <f t="array" ref="O92">_xlfn.XLOOKUP(Runge2[[#This Row],[Tecnología]]&amp;Runge2[[#This Row],[Metodo]],TbTipos[Tecnología]&amp;TbTipos[Metodo],TbTipos[Tipo])</f>
        <v>CUDA sin graph</v>
      </c>
      <c r="P92" s="4" t="str" cm="1">
        <f t="array" ref="P92">_xlfn.XLOOKUP(Runge2[[#This Row],[Tecnología]]&amp;Runge2[[#This Row],[Problema]],TbNombres[Tecnología]&amp;TbNombres[Problema],TbNombres[Nombre])</f>
        <v>Advdiff1d</v>
      </c>
      <c r="Q92" s="21">
        <v>1</v>
      </c>
      <c r="R92" s="21">
        <v>3</v>
      </c>
      <c r="S92" s="21">
        <v>256</v>
      </c>
      <c r="T92" s="21">
        <v>20000</v>
      </c>
      <c r="U92" s="21">
        <v>20000</v>
      </c>
      <c r="V92" s="21">
        <v>52.7117</v>
      </c>
      <c r="X92" s="2" t="str">
        <f>_xlfn.XLOOKUP(Runge3[[#This Row],[Metodo]],TbSolver[Metodo],TbSolver[Solver])</f>
        <v>Runge Kutta</v>
      </c>
      <c r="Y92" s="2" t="str">
        <f>_xlfn.XLOOKUP(Runge3[[#This Row],[Hebras]],TbTecnologia[Hebras],TbTecnologia[Tecnología])</f>
        <v>OMP</v>
      </c>
      <c r="Z92" s="2" t="str" cm="1">
        <f t="array" ref="Z92">_xlfn.XLOOKUP(Runge3[[#This Row],[Tecnología]]&amp;Runge3[[#This Row],[Metodo]],TbTipos[Tecnología]&amp;TbTipos[Metodo],TbTipos[Tipo])</f>
        <v>OMP Operaciones</v>
      </c>
      <c r="AA92" s="2" t="str" cm="1">
        <f t="array" ref="AA92">_xlfn.XLOOKUP(Runge3[[#This Row],[Tecnología]]&amp;Runge3[[#This Row],[Problema]],TbNombres[Tecnología]&amp;TbNombres[Problema],TbNombres[Nombre])</f>
        <v>Brusselator1d</v>
      </c>
      <c r="AB92" s="4">
        <v>1</v>
      </c>
      <c r="AC92" s="4">
        <v>3</v>
      </c>
      <c r="AD92" s="4">
        <v>4</v>
      </c>
      <c r="AE92" s="4">
        <v>7500</v>
      </c>
      <c r="AF92" s="4">
        <v>15000</v>
      </c>
      <c r="AG92" s="4">
        <v>71.875900000000001</v>
      </c>
      <c r="AI92" s="2" t="str">
        <f>_xlfn.XLOOKUP(Runge4[[#This Row],[Metodo]],TbSolver[Metodo],TbSolver[Solver])</f>
        <v>Runge Kutta</v>
      </c>
      <c r="AJ92" s="2" t="str">
        <f>_xlfn.XLOOKUP(Runge4[[#This Row],[Hebras]],TbTecnologia[Hebras],TbTecnologia[Tecnología])</f>
        <v>OMP</v>
      </c>
      <c r="AK9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OMP Elementos</v>
      </c>
      <c r="AL92" s="4" t="str" cm="1">
        <f t="array" ref="AL92">_xlfn.XLOOKUP(Runge4[[#This Row],[Tecnología]]&amp;Runge4[[#This Row],[Problema]],TbNombres[Tecnología]&amp;TbNombres[Problema],TbNombres[Nombre])</f>
        <v>Brusselator2d</v>
      </c>
      <c r="AM92" s="21">
        <v>2</v>
      </c>
      <c r="AN92" s="21">
        <v>4</v>
      </c>
      <c r="AO92" s="21">
        <v>1</v>
      </c>
      <c r="AP92" s="21">
        <v>250</v>
      </c>
      <c r="AQ92" s="21">
        <v>125000</v>
      </c>
      <c r="AR92" s="21">
        <v>6701.91</v>
      </c>
    </row>
    <row r="93" spans="2:44" x14ac:dyDescent="0.2">
      <c r="B93" s="1" t="str">
        <f>_xlfn.XLOOKUP(Runge1[[#This Row],[Metodo]],TbSolver[Metodo],TbSolver[Solver])</f>
        <v>Runge Kutta</v>
      </c>
      <c r="C93" s="1" t="str">
        <f>_xlfn.XLOOKUP(Runge1[[#This Row],[Hebras]],TbTecnologia[Hebras],TbTecnologia[Tecnología])</f>
        <v>OMP</v>
      </c>
      <c r="D93" s="1" t="str" cm="1">
        <f t="array" ref="D93">_xlfn.XLOOKUP(Runge1[[#This Row],[Tecnología]]&amp;Runge1[[#This Row],[Metodo]],TbTipos[Tecnología]&amp;TbTipos[Metodo],TbTipos[Tipo])</f>
        <v>OMP Operaciones</v>
      </c>
      <c r="E93" s="1" t="str" cm="1">
        <f t="array" ref="E93">_xlfn.XLOOKUP(Runge1[[#This Row],[Tecnología]]&amp;Runge1[[#This Row],[Problema]],TbNombres[Tecnología]&amp;TbNombres[Problema],TbNombres[Nombre])</f>
        <v>Simple Advdiff</v>
      </c>
      <c r="F93" s="20">
        <v>1</v>
      </c>
      <c r="G93" s="20">
        <v>1</v>
      </c>
      <c r="H93" s="20">
        <v>4</v>
      </c>
      <c r="I93" s="20">
        <v>20000</v>
      </c>
      <c r="J93" s="20">
        <v>20000</v>
      </c>
      <c r="K93" s="20">
        <v>52.239899999999999</v>
      </c>
      <c r="M93" s="2" t="str">
        <f>_xlfn.XLOOKUP(Runge2[[#This Row],[Metodo]],TbSolver[Metodo],TbSolver[Solver])</f>
        <v>Runge Kutta</v>
      </c>
      <c r="N93" s="2" t="str">
        <f>_xlfn.XLOOKUP(Runge2[[#This Row],[Hebras]],TbTecnologia[Hebras],TbTecnologia[Tecnología])</f>
        <v>OMP</v>
      </c>
      <c r="O93" s="4" t="str" cm="1">
        <f t="array" ref="O93">_xlfn.XLOOKUP(Runge2[[#This Row],[Tecnología]]&amp;Runge2[[#This Row],[Metodo]],TbTipos[Tecnología]&amp;TbTipos[Metodo],TbTipos[Tipo])</f>
        <v>OMP Elementos</v>
      </c>
      <c r="P93" s="4" t="str" cm="1">
        <f t="array" ref="P93">_xlfn.XLOOKUP(Runge2[[#This Row],[Tecnología]]&amp;Runge2[[#This Row],[Problema]],TbNombres[Tecnología]&amp;TbNombres[Problema],TbNombres[Nombre])</f>
        <v>Advdiff1d</v>
      </c>
      <c r="Q93" s="21">
        <v>2</v>
      </c>
      <c r="R93" s="21">
        <v>2</v>
      </c>
      <c r="S93" s="21">
        <v>16</v>
      </c>
      <c r="T93" s="21">
        <v>20000</v>
      </c>
      <c r="U93" s="21">
        <v>20000</v>
      </c>
      <c r="V93" s="21">
        <v>179.06299999999999</v>
      </c>
      <c r="X93" s="2" t="str">
        <f>_xlfn.XLOOKUP(Runge3[[#This Row],[Metodo]],TbSolver[Metodo],TbSolver[Solver])</f>
        <v>Runge Kutta</v>
      </c>
      <c r="Y93" s="2" t="str">
        <f>_xlfn.XLOOKUP(Runge3[[#This Row],[Hebras]],TbTecnologia[Hebras],TbTecnologia[Tecnología])</f>
        <v>OMP</v>
      </c>
      <c r="Z93" s="2" t="str" cm="1">
        <f t="array" ref="Z93">_xlfn.XLOOKUP(Runge3[[#This Row],[Tecnología]]&amp;Runge3[[#This Row],[Metodo]],TbTipos[Tecnología]&amp;TbTipos[Metodo],TbTipos[Tipo])</f>
        <v>OMP Elementos</v>
      </c>
      <c r="AA93" s="2" t="str" cm="1">
        <f t="array" ref="AA93">_xlfn.XLOOKUP(Runge3[[#This Row],[Tecnología]]&amp;Runge3[[#This Row],[Problema]],TbNombres[Tecnología]&amp;TbNombres[Problema],TbNombres[Nombre])</f>
        <v>Brusselator1d</v>
      </c>
      <c r="AB93" s="4">
        <v>2</v>
      </c>
      <c r="AC93" s="4">
        <v>3</v>
      </c>
      <c r="AD93" s="4">
        <v>4</v>
      </c>
      <c r="AE93" s="4">
        <v>7500</v>
      </c>
      <c r="AF93" s="4">
        <v>15000</v>
      </c>
      <c r="AG93" s="4">
        <v>97.886399999999995</v>
      </c>
      <c r="AI93" s="2" t="str">
        <f>_xlfn.XLOOKUP(Runge4[[#This Row],[Metodo]],TbSolver[Metodo],TbSolver[Solver])</f>
        <v>Runge Kutta</v>
      </c>
      <c r="AJ93" s="2" t="str">
        <f>_xlfn.XLOOKUP(Runge4[[#This Row],[Hebras]],TbTecnologia[Hebras],TbTecnologia[Tecnología])</f>
        <v>CUDA</v>
      </c>
      <c r="AK9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93" s="4" t="str" cm="1">
        <f t="array" ref="AL93">_xlfn.XLOOKUP(Runge4[[#This Row],[Tecnología]]&amp;Runge4[[#This Row],[Problema]],TbNombres[Tecnología]&amp;TbNombres[Problema],TbNombres[Nombre])</f>
        <v>Brusselator2d</v>
      </c>
      <c r="AM93" s="21">
        <v>1</v>
      </c>
      <c r="AN93" s="21">
        <v>8</v>
      </c>
      <c r="AO93" s="21">
        <v>256</v>
      </c>
      <c r="AP93" s="21">
        <v>300</v>
      </c>
      <c r="AQ93" s="21">
        <v>180000</v>
      </c>
      <c r="AR93" s="21">
        <v>111.788</v>
      </c>
    </row>
    <row r="94" spans="2:44" x14ac:dyDescent="0.2">
      <c r="B94" s="1" t="str">
        <f>_xlfn.XLOOKUP(Runge1[[#This Row],[Metodo]],TbSolver[Metodo],TbSolver[Solver])</f>
        <v>Runge Kutta</v>
      </c>
      <c r="C94" s="1" t="str">
        <f>_xlfn.XLOOKUP(Runge1[[#This Row],[Hebras]],TbTecnologia[Hebras],TbTecnologia[Tecnología])</f>
        <v>OMP</v>
      </c>
      <c r="D94" s="1" t="str" cm="1">
        <f t="array" ref="D94">_xlfn.XLOOKUP(Runge1[[#This Row],[Tecnología]]&amp;Runge1[[#This Row],[Metodo]],TbTipos[Tecnología]&amp;TbTipos[Metodo],TbTipos[Tipo])</f>
        <v>OMP Elementos</v>
      </c>
      <c r="E94" s="1" t="str" cm="1">
        <f t="array" ref="E94">_xlfn.XLOOKUP(Runge1[[#This Row],[Tecnología]]&amp;Runge1[[#This Row],[Problema]],TbNombres[Tecnología]&amp;TbNombres[Problema],TbNombres[Nombre])</f>
        <v>Simple Advdiff</v>
      </c>
      <c r="F94" s="20">
        <v>2</v>
      </c>
      <c r="G94" s="20">
        <v>1</v>
      </c>
      <c r="H94" s="20">
        <v>16</v>
      </c>
      <c r="I94" s="20">
        <v>20000</v>
      </c>
      <c r="J94" s="20">
        <v>20000</v>
      </c>
      <c r="K94" s="20">
        <v>57.260399999999997</v>
      </c>
      <c r="M94" s="2" t="str">
        <f>_xlfn.XLOOKUP(Runge2[[#This Row],[Metodo]],TbSolver[Metodo],TbSolver[Solver])</f>
        <v>Runge Kutta</v>
      </c>
      <c r="N94" s="2" t="str">
        <f>_xlfn.XLOOKUP(Runge2[[#This Row],[Hebras]],TbTecnologia[Hebras],TbTecnologia[Tecnología])</f>
        <v>OMP</v>
      </c>
      <c r="O94" s="4" t="str" cm="1">
        <f t="array" ref="O94">_xlfn.XLOOKUP(Runge2[[#This Row],[Tecnología]]&amp;Runge2[[#This Row],[Metodo]],TbTipos[Tecnología]&amp;TbTipos[Metodo],TbTipos[Tipo])</f>
        <v>OMP Operaciones</v>
      </c>
      <c r="P94" s="4" t="str" cm="1">
        <f t="array" ref="P94">_xlfn.XLOOKUP(Runge2[[#This Row],[Tecnología]]&amp;Runge2[[#This Row],[Problema]],TbNombres[Tecnología]&amp;TbNombres[Problema],TbNombres[Nombre])</f>
        <v>Advdiff1d</v>
      </c>
      <c r="Q94" s="21">
        <v>1</v>
      </c>
      <c r="R94" s="21">
        <v>2</v>
      </c>
      <c r="S94" s="21">
        <v>16</v>
      </c>
      <c r="T94" s="21">
        <v>20000</v>
      </c>
      <c r="U94" s="21">
        <v>20000</v>
      </c>
      <c r="V94" s="21">
        <v>226.643</v>
      </c>
      <c r="X94" s="2" t="str">
        <f>_xlfn.XLOOKUP(Runge3[[#This Row],[Metodo]],TbSolver[Metodo],TbSolver[Solver])</f>
        <v>Runge Kutta</v>
      </c>
      <c r="Y94" s="2" t="str">
        <f>_xlfn.XLOOKUP(Runge3[[#This Row],[Hebras]],TbTecnologia[Hebras],TbTecnologia[Tecnología])</f>
        <v>OMP</v>
      </c>
      <c r="Z94" s="2" t="str" cm="1">
        <f t="array" ref="Z94">_xlfn.XLOOKUP(Runge3[[#This Row],[Tecnología]]&amp;Runge3[[#This Row],[Metodo]],TbTipos[Tecnología]&amp;TbTipos[Metodo],TbTipos[Tipo])</f>
        <v>OMP Operaciones</v>
      </c>
      <c r="AA94" s="2" t="str" cm="1">
        <f t="array" ref="AA94">_xlfn.XLOOKUP(Runge3[[#This Row],[Tecnología]]&amp;Runge3[[#This Row],[Problema]],TbNombres[Tecnología]&amp;TbNombres[Problema],TbNombres[Nombre])</f>
        <v>Brusselator1d</v>
      </c>
      <c r="AB94" s="4">
        <v>1</v>
      </c>
      <c r="AC94" s="4">
        <v>3</v>
      </c>
      <c r="AD94" s="4">
        <v>16</v>
      </c>
      <c r="AE94" s="4">
        <v>7500</v>
      </c>
      <c r="AF94" s="4">
        <v>15000</v>
      </c>
      <c r="AG94" s="4">
        <v>99.491699999999994</v>
      </c>
      <c r="AI94" s="2" t="str">
        <f>_xlfn.XLOOKUP(Runge4[[#This Row],[Metodo]],TbSolver[Metodo],TbSolver[Solver])</f>
        <v>Runge Kutta</v>
      </c>
      <c r="AJ94" s="2" t="str">
        <f>_xlfn.XLOOKUP(Runge4[[#This Row],[Hebras]],TbTecnologia[Hebras],TbTecnologia[Tecnología])</f>
        <v>CUDA</v>
      </c>
      <c r="AK9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94" s="4" t="str" cm="1">
        <f t="array" ref="AL94">_xlfn.XLOOKUP(Runge4[[#This Row],[Tecnología]]&amp;Runge4[[#This Row],[Problema]],TbNombres[Tecnología]&amp;TbNombres[Problema],TbNombres[Nombre])</f>
        <v>Brusselator2d</v>
      </c>
      <c r="AM94" s="21">
        <v>2</v>
      </c>
      <c r="AN94" s="21">
        <v>8</v>
      </c>
      <c r="AO94" s="21">
        <v>256</v>
      </c>
      <c r="AP94" s="21">
        <v>300</v>
      </c>
      <c r="AQ94" s="21">
        <v>180000</v>
      </c>
      <c r="AR94" s="21">
        <v>111.846</v>
      </c>
    </row>
    <row r="95" spans="2:44" x14ac:dyDescent="0.2">
      <c r="B95" s="1" t="str">
        <f>_xlfn.XLOOKUP(Runge1[[#This Row],[Metodo]],TbSolver[Metodo],TbSolver[Solver])</f>
        <v>Runge Kutta</v>
      </c>
      <c r="C95" s="1" t="str">
        <f>_xlfn.XLOOKUP(Runge1[[#This Row],[Hebras]],TbTecnologia[Hebras],TbTecnologia[Tecnología])</f>
        <v>OMP</v>
      </c>
      <c r="D95" s="1" t="str" cm="1">
        <f t="array" ref="D95">_xlfn.XLOOKUP(Runge1[[#This Row],[Tecnología]]&amp;Runge1[[#This Row],[Metodo]],TbTipos[Tecnología]&amp;TbTipos[Metodo],TbTipos[Tipo])</f>
        <v>OMP Operaciones</v>
      </c>
      <c r="E95" s="1" t="str" cm="1">
        <f t="array" ref="E95">_xlfn.XLOOKUP(Runge1[[#This Row],[Tecnología]]&amp;Runge1[[#This Row],[Problema]],TbNombres[Tecnología]&amp;TbNombres[Problema],TbNombres[Nombre])</f>
        <v>Simple Advdiff</v>
      </c>
      <c r="F95" s="20">
        <v>1</v>
      </c>
      <c r="G95" s="20">
        <v>1</v>
      </c>
      <c r="H95" s="20">
        <v>16</v>
      </c>
      <c r="I95" s="20">
        <v>20000</v>
      </c>
      <c r="J95" s="20">
        <v>20000</v>
      </c>
      <c r="K95" s="20">
        <v>70.548299999999998</v>
      </c>
      <c r="M95" s="2" t="str">
        <f>_xlfn.XLOOKUP(Runge2[[#This Row],[Metodo]],TbSolver[Metodo],TbSolver[Solver])</f>
        <v>Runge Kutta</v>
      </c>
      <c r="N95" s="2" t="str">
        <f>_xlfn.XLOOKUP(Runge2[[#This Row],[Hebras]],TbTecnologia[Hebras],TbTecnologia[Tecnología])</f>
        <v>OMP</v>
      </c>
      <c r="O95" s="4" t="str" cm="1">
        <f t="array" ref="O95">_xlfn.XLOOKUP(Runge2[[#This Row],[Tecnología]]&amp;Runge2[[#This Row],[Metodo]],TbTipos[Tecnología]&amp;TbTipos[Metodo],TbTipos[Tipo])</f>
        <v>OMP Operaciones</v>
      </c>
      <c r="P95" s="4" t="str" cm="1">
        <f t="array" ref="P95">_xlfn.XLOOKUP(Runge2[[#This Row],[Tecnología]]&amp;Runge2[[#This Row],[Problema]],TbNombres[Tecnología]&amp;TbNombres[Problema],TbNombres[Nombre])</f>
        <v>Advdiff1d</v>
      </c>
      <c r="Q95" s="21">
        <v>1</v>
      </c>
      <c r="R95" s="21">
        <v>2</v>
      </c>
      <c r="S95" s="21">
        <v>4</v>
      </c>
      <c r="T95" s="21">
        <v>20000</v>
      </c>
      <c r="U95" s="21">
        <v>20000</v>
      </c>
      <c r="V95" s="21">
        <v>546.36300000000006</v>
      </c>
      <c r="X95" s="2" t="str">
        <f>_xlfn.XLOOKUP(Runge3[[#This Row],[Metodo]],TbSolver[Metodo],TbSolver[Solver])</f>
        <v>Runge Kutta</v>
      </c>
      <c r="Y95" s="2" t="str">
        <f>_xlfn.XLOOKUP(Runge3[[#This Row],[Hebras]],TbTecnologia[Hebras],TbTecnologia[Tecnología])</f>
        <v>OMP</v>
      </c>
      <c r="Z95" s="2" t="str" cm="1">
        <f t="array" ref="Z95">_xlfn.XLOOKUP(Runge3[[#This Row],[Tecnología]]&amp;Runge3[[#This Row],[Metodo]],TbTipos[Tecnología]&amp;TbTipos[Metodo],TbTipos[Tipo])</f>
        <v>OMP Operaciones</v>
      </c>
      <c r="AA95" s="2" t="str" cm="1">
        <f t="array" ref="AA95">_xlfn.XLOOKUP(Runge3[[#This Row],[Tecnología]]&amp;Runge3[[#This Row],[Problema]],TbNombres[Tecnología]&amp;TbNombres[Problema],TbNombres[Nombre])</f>
        <v>Brusselator1d</v>
      </c>
      <c r="AB95" s="4">
        <v>1</v>
      </c>
      <c r="AC95" s="4">
        <v>3</v>
      </c>
      <c r="AD95" s="4">
        <v>1</v>
      </c>
      <c r="AE95" s="4">
        <v>7500</v>
      </c>
      <c r="AF95" s="4">
        <v>15000</v>
      </c>
      <c r="AG95" s="4">
        <v>143.93700000000001</v>
      </c>
      <c r="AI95" s="2" t="str">
        <f>_xlfn.XLOOKUP(Runge4[[#This Row],[Metodo]],TbSolver[Metodo],TbSolver[Solver])</f>
        <v>Runge Kutta</v>
      </c>
      <c r="AJ95" s="2" t="str">
        <f>_xlfn.XLOOKUP(Runge4[[#This Row],[Hebras]],TbTecnologia[Hebras],TbTecnologia[Tecnología])</f>
        <v>CUDA</v>
      </c>
      <c r="AK95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95" s="4" t="str" cm="1">
        <f t="array" ref="AL95">_xlfn.XLOOKUP(Runge4[[#This Row],[Tecnología]]&amp;Runge4[[#This Row],[Problema]],TbNombres[Tecnología]&amp;TbNombres[Problema],TbNombres[Nombre])</f>
        <v>Brusselator2d</v>
      </c>
      <c r="AM95" s="21">
        <v>1</v>
      </c>
      <c r="AN95" s="21">
        <v>8</v>
      </c>
      <c r="AO95" s="21">
        <v>256</v>
      </c>
      <c r="AP95" s="21">
        <v>400</v>
      </c>
      <c r="AQ95" s="21">
        <v>320000</v>
      </c>
      <c r="AR95" s="21">
        <v>200.74600000000001</v>
      </c>
    </row>
    <row r="96" spans="2:44" x14ac:dyDescent="0.2">
      <c r="B96" s="1" t="str">
        <f>_xlfn.XLOOKUP(Runge1[[#This Row],[Metodo]],TbSolver[Metodo],TbSolver[Solver])</f>
        <v>Runge Kutta</v>
      </c>
      <c r="C96" s="1" t="str">
        <f>_xlfn.XLOOKUP(Runge1[[#This Row],[Hebras]],TbTecnologia[Hebras],TbTecnologia[Tecnología])</f>
        <v>OMP</v>
      </c>
      <c r="D96" s="1" t="str" cm="1">
        <f t="array" ref="D96">_xlfn.XLOOKUP(Runge1[[#This Row],[Tecnología]]&amp;Runge1[[#This Row],[Metodo]],TbTipos[Tecnología]&amp;TbTipos[Metodo],TbTipos[Tipo])</f>
        <v>OMP Operaciones</v>
      </c>
      <c r="E96" s="1" t="str" cm="1">
        <f t="array" ref="E96">_xlfn.XLOOKUP(Runge1[[#This Row],[Tecnología]]&amp;Runge1[[#This Row],[Problema]],TbNombres[Tecnología]&amp;TbNombres[Problema],TbNombres[Nombre])</f>
        <v>Simple Advdiff</v>
      </c>
      <c r="F96" s="20">
        <v>1</v>
      </c>
      <c r="G96" s="20">
        <v>1</v>
      </c>
      <c r="H96" s="20">
        <v>1</v>
      </c>
      <c r="I96" s="20">
        <v>20000</v>
      </c>
      <c r="J96" s="20">
        <v>20000</v>
      </c>
      <c r="K96" s="20">
        <v>113.746</v>
      </c>
      <c r="M96" s="2" t="str">
        <f>_xlfn.XLOOKUP(Runge2[[#This Row],[Metodo]],TbSolver[Metodo],TbSolver[Solver])</f>
        <v>Runge Kutta</v>
      </c>
      <c r="N96" s="2" t="str">
        <f>_xlfn.XLOOKUP(Runge2[[#This Row],[Hebras]],TbTecnologia[Hebras],TbTecnologia[Tecnología])</f>
        <v>OMP</v>
      </c>
      <c r="O96" s="4" t="str" cm="1">
        <f t="array" ref="O96">_xlfn.XLOOKUP(Runge2[[#This Row],[Tecnología]]&amp;Runge2[[#This Row],[Metodo]],TbTipos[Tecnología]&amp;TbTipos[Metodo],TbTipos[Tipo])</f>
        <v>OMP Elementos</v>
      </c>
      <c r="P96" s="4" t="str" cm="1">
        <f t="array" ref="P96">_xlfn.XLOOKUP(Runge2[[#This Row],[Tecnología]]&amp;Runge2[[#This Row],[Problema]],TbNombres[Tecnología]&amp;TbNombres[Problema],TbNombres[Nombre])</f>
        <v>Advdiff1d</v>
      </c>
      <c r="Q96" s="21">
        <v>2</v>
      </c>
      <c r="R96" s="21">
        <v>2</v>
      </c>
      <c r="S96" s="21">
        <v>4</v>
      </c>
      <c r="T96" s="21">
        <v>20000</v>
      </c>
      <c r="U96" s="21">
        <v>20000</v>
      </c>
      <c r="V96" s="21">
        <v>650.07500000000005</v>
      </c>
      <c r="X96" s="2" t="str">
        <f>_xlfn.XLOOKUP(Runge3[[#This Row],[Metodo]],TbSolver[Metodo],TbSolver[Solver])</f>
        <v>Runge Kutta</v>
      </c>
      <c r="Y96" s="2" t="str">
        <f>_xlfn.XLOOKUP(Runge3[[#This Row],[Hebras]],TbTecnologia[Hebras],TbTecnologia[Tecnología])</f>
        <v>OMP</v>
      </c>
      <c r="Z96" s="2" t="str" cm="1">
        <f t="array" ref="Z96">_xlfn.XLOOKUP(Runge3[[#This Row],[Tecnología]]&amp;Runge3[[#This Row],[Metodo]],TbTipos[Tecnología]&amp;TbTipos[Metodo],TbTipos[Tipo])</f>
        <v>OMP Elementos</v>
      </c>
      <c r="AA96" s="2" t="str" cm="1">
        <f t="array" ref="AA96">_xlfn.XLOOKUP(Runge3[[#This Row],[Tecnología]]&amp;Runge3[[#This Row],[Problema]],TbNombres[Tecnología]&amp;TbNombres[Problema],TbNombres[Nombre])</f>
        <v>Brusselator1d</v>
      </c>
      <c r="AB96" s="4">
        <v>2</v>
      </c>
      <c r="AC96" s="4">
        <v>3</v>
      </c>
      <c r="AD96" s="4">
        <v>1</v>
      </c>
      <c r="AE96" s="4">
        <v>7500</v>
      </c>
      <c r="AF96" s="4">
        <v>15000</v>
      </c>
      <c r="AG96" s="4">
        <v>351.70699999999999</v>
      </c>
      <c r="AI96" s="2" t="str">
        <f>_xlfn.XLOOKUP(Runge4[[#This Row],[Metodo]],TbSolver[Metodo],TbSolver[Solver])</f>
        <v>Runge Kutta</v>
      </c>
      <c r="AJ96" s="2" t="str">
        <f>_xlfn.XLOOKUP(Runge4[[#This Row],[Hebras]],TbTecnologia[Hebras],TbTecnologia[Tecnología])</f>
        <v>CUDA</v>
      </c>
      <c r="AK96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96" s="4" t="str" cm="1">
        <f t="array" ref="AL96">_xlfn.XLOOKUP(Runge4[[#This Row],[Tecnología]]&amp;Runge4[[#This Row],[Problema]],TbNombres[Tecnología]&amp;TbNombres[Problema],TbNombres[Nombre])</f>
        <v>Brusselator2d</v>
      </c>
      <c r="AM96" s="21">
        <v>2</v>
      </c>
      <c r="AN96" s="21">
        <v>8</v>
      </c>
      <c r="AO96" s="21">
        <v>256</v>
      </c>
      <c r="AP96" s="21">
        <v>400</v>
      </c>
      <c r="AQ96" s="21">
        <v>320000</v>
      </c>
      <c r="AR96" s="21">
        <v>202.398</v>
      </c>
    </row>
    <row r="97" spans="2:44" x14ac:dyDescent="0.2">
      <c r="B97" s="1" t="str">
        <f>_xlfn.XLOOKUP(Runge1[[#This Row],[Metodo]],TbSolver[Metodo],TbSolver[Solver])</f>
        <v>Runge Kutta</v>
      </c>
      <c r="C97" s="1" t="str">
        <f>_xlfn.XLOOKUP(Runge1[[#This Row],[Hebras]],TbTecnologia[Hebras],TbTecnologia[Tecnología])</f>
        <v>OMP</v>
      </c>
      <c r="D97" s="1" t="str" cm="1">
        <f t="array" ref="D97">_xlfn.XLOOKUP(Runge1[[#This Row],[Tecnología]]&amp;Runge1[[#This Row],[Metodo]],TbTipos[Tecnología]&amp;TbTipos[Metodo],TbTipos[Tipo])</f>
        <v>OMP Elementos</v>
      </c>
      <c r="E97" s="1" t="str" cm="1">
        <f t="array" ref="E97">_xlfn.XLOOKUP(Runge1[[#This Row],[Tecnología]]&amp;Runge1[[#This Row],[Problema]],TbNombres[Tecnología]&amp;TbNombres[Problema],TbNombres[Nombre])</f>
        <v>Simple Advdiff</v>
      </c>
      <c r="F97" s="20">
        <v>2</v>
      </c>
      <c r="G97" s="20">
        <v>1</v>
      </c>
      <c r="H97" s="20">
        <v>4</v>
      </c>
      <c r="I97" s="20">
        <v>20000</v>
      </c>
      <c r="J97" s="20">
        <v>20000</v>
      </c>
      <c r="K97" s="20">
        <v>170.02099999999999</v>
      </c>
      <c r="M97" s="2" t="str">
        <f>_xlfn.XLOOKUP(Runge2[[#This Row],[Metodo]],TbSolver[Metodo],TbSolver[Solver])</f>
        <v>Runge Kutta</v>
      </c>
      <c r="N97" s="2" t="str">
        <f>_xlfn.XLOOKUP(Runge2[[#This Row],[Hebras]],TbTecnologia[Hebras],TbTecnologia[Tecnología])</f>
        <v>OMP</v>
      </c>
      <c r="O97" s="4" t="str" cm="1">
        <f t="array" ref="O97">_xlfn.XLOOKUP(Runge2[[#This Row],[Tecnología]]&amp;Runge2[[#This Row],[Metodo]],TbTipos[Tecnología]&amp;TbTipos[Metodo],TbTipos[Tipo])</f>
        <v>OMP Operaciones</v>
      </c>
      <c r="P97" s="4" t="str" cm="1">
        <f t="array" ref="P97">_xlfn.XLOOKUP(Runge2[[#This Row],[Tecnología]]&amp;Runge2[[#This Row],[Problema]],TbNombres[Tecnología]&amp;TbNombres[Problema],TbNombres[Nombre])</f>
        <v>Advdiff1d</v>
      </c>
      <c r="Q97" s="21">
        <v>1</v>
      </c>
      <c r="R97" s="21">
        <v>2</v>
      </c>
      <c r="S97" s="21">
        <v>1</v>
      </c>
      <c r="T97" s="21">
        <v>20000</v>
      </c>
      <c r="U97" s="21">
        <v>20000</v>
      </c>
      <c r="V97" s="21">
        <v>1764.32</v>
      </c>
      <c r="X97" s="2" t="str">
        <f>_xlfn.XLOOKUP(Runge3[[#This Row],[Metodo]],TbSolver[Metodo],TbSolver[Solver])</f>
        <v>Runge Kutta</v>
      </c>
      <c r="Y97" s="2" t="str">
        <f>_xlfn.XLOOKUP(Runge3[[#This Row],[Hebras]],TbTecnologia[Hebras],TbTecnologia[Tecnología])</f>
        <v>CUDA</v>
      </c>
      <c r="Z97" s="2" t="str" cm="1">
        <f t="array" ref="Z97">_xlfn.XLOOKUP(Runge3[[#This Row],[Tecnología]]&amp;Runge3[[#This Row],[Metodo]],TbTipos[Tecnología]&amp;TbTipos[Metodo],TbTipos[Tipo])</f>
        <v>CUDA con graph</v>
      </c>
      <c r="AA97" s="2" t="str" cm="1">
        <f t="array" ref="AA97">_xlfn.XLOOKUP(Runge3[[#This Row],[Tecnología]]&amp;Runge3[[#This Row],[Problema]],TbNombres[Tecnología]&amp;TbNombres[Problema],TbNombres[Nombre])</f>
        <v>Brusselator1d</v>
      </c>
      <c r="AB97" s="2">
        <v>2</v>
      </c>
      <c r="AC97" s="2">
        <v>5</v>
      </c>
      <c r="AD97" s="2">
        <v>256</v>
      </c>
      <c r="AE97" s="2">
        <v>10000</v>
      </c>
      <c r="AF97" s="2">
        <v>20000</v>
      </c>
      <c r="AG97" s="2">
        <v>18.899000000000001</v>
      </c>
      <c r="AI97" s="2" t="str">
        <f>_xlfn.XLOOKUP(Runge4[[#This Row],[Metodo]],TbSolver[Metodo],TbSolver[Solver])</f>
        <v>Runge Kutta</v>
      </c>
      <c r="AJ97" s="2" t="str">
        <f>_xlfn.XLOOKUP(Runge4[[#This Row],[Hebras]],TbTecnologia[Hebras],TbTecnologia[Tecnología])</f>
        <v>CUDA</v>
      </c>
      <c r="AK97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97" s="2" t="str" cm="1">
        <f t="array" ref="AL97">_xlfn.XLOOKUP(Runge4[[#This Row],[Tecnología]]&amp;Runge4[[#This Row],[Problema]],TbNombres[Tecnología]&amp;TbNombres[Problema],TbNombres[Nombre])</f>
        <v>Brusselator2d</v>
      </c>
      <c r="AM97" s="2">
        <v>1</v>
      </c>
      <c r="AN97" s="2">
        <v>8</v>
      </c>
      <c r="AO97" s="2">
        <v>256</v>
      </c>
      <c r="AP97" s="2">
        <v>500</v>
      </c>
      <c r="AQ97" s="2">
        <v>500000</v>
      </c>
      <c r="AR97" s="2">
        <v>319.90699999999998</v>
      </c>
    </row>
    <row r="98" spans="2:44" x14ac:dyDescent="0.2">
      <c r="B98" s="1" t="str">
        <f>_xlfn.XLOOKUP(Runge1[[#This Row],[Metodo]],TbSolver[Metodo],TbSolver[Solver])</f>
        <v>Runge Kutta</v>
      </c>
      <c r="C98" s="1" t="str">
        <f>_xlfn.XLOOKUP(Runge1[[#This Row],[Hebras]],TbTecnologia[Hebras],TbTecnologia[Tecnología])</f>
        <v>OMP</v>
      </c>
      <c r="D98" s="1" t="str" cm="1">
        <f t="array" ref="D98">_xlfn.XLOOKUP(Runge1[[#This Row],[Tecnología]]&amp;Runge1[[#This Row],[Metodo]],TbTipos[Tecnología]&amp;TbTipos[Metodo],TbTipos[Tipo])</f>
        <v>OMP Elementos</v>
      </c>
      <c r="E98" s="1" t="str" cm="1">
        <f t="array" ref="E98">_xlfn.XLOOKUP(Runge1[[#This Row],[Tecnología]]&amp;Runge1[[#This Row],[Problema]],TbNombres[Tecnología]&amp;TbNombres[Problema],TbNombres[Nombre])</f>
        <v>Simple Advdiff</v>
      </c>
      <c r="F98" s="20">
        <v>2</v>
      </c>
      <c r="G98" s="20">
        <v>1</v>
      </c>
      <c r="H98" s="20">
        <v>1</v>
      </c>
      <c r="I98" s="20">
        <v>20000</v>
      </c>
      <c r="J98" s="20">
        <v>20000</v>
      </c>
      <c r="K98" s="20">
        <v>634.53899999999999</v>
      </c>
      <c r="M98" s="2" t="str">
        <f>_xlfn.XLOOKUP(Runge2[[#This Row],[Metodo]],TbSolver[Metodo],TbSolver[Solver])</f>
        <v>Runge Kutta</v>
      </c>
      <c r="N98" s="2" t="str">
        <f>_xlfn.XLOOKUP(Runge2[[#This Row],[Hebras]],TbTecnologia[Hebras],TbTecnologia[Tecnología])</f>
        <v>OMP</v>
      </c>
      <c r="O98" s="4" t="str" cm="1">
        <f t="array" ref="O98">_xlfn.XLOOKUP(Runge2[[#This Row],[Tecnología]]&amp;Runge2[[#This Row],[Metodo]],TbTipos[Tecnología]&amp;TbTipos[Metodo],TbTipos[Tipo])</f>
        <v>OMP Elementos</v>
      </c>
      <c r="P98" s="4" t="str" cm="1">
        <f t="array" ref="P98">_xlfn.XLOOKUP(Runge2[[#This Row],[Tecnología]]&amp;Runge2[[#This Row],[Problema]],TbNombres[Tecnología]&amp;TbNombres[Problema],TbNombres[Nombre])</f>
        <v>Advdiff1d</v>
      </c>
      <c r="Q98" s="21">
        <v>2</v>
      </c>
      <c r="R98" s="21">
        <v>2</v>
      </c>
      <c r="S98" s="21">
        <v>1</v>
      </c>
      <c r="T98" s="21">
        <v>20000</v>
      </c>
      <c r="U98" s="21">
        <v>20000</v>
      </c>
      <c r="V98" s="21">
        <v>2322.58</v>
      </c>
      <c r="X98" s="2" t="str">
        <f>_xlfn.XLOOKUP(Runge3[[#This Row],[Metodo]],TbSolver[Metodo],TbSolver[Solver])</f>
        <v>Runge Kutta</v>
      </c>
      <c r="Y98" s="2" t="str">
        <f>_xlfn.XLOOKUP(Runge3[[#This Row],[Hebras]],TbTecnologia[Hebras],TbTecnologia[Tecnología])</f>
        <v>CUDA</v>
      </c>
      <c r="Z98" s="2" t="str" cm="1">
        <f t="array" ref="Z98">_xlfn.XLOOKUP(Runge3[[#This Row],[Tecnología]]&amp;Runge3[[#This Row],[Metodo]],TbTipos[Tecnología]&amp;TbTipos[Metodo],TbTipos[Tipo])</f>
        <v>CUDA sin graph</v>
      </c>
      <c r="AA98" s="2" t="str" cm="1">
        <f t="array" ref="AA98">_xlfn.XLOOKUP(Runge3[[#This Row],[Tecnología]]&amp;Runge3[[#This Row],[Problema]],TbNombres[Tecnología]&amp;TbNombres[Problema],TbNombres[Nombre])</f>
        <v>Brusselator1d</v>
      </c>
      <c r="AB98" s="2">
        <v>1</v>
      </c>
      <c r="AC98" s="2">
        <v>5</v>
      </c>
      <c r="AD98" s="2">
        <v>256</v>
      </c>
      <c r="AE98" s="2">
        <v>10000</v>
      </c>
      <c r="AF98" s="2">
        <v>20000</v>
      </c>
      <c r="AG98" s="2">
        <v>22.3018</v>
      </c>
      <c r="AI98" s="2" t="str">
        <f>_xlfn.XLOOKUP(Runge4[[#This Row],[Metodo]],TbSolver[Metodo],TbSolver[Solver])</f>
        <v>Runge Kutta</v>
      </c>
      <c r="AJ98" s="2" t="str">
        <f>_xlfn.XLOOKUP(Runge4[[#This Row],[Hebras]],TbTecnologia[Hebras],TbTecnologia[Tecnología])</f>
        <v>CUDA</v>
      </c>
      <c r="AK98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98" s="2" t="str" cm="1">
        <f t="array" ref="AL98">_xlfn.XLOOKUP(Runge4[[#This Row],[Tecnología]]&amp;Runge4[[#This Row],[Problema]],TbNombres[Tecnología]&amp;TbNombres[Problema],TbNombres[Nombre])</f>
        <v>Brusselator2d shuffle</v>
      </c>
      <c r="AM98" s="2">
        <v>1</v>
      </c>
      <c r="AN98" s="2">
        <v>9</v>
      </c>
      <c r="AO98" s="2">
        <v>256</v>
      </c>
      <c r="AP98" s="2">
        <v>500</v>
      </c>
      <c r="AQ98" s="2">
        <v>500000</v>
      </c>
      <c r="AR98" s="2">
        <v>320.22000000000003</v>
      </c>
    </row>
    <row r="99" spans="2:44" x14ac:dyDescent="0.2">
      <c r="B99" s="1" t="str">
        <f>_xlfn.XLOOKUP(Runge1[[#This Row],[Metodo]],TbSolver[Metodo],TbSolver[Solver])</f>
        <v>Runge Kutta</v>
      </c>
      <c r="C99" s="1" t="str">
        <f>_xlfn.XLOOKUP(Runge1[[#This Row],[Hebras]],TbTecnologia[Hebras],TbTecnologia[Tecnología])</f>
        <v>OMP</v>
      </c>
      <c r="D99" s="1" t="str" cm="1">
        <f t="array" ref="D99">_xlfn.XLOOKUP(Runge1[[#This Row],[Tecnología]]&amp;Runge1[[#This Row],[Metodo]],TbTipos[Tecnología]&amp;TbTipos[Metodo],TbTipos[Tipo])</f>
        <v>OMP Operaciones</v>
      </c>
      <c r="E99" s="1" t="str" cm="1">
        <f t="array" ref="E99">_xlfn.XLOOKUP(Runge1[[#This Row],[Tecnología]]&amp;Runge1[[#This Row],[Problema]],TbNombres[Tecnología]&amp;TbNombres[Problema],TbNombres[Nombre])</f>
        <v>Simple Advdiff</v>
      </c>
      <c r="F99" s="20">
        <v>1</v>
      </c>
      <c r="G99" s="20">
        <v>1</v>
      </c>
      <c r="H99" s="20">
        <v>4</v>
      </c>
      <c r="I99" s="20">
        <v>25000</v>
      </c>
      <c r="J99" s="20">
        <v>25000</v>
      </c>
      <c r="K99" s="20">
        <v>59.502400000000002</v>
      </c>
      <c r="L99" s="1"/>
      <c r="M99" s="2" t="str">
        <f>_xlfn.XLOOKUP(Runge2[[#This Row],[Metodo]],TbSolver[Metodo],TbSolver[Solver])</f>
        <v>Runge Kutta</v>
      </c>
      <c r="N99" s="2" t="str">
        <f>_xlfn.XLOOKUP(Runge2[[#This Row],[Hebras]],TbTecnologia[Hebras],TbTecnologia[Tecnología])</f>
        <v>OMP</v>
      </c>
      <c r="O99" s="4" t="str" cm="1">
        <f t="array" ref="O99">_xlfn.XLOOKUP(Runge2[[#This Row],[Tecnología]]&amp;Runge2[[#This Row],[Metodo]],TbTipos[Tecnología]&amp;TbTipos[Metodo],TbTipos[Tipo])</f>
        <v>OMP Elementos</v>
      </c>
      <c r="P99" s="4" t="str" cm="1">
        <f t="array" ref="P99">_xlfn.XLOOKUP(Runge2[[#This Row],[Tecnología]]&amp;Runge2[[#This Row],[Problema]],TbNombres[Tecnología]&amp;TbNombres[Problema],TbNombres[Nombre])</f>
        <v>Advdiff1d</v>
      </c>
      <c r="Q99" s="21">
        <v>2</v>
      </c>
      <c r="R99" s="21">
        <v>2</v>
      </c>
      <c r="S99" s="21">
        <v>16</v>
      </c>
      <c r="T99" s="21">
        <v>25000</v>
      </c>
      <c r="U99" s="21">
        <v>25000</v>
      </c>
      <c r="V99" s="21">
        <v>232.34100000000001</v>
      </c>
      <c r="W99" s="1"/>
      <c r="X99" s="2" t="str">
        <f>_xlfn.XLOOKUP(Runge3[[#This Row],[Metodo]],TbSolver[Metodo],TbSolver[Solver])</f>
        <v>Runge Kutta</v>
      </c>
      <c r="Y99" s="2" t="str">
        <f>_xlfn.XLOOKUP(Runge3[[#This Row],[Hebras]],TbTecnologia[Hebras],TbTecnologia[Tecnología])</f>
        <v>OMP</v>
      </c>
      <c r="Z99" s="2" t="str" cm="1">
        <f t="array" ref="Z99">_xlfn.XLOOKUP(Runge3[[#This Row],[Tecnología]]&amp;Runge3[[#This Row],[Metodo]],TbTipos[Tecnología]&amp;TbTipos[Metodo],TbTipos[Tipo])</f>
        <v>OMP Elementos</v>
      </c>
      <c r="AA99" s="2" t="str" cm="1">
        <f t="array" ref="AA99">_xlfn.XLOOKUP(Runge3[[#This Row],[Tecnología]]&amp;Runge3[[#This Row],[Problema]],TbNombres[Tecnología]&amp;TbNombres[Problema],TbNombres[Nombre])</f>
        <v>Brusselator1d</v>
      </c>
      <c r="AB99" s="4">
        <v>2</v>
      </c>
      <c r="AC99" s="4">
        <v>3</v>
      </c>
      <c r="AD99" s="4">
        <v>16</v>
      </c>
      <c r="AE99" s="4">
        <v>10000</v>
      </c>
      <c r="AF99" s="4">
        <v>20000</v>
      </c>
      <c r="AG99" s="4">
        <v>52.974800000000002</v>
      </c>
      <c r="AH99" s="1"/>
      <c r="AI99" s="2" t="str">
        <f>_xlfn.XLOOKUP(Runge4[[#This Row],[Metodo]],TbSolver[Metodo],TbSolver[Solver])</f>
        <v>Runge Kutta</v>
      </c>
      <c r="AJ99" s="2" t="str">
        <f>_xlfn.XLOOKUP(Runge4[[#This Row],[Hebras]],TbTecnologia[Hebras],TbTecnologia[Tecnología])</f>
        <v>CUDA</v>
      </c>
      <c r="AK99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99" s="2" t="str" cm="1">
        <f t="array" ref="AL99">_xlfn.XLOOKUP(Runge4[[#This Row],[Tecnología]]&amp;Runge4[[#This Row],[Problema]],TbNombres[Tecnología]&amp;TbNombres[Problema],TbNombres[Nombre])</f>
        <v>Brusselator2d</v>
      </c>
      <c r="AM99" s="2">
        <v>2</v>
      </c>
      <c r="AN99" s="2">
        <v>8</v>
      </c>
      <c r="AO99" s="2">
        <v>256</v>
      </c>
      <c r="AP99" s="2">
        <v>500</v>
      </c>
      <c r="AQ99" s="2">
        <v>500000</v>
      </c>
      <c r="AR99" s="2">
        <v>323.428</v>
      </c>
    </row>
    <row r="100" spans="2:44" x14ac:dyDescent="0.2">
      <c r="B100" s="1" t="str">
        <f>_xlfn.XLOOKUP(Runge1[[#This Row],[Metodo]],TbSolver[Metodo],TbSolver[Solver])</f>
        <v>Runge Kutta</v>
      </c>
      <c r="C100" s="1" t="str">
        <f>_xlfn.XLOOKUP(Runge1[[#This Row],[Hebras]],TbTecnologia[Hebras],TbTecnologia[Tecnología])</f>
        <v>OMP</v>
      </c>
      <c r="D100" s="1" t="str" cm="1">
        <f t="array" ref="D100">_xlfn.XLOOKUP(Runge1[[#This Row],[Tecnología]]&amp;Runge1[[#This Row],[Metodo]],TbTipos[Tecnología]&amp;TbTipos[Metodo],TbTipos[Tipo])</f>
        <v>OMP Elementos</v>
      </c>
      <c r="E100" s="1" t="str" cm="1">
        <f t="array" ref="E100">_xlfn.XLOOKUP(Runge1[[#This Row],[Tecnología]]&amp;Runge1[[#This Row],[Problema]],TbNombres[Tecnología]&amp;TbNombres[Problema],TbNombres[Nombre])</f>
        <v>Simple Advdiff</v>
      </c>
      <c r="F100" s="20">
        <v>2</v>
      </c>
      <c r="G100" s="20">
        <v>1</v>
      </c>
      <c r="H100" s="20">
        <v>16</v>
      </c>
      <c r="I100" s="20">
        <v>25000</v>
      </c>
      <c r="J100" s="20">
        <v>25000</v>
      </c>
      <c r="K100" s="20">
        <v>72.669799999999995</v>
      </c>
      <c r="M100" s="2" t="str">
        <f>_xlfn.XLOOKUP(Runge2[[#This Row],[Metodo]],TbSolver[Metodo],TbSolver[Solver])</f>
        <v>Runge Kutta</v>
      </c>
      <c r="N100" s="2" t="str">
        <f>_xlfn.XLOOKUP(Runge2[[#This Row],[Hebras]],TbTecnologia[Hebras],TbTecnologia[Tecnología])</f>
        <v>OMP</v>
      </c>
      <c r="O100" s="4" t="str" cm="1">
        <f t="array" ref="O100">_xlfn.XLOOKUP(Runge2[[#This Row],[Tecnología]]&amp;Runge2[[#This Row],[Metodo]],TbTipos[Tecnología]&amp;TbTipos[Metodo],TbTipos[Tipo])</f>
        <v>OMP Operaciones</v>
      </c>
      <c r="P100" s="4" t="str" cm="1">
        <f t="array" ref="P100">_xlfn.XLOOKUP(Runge2[[#This Row],[Tecnología]]&amp;Runge2[[#This Row],[Problema]],TbNombres[Tecnología]&amp;TbNombres[Problema],TbNombres[Nombre])</f>
        <v>Advdiff1d</v>
      </c>
      <c r="Q100" s="21">
        <v>1</v>
      </c>
      <c r="R100" s="21">
        <v>2</v>
      </c>
      <c r="S100" s="21">
        <v>16</v>
      </c>
      <c r="T100" s="21">
        <v>25000</v>
      </c>
      <c r="U100" s="21">
        <v>25000</v>
      </c>
      <c r="V100" s="21">
        <v>261.68099999999998</v>
      </c>
      <c r="X100" s="2" t="str">
        <f>_xlfn.XLOOKUP(Runge3[[#This Row],[Metodo]],TbSolver[Metodo],TbSolver[Solver])</f>
        <v>Runge Kutta</v>
      </c>
      <c r="Y100" s="2" t="str">
        <f>_xlfn.XLOOKUP(Runge3[[#This Row],[Hebras]],TbTecnologia[Hebras],TbTecnologia[Tecnología])</f>
        <v>OMP</v>
      </c>
      <c r="Z100" s="2" t="str" cm="1">
        <f t="array" ref="Z100">_xlfn.XLOOKUP(Runge3[[#This Row],[Tecnología]]&amp;Runge3[[#This Row],[Metodo]],TbTipos[Tecnología]&amp;TbTipos[Metodo],TbTipos[Tipo])</f>
        <v>OMP Operaciones</v>
      </c>
      <c r="AA100" s="2" t="str" cm="1">
        <f t="array" ref="AA100">_xlfn.XLOOKUP(Runge3[[#This Row],[Tecnología]]&amp;Runge3[[#This Row],[Problema]],TbNombres[Tecnología]&amp;TbNombres[Problema],TbNombres[Nombre])</f>
        <v>Brusselator1d</v>
      </c>
      <c r="AB100" s="4">
        <v>1</v>
      </c>
      <c r="AC100" s="4">
        <v>3</v>
      </c>
      <c r="AD100" s="4">
        <v>4</v>
      </c>
      <c r="AE100" s="4">
        <v>10000</v>
      </c>
      <c r="AF100" s="4">
        <v>20000</v>
      </c>
      <c r="AG100" s="4">
        <v>83.945300000000003</v>
      </c>
      <c r="AI100" s="2" t="str">
        <f>_xlfn.XLOOKUP(Runge4[[#This Row],[Metodo]],TbSolver[Metodo],TbSolver[Solver])</f>
        <v>Runge Kutta</v>
      </c>
      <c r="AJ100" s="2" t="str">
        <f>_xlfn.XLOOKUP(Runge4[[#This Row],[Hebras]],TbTecnologia[Hebras],TbTecnologia[Tecnología])</f>
        <v>CUDA</v>
      </c>
      <c r="AK100" s="2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100" s="2" t="str" cm="1">
        <f t="array" ref="AL100">_xlfn.XLOOKUP(Runge4[[#This Row],[Tecnología]]&amp;Runge4[[#This Row],[Problema]],TbNombres[Tecnología]&amp;TbNombres[Problema],TbNombres[Nombre])</f>
        <v>Brusselator2d shuffle</v>
      </c>
      <c r="AM100" s="2">
        <v>2</v>
      </c>
      <c r="AN100" s="2">
        <v>9</v>
      </c>
      <c r="AO100" s="2">
        <v>256</v>
      </c>
      <c r="AP100" s="2">
        <v>500</v>
      </c>
      <c r="AQ100" s="2">
        <v>500000</v>
      </c>
      <c r="AR100" s="2">
        <v>325.197</v>
      </c>
    </row>
    <row r="101" spans="2:44" x14ac:dyDescent="0.2">
      <c r="B101" s="1" t="str">
        <f>_xlfn.XLOOKUP(Runge1[[#This Row],[Metodo]],TbSolver[Metodo],TbSolver[Solver])</f>
        <v>Runge Kutta</v>
      </c>
      <c r="C101" s="1" t="str">
        <f>_xlfn.XLOOKUP(Runge1[[#This Row],[Hebras]],TbTecnologia[Hebras],TbTecnologia[Tecnología])</f>
        <v>OMP</v>
      </c>
      <c r="D101" s="1" t="str" cm="1">
        <f t="array" ref="D101">_xlfn.XLOOKUP(Runge1[[#This Row],[Tecnología]]&amp;Runge1[[#This Row],[Metodo]],TbTipos[Tecnología]&amp;TbTipos[Metodo],TbTipos[Tipo])</f>
        <v>OMP Operaciones</v>
      </c>
      <c r="E101" s="1" t="str" cm="1">
        <f t="array" ref="E101">_xlfn.XLOOKUP(Runge1[[#This Row],[Tecnología]]&amp;Runge1[[#This Row],[Problema]],TbNombres[Tecnología]&amp;TbNombres[Problema],TbNombres[Nombre])</f>
        <v>Simple Advdiff</v>
      </c>
      <c r="F101" s="20">
        <v>1</v>
      </c>
      <c r="G101" s="20">
        <v>1</v>
      </c>
      <c r="H101" s="20">
        <v>16</v>
      </c>
      <c r="I101" s="20">
        <v>25000</v>
      </c>
      <c r="J101" s="20">
        <v>25000</v>
      </c>
      <c r="K101" s="20">
        <v>74.73</v>
      </c>
      <c r="M101" s="2" t="str">
        <f>_xlfn.XLOOKUP(Runge2[[#This Row],[Metodo]],TbSolver[Metodo],TbSolver[Solver])</f>
        <v>Runge Kutta</v>
      </c>
      <c r="N101" s="2" t="str">
        <f>_xlfn.XLOOKUP(Runge2[[#This Row],[Hebras]],TbTecnologia[Hebras],TbTecnologia[Tecnología])</f>
        <v>OMP</v>
      </c>
      <c r="O101" s="4" t="str" cm="1">
        <f t="array" ref="O101">_xlfn.XLOOKUP(Runge2[[#This Row],[Tecnología]]&amp;Runge2[[#This Row],[Metodo]],TbTipos[Tecnología]&amp;TbTipos[Metodo],TbTipos[Tipo])</f>
        <v>OMP Operaciones</v>
      </c>
      <c r="P101" s="4" t="str" cm="1">
        <f t="array" ref="P101">_xlfn.XLOOKUP(Runge2[[#This Row],[Tecnología]]&amp;Runge2[[#This Row],[Problema]],TbNombres[Tecnología]&amp;TbNombres[Problema],TbNombres[Nombre])</f>
        <v>Advdiff1d</v>
      </c>
      <c r="Q101" s="21">
        <v>1</v>
      </c>
      <c r="R101" s="21">
        <v>2</v>
      </c>
      <c r="S101" s="21">
        <v>4</v>
      </c>
      <c r="T101" s="21">
        <v>25000</v>
      </c>
      <c r="U101" s="21">
        <v>25000</v>
      </c>
      <c r="V101" s="21">
        <v>664.20799999999997</v>
      </c>
      <c r="X101" s="2" t="str">
        <f>_xlfn.XLOOKUP(Runge3[[#This Row],[Metodo]],TbSolver[Metodo],TbSolver[Solver])</f>
        <v>Runge Kutta</v>
      </c>
      <c r="Y101" s="2" t="str">
        <f>_xlfn.XLOOKUP(Runge3[[#This Row],[Hebras]],TbTecnologia[Hebras],TbTecnologia[Tecnología])</f>
        <v>OMP</v>
      </c>
      <c r="Z101" s="2" t="str" cm="1">
        <f t="array" ref="Z101">_xlfn.XLOOKUP(Runge3[[#This Row],[Tecnología]]&amp;Runge3[[#This Row],[Metodo]],TbTipos[Tecnología]&amp;TbTipos[Metodo],TbTipos[Tipo])</f>
        <v>OMP Operaciones</v>
      </c>
      <c r="AA101" s="2" t="str" cm="1">
        <f t="array" ref="AA101">_xlfn.XLOOKUP(Runge3[[#This Row],[Tecnología]]&amp;Runge3[[#This Row],[Problema]],TbNombres[Tecnología]&amp;TbNombres[Problema],TbNombres[Nombre])</f>
        <v>Brusselator1d</v>
      </c>
      <c r="AB101" s="4">
        <v>1</v>
      </c>
      <c r="AC101" s="4">
        <v>3</v>
      </c>
      <c r="AD101" s="4">
        <v>16</v>
      </c>
      <c r="AE101" s="4">
        <v>10000</v>
      </c>
      <c r="AF101" s="4">
        <v>20000</v>
      </c>
      <c r="AG101" s="4">
        <v>97.977500000000006</v>
      </c>
      <c r="AI101" s="2" t="str">
        <f>_xlfn.XLOOKUP(Runge4[[#This Row],[Metodo]],TbSolver[Metodo],TbSolver[Solver])</f>
        <v>Runge Kutta</v>
      </c>
      <c r="AJ101" s="2" t="str">
        <f>_xlfn.XLOOKUP(Runge4[[#This Row],[Hebras]],TbTecnologia[Hebras],TbTecnologia[Tecnología])</f>
        <v>CUDA</v>
      </c>
      <c r="AK101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101" s="4" t="str" cm="1">
        <f t="array" ref="AL101">_xlfn.XLOOKUP(Runge4[[#This Row],[Tecnología]]&amp;Runge4[[#This Row],[Problema]],TbNombres[Tecnología]&amp;TbNombres[Problema],TbNombres[Nombre])</f>
        <v>Brusselator2d</v>
      </c>
      <c r="AM101" s="21">
        <v>1</v>
      </c>
      <c r="AN101" s="21">
        <v>8</v>
      </c>
      <c r="AO101" s="21">
        <v>256</v>
      </c>
      <c r="AP101" s="21">
        <v>600</v>
      </c>
      <c r="AQ101" s="21">
        <v>720000</v>
      </c>
      <c r="AR101" s="21">
        <v>473.55599999999998</v>
      </c>
    </row>
    <row r="102" spans="2:44" x14ac:dyDescent="0.2">
      <c r="B102" s="1" t="str">
        <f>_xlfn.XLOOKUP(Runge1[[#This Row],[Metodo]],TbSolver[Metodo],TbSolver[Solver])</f>
        <v>Runge Kutta</v>
      </c>
      <c r="C102" s="1" t="str">
        <f>_xlfn.XLOOKUP(Runge1[[#This Row],[Hebras]],TbTecnologia[Hebras],TbTecnologia[Tecnología])</f>
        <v>OMP</v>
      </c>
      <c r="D102" s="1" t="str" cm="1">
        <f t="array" ref="D102">_xlfn.XLOOKUP(Runge1[[#This Row],[Tecnología]]&amp;Runge1[[#This Row],[Metodo]],TbTipos[Tecnología]&amp;TbTipos[Metodo],TbTipos[Tipo])</f>
        <v>OMP Operaciones</v>
      </c>
      <c r="E102" s="1" t="str" cm="1">
        <f t="array" ref="E102">_xlfn.XLOOKUP(Runge1[[#This Row],[Tecnología]]&amp;Runge1[[#This Row],[Problema]],TbNombres[Tecnología]&amp;TbNombres[Problema],TbNombres[Nombre])</f>
        <v>Simple Advdiff</v>
      </c>
      <c r="F102" s="20">
        <v>1</v>
      </c>
      <c r="G102" s="20">
        <v>1</v>
      </c>
      <c r="H102" s="20">
        <v>1</v>
      </c>
      <c r="I102" s="20">
        <v>25000</v>
      </c>
      <c r="J102" s="20">
        <v>25000</v>
      </c>
      <c r="K102" s="20">
        <v>146.047</v>
      </c>
      <c r="M102" s="2" t="str">
        <f>_xlfn.XLOOKUP(Runge2[[#This Row],[Metodo]],TbSolver[Metodo],TbSolver[Solver])</f>
        <v>Runge Kutta</v>
      </c>
      <c r="N102" s="2" t="str">
        <f>_xlfn.XLOOKUP(Runge2[[#This Row],[Hebras]],TbTecnologia[Hebras],TbTecnologia[Tecnología])</f>
        <v>OMP</v>
      </c>
      <c r="O102" s="4" t="str" cm="1">
        <f t="array" ref="O102">_xlfn.XLOOKUP(Runge2[[#This Row],[Tecnología]]&amp;Runge2[[#This Row],[Metodo]],TbTipos[Tecnología]&amp;TbTipos[Metodo],TbTipos[Tipo])</f>
        <v>OMP Elementos</v>
      </c>
      <c r="P102" s="4" t="str" cm="1">
        <f t="array" ref="P102">_xlfn.XLOOKUP(Runge2[[#This Row],[Tecnología]]&amp;Runge2[[#This Row],[Problema]],TbNombres[Tecnología]&amp;TbNombres[Problema],TbNombres[Nombre])</f>
        <v>Advdiff1d</v>
      </c>
      <c r="Q102" s="21">
        <v>2</v>
      </c>
      <c r="R102" s="21">
        <v>2</v>
      </c>
      <c r="S102" s="21">
        <v>4</v>
      </c>
      <c r="T102" s="21">
        <v>25000</v>
      </c>
      <c r="U102" s="21">
        <v>25000</v>
      </c>
      <c r="V102" s="21">
        <v>816.93399999999997</v>
      </c>
      <c r="X102" s="2" t="str">
        <f>_xlfn.XLOOKUP(Runge3[[#This Row],[Metodo]],TbSolver[Metodo],TbSolver[Solver])</f>
        <v>Runge Kutta</v>
      </c>
      <c r="Y102" s="2" t="str">
        <f>_xlfn.XLOOKUP(Runge3[[#This Row],[Hebras]],TbTecnologia[Hebras],TbTecnologia[Tecnología])</f>
        <v>OMP</v>
      </c>
      <c r="Z102" s="2" t="str" cm="1">
        <f t="array" ref="Z102">_xlfn.XLOOKUP(Runge3[[#This Row],[Tecnología]]&amp;Runge3[[#This Row],[Metodo]],TbTipos[Tecnología]&amp;TbTipos[Metodo],TbTipos[Tipo])</f>
        <v>OMP Elementos</v>
      </c>
      <c r="AA102" s="2" t="str" cm="1">
        <f t="array" ref="AA102">_xlfn.XLOOKUP(Runge3[[#This Row],[Tecnología]]&amp;Runge3[[#This Row],[Problema]],TbNombres[Tecnología]&amp;TbNombres[Problema],TbNombres[Nombre])</f>
        <v>Brusselator1d</v>
      </c>
      <c r="AB102" s="4">
        <v>2</v>
      </c>
      <c r="AC102" s="4">
        <v>3</v>
      </c>
      <c r="AD102" s="4">
        <v>4</v>
      </c>
      <c r="AE102" s="4">
        <v>10000</v>
      </c>
      <c r="AF102" s="4">
        <v>20000</v>
      </c>
      <c r="AG102" s="4">
        <v>139.96600000000001</v>
      </c>
      <c r="AI102" s="2" t="str">
        <f>_xlfn.XLOOKUP(Runge4[[#This Row],[Metodo]],TbSolver[Metodo],TbSolver[Solver])</f>
        <v>Runge Kutta</v>
      </c>
      <c r="AJ102" s="2" t="str">
        <f>_xlfn.XLOOKUP(Runge4[[#This Row],[Hebras]],TbTecnologia[Hebras],TbTecnologia[Tecnología])</f>
        <v>CUDA</v>
      </c>
      <c r="AK102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102" s="4" t="str" cm="1">
        <f t="array" ref="AL102">_xlfn.XLOOKUP(Runge4[[#This Row],[Tecnología]]&amp;Runge4[[#This Row],[Problema]],TbNombres[Tecnología]&amp;TbNombres[Problema],TbNombres[Nombre])</f>
        <v>Brusselator2d</v>
      </c>
      <c r="AM102" s="21">
        <v>2</v>
      </c>
      <c r="AN102" s="21">
        <v>8</v>
      </c>
      <c r="AO102" s="21">
        <v>256</v>
      </c>
      <c r="AP102" s="21">
        <v>600</v>
      </c>
      <c r="AQ102" s="21">
        <v>720000</v>
      </c>
      <c r="AR102" s="21">
        <v>482.14800000000002</v>
      </c>
    </row>
    <row r="103" spans="2:44" x14ac:dyDescent="0.2">
      <c r="B103" s="1" t="str">
        <f>_xlfn.XLOOKUP(Runge1[[#This Row],[Metodo]],TbSolver[Metodo],TbSolver[Solver])</f>
        <v>Runge Kutta</v>
      </c>
      <c r="C103" s="1" t="str">
        <f>_xlfn.XLOOKUP(Runge1[[#This Row],[Hebras]],TbTecnologia[Hebras],TbTecnologia[Tecnología])</f>
        <v>OMP</v>
      </c>
      <c r="D103" s="1" t="str" cm="1">
        <f t="array" ref="D103">_xlfn.XLOOKUP(Runge1[[#This Row],[Tecnología]]&amp;Runge1[[#This Row],[Metodo]],TbTipos[Tecnología]&amp;TbTipos[Metodo],TbTipos[Tipo])</f>
        <v>OMP Elementos</v>
      </c>
      <c r="E103" s="1" t="str" cm="1">
        <f t="array" ref="E103">_xlfn.XLOOKUP(Runge1[[#This Row],[Tecnología]]&amp;Runge1[[#This Row],[Problema]],TbNombres[Tecnología]&amp;TbNombres[Problema],TbNombres[Nombre])</f>
        <v>Simple Advdiff</v>
      </c>
      <c r="F103" s="20">
        <v>2</v>
      </c>
      <c r="G103" s="20">
        <v>1</v>
      </c>
      <c r="H103" s="20">
        <v>4</v>
      </c>
      <c r="I103" s="20">
        <v>25000</v>
      </c>
      <c r="J103" s="20">
        <v>25000</v>
      </c>
      <c r="K103" s="20">
        <v>211.755</v>
      </c>
      <c r="M103" s="2" t="str">
        <f>_xlfn.XLOOKUP(Runge2[[#This Row],[Metodo]],TbSolver[Metodo],TbSolver[Solver])</f>
        <v>Runge Kutta</v>
      </c>
      <c r="N103" s="2" t="str">
        <f>_xlfn.XLOOKUP(Runge2[[#This Row],[Hebras]],TbTecnologia[Hebras],TbTecnologia[Tecnología])</f>
        <v>OMP</v>
      </c>
      <c r="O103" s="4" t="str" cm="1">
        <f t="array" ref="O103">_xlfn.XLOOKUP(Runge2[[#This Row],[Tecnología]]&amp;Runge2[[#This Row],[Metodo]],TbTipos[Tecnología]&amp;TbTipos[Metodo],TbTipos[Tipo])</f>
        <v>OMP Operaciones</v>
      </c>
      <c r="P103" s="4" t="str" cm="1">
        <f t="array" ref="P103">_xlfn.XLOOKUP(Runge2[[#This Row],[Tecnología]]&amp;Runge2[[#This Row],[Problema]],TbNombres[Tecnología]&amp;TbNombres[Problema],TbNombres[Nombre])</f>
        <v>Advdiff1d</v>
      </c>
      <c r="Q103" s="21">
        <v>1</v>
      </c>
      <c r="R103" s="21">
        <v>2</v>
      </c>
      <c r="S103" s="21">
        <v>1</v>
      </c>
      <c r="T103" s="21">
        <v>25000</v>
      </c>
      <c r="U103" s="21">
        <v>25000</v>
      </c>
      <c r="V103" s="21">
        <v>2209.62</v>
      </c>
      <c r="X103" s="2" t="str">
        <f>_xlfn.XLOOKUP(Runge3[[#This Row],[Metodo]],TbSolver[Metodo],TbSolver[Solver])</f>
        <v>Runge Kutta</v>
      </c>
      <c r="Y103" s="2" t="str">
        <f>_xlfn.XLOOKUP(Runge3[[#This Row],[Hebras]],TbTecnologia[Hebras],TbTecnologia[Tecnología])</f>
        <v>OMP</v>
      </c>
      <c r="Z103" s="2" t="str" cm="1">
        <f t="array" ref="Z103">_xlfn.XLOOKUP(Runge3[[#This Row],[Tecnología]]&amp;Runge3[[#This Row],[Metodo]],TbTipos[Tecnología]&amp;TbTipos[Metodo],TbTipos[Tipo])</f>
        <v>OMP Operaciones</v>
      </c>
      <c r="AA103" s="2" t="str" cm="1">
        <f t="array" ref="AA103">_xlfn.XLOOKUP(Runge3[[#This Row],[Tecnología]]&amp;Runge3[[#This Row],[Problema]],TbNombres[Tecnología]&amp;TbNombres[Problema],TbNombres[Nombre])</f>
        <v>Brusselator1d</v>
      </c>
      <c r="AB103" s="4">
        <v>1</v>
      </c>
      <c r="AC103" s="4">
        <v>3</v>
      </c>
      <c r="AD103" s="4">
        <v>1</v>
      </c>
      <c r="AE103" s="4">
        <v>10000</v>
      </c>
      <c r="AF103" s="4">
        <v>20000</v>
      </c>
      <c r="AG103" s="4">
        <v>200.898</v>
      </c>
      <c r="AI103" s="2" t="str">
        <f>_xlfn.XLOOKUP(Runge4[[#This Row],[Metodo]],TbSolver[Metodo],TbSolver[Solver])</f>
        <v>Runge Kutta</v>
      </c>
      <c r="AJ103" s="2" t="str">
        <f>_xlfn.XLOOKUP(Runge4[[#This Row],[Hebras]],TbTecnologia[Hebras],TbTecnologia[Tecnología])</f>
        <v>CUDA</v>
      </c>
      <c r="AK103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sin graph</v>
      </c>
      <c r="AL103" s="4" t="str" cm="1">
        <f t="array" ref="AL103">_xlfn.XLOOKUP(Runge4[[#This Row],[Tecnología]]&amp;Runge4[[#This Row],[Problema]],TbNombres[Tecnología]&amp;TbNombres[Problema],TbNombres[Nombre])</f>
        <v>Brusselator2d</v>
      </c>
      <c r="AM103" s="21">
        <v>1</v>
      </c>
      <c r="AN103" s="21">
        <v>8</v>
      </c>
      <c r="AO103" s="21">
        <v>256</v>
      </c>
      <c r="AP103" s="21">
        <v>700</v>
      </c>
      <c r="AQ103" s="21">
        <v>980000</v>
      </c>
      <c r="AR103" s="21">
        <v>635.83399999999995</v>
      </c>
    </row>
    <row r="104" spans="2:44" x14ac:dyDescent="0.2">
      <c r="B104" s="1" t="str">
        <f>_xlfn.XLOOKUP(Runge1[[#This Row],[Metodo]],TbSolver[Metodo],TbSolver[Solver])</f>
        <v>Runge Kutta</v>
      </c>
      <c r="C104" s="1" t="str">
        <f>_xlfn.XLOOKUP(Runge1[[#This Row],[Hebras]],TbTecnologia[Hebras],TbTecnologia[Tecnología])</f>
        <v>OMP</v>
      </c>
      <c r="D104" s="1" t="str" cm="1">
        <f t="array" ref="D104">_xlfn.XLOOKUP(Runge1[[#This Row],[Tecnología]]&amp;Runge1[[#This Row],[Metodo]],TbTipos[Tecnología]&amp;TbTipos[Metodo],TbTipos[Tipo])</f>
        <v>OMP Elementos</v>
      </c>
      <c r="E104" s="1" t="str" cm="1">
        <f t="array" ref="E104">_xlfn.XLOOKUP(Runge1[[#This Row],[Tecnología]]&amp;Runge1[[#This Row],[Problema]],TbNombres[Tecnología]&amp;TbNombres[Problema],TbNombres[Nombre])</f>
        <v>Simple Advdiff</v>
      </c>
      <c r="F104" s="20">
        <v>2</v>
      </c>
      <c r="G104" s="20">
        <v>1</v>
      </c>
      <c r="H104" s="20">
        <v>1</v>
      </c>
      <c r="I104" s="20">
        <v>25000</v>
      </c>
      <c r="J104" s="20">
        <v>25000</v>
      </c>
      <c r="K104" s="20">
        <v>785.83600000000001</v>
      </c>
      <c r="M104" s="2" t="str">
        <f>_xlfn.XLOOKUP(Runge2[[#This Row],[Metodo]],TbSolver[Metodo],TbSolver[Solver])</f>
        <v>Runge Kutta</v>
      </c>
      <c r="N104" s="2" t="str">
        <f>_xlfn.XLOOKUP(Runge2[[#This Row],[Hebras]],TbTecnologia[Hebras],TbTecnologia[Tecnología])</f>
        <v>OMP</v>
      </c>
      <c r="O104" s="4" t="str" cm="1">
        <f t="array" ref="O104">_xlfn.XLOOKUP(Runge2[[#This Row],[Tecnología]]&amp;Runge2[[#This Row],[Metodo]],TbTipos[Tecnología]&amp;TbTipos[Metodo],TbTipos[Tipo])</f>
        <v>OMP Elementos</v>
      </c>
      <c r="P104" s="4" t="str" cm="1">
        <f t="array" ref="P104">_xlfn.XLOOKUP(Runge2[[#This Row],[Tecnología]]&amp;Runge2[[#This Row],[Problema]],TbNombres[Tecnología]&amp;TbNombres[Problema],TbNombres[Nombre])</f>
        <v>Advdiff1d</v>
      </c>
      <c r="Q104" s="21">
        <v>2</v>
      </c>
      <c r="R104" s="21">
        <v>2</v>
      </c>
      <c r="S104" s="21">
        <v>1</v>
      </c>
      <c r="T104" s="21">
        <v>25000</v>
      </c>
      <c r="U104" s="21">
        <v>25000</v>
      </c>
      <c r="V104" s="21">
        <v>2900.48</v>
      </c>
      <c r="X104" s="2" t="str">
        <f>_xlfn.XLOOKUP(Runge3[[#This Row],[Metodo]],TbSolver[Metodo],TbSolver[Solver])</f>
        <v>Runge Kutta</v>
      </c>
      <c r="Y104" s="2" t="str">
        <f>_xlfn.XLOOKUP(Runge3[[#This Row],[Hebras]],TbTecnologia[Hebras],TbTecnologia[Tecnología])</f>
        <v>OMP</v>
      </c>
      <c r="Z104" s="2" t="str" cm="1">
        <f t="array" ref="Z104">_xlfn.XLOOKUP(Runge3[[#This Row],[Tecnología]]&amp;Runge3[[#This Row],[Metodo]],TbTipos[Tecnología]&amp;TbTipos[Metodo],TbTipos[Tipo])</f>
        <v>OMP Elementos</v>
      </c>
      <c r="AA104" s="2" t="str" cm="1">
        <f t="array" ref="AA104">_xlfn.XLOOKUP(Runge3[[#This Row],[Tecnología]]&amp;Runge3[[#This Row],[Problema]],TbNombres[Tecnología]&amp;TbNombres[Problema],TbNombres[Nombre])</f>
        <v>Brusselator1d</v>
      </c>
      <c r="AB104" s="4">
        <v>2</v>
      </c>
      <c r="AC104" s="4">
        <v>3</v>
      </c>
      <c r="AD104" s="4">
        <v>1</v>
      </c>
      <c r="AE104" s="4">
        <v>10000</v>
      </c>
      <c r="AF104" s="4">
        <v>20000</v>
      </c>
      <c r="AG104" s="4">
        <v>492.52100000000002</v>
      </c>
      <c r="AI104" s="2" t="str">
        <f>_xlfn.XLOOKUP(Runge4[[#This Row],[Metodo]],TbSolver[Metodo],TbSolver[Solver])</f>
        <v>Runge Kutta</v>
      </c>
      <c r="AJ104" s="2" t="str">
        <f>_xlfn.XLOOKUP(Runge4[[#This Row],[Hebras]],TbTecnologia[Hebras],TbTecnologia[Tecnología])</f>
        <v>CUDA</v>
      </c>
      <c r="AK104" s="4" t="str">
        <f>IF(Runge4[[#This Row],[Hebras]]=256,IF(OR(Runge4[[#This Row],[Metodo]]=1,Runge4[[#This Row],[Metodo]]=3,Runge4[[#This Row],[Metodo]]=5),"CUDA sin graph",IF(OR(Runge4[[#This Row],[Metodo]]=2,Runge4[[#This Row],[Metodo]]=4,Runge4[[#This Row],[Metodo]]=6),"CUDA con graph","ERROR")),IF(OR(Runge4[[#This Row],[Metodo]]=1,Runge4[[#This Row],[Metodo]]=3,Runge4[[#This Row],[Metodo]]=5),"OMP Operaciones",IF(OR(Runge4[[#This Row],[Metodo]]=2,Runge4[[#This Row],[Metodo]]=4,Runge4[[#This Row],[Metodo]]=6),"OMP Elementos","ERROR")))</f>
        <v>CUDA con graph</v>
      </c>
      <c r="AL104" s="4" t="str" cm="1">
        <f t="array" ref="AL104">_xlfn.XLOOKUP(Runge4[[#This Row],[Tecnología]]&amp;Runge4[[#This Row],[Problema]],TbNombres[Tecnología]&amp;TbNombres[Problema],TbNombres[Nombre])</f>
        <v>Brusselator2d</v>
      </c>
      <c r="AM104" s="21">
        <v>2</v>
      </c>
      <c r="AN104" s="21">
        <v>8</v>
      </c>
      <c r="AO104" s="21">
        <v>256</v>
      </c>
      <c r="AP104" s="21">
        <v>700</v>
      </c>
      <c r="AQ104" s="21">
        <v>980000</v>
      </c>
      <c r="AR104" s="21">
        <v>648.99900000000002</v>
      </c>
    </row>
    <row r="105" spans="2:44" x14ac:dyDescent="0.2">
      <c r="B105" s="1" t="str">
        <f>_xlfn.XLOOKUP(Runge1[[#This Row],[Metodo]],TbSolver[Metodo],TbSolver[Solver])</f>
        <v>Runge Kutta</v>
      </c>
      <c r="C105" s="1" t="str">
        <f>_xlfn.XLOOKUP(Runge1[[#This Row],[Hebras]],TbTecnologia[Hebras],TbTecnologia[Tecnología])</f>
        <v>CUDA</v>
      </c>
      <c r="D105" s="1" t="str" cm="1">
        <f t="array" ref="D105">_xlfn.XLOOKUP(Runge1[[#This Row],[Tecnología]]&amp;Runge1[[#This Row],[Metodo]],TbTipos[Tecnología]&amp;TbTipos[Metodo],TbTipos[Tipo])</f>
        <v>CUDA con graph</v>
      </c>
      <c r="E105" s="1" t="str" cm="1">
        <f t="array" ref="E105">_xlfn.XLOOKUP(Runge1[[#This Row],[Tecnología]]&amp;Runge1[[#This Row],[Problema]],TbNombres[Tecnología]&amp;TbNombres[Problema],TbNombres[Nombre])</f>
        <v>Simple Advdiff</v>
      </c>
      <c r="F105" s="20">
        <v>2</v>
      </c>
      <c r="G105" s="20">
        <v>1</v>
      </c>
      <c r="H105" s="20">
        <v>256</v>
      </c>
      <c r="I105" s="20">
        <v>30000</v>
      </c>
      <c r="J105" s="20">
        <v>30000</v>
      </c>
      <c r="K105" s="20">
        <v>18.052</v>
      </c>
      <c r="M105" s="2" t="str">
        <f>_xlfn.XLOOKUP(Runge2[[#This Row],[Metodo]],TbSolver[Metodo],TbSolver[Solver])</f>
        <v>Runge Kutta</v>
      </c>
      <c r="N105" s="2" t="str">
        <f>_xlfn.XLOOKUP(Runge2[[#This Row],[Hebras]],TbTecnologia[Hebras],TbTecnologia[Tecnología])</f>
        <v>CUDA</v>
      </c>
      <c r="O105" s="4" t="str" cm="1">
        <f t="array" ref="O105">_xlfn.XLOOKUP(Runge2[[#This Row],[Tecnología]]&amp;Runge2[[#This Row],[Metodo]],TbTipos[Tecnología]&amp;TbTipos[Metodo],TbTipos[Tipo])</f>
        <v>CUDA con graph</v>
      </c>
      <c r="P105" s="4" t="str" cm="1">
        <f t="array" ref="P105">_xlfn.XLOOKUP(Runge2[[#This Row],[Tecnología]]&amp;Runge2[[#This Row],[Problema]],TbNombres[Tecnología]&amp;TbNombres[Problema],TbNombres[Nombre])</f>
        <v>Advdiff1d</v>
      </c>
      <c r="Q105" s="21">
        <v>2</v>
      </c>
      <c r="R105" s="21">
        <v>3</v>
      </c>
      <c r="S105" s="21">
        <v>256</v>
      </c>
      <c r="T105" s="21">
        <v>30000</v>
      </c>
      <c r="U105" s="21">
        <v>30000</v>
      </c>
      <c r="V105" s="21">
        <v>50.730499999999999</v>
      </c>
      <c r="X105" s="2" t="str">
        <f>_xlfn.XLOOKUP(Runge3[[#This Row],[Metodo]],TbSolver[Metodo],TbSolver[Solver])</f>
        <v>Runge Kutta</v>
      </c>
      <c r="Y105" s="2" t="str">
        <f>_xlfn.XLOOKUP(Runge3[[#This Row],[Hebras]],TbTecnologia[Hebras],TbTecnologia[Tecnología])</f>
        <v>CUDA</v>
      </c>
      <c r="Z105" s="2" t="str" cm="1">
        <f t="array" ref="Z105">_xlfn.XLOOKUP(Runge3[[#This Row],[Tecnología]]&amp;Runge3[[#This Row],[Metodo]],TbTipos[Tecnología]&amp;TbTipos[Metodo],TbTipos[Tipo])</f>
        <v>CUDA con graph</v>
      </c>
      <c r="AA105" s="2" t="str" cm="1">
        <f t="array" ref="AA105">_xlfn.XLOOKUP(Runge3[[#This Row],[Tecnología]]&amp;Runge3[[#This Row],[Problema]],TbNombres[Tecnología]&amp;TbNombres[Problema],TbNombres[Nombre])</f>
        <v>Brusselator1d</v>
      </c>
      <c r="AB105" s="21">
        <v>2</v>
      </c>
      <c r="AC105" s="21">
        <v>5</v>
      </c>
      <c r="AD105" s="21">
        <v>256</v>
      </c>
      <c r="AE105" s="21">
        <v>15000</v>
      </c>
      <c r="AF105" s="21">
        <v>30000</v>
      </c>
      <c r="AG105" s="21">
        <v>20.088200000000001</v>
      </c>
    </row>
    <row r="106" spans="2:44" x14ac:dyDescent="0.2">
      <c r="B106" s="1" t="str">
        <f>_xlfn.XLOOKUP(Runge1[[#This Row],[Metodo]],TbSolver[Metodo],TbSolver[Solver])</f>
        <v>Runge Kutta</v>
      </c>
      <c r="C106" s="1" t="str">
        <f>_xlfn.XLOOKUP(Runge1[[#This Row],[Hebras]],TbTecnologia[Hebras],TbTecnologia[Tecnología])</f>
        <v>CUDA</v>
      </c>
      <c r="D106" s="1" t="str" cm="1">
        <f t="array" ref="D106">_xlfn.XLOOKUP(Runge1[[#This Row],[Tecnología]]&amp;Runge1[[#This Row],[Metodo]],TbTipos[Tecnología]&amp;TbTipos[Metodo],TbTipos[Tipo])</f>
        <v>CUDA sin graph</v>
      </c>
      <c r="E106" s="1" t="str" cm="1">
        <f t="array" ref="E106">_xlfn.XLOOKUP(Runge1[[#This Row],[Tecnología]]&amp;Runge1[[#This Row],[Problema]],TbNombres[Tecnología]&amp;TbNombres[Problema],TbNombres[Nombre])</f>
        <v>Simple Advdiff</v>
      </c>
      <c r="F106" s="20">
        <v>1</v>
      </c>
      <c r="G106" s="20">
        <v>1</v>
      </c>
      <c r="H106" s="20">
        <v>256</v>
      </c>
      <c r="I106" s="20">
        <v>30000</v>
      </c>
      <c r="J106" s="20">
        <v>30000</v>
      </c>
      <c r="K106" s="20">
        <v>20.920400000000001</v>
      </c>
      <c r="M106" s="2" t="str">
        <f>_xlfn.XLOOKUP(Runge2[[#This Row],[Metodo]],TbSolver[Metodo],TbSolver[Solver])</f>
        <v>Runge Kutta</v>
      </c>
      <c r="N106" s="2" t="str">
        <f>_xlfn.XLOOKUP(Runge2[[#This Row],[Hebras]],TbTecnologia[Hebras],TbTecnologia[Tecnología])</f>
        <v>CUDA</v>
      </c>
      <c r="O106" s="4" t="str" cm="1">
        <f t="array" ref="O106">_xlfn.XLOOKUP(Runge2[[#This Row],[Tecnología]]&amp;Runge2[[#This Row],[Metodo]],TbTipos[Tecnología]&amp;TbTipos[Metodo],TbTipos[Tipo])</f>
        <v>CUDA sin graph</v>
      </c>
      <c r="P106" s="4" t="str" cm="1">
        <f t="array" ref="P106">_xlfn.XLOOKUP(Runge2[[#This Row],[Tecnología]]&amp;Runge2[[#This Row],[Problema]],TbNombres[Tecnología]&amp;TbNombres[Problema],TbNombres[Nombre])</f>
        <v>Advdiff1d</v>
      </c>
      <c r="Q106" s="21">
        <v>1</v>
      </c>
      <c r="R106" s="21">
        <v>3</v>
      </c>
      <c r="S106" s="21">
        <v>256</v>
      </c>
      <c r="T106" s="21">
        <v>30000</v>
      </c>
      <c r="U106" s="21">
        <v>30000</v>
      </c>
      <c r="V106" s="21">
        <v>53.405799999999999</v>
      </c>
      <c r="X106" s="2" t="str">
        <f>_xlfn.XLOOKUP(Runge3[[#This Row],[Metodo]],TbSolver[Metodo],TbSolver[Solver])</f>
        <v>Runge Kutta</v>
      </c>
      <c r="Y106" s="2" t="str">
        <f>_xlfn.XLOOKUP(Runge3[[#This Row],[Hebras]],TbTecnologia[Hebras],TbTecnologia[Tecnología])</f>
        <v>CUDA</v>
      </c>
      <c r="Z106" s="2" t="str" cm="1">
        <f t="array" ref="Z106">_xlfn.XLOOKUP(Runge3[[#This Row],[Tecnología]]&amp;Runge3[[#This Row],[Metodo]],TbTipos[Tecnología]&amp;TbTipos[Metodo],TbTipos[Tipo])</f>
        <v>CUDA sin graph</v>
      </c>
      <c r="AA106" s="2" t="str" cm="1">
        <f t="array" ref="AA106">_xlfn.XLOOKUP(Runge3[[#This Row],[Tecnología]]&amp;Runge3[[#This Row],[Problema]],TbNombres[Tecnología]&amp;TbNombres[Problema],TbNombres[Nombre])</f>
        <v>Brusselator1d</v>
      </c>
      <c r="AB106" s="21">
        <v>1</v>
      </c>
      <c r="AC106" s="21">
        <v>5</v>
      </c>
      <c r="AD106" s="21">
        <v>256</v>
      </c>
      <c r="AE106" s="21">
        <v>15000</v>
      </c>
      <c r="AF106" s="21">
        <v>30000</v>
      </c>
      <c r="AG106" s="21">
        <v>23.580500000000001</v>
      </c>
    </row>
    <row r="107" spans="2:44" x14ac:dyDescent="0.2">
      <c r="B107" s="1" t="str">
        <f>_xlfn.XLOOKUP(Runge1[[#This Row],[Metodo]],TbSolver[Metodo],TbSolver[Solver])</f>
        <v>Runge Kutta</v>
      </c>
      <c r="C107" s="1" t="str">
        <f>_xlfn.XLOOKUP(Runge1[[#This Row],[Hebras]],TbTecnologia[Hebras],TbTecnologia[Tecnología])</f>
        <v>OMP</v>
      </c>
      <c r="D107" s="1" t="str" cm="1">
        <f t="array" ref="D107">_xlfn.XLOOKUP(Runge1[[#This Row],[Tecnología]]&amp;Runge1[[#This Row],[Metodo]],TbTipos[Tecnología]&amp;TbTipos[Metodo],TbTipos[Tipo])</f>
        <v>OMP Operaciones</v>
      </c>
      <c r="E107" s="1" t="str" cm="1">
        <f t="array" ref="E107">_xlfn.XLOOKUP(Runge1[[#This Row],[Tecnología]]&amp;Runge1[[#This Row],[Problema]],TbNombres[Tecnología]&amp;TbNombres[Problema],TbNombres[Nombre])</f>
        <v>Simple Advdiff</v>
      </c>
      <c r="F107" s="20">
        <v>1</v>
      </c>
      <c r="G107" s="20">
        <v>1</v>
      </c>
      <c r="H107" s="20">
        <v>4</v>
      </c>
      <c r="I107" s="20">
        <v>30000</v>
      </c>
      <c r="J107" s="20">
        <v>30000</v>
      </c>
      <c r="K107" s="20">
        <v>68.375500000000002</v>
      </c>
      <c r="M107" s="2" t="str">
        <f>_xlfn.XLOOKUP(Runge2[[#This Row],[Metodo]],TbSolver[Metodo],TbSolver[Solver])</f>
        <v>Runge Kutta</v>
      </c>
      <c r="N107" s="2" t="str">
        <f>_xlfn.XLOOKUP(Runge2[[#This Row],[Hebras]],TbTecnologia[Hebras],TbTecnologia[Tecnología])</f>
        <v>OMP</v>
      </c>
      <c r="O107" s="4" t="str" cm="1">
        <f t="array" ref="O107">_xlfn.XLOOKUP(Runge2[[#This Row],[Tecnología]]&amp;Runge2[[#This Row],[Metodo]],TbTipos[Tecnología]&amp;TbTipos[Metodo],TbTipos[Tipo])</f>
        <v>OMP Elementos</v>
      </c>
      <c r="P107" s="4" t="str" cm="1">
        <f t="array" ref="P107">_xlfn.XLOOKUP(Runge2[[#This Row],[Tecnología]]&amp;Runge2[[#This Row],[Problema]],TbNombres[Tecnología]&amp;TbNombres[Problema],TbNombres[Nombre])</f>
        <v>Advdiff1d</v>
      </c>
      <c r="Q107" s="21">
        <v>2</v>
      </c>
      <c r="R107" s="21">
        <v>2</v>
      </c>
      <c r="S107" s="21">
        <v>16</v>
      </c>
      <c r="T107" s="21">
        <v>30000</v>
      </c>
      <c r="U107" s="21">
        <v>30000</v>
      </c>
      <c r="V107" s="21">
        <v>270.488</v>
      </c>
      <c r="X107" s="2" t="str">
        <f>_xlfn.XLOOKUP(Runge3[[#This Row],[Metodo]],TbSolver[Metodo],TbSolver[Solver])</f>
        <v>Runge Kutta</v>
      </c>
      <c r="Y107" s="2" t="str">
        <f>_xlfn.XLOOKUP(Runge3[[#This Row],[Hebras]],TbTecnologia[Hebras],TbTecnologia[Tecnología])</f>
        <v>OMP</v>
      </c>
      <c r="Z107" s="2" t="str" cm="1">
        <f t="array" ref="Z107">_xlfn.XLOOKUP(Runge3[[#This Row],[Tecnología]]&amp;Runge3[[#This Row],[Metodo]],TbTipos[Tecnología]&amp;TbTipos[Metodo],TbTipos[Tipo])</f>
        <v>OMP Elementos</v>
      </c>
      <c r="AA107" s="2" t="str" cm="1">
        <f t="array" ref="AA107">_xlfn.XLOOKUP(Runge3[[#This Row],[Tecnología]]&amp;Runge3[[#This Row],[Problema]],TbNombres[Tecnología]&amp;TbNombres[Problema],TbNombres[Nombre])</f>
        <v>Brusselator1d</v>
      </c>
      <c r="AB107" s="4">
        <v>2</v>
      </c>
      <c r="AC107" s="4">
        <v>3</v>
      </c>
      <c r="AD107" s="4">
        <v>16</v>
      </c>
      <c r="AE107" s="4">
        <v>15000</v>
      </c>
      <c r="AF107" s="4">
        <v>30000</v>
      </c>
      <c r="AG107" s="4">
        <v>66.805999999999997</v>
      </c>
    </row>
    <row r="108" spans="2:44" x14ac:dyDescent="0.2">
      <c r="B108" s="1" t="str">
        <f>_xlfn.XLOOKUP(Runge1[[#This Row],[Metodo]],TbSolver[Metodo],TbSolver[Solver])</f>
        <v>Runge Kutta</v>
      </c>
      <c r="C108" s="1" t="str">
        <f>_xlfn.XLOOKUP(Runge1[[#This Row],[Hebras]],TbTecnologia[Hebras],TbTecnologia[Tecnología])</f>
        <v>OMP</v>
      </c>
      <c r="D108" s="1" t="str" cm="1">
        <f t="array" ref="D108">_xlfn.XLOOKUP(Runge1[[#This Row],[Tecnología]]&amp;Runge1[[#This Row],[Metodo]],TbTipos[Tecnología]&amp;TbTipos[Metodo],TbTipos[Tipo])</f>
        <v>OMP Operaciones</v>
      </c>
      <c r="E108" s="1" t="str" cm="1">
        <f t="array" ref="E108">_xlfn.XLOOKUP(Runge1[[#This Row],[Tecnología]]&amp;Runge1[[#This Row],[Problema]],TbNombres[Tecnología]&amp;TbNombres[Problema],TbNombres[Nombre])</f>
        <v>Simple Advdiff</v>
      </c>
      <c r="F108" s="20">
        <v>1</v>
      </c>
      <c r="G108" s="20">
        <v>1</v>
      </c>
      <c r="H108" s="20">
        <v>16</v>
      </c>
      <c r="I108" s="20">
        <v>30000</v>
      </c>
      <c r="J108" s="20">
        <v>30000</v>
      </c>
      <c r="K108" s="20">
        <v>70.474800000000002</v>
      </c>
      <c r="M108" s="2" t="str">
        <f>_xlfn.XLOOKUP(Runge2[[#This Row],[Metodo]],TbSolver[Metodo],TbSolver[Solver])</f>
        <v>Runge Kutta</v>
      </c>
      <c r="N108" s="2" t="str">
        <f>_xlfn.XLOOKUP(Runge2[[#This Row],[Hebras]],TbTecnologia[Hebras],TbTecnologia[Tecnología])</f>
        <v>OMP</v>
      </c>
      <c r="O108" s="4" t="str" cm="1">
        <f t="array" ref="O108">_xlfn.XLOOKUP(Runge2[[#This Row],[Tecnología]]&amp;Runge2[[#This Row],[Metodo]],TbTipos[Tecnología]&amp;TbTipos[Metodo],TbTipos[Tipo])</f>
        <v>OMP Operaciones</v>
      </c>
      <c r="P108" s="4" t="str" cm="1">
        <f t="array" ref="P108">_xlfn.XLOOKUP(Runge2[[#This Row],[Tecnología]]&amp;Runge2[[#This Row],[Problema]],TbNombres[Tecnología]&amp;TbNombres[Problema],TbNombres[Nombre])</f>
        <v>Advdiff1d</v>
      </c>
      <c r="Q108" s="21">
        <v>1</v>
      </c>
      <c r="R108" s="21">
        <v>2</v>
      </c>
      <c r="S108" s="21">
        <v>16</v>
      </c>
      <c r="T108" s="21">
        <v>30000</v>
      </c>
      <c r="U108" s="21">
        <v>30000</v>
      </c>
      <c r="V108" s="21">
        <v>293.91399999999999</v>
      </c>
      <c r="X108" s="2" t="str">
        <f>_xlfn.XLOOKUP(Runge3[[#This Row],[Metodo]],TbSolver[Metodo],TbSolver[Solver])</f>
        <v>Runge Kutta</v>
      </c>
      <c r="Y108" s="2" t="str">
        <f>_xlfn.XLOOKUP(Runge3[[#This Row],[Hebras]],TbTecnologia[Hebras],TbTecnologia[Tecnología])</f>
        <v>OMP</v>
      </c>
      <c r="Z108" s="2" t="str" cm="1">
        <f t="array" ref="Z108">_xlfn.XLOOKUP(Runge3[[#This Row],[Tecnología]]&amp;Runge3[[#This Row],[Metodo]],TbTipos[Tecnología]&amp;TbTipos[Metodo],TbTipos[Tipo])</f>
        <v>OMP Operaciones</v>
      </c>
      <c r="AA108" s="2" t="str" cm="1">
        <f t="array" ref="AA108">_xlfn.XLOOKUP(Runge3[[#This Row],[Tecnología]]&amp;Runge3[[#This Row],[Problema]],TbNombres[Tecnología]&amp;TbNombres[Problema],TbNombres[Nombre])</f>
        <v>Brusselator1d</v>
      </c>
      <c r="AB108" s="4">
        <v>1</v>
      </c>
      <c r="AC108" s="4">
        <v>3</v>
      </c>
      <c r="AD108" s="4">
        <v>4</v>
      </c>
      <c r="AE108" s="4">
        <v>15000</v>
      </c>
      <c r="AF108" s="4">
        <v>30000</v>
      </c>
      <c r="AG108" s="4">
        <v>109.629</v>
      </c>
    </row>
    <row r="109" spans="2:44" x14ac:dyDescent="0.2">
      <c r="B109" s="1" t="str">
        <f>_xlfn.XLOOKUP(Runge1[[#This Row],[Metodo]],TbSolver[Metodo],TbSolver[Solver])</f>
        <v>Runge Kutta</v>
      </c>
      <c r="C109" s="1" t="str">
        <f>_xlfn.XLOOKUP(Runge1[[#This Row],[Hebras]],TbTecnologia[Hebras],TbTecnologia[Tecnología])</f>
        <v>OMP</v>
      </c>
      <c r="D109" s="1" t="str" cm="1">
        <f t="array" ref="D109">_xlfn.XLOOKUP(Runge1[[#This Row],[Tecnología]]&amp;Runge1[[#This Row],[Metodo]],TbTipos[Tecnología]&amp;TbTipos[Metodo],TbTipos[Tipo])</f>
        <v>OMP Elementos</v>
      </c>
      <c r="E109" s="1" t="str" cm="1">
        <f t="array" ref="E109">_xlfn.XLOOKUP(Runge1[[#This Row],[Tecnología]]&amp;Runge1[[#This Row],[Problema]],TbNombres[Tecnología]&amp;TbNombres[Problema],TbNombres[Nombre])</f>
        <v>Simple Advdiff</v>
      </c>
      <c r="F109" s="20">
        <v>2</v>
      </c>
      <c r="G109" s="20">
        <v>1</v>
      </c>
      <c r="H109" s="20">
        <v>16</v>
      </c>
      <c r="I109" s="20">
        <v>30000</v>
      </c>
      <c r="J109" s="20">
        <v>30000</v>
      </c>
      <c r="K109" s="20">
        <v>83.917199999999994</v>
      </c>
      <c r="M109" s="2" t="str">
        <f>_xlfn.XLOOKUP(Runge2[[#This Row],[Metodo]],TbSolver[Metodo],TbSolver[Solver])</f>
        <v>Runge Kutta</v>
      </c>
      <c r="N109" s="2" t="str">
        <f>_xlfn.XLOOKUP(Runge2[[#This Row],[Hebras]],TbTecnologia[Hebras],TbTecnologia[Tecnología])</f>
        <v>OMP</v>
      </c>
      <c r="O109" s="4" t="str" cm="1">
        <f t="array" ref="O109">_xlfn.XLOOKUP(Runge2[[#This Row],[Tecnología]]&amp;Runge2[[#This Row],[Metodo]],TbTipos[Tecnología]&amp;TbTipos[Metodo],TbTipos[Tipo])</f>
        <v>OMP Operaciones</v>
      </c>
      <c r="P109" s="4" t="str" cm="1">
        <f t="array" ref="P109">_xlfn.XLOOKUP(Runge2[[#This Row],[Tecnología]]&amp;Runge2[[#This Row],[Problema]],TbNombres[Tecnología]&amp;TbNombres[Problema],TbNombres[Nombre])</f>
        <v>Advdiff1d</v>
      </c>
      <c r="Q109" s="21">
        <v>1</v>
      </c>
      <c r="R109" s="21">
        <v>2</v>
      </c>
      <c r="S109" s="21">
        <v>4</v>
      </c>
      <c r="T109" s="21">
        <v>30000</v>
      </c>
      <c r="U109" s="21">
        <v>30000</v>
      </c>
      <c r="V109" s="21">
        <v>789.70500000000004</v>
      </c>
      <c r="X109" s="2" t="str">
        <f>_xlfn.XLOOKUP(Runge3[[#This Row],[Metodo]],TbSolver[Metodo],TbSolver[Solver])</f>
        <v>Runge Kutta</v>
      </c>
      <c r="Y109" s="2" t="str">
        <f>_xlfn.XLOOKUP(Runge3[[#This Row],[Hebras]],TbTecnologia[Hebras],TbTecnologia[Tecnología])</f>
        <v>OMP</v>
      </c>
      <c r="Z109" s="2" t="str" cm="1">
        <f t="array" ref="Z109">_xlfn.XLOOKUP(Runge3[[#This Row],[Tecnología]]&amp;Runge3[[#This Row],[Metodo]],TbTipos[Tecnología]&amp;TbTipos[Metodo],TbTipos[Tipo])</f>
        <v>OMP Operaciones</v>
      </c>
      <c r="AA109" s="2" t="str" cm="1">
        <f t="array" ref="AA109">_xlfn.XLOOKUP(Runge3[[#This Row],[Tecnología]]&amp;Runge3[[#This Row],[Problema]],TbNombres[Tecnología]&amp;TbNombres[Problema],TbNombres[Nombre])</f>
        <v>Brusselator1d</v>
      </c>
      <c r="AB109" s="4">
        <v>1</v>
      </c>
      <c r="AC109" s="4">
        <v>3</v>
      </c>
      <c r="AD109" s="4">
        <v>16</v>
      </c>
      <c r="AE109" s="4">
        <v>15000</v>
      </c>
      <c r="AF109" s="4">
        <v>30000</v>
      </c>
      <c r="AG109" s="4">
        <v>110.31</v>
      </c>
    </row>
    <row r="110" spans="2:44" x14ac:dyDescent="0.2">
      <c r="B110" s="1" t="str">
        <f>_xlfn.XLOOKUP(Runge1[[#This Row],[Metodo]],TbSolver[Metodo],TbSolver[Solver])</f>
        <v>Runge Kutta</v>
      </c>
      <c r="C110" s="1" t="str">
        <f>_xlfn.XLOOKUP(Runge1[[#This Row],[Hebras]],TbTecnologia[Hebras],TbTecnologia[Tecnología])</f>
        <v>OMP</v>
      </c>
      <c r="D110" s="1" t="str" cm="1">
        <f t="array" ref="D110">_xlfn.XLOOKUP(Runge1[[#This Row],[Tecnología]]&amp;Runge1[[#This Row],[Metodo]],TbTipos[Tecnología]&amp;TbTipos[Metodo],TbTipos[Tipo])</f>
        <v>OMP Operaciones</v>
      </c>
      <c r="E110" s="1" t="str" cm="1">
        <f t="array" ref="E110">_xlfn.XLOOKUP(Runge1[[#This Row],[Tecnología]]&amp;Runge1[[#This Row],[Problema]],TbNombres[Tecnología]&amp;TbNombres[Problema],TbNombres[Nombre])</f>
        <v>Simple Advdiff</v>
      </c>
      <c r="F110" s="20">
        <v>1</v>
      </c>
      <c r="G110" s="20">
        <v>1</v>
      </c>
      <c r="H110" s="20">
        <v>1</v>
      </c>
      <c r="I110" s="20">
        <v>30000</v>
      </c>
      <c r="J110" s="20">
        <v>30000</v>
      </c>
      <c r="K110" s="20">
        <v>179.00899999999999</v>
      </c>
      <c r="M110" s="2" t="str">
        <f>_xlfn.XLOOKUP(Runge2[[#This Row],[Metodo]],TbSolver[Metodo],TbSolver[Solver])</f>
        <v>Runge Kutta</v>
      </c>
      <c r="N110" s="2" t="str">
        <f>_xlfn.XLOOKUP(Runge2[[#This Row],[Hebras]],TbTecnologia[Hebras],TbTecnologia[Tecnología])</f>
        <v>OMP</v>
      </c>
      <c r="O110" s="4" t="str" cm="1">
        <f t="array" ref="O110">_xlfn.XLOOKUP(Runge2[[#This Row],[Tecnología]]&amp;Runge2[[#This Row],[Metodo]],TbTipos[Tecnología]&amp;TbTipos[Metodo],TbTipos[Tipo])</f>
        <v>OMP Elementos</v>
      </c>
      <c r="P110" s="4" t="str" cm="1">
        <f t="array" ref="P110">_xlfn.XLOOKUP(Runge2[[#This Row],[Tecnología]]&amp;Runge2[[#This Row],[Problema]],TbNombres[Tecnología]&amp;TbNombres[Problema],TbNombres[Nombre])</f>
        <v>Advdiff1d</v>
      </c>
      <c r="Q110" s="21">
        <v>2</v>
      </c>
      <c r="R110" s="21">
        <v>2</v>
      </c>
      <c r="S110" s="21">
        <v>4</v>
      </c>
      <c r="T110" s="21">
        <v>30000</v>
      </c>
      <c r="U110" s="21">
        <v>30000</v>
      </c>
      <c r="V110" s="21">
        <v>975.19</v>
      </c>
      <c r="X110" s="2" t="str">
        <f>_xlfn.XLOOKUP(Runge3[[#This Row],[Metodo]],TbSolver[Metodo],TbSolver[Solver])</f>
        <v>Runge Kutta</v>
      </c>
      <c r="Y110" s="2" t="str">
        <f>_xlfn.XLOOKUP(Runge3[[#This Row],[Hebras]],TbTecnologia[Hebras],TbTecnologia[Tecnología])</f>
        <v>OMP</v>
      </c>
      <c r="Z110" s="2" t="str" cm="1">
        <f t="array" ref="Z110">_xlfn.XLOOKUP(Runge3[[#This Row],[Tecnología]]&amp;Runge3[[#This Row],[Metodo]],TbTipos[Tecnología]&amp;TbTipos[Metodo],TbTipos[Tipo])</f>
        <v>OMP Elementos</v>
      </c>
      <c r="AA110" s="2" t="str" cm="1">
        <f t="array" ref="AA110">_xlfn.XLOOKUP(Runge3[[#This Row],[Tecnología]]&amp;Runge3[[#This Row],[Problema]],TbNombres[Tecnología]&amp;TbNombres[Problema],TbNombres[Nombre])</f>
        <v>Brusselator1d</v>
      </c>
      <c r="AB110" s="4">
        <v>2</v>
      </c>
      <c r="AC110" s="4">
        <v>3</v>
      </c>
      <c r="AD110" s="4">
        <v>4</v>
      </c>
      <c r="AE110" s="4">
        <v>15000</v>
      </c>
      <c r="AF110" s="4">
        <v>30000</v>
      </c>
      <c r="AG110" s="4">
        <v>200.256</v>
      </c>
    </row>
    <row r="111" spans="2:44" x14ac:dyDescent="0.2">
      <c r="B111" s="1" t="str">
        <f>_xlfn.XLOOKUP(Runge1[[#This Row],[Metodo]],TbSolver[Metodo],TbSolver[Solver])</f>
        <v>Runge Kutta</v>
      </c>
      <c r="C111" s="1" t="str">
        <f>_xlfn.XLOOKUP(Runge1[[#This Row],[Hebras]],TbTecnologia[Hebras],TbTecnologia[Tecnología])</f>
        <v>OMP</v>
      </c>
      <c r="D111" s="1" t="str" cm="1">
        <f t="array" ref="D111">_xlfn.XLOOKUP(Runge1[[#This Row],[Tecnología]]&amp;Runge1[[#This Row],[Metodo]],TbTipos[Tecnología]&amp;TbTipos[Metodo],TbTipos[Tipo])</f>
        <v>OMP Elementos</v>
      </c>
      <c r="E111" s="1" t="str" cm="1">
        <f t="array" ref="E111">_xlfn.XLOOKUP(Runge1[[#This Row],[Tecnología]]&amp;Runge1[[#This Row],[Problema]],TbNombres[Tecnología]&amp;TbNombres[Problema],TbNombres[Nombre])</f>
        <v>Simple Advdiff</v>
      </c>
      <c r="F111" s="20">
        <v>2</v>
      </c>
      <c r="G111" s="20">
        <v>1</v>
      </c>
      <c r="H111" s="20">
        <v>4</v>
      </c>
      <c r="I111" s="20">
        <v>30000</v>
      </c>
      <c r="J111" s="20">
        <v>30000</v>
      </c>
      <c r="K111" s="20">
        <v>254.50899999999999</v>
      </c>
      <c r="M111" s="2" t="str">
        <f>_xlfn.XLOOKUP(Runge2[[#This Row],[Metodo]],TbSolver[Metodo],TbSolver[Solver])</f>
        <v>Runge Kutta</v>
      </c>
      <c r="N111" s="2" t="str">
        <f>_xlfn.XLOOKUP(Runge2[[#This Row],[Hebras]],TbTecnologia[Hebras],TbTecnologia[Tecnología])</f>
        <v>OMP</v>
      </c>
      <c r="O111" s="4" t="str" cm="1">
        <f t="array" ref="O111">_xlfn.XLOOKUP(Runge2[[#This Row],[Tecnología]]&amp;Runge2[[#This Row],[Metodo]],TbTipos[Tecnología]&amp;TbTipos[Metodo],TbTipos[Tipo])</f>
        <v>OMP Operaciones</v>
      </c>
      <c r="P111" s="4" t="str" cm="1">
        <f t="array" ref="P111">_xlfn.XLOOKUP(Runge2[[#This Row],[Tecnología]]&amp;Runge2[[#This Row],[Problema]],TbNombres[Tecnología]&amp;TbNombres[Problema],TbNombres[Nombre])</f>
        <v>Advdiff1d</v>
      </c>
      <c r="Q111" s="21">
        <v>1</v>
      </c>
      <c r="R111" s="21">
        <v>2</v>
      </c>
      <c r="S111" s="21">
        <v>1</v>
      </c>
      <c r="T111" s="21">
        <v>30000</v>
      </c>
      <c r="U111" s="21">
        <v>30000</v>
      </c>
      <c r="V111" s="21">
        <v>2667.08</v>
      </c>
      <c r="X111" s="2" t="str">
        <f>_xlfn.XLOOKUP(Runge3[[#This Row],[Metodo]],TbSolver[Metodo],TbSolver[Solver])</f>
        <v>Runge Kutta</v>
      </c>
      <c r="Y111" s="2" t="str">
        <f>_xlfn.XLOOKUP(Runge3[[#This Row],[Hebras]],TbTecnologia[Hebras],TbTecnologia[Tecnología])</f>
        <v>OMP</v>
      </c>
      <c r="Z111" s="2" t="str" cm="1">
        <f t="array" ref="Z111">_xlfn.XLOOKUP(Runge3[[#This Row],[Tecnología]]&amp;Runge3[[#This Row],[Metodo]],TbTipos[Tecnología]&amp;TbTipos[Metodo],TbTipos[Tipo])</f>
        <v>OMP Operaciones</v>
      </c>
      <c r="AA111" s="2" t="str" cm="1">
        <f t="array" ref="AA111">_xlfn.XLOOKUP(Runge3[[#This Row],[Tecnología]]&amp;Runge3[[#This Row],[Problema]],TbNombres[Tecnología]&amp;TbNombres[Problema],TbNombres[Nombre])</f>
        <v>Brusselator1d</v>
      </c>
      <c r="AB111" s="4">
        <v>1</v>
      </c>
      <c r="AC111" s="4">
        <v>3</v>
      </c>
      <c r="AD111" s="4">
        <v>1</v>
      </c>
      <c r="AE111" s="4">
        <v>15000</v>
      </c>
      <c r="AF111" s="4">
        <v>30000</v>
      </c>
      <c r="AG111" s="4">
        <v>306.45499999999998</v>
      </c>
    </row>
    <row r="112" spans="2:44" x14ac:dyDescent="0.2">
      <c r="B112" s="1" t="str">
        <f>_xlfn.XLOOKUP(Runge1[[#This Row],[Metodo]],TbSolver[Metodo],TbSolver[Solver])</f>
        <v>Runge Kutta</v>
      </c>
      <c r="C112" s="1" t="str">
        <f>_xlfn.XLOOKUP(Runge1[[#This Row],[Hebras]],TbTecnologia[Hebras],TbTecnologia[Tecnología])</f>
        <v>OMP</v>
      </c>
      <c r="D112" s="1" t="str" cm="1">
        <f t="array" ref="D112">_xlfn.XLOOKUP(Runge1[[#This Row],[Tecnología]]&amp;Runge1[[#This Row],[Metodo]],TbTipos[Tecnología]&amp;TbTipos[Metodo],TbTipos[Tipo])</f>
        <v>OMP Elementos</v>
      </c>
      <c r="E112" s="1" t="str" cm="1">
        <f t="array" ref="E112">_xlfn.XLOOKUP(Runge1[[#This Row],[Tecnología]]&amp;Runge1[[#This Row],[Problema]],TbNombres[Tecnología]&amp;TbNombres[Problema],TbNombres[Nombre])</f>
        <v>Simple Advdiff</v>
      </c>
      <c r="F112" s="20">
        <v>2</v>
      </c>
      <c r="G112" s="20">
        <v>1</v>
      </c>
      <c r="H112" s="20">
        <v>1</v>
      </c>
      <c r="I112" s="20">
        <v>30000</v>
      </c>
      <c r="J112" s="20">
        <v>30000</v>
      </c>
      <c r="K112" s="20">
        <v>948.65300000000002</v>
      </c>
      <c r="M112" s="2" t="str">
        <f>_xlfn.XLOOKUP(Runge2[[#This Row],[Metodo]],TbSolver[Metodo],TbSolver[Solver])</f>
        <v>Runge Kutta</v>
      </c>
      <c r="N112" s="2" t="str">
        <f>_xlfn.XLOOKUP(Runge2[[#This Row],[Hebras]],TbTecnologia[Hebras],TbTecnologia[Tecnología])</f>
        <v>OMP</v>
      </c>
      <c r="O112" s="4" t="str" cm="1">
        <f t="array" ref="O112">_xlfn.XLOOKUP(Runge2[[#This Row],[Tecnología]]&amp;Runge2[[#This Row],[Metodo]],TbTipos[Tecnología]&amp;TbTipos[Metodo],TbTipos[Tipo])</f>
        <v>OMP Elementos</v>
      </c>
      <c r="P112" s="4" t="str" cm="1">
        <f t="array" ref="P112">_xlfn.XLOOKUP(Runge2[[#This Row],[Tecnología]]&amp;Runge2[[#This Row],[Problema]],TbNombres[Tecnología]&amp;TbNombres[Problema],TbNombres[Nombre])</f>
        <v>Advdiff1d</v>
      </c>
      <c r="Q112" s="21">
        <v>2</v>
      </c>
      <c r="R112" s="21">
        <v>2</v>
      </c>
      <c r="S112" s="21">
        <v>1</v>
      </c>
      <c r="T112" s="21">
        <v>30000</v>
      </c>
      <c r="U112" s="21">
        <v>30000</v>
      </c>
      <c r="V112" s="21">
        <v>3500.86</v>
      </c>
      <c r="X112" s="2" t="str">
        <f>_xlfn.XLOOKUP(Runge3[[#This Row],[Metodo]],TbSolver[Metodo],TbSolver[Solver])</f>
        <v>Runge Kutta</v>
      </c>
      <c r="Y112" s="2" t="str">
        <f>_xlfn.XLOOKUP(Runge3[[#This Row],[Hebras]],TbTecnologia[Hebras],TbTecnologia[Tecnología])</f>
        <v>OMP</v>
      </c>
      <c r="Z112" s="2" t="str" cm="1">
        <f t="array" ref="Z112">_xlfn.XLOOKUP(Runge3[[#This Row],[Tecnología]]&amp;Runge3[[#This Row],[Metodo]],TbTipos[Tecnología]&amp;TbTipos[Metodo],TbTipos[Tipo])</f>
        <v>OMP Elementos</v>
      </c>
      <c r="AA112" s="2" t="str" cm="1">
        <f t="array" ref="AA112">_xlfn.XLOOKUP(Runge3[[#This Row],[Tecnología]]&amp;Runge3[[#This Row],[Problema]],TbNombres[Tecnología]&amp;TbNombres[Problema],TbNombres[Nombre])</f>
        <v>Brusselator1d</v>
      </c>
      <c r="AB112" s="4">
        <v>2</v>
      </c>
      <c r="AC112" s="4">
        <v>3</v>
      </c>
      <c r="AD112" s="4">
        <v>1</v>
      </c>
      <c r="AE112" s="4">
        <v>15000</v>
      </c>
      <c r="AF112" s="4">
        <v>30000</v>
      </c>
      <c r="AG112" s="4">
        <v>739.15800000000002</v>
      </c>
    </row>
    <row r="113" spans="2:33" x14ac:dyDescent="0.2">
      <c r="B113" s="1" t="str">
        <f>_xlfn.XLOOKUP(Runge1[[#This Row],[Metodo]],TbSolver[Metodo],TbSolver[Solver])</f>
        <v>Runge Kutta</v>
      </c>
      <c r="C113" s="1" t="str">
        <f>_xlfn.XLOOKUP(Runge1[[#This Row],[Hebras]],TbTecnologia[Hebras],TbTecnologia[Tecnología])</f>
        <v>CUDA</v>
      </c>
      <c r="D113" s="1" t="str" cm="1">
        <f t="array" ref="D113">_xlfn.XLOOKUP(Runge1[[#This Row],[Tecnología]]&amp;Runge1[[#This Row],[Metodo]],TbTipos[Tecnología]&amp;TbTipos[Metodo],TbTipos[Tipo])</f>
        <v>CUDA con graph</v>
      </c>
      <c r="E113" s="1" t="str" cm="1">
        <f t="array" ref="E113">_xlfn.XLOOKUP(Runge1[[#This Row],[Tecnología]]&amp;Runge1[[#This Row],[Problema]],TbNombres[Tecnología]&amp;TbNombres[Problema],TbNombres[Nombre])</f>
        <v>Simple Advdiff</v>
      </c>
      <c r="F113" s="20">
        <v>2</v>
      </c>
      <c r="G113" s="20">
        <v>1</v>
      </c>
      <c r="H113" s="20">
        <v>256</v>
      </c>
      <c r="I113" s="20">
        <v>40000</v>
      </c>
      <c r="J113" s="20">
        <v>40000</v>
      </c>
      <c r="K113" s="20">
        <v>21.529900000000001</v>
      </c>
      <c r="M113" s="2" t="str">
        <f>_xlfn.XLOOKUP(Runge2[[#This Row],[Metodo]],TbSolver[Metodo],TbSolver[Solver])</f>
        <v>Runge Kutta</v>
      </c>
      <c r="N113" s="2" t="str">
        <f>_xlfn.XLOOKUP(Runge2[[#This Row],[Hebras]],TbTecnologia[Hebras],TbTecnologia[Tecnología])</f>
        <v>CUDA</v>
      </c>
      <c r="O113" s="4" t="str" cm="1">
        <f t="array" ref="O113">_xlfn.XLOOKUP(Runge2[[#This Row],[Tecnología]]&amp;Runge2[[#This Row],[Metodo]],TbTipos[Tecnología]&amp;TbTipos[Metodo],TbTipos[Tipo])</f>
        <v>CUDA con graph</v>
      </c>
      <c r="P113" s="4" t="str" cm="1">
        <f t="array" ref="P113">_xlfn.XLOOKUP(Runge2[[#This Row],[Tecnología]]&amp;Runge2[[#This Row],[Problema]],TbNombres[Tecnología]&amp;TbNombres[Problema],TbNombres[Nombre])</f>
        <v>Advdiff1d</v>
      </c>
      <c r="Q113" s="21">
        <v>2</v>
      </c>
      <c r="R113" s="21">
        <v>3</v>
      </c>
      <c r="S113" s="21">
        <v>256</v>
      </c>
      <c r="T113" s="21">
        <v>40000</v>
      </c>
      <c r="U113" s="21">
        <v>40000</v>
      </c>
      <c r="V113" s="21">
        <v>71.049199999999999</v>
      </c>
      <c r="X113" s="2" t="str">
        <f>_xlfn.XLOOKUP(Runge3[[#This Row],[Metodo]],TbSolver[Metodo],TbSolver[Solver])</f>
        <v>Runge Kutta</v>
      </c>
      <c r="Y113" s="2" t="str">
        <f>_xlfn.XLOOKUP(Runge3[[#This Row],[Hebras]],TbTecnologia[Hebras],TbTecnologia[Tecnología])</f>
        <v>CUDA</v>
      </c>
      <c r="Z113" s="2" t="str" cm="1">
        <f t="array" ref="Z113">_xlfn.XLOOKUP(Runge3[[#This Row],[Tecnología]]&amp;Runge3[[#This Row],[Metodo]],TbTipos[Tecnología]&amp;TbTipos[Metodo],TbTipos[Tipo])</f>
        <v>CUDA con graph</v>
      </c>
      <c r="AA113" s="2" t="str" cm="1">
        <f t="array" ref="AA113">_xlfn.XLOOKUP(Runge3[[#This Row],[Tecnología]]&amp;Runge3[[#This Row],[Problema]],TbNombres[Tecnología]&amp;TbNombres[Problema],TbNombres[Nombre])</f>
        <v>Brusselator1d</v>
      </c>
      <c r="AB113" s="2">
        <v>2</v>
      </c>
      <c r="AC113" s="2">
        <v>5</v>
      </c>
      <c r="AD113" s="2">
        <v>256</v>
      </c>
      <c r="AE113" s="2">
        <v>20000</v>
      </c>
      <c r="AF113" s="2">
        <v>40000</v>
      </c>
      <c r="AG113" s="2">
        <v>24.3675</v>
      </c>
    </row>
    <row r="114" spans="2:33" x14ac:dyDescent="0.2">
      <c r="B114" s="1" t="str">
        <f>_xlfn.XLOOKUP(Runge1[[#This Row],[Metodo]],TbSolver[Metodo],TbSolver[Solver])</f>
        <v>Runge Kutta</v>
      </c>
      <c r="C114" s="1" t="str">
        <f>_xlfn.XLOOKUP(Runge1[[#This Row],[Hebras]],TbTecnologia[Hebras],TbTecnologia[Tecnología])</f>
        <v>CUDA</v>
      </c>
      <c r="D114" s="1" t="str" cm="1">
        <f t="array" ref="D114">_xlfn.XLOOKUP(Runge1[[#This Row],[Tecnología]]&amp;Runge1[[#This Row],[Metodo]],TbTipos[Tecnología]&amp;TbTipos[Metodo],TbTipos[Tipo])</f>
        <v>CUDA sin graph</v>
      </c>
      <c r="E114" s="1" t="str" cm="1">
        <f t="array" ref="E114">_xlfn.XLOOKUP(Runge1[[#This Row],[Tecnología]]&amp;Runge1[[#This Row],[Problema]],TbNombres[Tecnología]&amp;TbNombres[Problema],TbNombres[Nombre])</f>
        <v>Simple Advdiff</v>
      </c>
      <c r="F114" s="20">
        <v>1</v>
      </c>
      <c r="G114" s="20">
        <v>1</v>
      </c>
      <c r="H114" s="20">
        <v>256</v>
      </c>
      <c r="I114" s="20">
        <v>40000</v>
      </c>
      <c r="J114" s="20">
        <v>40000</v>
      </c>
      <c r="K114" s="20">
        <v>24.945499999999999</v>
      </c>
      <c r="M114" s="2" t="str">
        <f>_xlfn.XLOOKUP(Runge2[[#This Row],[Metodo]],TbSolver[Metodo],TbSolver[Solver])</f>
        <v>Runge Kutta</v>
      </c>
      <c r="N114" s="2" t="str">
        <f>_xlfn.XLOOKUP(Runge2[[#This Row],[Hebras]],TbTecnologia[Hebras],TbTecnologia[Tecnología])</f>
        <v>CUDA</v>
      </c>
      <c r="O114" s="4" t="str" cm="1">
        <f t="array" ref="O114">_xlfn.XLOOKUP(Runge2[[#This Row],[Tecnología]]&amp;Runge2[[#This Row],[Metodo]],TbTipos[Tecnología]&amp;TbTipos[Metodo],TbTipos[Tipo])</f>
        <v>CUDA sin graph</v>
      </c>
      <c r="P114" s="4" t="str" cm="1">
        <f t="array" ref="P114">_xlfn.XLOOKUP(Runge2[[#This Row],[Tecnología]]&amp;Runge2[[#This Row],[Problema]],TbNombres[Tecnología]&amp;TbNombres[Problema],TbNombres[Nombre])</f>
        <v>Advdiff1d</v>
      </c>
      <c r="Q114" s="21">
        <v>1</v>
      </c>
      <c r="R114" s="21">
        <v>3</v>
      </c>
      <c r="S114" s="21">
        <v>256</v>
      </c>
      <c r="T114" s="21">
        <v>40000</v>
      </c>
      <c r="U114" s="21">
        <v>40000</v>
      </c>
      <c r="V114" s="21">
        <v>73.87</v>
      </c>
      <c r="X114" s="2" t="str">
        <f>_xlfn.XLOOKUP(Runge3[[#This Row],[Metodo]],TbSolver[Metodo],TbSolver[Solver])</f>
        <v>Runge Kutta</v>
      </c>
      <c r="Y114" s="2" t="str">
        <f>_xlfn.XLOOKUP(Runge3[[#This Row],[Hebras]],TbTecnologia[Hebras],TbTecnologia[Tecnología])</f>
        <v>CUDA</v>
      </c>
      <c r="Z114" s="2" t="str" cm="1">
        <f t="array" ref="Z114">_xlfn.XLOOKUP(Runge3[[#This Row],[Tecnología]]&amp;Runge3[[#This Row],[Metodo]],TbTipos[Tecnología]&amp;TbTipos[Metodo],TbTipos[Tipo])</f>
        <v>CUDA con graph</v>
      </c>
      <c r="AA114" s="2" t="str" cm="1">
        <f t="array" ref="AA114">_xlfn.XLOOKUP(Runge3[[#This Row],[Tecnología]]&amp;Runge3[[#This Row],[Problema]],TbNombres[Tecnología]&amp;TbNombres[Problema],TbNombres[Nombre])</f>
        <v>Brusselator1d</v>
      </c>
      <c r="AB114" s="21">
        <v>2</v>
      </c>
      <c r="AC114" s="21">
        <v>5</v>
      </c>
      <c r="AD114" s="21">
        <v>256</v>
      </c>
      <c r="AE114" s="21">
        <v>20000</v>
      </c>
      <c r="AF114" s="21">
        <v>40000</v>
      </c>
      <c r="AG114" s="21">
        <v>24.857900000000001</v>
      </c>
    </row>
    <row r="115" spans="2:33" x14ac:dyDescent="0.2">
      <c r="B115" s="1" t="str">
        <f>_xlfn.XLOOKUP(Runge1[[#This Row],[Metodo]],TbSolver[Metodo],TbSolver[Solver])</f>
        <v>Runge Kutta</v>
      </c>
      <c r="C115" s="1" t="str">
        <f>_xlfn.XLOOKUP(Runge1[[#This Row],[Hebras]],TbTecnologia[Hebras],TbTecnologia[Tecnología])</f>
        <v>OMP</v>
      </c>
      <c r="D115" s="1" t="str" cm="1">
        <f t="array" ref="D115">_xlfn.XLOOKUP(Runge1[[#This Row],[Tecnología]]&amp;Runge1[[#This Row],[Metodo]],TbTipos[Tecnología]&amp;TbTipos[Metodo],TbTipos[Tipo])</f>
        <v>OMP Operaciones</v>
      </c>
      <c r="E115" s="1" t="str" cm="1">
        <f t="array" ref="E115">_xlfn.XLOOKUP(Runge1[[#This Row],[Tecnología]]&amp;Runge1[[#This Row],[Problema]],TbNombres[Tecnología]&amp;TbNombres[Problema],TbNombres[Nombre])</f>
        <v>Simple Advdiff</v>
      </c>
      <c r="F115" s="20">
        <v>1</v>
      </c>
      <c r="G115" s="20">
        <v>1</v>
      </c>
      <c r="H115" s="20">
        <v>16</v>
      </c>
      <c r="I115" s="20">
        <v>40000</v>
      </c>
      <c r="J115" s="20">
        <v>40000</v>
      </c>
      <c r="K115" s="20">
        <v>80.447699999999998</v>
      </c>
      <c r="M115" s="2" t="str">
        <f>_xlfn.XLOOKUP(Runge2[[#This Row],[Metodo]],TbSolver[Metodo],TbSolver[Solver])</f>
        <v>Runge Kutta</v>
      </c>
      <c r="N115" s="2" t="str">
        <f>_xlfn.XLOOKUP(Runge2[[#This Row],[Hebras]],TbTecnologia[Hebras],TbTecnologia[Tecnología])</f>
        <v>OMP</v>
      </c>
      <c r="O115" s="4" t="str" cm="1">
        <f t="array" ref="O115">_xlfn.XLOOKUP(Runge2[[#This Row],[Tecnología]]&amp;Runge2[[#This Row],[Metodo]],TbTipos[Tecnología]&amp;TbTipos[Metodo],TbTipos[Tipo])</f>
        <v>OMP Elementos</v>
      </c>
      <c r="P115" s="4" t="str" cm="1">
        <f t="array" ref="P115">_xlfn.XLOOKUP(Runge2[[#This Row],[Tecnología]]&amp;Runge2[[#This Row],[Problema]],TbNombres[Tecnología]&amp;TbNombres[Problema],TbNombres[Nombre])</f>
        <v>Advdiff1d</v>
      </c>
      <c r="Q115" s="21">
        <v>2</v>
      </c>
      <c r="R115" s="21">
        <v>2</v>
      </c>
      <c r="S115" s="21">
        <v>16</v>
      </c>
      <c r="T115" s="21">
        <v>40000</v>
      </c>
      <c r="U115" s="21">
        <v>40000</v>
      </c>
      <c r="V115" s="21">
        <v>358.60899999999998</v>
      </c>
      <c r="X115" s="2" t="str">
        <f>_xlfn.XLOOKUP(Runge3[[#This Row],[Metodo]],TbSolver[Metodo],TbSolver[Solver])</f>
        <v>Runge Kutta</v>
      </c>
      <c r="Y115" s="2" t="str">
        <f>_xlfn.XLOOKUP(Runge3[[#This Row],[Hebras]],TbTecnologia[Hebras],TbTecnologia[Tecnología])</f>
        <v>CUDA</v>
      </c>
      <c r="Z115" s="2" t="str" cm="1">
        <f t="array" ref="Z115">_xlfn.XLOOKUP(Runge3[[#This Row],[Tecnología]]&amp;Runge3[[#This Row],[Metodo]],TbTipos[Tecnología]&amp;TbTipos[Metodo],TbTipos[Tipo])</f>
        <v>CUDA sin graph</v>
      </c>
      <c r="AA115" s="2" t="str" cm="1">
        <f t="array" ref="AA115">_xlfn.XLOOKUP(Runge3[[#This Row],[Tecnología]]&amp;Runge3[[#This Row],[Problema]],TbNombres[Tecnología]&amp;TbNombres[Problema],TbNombres[Nombre])</f>
        <v>Brusselator1d</v>
      </c>
      <c r="AB115" s="2">
        <v>1</v>
      </c>
      <c r="AC115" s="2">
        <v>5</v>
      </c>
      <c r="AD115" s="2">
        <v>256</v>
      </c>
      <c r="AE115" s="2">
        <v>20000</v>
      </c>
      <c r="AF115" s="2">
        <v>40000</v>
      </c>
      <c r="AG115" s="2">
        <v>28.273800000000001</v>
      </c>
    </row>
    <row r="116" spans="2:33" x14ac:dyDescent="0.2">
      <c r="B116" s="1" t="str">
        <f>_xlfn.XLOOKUP(Runge1[[#This Row],[Metodo]],TbSolver[Metodo],TbSolver[Solver])</f>
        <v>Runge Kutta</v>
      </c>
      <c r="C116" s="1" t="str">
        <f>_xlfn.XLOOKUP(Runge1[[#This Row],[Hebras]],TbTecnologia[Hebras],TbTecnologia[Tecnología])</f>
        <v>OMP</v>
      </c>
      <c r="D116" s="1" t="str" cm="1">
        <f t="array" ref="D116">_xlfn.XLOOKUP(Runge1[[#This Row],[Tecnología]]&amp;Runge1[[#This Row],[Metodo]],TbTipos[Tecnología]&amp;TbTipos[Metodo],TbTipos[Tipo])</f>
        <v>OMP Operaciones</v>
      </c>
      <c r="E116" s="1" t="str" cm="1">
        <f t="array" ref="E116">_xlfn.XLOOKUP(Runge1[[#This Row],[Tecnología]]&amp;Runge1[[#This Row],[Problema]],TbNombres[Tecnología]&amp;TbNombres[Problema],TbNombres[Nombre])</f>
        <v>Simple Advdiff</v>
      </c>
      <c r="F116" s="20">
        <v>1</v>
      </c>
      <c r="G116" s="20">
        <v>1</v>
      </c>
      <c r="H116" s="20">
        <v>4</v>
      </c>
      <c r="I116" s="20">
        <v>40000</v>
      </c>
      <c r="J116" s="20">
        <v>40000</v>
      </c>
      <c r="K116" s="20">
        <v>83.683300000000003</v>
      </c>
      <c r="M116" s="2" t="str">
        <f>_xlfn.XLOOKUP(Runge2[[#This Row],[Metodo]],TbSolver[Metodo],TbSolver[Solver])</f>
        <v>Runge Kutta</v>
      </c>
      <c r="N116" s="2" t="str">
        <f>_xlfn.XLOOKUP(Runge2[[#This Row],[Hebras]],TbTecnologia[Hebras],TbTecnologia[Tecnología])</f>
        <v>OMP</v>
      </c>
      <c r="O116" s="4" t="str" cm="1">
        <f t="array" ref="O116">_xlfn.XLOOKUP(Runge2[[#This Row],[Tecnología]]&amp;Runge2[[#This Row],[Metodo]],TbTipos[Tecnología]&amp;TbTipos[Metodo],TbTipos[Tipo])</f>
        <v>OMP Operaciones</v>
      </c>
      <c r="P116" s="4" t="str" cm="1">
        <f t="array" ref="P116">_xlfn.XLOOKUP(Runge2[[#This Row],[Tecnología]]&amp;Runge2[[#This Row],[Problema]],TbNombres[Tecnología]&amp;TbNombres[Problema],TbNombres[Nombre])</f>
        <v>Advdiff1d</v>
      </c>
      <c r="Q116" s="21">
        <v>1</v>
      </c>
      <c r="R116" s="21">
        <v>2</v>
      </c>
      <c r="S116" s="21">
        <v>16</v>
      </c>
      <c r="T116" s="21">
        <v>40000</v>
      </c>
      <c r="U116" s="21">
        <v>40000</v>
      </c>
      <c r="V116" s="21">
        <v>371.47500000000002</v>
      </c>
      <c r="X116" s="2" t="str">
        <f>_xlfn.XLOOKUP(Runge3[[#This Row],[Metodo]],TbSolver[Metodo],TbSolver[Solver])</f>
        <v>Runge Kutta</v>
      </c>
      <c r="Y116" s="2" t="str">
        <f>_xlfn.XLOOKUP(Runge3[[#This Row],[Hebras]],TbTecnologia[Hebras],TbTecnologia[Tecnología])</f>
        <v>CUDA</v>
      </c>
      <c r="Z116" s="2" t="str" cm="1">
        <f t="array" ref="Z116">_xlfn.XLOOKUP(Runge3[[#This Row],[Tecnología]]&amp;Runge3[[#This Row],[Metodo]],TbTipos[Tecnología]&amp;TbTipos[Metodo],TbTipos[Tipo])</f>
        <v>CUDA sin graph</v>
      </c>
      <c r="AA116" s="2" t="str" cm="1">
        <f t="array" ref="AA116">_xlfn.XLOOKUP(Runge3[[#This Row],[Tecnología]]&amp;Runge3[[#This Row],[Problema]],TbNombres[Tecnología]&amp;TbNombres[Problema],TbNombres[Nombre])</f>
        <v>Brusselator1d</v>
      </c>
      <c r="AB116" s="21">
        <v>1</v>
      </c>
      <c r="AC116" s="21">
        <v>5</v>
      </c>
      <c r="AD116" s="21">
        <v>256</v>
      </c>
      <c r="AE116" s="21">
        <v>20000</v>
      </c>
      <c r="AF116" s="21">
        <v>40000</v>
      </c>
      <c r="AG116" s="21">
        <v>28.700500000000002</v>
      </c>
    </row>
    <row r="117" spans="2:33" x14ac:dyDescent="0.2">
      <c r="B117" s="1" t="str">
        <f>_xlfn.XLOOKUP(Runge1[[#This Row],[Metodo]],TbSolver[Metodo],TbSolver[Solver])</f>
        <v>Runge Kutta</v>
      </c>
      <c r="C117" s="1" t="str">
        <f>_xlfn.XLOOKUP(Runge1[[#This Row],[Hebras]],TbTecnologia[Hebras],TbTecnologia[Tecnología])</f>
        <v>OMP</v>
      </c>
      <c r="D117" s="1" t="str" cm="1">
        <f t="array" ref="D117">_xlfn.XLOOKUP(Runge1[[#This Row],[Tecnología]]&amp;Runge1[[#This Row],[Metodo]],TbTipos[Tecnología]&amp;TbTipos[Metodo],TbTipos[Tipo])</f>
        <v>OMP Elementos</v>
      </c>
      <c r="E117" s="1" t="str" cm="1">
        <f t="array" ref="E117">_xlfn.XLOOKUP(Runge1[[#This Row],[Tecnología]]&amp;Runge1[[#This Row],[Problema]],TbNombres[Tecnología]&amp;TbNombres[Problema],TbNombres[Nombre])</f>
        <v>Simple Advdiff</v>
      </c>
      <c r="F117" s="20">
        <v>2</v>
      </c>
      <c r="G117" s="20">
        <v>1</v>
      </c>
      <c r="H117" s="20">
        <v>16</v>
      </c>
      <c r="I117" s="20">
        <v>40000</v>
      </c>
      <c r="J117" s="20">
        <v>40000</v>
      </c>
      <c r="K117" s="20">
        <v>110.502</v>
      </c>
      <c r="M117" s="2" t="str">
        <f>_xlfn.XLOOKUP(Runge2[[#This Row],[Metodo]],TbSolver[Metodo],TbSolver[Solver])</f>
        <v>Runge Kutta</v>
      </c>
      <c r="N117" s="2" t="str">
        <f>_xlfn.XLOOKUP(Runge2[[#This Row],[Hebras]],TbTecnologia[Hebras],TbTecnologia[Tecnología])</f>
        <v>OMP</v>
      </c>
      <c r="O117" s="4" t="str" cm="1">
        <f t="array" ref="O117">_xlfn.XLOOKUP(Runge2[[#This Row],[Tecnología]]&amp;Runge2[[#This Row],[Metodo]],TbTipos[Tecnología]&amp;TbTipos[Metodo],TbTipos[Tipo])</f>
        <v>OMP Operaciones</v>
      </c>
      <c r="P117" s="4" t="str" cm="1">
        <f t="array" ref="P117">_xlfn.XLOOKUP(Runge2[[#This Row],[Tecnología]]&amp;Runge2[[#This Row],[Problema]],TbNombres[Tecnología]&amp;TbNombres[Problema],TbNombres[Nombre])</f>
        <v>Advdiff1d</v>
      </c>
      <c r="Q117" s="21">
        <v>1</v>
      </c>
      <c r="R117" s="21">
        <v>2</v>
      </c>
      <c r="S117" s="21">
        <v>4</v>
      </c>
      <c r="T117" s="21">
        <v>40000</v>
      </c>
      <c r="U117" s="21">
        <v>40000</v>
      </c>
      <c r="V117" s="21">
        <v>1050.72</v>
      </c>
      <c r="X117" s="2" t="str">
        <f>_xlfn.XLOOKUP(Runge3[[#This Row],[Metodo]],TbSolver[Metodo],TbSolver[Solver])</f>
        <v>Runge Kutta</v>
      </c>
      <c r="Y117" s="2" t="str">
        <f>_xlfn.XLOOKUP(Runge3[[#This Row],[Hebras]],TbTecnologia[Hebras],TbTecnologia[Tecnología])</f>
        <v>OMP</v>
      </c>
      <c r="Z117" s="2" t="str" cm="1">
        <f t="array" ref="Z117">_xlfn.XLOOKUP(Runge3[[#This Row],[Tecnología]]&amp;Runge3[[#This Row],[Metodo]],TbTipos[Tecnología]&amp;TbTipos[Metodo],TbTipos[Tipo])</f>
        <v>OMP Elementos</v>
      </c>
      <c r="AA117" s="2" t="str" cm="1">
        <f t="array" ref="AA117">_xlfn.XLOOKUP(Runge3[[#This Row],[Tecnología]]&amp;Runge3[[#This Row],[Problema]],TbNombres[Tecnología]&amp;TbNombres[Problema],TbNombres[Nombre])</f>
        <v>Brusselator1d</v>
      </c>
      <c r="AB117" s="21">
        <v>2</v>
      </c>
      <c r="AC117" s="21">
        <v>3</v>
      </c>
      <c r="AD117" s="21">
        <v>16</v>
      </c>
      <c r="AE117" s="21">
        <v>20000</v>
      </c>
      <c r="AF117" s="21">
        <v>40000</v>
      </c>
      <c r="AG117" s="21">
        <v>90.072199999999995</v>
      </c>
    </row>
    <row r="118" spans="2:33" x14ac:dyDescent="0.2">
      <c r="B118" s="1" t="str">
        <f>_xlfn.XLOOKUP(Runge1[[#This Row],[Metodo]],TbSolver[Metodo],TbSolver[Solver])</f>
        <v>Runge Kutta</v>
      </c>
      <c r="C118" s="1" t="str">
        <f>_xlfn.XLOOKUP(Runge1[[#This Row],[Hebras]],TbTecnologia[Hebras],TbTecnologia[Tecnología])</f>
        <v>OMP</v>
      </c>
      <c r="D118" s="1" t="str" cm="1">
        <f t="array" ref="D118">_xlfn.XLOOKUP(Runge1[[#This Row],[Tecnología]]&amp;Runge1[[#This Row],[Metodo]],TbTipos[Tecnología]&amp;TbTipos[Metodo],TbTipos[Tipo])</f>
        <v>OMP Operaciones</v>
      </c>
      <c r="E118" s="1" t="str" cm="1">
        <f t="array" ref="E118">_xlfn.XLOOKUP(Runge1[[#This Row],[Tecnología]]&amp;Runge1[[#This Row],[Problema]],TbNombres[Tecnología]&amp;TbNombres[Problema],TbNombres[Nombre])</f>
        <v>Simple Advdiff</v>
      </c>
      <c r="F118" s="20">
        <v>1</v>
      </c>
      <c r="G118" s="20">
        <v>1</v>
      </c>
      <c r="H118" s="20">
        <v>1</v>
      </c>
      <c r="I118" s="20">
        <v>40000</v>
      </c>
      <c r="J118" s="20">
        <v>40000</v>
      </c>
      <c r="K118" s="20">
        <v>254.44800000000001</v>
      </c>
      <c r="M118" s="2" t="str">
        <f>_xlfn.XLOOKUP(Runge2[[#This Row],[Metodo]],TbSolver[Metodo],TbSolver[Solver])</f>
        <v>Runge Kutta</v>
      </c>
      <c r="N118" s="2" t="str">
        <f>_xlfn.XLOOKUP(Runge2[[#This Row],[Hebras]],TbTecnologia[Hebras],TbTecnologia[Tecnología])</f>
        <v>OMP</v>
      </c>
      <c r="O118" s="4" t="str" cm="1">
        <f t="array" ref="O118">_xlfn.XLOOKUP(Runge2[[#This Row],[Tecnología]]&amp;Runge2[[#This Row],[Metodo]],TbTipos[Tecnología]&amp;TbTipos[Metodo],TbTipos[Tipo])</f>
        <v>OMP Elementos</v>
      </c>
      <c r="P118" s="4" t="str" cm="1">
        <f t="array" ref="P118">_xlfn.XLOOKUP(Runge2[[#This Row],[Tecnología]]&amp;Runge2[[#This Row],[Problema]],TbNombres[Tecnología]&amp;TbNombres[Problema],TbNombres[Nombre])</f>
        <v>Advdiff1d</v>
      </c>
      <c r="Q118" s="21">
        <v>2</v>
      </c>
      <c r="R118" s="21">
        <v>2</v>
      </c>
      <c r="S118" s="21">
        <v>4</v>
      </c>
      <c r="T118" s="21">
        <v>40000</v>
      </c>
      <c r="U118" s="21">
        <v>40000</v>
      </c>
      <c r="V118" s="21">
        <v>1303.0999999999999</v>
      </c>
      <c r="X118" s="2" t="str">
        <f>_xlfn.XLOOKUP(Runge3[[#This Row],[Metodo]],TbSolver[Metodo],TbSolver[Solver])</f>
        <v>Runge Kutta</v>
      </c>
      <c r="Y118" s="2" t="str">
        <f>_xlfn.XLOOKUP(Runge3[[#This Row],[Hebras]],TbTecnologia[Hebras],TbTecnologia[Tecnología])</f>
        <v>OMP</v>
      </c>
      <c r="Z118" s="2" t="str" cm="1">
        <f t="array" ref="Z118">_xlfn.XLOOKUP(Runge3[[#This Row],[Tecnología]]&amp;Runge3[[#This Row],[Metodo]],TbTipos[Tecnología]&amp;TbTipos[Metodo],TbTipos[Tipo])</f>
        <v>OMP Operaciones</v>
      </c>
      <c r="AA118" s="2" t="str" cm="1">
        <f t="array" ref="AA118">_xlfn.XLOOKUP(Runge3[[#This Row],[Tecnología]]&amp;Runge3[[#This Row],[Problema]],TbNombres[Tecnología]&amp;TbNombres[Problema],TbNombres[Nombre])</f>
        <v>Brusselator1d</v>
      </c>
      <c r="AB118" s="21">
        <v>1</v>
      </c>
      <c r="AC118" s="21">
        <v>3</v>
      </c>
      <c r="AD118" s="21">
        <v>16</v>
      </c>
      <c r="AE118" s="21">
        <v>20000</v>
      </c>
      <c r="AF118" s="21">
        <v>40000</v>
      </c>
      <c r="AG118" s="21">
        <v>138.429</v>
      </c>
    </row>
    <row r="119" spans="2:33" x14ac:dyDescent="0.2">
      <c r="B119" s="1" t="str">
        <f>_xlfn.XLOOKUP(Runge1[[#This Row],[Metodo]],TbSolver[Metodo],TbSolver[Solver])</f>
        <v>Runge Kutta</v>
      </c>
      <c r="C119" s="1" t="str">
        <f>_xlfn.XLOOKUP(Runge1[[#This Row],[Hebras]],TbTecnologia[Hebras],TbTecnologia[Tecnología])</f>
        <v>OMP</v>
      </c>
      <c r="D119" s="1" t="str" cm="1">
        <f t="array" ref="D119">_xlfn.XLOOKUP(Runge1[[#This Row],[Tecnología]]&amp;Runge1[[#This Row],[Metodo]],TbTipos[Tecnología]&amp;TbTipos[Metodo],TbTipos[Tipo])</f>
        <v>OMP Elementos</v>
      </c>
      <c r="E119" s="1" t="str" cm="1">
        <f t="array" ref="E119">_xlfn.XLOOKUP(Runge1[[#This Row],[Tecnología]]&amp;Runge1[[#This Row],[Problema]],TbNombres[Tecnología]&amp;TbNombres[Problema],TbNombres[Nombre])</f>
        <v>Simple Advdiff</v>
      </c>
      <c r="F119" s="20">
        <v>2</v>
      </c>
      <c r="G119" s="20">
        <v>1</v>
      </c>
      <c r="H119" s="20">
        <v>4</v>
      </c>
      <c r="I119" s="20">
        <v>40000</v>
      </c>
      <c r="J119" s="20">
        <v>40000</v>
      </c>
      <c r="K119" s="20">
        <v>337.58300000000003</v>
      </c>
      <c r="M119" s="2" t="str">
        <f>_xlfn.XLOOKUP(Runge2[[#This Row],[Metodo]],TbSolver[Metodo],TbSolver[Solver])</f>
        <v>Runge Kutta</v>
      </c>
      <c r="N119" s="2" t="str">
        <f>_xlfn.XLOOKUP(Runge2[[#This Row],[Hebras]],TbTecnologia[Hebras],TbTecnologia[Tecnología])</f>
        <v>OMP</v>
      </c>
      <c r="O119" s="4" t="str" cm="1">
        <f t="array" ref="O119">_xlfn.XLOOKUP(Runge2[[#This Row],[Tecnología]]&amp;Runge2[[#This Row],[Metodo]],TbTipos[Tecnología]&amp;TbTipos[Metodo],TbTipos[Tipo])</f>
        <v>OMP Operaciones</v>
      </c>
      <c r="P119" s="4" t="str" cm="1">
        <f t="array" ref="P119">_xlfn.XLOOKUP(Runge2[[#This Row],[Tecnología]]&amp;Runge2[[#This Row],[Problema]],TbNombres[Tecnología]&amp;TbNombres[Problema],TbNombres[Nombre])</f>
        <v>Advdiff1d</v>
      </c>
      <c r="Q119" s="21">
        <v>1</v>
      </c>
      <c r="R119" s="21">
        <v>2</v>
      </c>
      <c r="S119" s="21">
        <v>1</v>
      </c>
      <c r="T119" s="21">
        <v>40000</v>
      </c>
      <c r="U119" s="21">
        <v>40000</v>
      </c>
      <c r="V119" s="21">
        <v>3562.96</v>
      </c>
      <c r="X119" s="2" t="str">
        <f>_xlfn.XLOOKUP(Runge3[[#This Row],[Metodo]],TbSolver[Metodo],TbSolver[Solver])</f>
        <v>Runge Kutta</v>
      </c>
      <c r="Y119" s="2" t="str">
        <f>_xlfn.XLOOKUP(Runge3[[#This Row],[Hebras]],TbTecnologia[Hebras],TbTecnologia[Tecnología])</f>
        <v>OMP</v>
      </c>
      <c r="Z119" s="2" t="str" cm="1">
        <f t="array" ref="Z119">_xlfn.XLOOKUP(Runge3[[#This Row],[Tecnología]]&amp;Runge3[[#This Row],[Metodo]],TbTipos[Tecnología]&amp;TbTipos[Metodo],TbTipos[Tipo])</f>
        <v>OMP Operaciones</v>
      </c>
      <c r="AA119" s="2" t="str" cm="1">
        <f t="array" ref="AA119">_xlfn.XLOOKUP(Runge3[[#This Row],[Tecnología]]&amp;Runge3[[#This Row],[Problema]],TbNombres[Tecnología]&amp;TbNombres[Problema],TbNombres[Nombre])</f>
        <v>Brusselator1d</v>
      </c>
      <c r="AB119" s="21">
        <v>1</v>
      </c>
      <c r="AC119" s="21">
        <v>3</v>
      </c>
      <c r="AD119" s="21">
        <v>4</v>
      </c>
      <c r="AE119" s="21">
        <v>20000</v>
      </c>
      <c r="AF119" s="21">
        <v>40000</v>
      </c>
      <c r="AG119" s="21">
        <v>164.84399999999999</v>
      </c>
    </row>
    <row r="120" spans="2:33" x14ac:dyDescent="0.2">
      <c r="B120" s="1" t="str">
        <f>_xlfn.XLOOKUP(Runge1[[#This Row],[Metodo]],TbSolver[Metodo],TbSolver[Solver])</f>
        <v>Runge Kutta</v>
      </c>
      <c r="C120" s="1" t="str">
        <f>_xlfn.XLOOKUP(Runge1[[#This Row],[Hebras]],TbTecnologia[Hebras],TbTecnologia[Tecnología])</f>
        <v>OMP</v>
      </c>
      <c r="D120" s="1" t="str" cm="1">
        <f t="array" ref="D120">_xlfn.XLOOKUP(Runge1[[#This Row],[Tecnología]]&amp;Runge1[[#This Row],[Metodo]],TbTipos[Tecnología]&amp;TbTipos[Metodo],TbTipos[Tipo])</f>
        <v>OMP Elementos</v>
      </c>
      <c r="E120" s="1" t="str" cm="1">
        <f t="array" ref="E120">_xlfn.XLOOKUP(Runge1[[#This Row],[Tecnología]]&amp;Runge1[[#This Row],[Problema]],TbNombres[Tecnología]&amp;TbNombres[Problema],TbNombres[Nombre])</f>
        <v>Simple Advdiff</v>
      </c>
      <c r="F120" s="20">
        <v>2</v>
      </c>
      <c r="G120" s="20">
        <v>1</v>
      </c>
      <c r="H120" s="20">
        <v>1</v>
      </c>
      <c r="I120" s="20">
        <v>40000</v>
      </c>
      <c r="J120" s="20">
        <v>40000</v>
      </c>
      <c r="K120" s="20">
        <v>1266.6099999999999</v>
      </c>
      <c r="M120" s="2" t="str">
        <f>_xlfn.XLOOKUP(Runge2[[#This Row],[Metodo]],TbSolver[Metodo],TbSolver[Solver])</f>
        <v>Runge Kutta</v>
      </c>
      <c r="N120" s="2" t="str">
        <f>_xlfn.XLOOKUP(Runge2[[#This Row],[Hebras]],TbTecnologia[Hebras],TbTecnologia[Tecnología])</f>
        <v>OMP</v>
      </c>
      <c r="O120" s="4" t="str" cm="1">
        <f t="array" ref="O120">_xlfn.XLOOKUP(Runge2[[#This Row],[Tecnología]]&amp;Runge2[[#This Row],[Metodo]],TbTipos[Tecnología]&amp;TbTipos[Metodo],TbTipos[Tipo])</f>
        <v>OMP Elementos</v>
      </c>
      <c r="P120" s="4" t="str" cm="1">
        <f t="array" ref="P120">_xlfn.XLOOKUP(Runge2[[#This Row],[Tecnología]]&amp;Runge2[[#This Row],[Problema]],TbNombres[Tecnología]&amp;TbNombres[Problema],TbNombres[Nombre])</f>
        <v>Advdiff1d</v>
      </c>
      <c r="Q120" s="21">
        <v>2</v>
      </c>
      <c r="R120" s="21">
        <v>2</v>
      </c>
      <c r="S120" s="21">
        <v>1</v>
      </c>
      <c r="T120" s="21">
        <v>40000</v>
      </c>
      <c r="U120" s="21">
        <v>40000</v>
      </c>
      <c r="V120" s="21">
        <v>4648.47</v>
      </c>
      <c r="X120" s="2" t="str">
        <f>_xlfn.XLOOKUP(Runge3[[#This Row],[Metodo]],TbSolver[Metodo],TbSolver[Solver])</f>
        <v>Runge Kutta</v>
      </c>
      <c r="Y120" s="2" t="str">
        <f>_xlfn.XLOOKUP(Runge3[[#This Row],[Hebras]],TbTecnologia[Hebras],TbTecnologia[Tecnología])</f>
        <v>OMP</v>
      </c>
      <c r="Z120" s="2" t="str" cm="1">
        <f t="array" ref="Z120">_xlfn.XLOOKUP(Runge3[[#This Row],[Tecnología]]&amp;Runge3[[#This Row],[Metodo]],TbTipos[Tecnología]&amp;TbTipos[Metodo],TbTipos[Tipo])</f>
        <v>OMP Elementos</v>
      </c>
      <c r="AA120" s="2" t="str" cm="1">
        <f t="array" ref="AA120">_xlfn.XLOOKUP(Runge3[[#This Row],[Tecnología]]&amp;Runge3[[#This Row],[Problema]],TbNombres[Tecnología]&amp;TbNombres[Problema],TbNombres[Nombre])</f>
        <v>Brusselator1d</v>
      </c>
      <c r="AB120" s="21">
        <v>2</v>
      </c>
      <c r="AC120" s="21">
        <v>3</v>
      </c>
      <c r="AD120" s="21">
        <v>4</v>
      </c>
      <c r="AE120" s="21">
        <v>20000</v>
      </c>
      <c r="AF120" s="21">
        <v>40000</v>
      </c>
      <c r="AG120" s="21">
        <v>269.01799999999997</v>
      </c>
    </row>
    <row r="121" spans="2:33" x14ac:dyDescent="0.2">
      <c r="B121" s="1" t="str">
        <f>_xlfn.XLOOKUP(Runge1[[#This Row],[Metodo]],TbSolver[Metodo],TbSolver[Solver])</f>
        <v>Runge Kutta</v>
      </c>
      <c r="C121" s="1" t="str">
        <f>_xlfn.XLOOKUP(Runge1[[#This Row],[Hebras]],TbTecnologia[Hebras],TbTecnologia[Tecnología])</f>
        <v>CUDA</v>
      </c>
      <c r="D121" s="1" t="str" cm="1">
        <f t="array" ref="D121">_xlfn.XLOOKUP(Runge1[[#This Row],[Tecnología]]&amp;Runge1[[#This Row],[Metodo]],TbTipos[Tecnología]&amp;TbTipos[Metodo],TbTipos[Tipo])</f>
        <v>CUDA con graph</v>
      </c>
      <c r="E121" s="1" t="str" cm="1">
        <f t="array" ref="E121">_xlfn.XLOOKUP(Runge1[[#This Row],[Tecnología]]&amp;Runge1[[#This Row],[Problema]],TbNombres[Tecnología]&amp;TbNombres[Problema],TbNombres[Nombre])</f>
        <v>Simple Advdiff</v>
      </c>
      <c r="F121" s="1">
        <v>2</v>
      </c>
      <c r="G121" s="1">
        <v>1</v>
      </c>
      <c r="H121" s="1">
        <v>256</v>
      </c>
      <c r="I121" s="1">
        <v>50000</v>
      </c>
      <c r="J121" s="1">
        <v>50000</v>
      </c>
      <c r="K121" s="1">
        <v>21.761800000000001</v>
      </c>
      <c r="M121" s="4" t="str">
        <f>_xlfn.XLOOKUP(Runge2[[#This Row],[Metodo]],TbSolver[Metodo],TbSolver[Solver])</f>
        <v>Runge Kutta</v>
      </c>
      <c r="N121" s="4" t="str">
        <f>_xlfn.XLOOKUP(Runge2[[#This Row],[Hebras]],TbTecnologia[Hebras],TbTecnologia[Tecnología])</f>
        <v>CUDA</v>
      </c>
      <c r="O121" s="4" t="str" cm="1">
        <f t="array" ref="O121">_xlfn.XLOOKUP(Runge2[[#This Row],[Tecnología]]&amp;Runge2[[#This Row],[Metodo]],TbTipos[Tecnología]&amp;TbTipos[Metodo],TbTipos[Tipo])</f>
        <v>CUDA con graph</v>
      </c>
      <c r="P121" s="4" t="str" cm="1">
        <f t="array" ref="P121">_xlfn.XLOOKUP(Runge2[[#This Row],[Tecnología]]&amp;Runge2[[#This Row],[Problema]],TbNombres[Tecnología]&amp;TbNombres[Problema],TbNombres[Nombre])</f>
        <v>Advdiff1d</v>
      </c>
      <c r="Q121" s="4">
        <v>2</v>
      </c>
      <c r="R121" s="4">
        <v>3</v>
      </c>
      <c r="S121" s="4">
        <v>256</v>
      </c>
      <c r="T121" s="4">
        <v>50000</v>
      </c>
      <c r="U121" s="4">
        <v>50000</v>
      </c>
      <c r="V121" s="4">
        <v>70.976600000000005</v>
      </c>
      <c r="X121" s="2" t="str">
        <f>_xlfn.XLOOKUP(Runge3[[#This Row],[Metodo]],TbSolver[Metodo],TbSolver[Solver])</f>
        <v>Runge Kutta</v>
      </c>
      <c r="Y121" s="2" t="str">
        <f>_xlfn.XLOOKUP(Runge3[[#This Row],[Hebras]],TbTecnologia[Hebras],TbTecnologia[Tecnología])</f>
        <v>OMP</v>
      </c>
      <c r="Z121" s="2" t="str" cm="1">
        <f t="array" ref="Z121">_xlfn.XLOOKUP(Runge3[[#This Row],[Tecnología]]&amp;Runge3[[#This Row],[Metodo]],TbTipos[Tecnología]&amp;TbTipos[Metodo],TbTipos[Tipo])</f>
        <v>OMP Operaciones</v>
      </c>
      <c r="AA121" s="2" t="str" cm="1">
        <f t="array" ref="AA121">_xlfn.XLOOKUP(Runge3[[#This Row],[Tecnología]]&amp;Runge3[[#This Row],[Problema]],TbNombres[Tecnología]&amp;TbNombres[Problema],TbNombres[Nombre])</f>
        <v>Brusselator1d</v>
      </c>
      <c r="AB121" s="21">
        <v>1</v>
      </c>
      <c r="AC121" s="21">
        <v>3</v>
      </c>
      <c r="AD121" s="21">
        <v>1</v>
      </c>
      <c r="AE121" s="21">
        <v>20000</v>
      </c>
      <c r="AF121" s="21">
        <v>40000</v>
      </c>
      <c r="AG121" s="21">
        <v>538.92999999999995</v>
      </c>
    </row>
    <row r="122" spans="2:33" x14ac:dyDescent="0.2">
      <c r="B122" s="1" t="str">
        <f>_xlfn.XLOOKUP(Runge1[[#This Row],[Metodo]],TbSolver[Metodo],TbSolver[Solver])</f>
        <v>Runge Kutta</v>
      </c>
      <c r="C122" s="1" t="str">
        <f>_xlfn.XLOOKUP(Runge1[[#This Row],[Hebras]],TbTecnologia[Hebras],TbTecnologia[Tecnología])</f>
        <v>CUDA</v>
      </c>
      <c r="D122" s="1" t="str" cm="1">
        <f t="array" ref="D122">_xlfn.XLOOKUP(Runge1[[#This Row],[Tecnología]]&amp;Runge1[[#This Row],[Metodo]],TbTipos[Tecnología]&amp;TbTipos[Metodo],TbTipos[Tipo])</f>
        <v>CUDA sin graph</v>
      </c>
      <c r="E122" s="1" t="str" cm="1">
        <f t="array" ref="E122">_xlfn.XLOOKUP(Runge1[[#This Row],[Tecnología]]&amp;Runge1[[#This Row],[Problema]],TbNombres[Tecnología]&amp;TbNombres[Problema],TbNombres[Nombre])</f>
        <v>Simple Advdiff</v>
      </c>
      <c r="F122" s="1">
        <v>1</v>
      </c>
      <c r="G122" s="1">
        <v>1</v>
      </c>
      <c r="H122" s="1">
        <v>256</v>
      </c>
      <c r="I122" s="1">
        <v>50000</v>
      </c>
      <c r="J122" s="1">
        <v>50000</v>
      </c>
      <c r="K122" s="1">
        <v>25.6021</v>
      </c>
      <c r="M122" s="2" t="str">
        <f>_xlfn.XLOOKUP(Runge2[[#This Row],[Metodo]],TbSolver[Metodo],TbSolver[Solver])</f>
        <v>Runge Kutta</v>
      </c>
      <c r="N122" s="2" t="str">
        <f>_xlfn.XLOOKUP(Runge2[[#This Row],[Hebras]],TbTecnologia[Hebras],TbTecnologia[Tecnología])</f>
        <v>CUDA</v>
      </c>
      <c r="O122" s="2" t="str" cm="1">
        <f t="array" ref="O122">_xlfn.XLOOKUP(Runge2[[#This Row],[Tecnología]]&amp;Runge2[[#This Row],[Metodo]],TbTipos[Tecnología]&amp;TbTipos[Metodo],TbTipos[Tipo])</f>
        <v>CUDA sin graph</v>
      </c>
      <c r="P122" s="2" t="str" cm="1">
        <f t="array" ref="P122">_xlfn.XLOOKUP(Runge2[[#This Row],[Tecnología]]&amp;Runge2[[#This Row],[Problema]],TbNombres[Tecnología]&amp;TbNombres[Problema],TbNombres[Nombre])</f>
        <v>Advdiff1d</v>
      </c>
      <c r="Q122" s="2">
        <v>1</v>
      </c>
      <c r="R122" s="2">
        <v>3</v>
      </c>
      <c r="S122" s="2">
        <v>256</v>
      </c>
      <c r="T122" s="2">
        <v>50000</v>
      </c>
      <c r="U122" s="2">
        <v>50000</v>
      </c>
      <c r="V122" s="2">
        <v>73.457300000000004</v>
      </c>
      <c r="X122" s="2" t="str">
        <f>_xlfn.XLOOKUP(Runge3[[#This Row],[Metodo]],TbSolver[Metodo],TbSolver[Solver])</f>
        <v>Runge Kutta</v>
      </c>
      <c r="Y122" s="2" t="str">
        <f>_xlfn.XLOOKUP(Runge3[[#This Row],[Hebras]],TbTecnologia[Hebras],TbTecnologia[Tecnología])</f>
        <v>OMP</v>
      </c>
      <c r="Z122" s="2" t="str" cm="1">
        <f t="array" ref="Z122">_xlfn.XLOOKUP(Runge3[[#This Row],[Tecnología]]&amp;Runge3[[#This Row],[Metodo]],TbTipos[Tecnología]&amp;TbTipos[Metodo],TbTipos[Tipo])</f>
        <v>OMP Elementos</v>
      </c>
      <c r="AA122" s="2" t="str" cm="1">
        <f t="array" ref="AA122">_xlfn.XLOOKUP(Runge3[[#This Row],[Tecnología]]&amp;Runge3[[#This Row],[Problema]],TbNombres[Tecnología]&amp;TbNombres[Problema],TbNombres[Nombre])</f>
        <v>Brusselator1d</v>
      </c>
      <c r="AB122" s="21">
        <v>2</v>
      </c>
      <c r="AC122" s="21">
        <v>3</v>
      </c>
      <c r="AD122" s="21">
        <v>1</v>
      </c>
      <c r="AE122" s="21">
        <v>20000</v>
      </c>
      <c r="AF122" s="21">
        <v>40000</v>
      </c>
      <c r="AG122" s="21">
        <v>1001</v>
      </c>
    </row>
    <row r="123" spans="2:33" x14ac:dyDescent="0.2">
      <c r="B123" s="1" t="str">
        <f>_xlfn.XLOOKUP(Runge1[[#This Row],[Metodo]],TbSolver[Metodo],TbSolver[Solver])</f>
        <v>Runge Kutta</v>
      </c>
      <c r="C123" s="1" t="str">
        <f>_xlfn.XLOOKUP(Runge1[[#This Row],[Hebras]],TbTecnologia[Hebras],TbTecnologia[Tecnología])</f>
        <v>OMP</v>
      </c>
      <c r="D123" s="1" t="str" cm="1">
        <f t="array" ref="D123">_xlfn.XLOOKUP(Runge1[[#This Row],[Tecnología]]&amp;Runge1[[#This Row],[Metodo]],TbTipos[Tecnología]&amp;TbTipos[Metodo],TbTipos[Tipo])</f>
        <v>OMP Operaciones</v>
      </c>
      <c r="E123" s="1" t="str" cm="1">
        <f t="array" ref="E123">_xlfn.XLOOKUP(Runge1[[#This Row],[Tecnología]]&amp;Runge1[[#This Row],[Problema]],TbNombres[Tecnología]&amp;TbNombres[Problema],TbNombres[Nombre])</f>
        <v>Simple Advdiff</v>
      </c>
      <c r="F123" s="20">
        <v>1</v>
      </c>
      <c r="G123" s="20">
        <v>1</v>
      </c>
      <c r="H123" s="20">
        <v>16</v>
      </c>
      <c r="I123" s="20">
        <v>50000</v>
      </c>
      <c r="J123" s="20">
        <v>50000</v>
      </c>
      <c r="K123" s="20">
        <v>78.525400000000005</v>
      </c>
      <c r="M123" s="2" t="str">
        <f>_xlfn.XLOOKUP(Runge2[[#This Row],[Metodo]],TbSolver[Metodo],TbSolver[Solver])</f>
        <v>Runge Kutta</v>
      </c>
      <c r="N123" s="2" t="str">
        <f>_xlfn.XLOOKUP(Runge2[[#This Row],[Hebras]],TbTecnologia[Hebras],TbTecnologia[Tecnología])</f>
        <v>OMP</v>
      </c>
      <c r="O123" s="4" t="str" cm="1">
        <f t="array" ref="O123">_xlfn.XLOOKUP(Runge2[[#This Row],[Tecnología]]&amp;Runge2[[#This Row],[Metodo]],TbTipos[Tecnología]&amp;TbTipos[Metodo],TbTipos[Tipo])</f>
        <v>OMP Elementos</v>
      </c>
      <c r="P123" s="4" t="str" cm="1">
        <f t="array" ref="P123">_xlfn.XLOOKUP(Runge2[[#This Row],[Tecnología]]&amp;Runge2[[#This Row],[Problema]],TbNombres[Tecnología]&amp;TbNombres[Problema],TbNombres[Nombre])</f>
        <v>Advdiff1d</v>
      </c>
      <c r="Q123" s="21">
        <v>2</v>
      </c>
      <c r="R123" s="21">
        <v>2</v>
      </c>
      <c r="S123" s="21">
        <v>16</v>
      </c>
      <c r="T123" s="21">
        <v>50000</v>
      </c>
      <c r="U123" s="21">
        <v>50000</v>
      </c>
      <c r="V123" s="21">
        <v>441.03699999999998</v>
      </c>
      <c r="X123" s="2" t="str">
        <f>_xlfn.XLOOKUP(Runge3[[#This Row],[Metodo]],TbSolver[Metodo],TbSolver[Solver])</f>
        <v>Runge Kutta</v>
      </c>
      <c r="Y123" s="2" t="str">
        <f>_xlfn.XLOOKUP(Runge3[[#This Row],[Hebras]],TbTecnologia[Hebras],TbTecnologia[Tecnología])</f>
        <v>OMP</v>
      </c>
      <c r="Z123" s="2" t="str" cm="1">
        <f t="array" ref="Z123">_xlfn.XLOOKUP(Runge3[[#This Row],[Tecnología]]&amp;Runge3[[#This Row],[Metodo]],TbTipos[Tecnología]&amp;TbTipos[Metodo],TbTipos[Tipo])</f>
        <v>OMP Elementos</v>
      </c>
      <c r="AA123" s="2" t="str" cm="1">
        <f t="array" ref="AA123">_xlfn.XLOOKUP(Runge3[[#This Row],[Tecnología]]&amp;Runge3[[#This Row],[Problema]],TbNombres[Tecnología]&amp;TbNombres[Problema],TbNombres[Nombre])</f>
        <v>Brusselator1d</v>
      </c>
      <c r="AB123" s="21">
        <v>2</v>
      </c>
      <c r="AC123" s="21">
        <v>3</v>
      </c>
      <c r="AD123" s="21">
        <v>16</v>
      </c>
      <c r="AE123" s="21">
        <v>25000</v>
      </c>
      <c r="AF123" s="21">
        <v>50000</v>
      </c>
      <c r="AG123" s="21">
        <v>106.083</v>
      </c>
    </row>
    <row r="124" spans="2:33" x14ac:dyDescent="0.2">
      <c r="B124" s="1" t="str">
        <f>_xlfn.XLOOKUP(Runge1[[#This Row],[Metodo]],TbSolver[Metodo],TbSolver[Solver])</f>
        <v>Runge Kutta</v>
      </c>
      <c r="C124" s="1" t="str">
        <f>_xlfn.XLOOKUP(Runge1[[#This Row],[Hebras]],TbTecnologia[Hebras],TbTecnologia[Tecnología])</f>
        <v>OMP</v>
      </c>
      <c r="D124" s="1" t="str" cm="1">
        <f t="array" ref="D124">_xlfn.XLOOKUP(Runge1[[#This Row],[Tecnología]]&amp;Runge1[[#This Row],[Metodo]],TbTipos[Tecnología]&amp;TbTipos[Metodo],TbTipos[Tipo])</f>
        <v>OMP Operaciones</v>
      </c>
      <c r="E124" s="1" t="str" cm="1">
        <f t="array" ref="E124">_xlfn.XLOOKUP(Runge1[[#This Row],[Tecnología]]&amp;Runge1[[#This Row],[Problema]],TbNombres[Tecnología]&amp;TbNombres[Problema],TbNombres[Nombre])</f>
        <v>Simple Advdiff</v>
      </c>
      <c r="F124" s="20">
        <v>1</v>
      </c>
      <c r="G124" s="20">
        <v>1</v>
      </c>
      <c r="H124" s="20">
        <v>4</v>
      </c>
      <c r="I124" s="20">
        <v>50000</v>
      </c>
      <c r="J124" s="20">
        <v>50000</v>
      </c>
      <c r="K124" s="20">
        <v>98.190899999999999</v>
      </c>
      <c r="M124" s="2" t="str">
        <f>_xlfn.XLOOKUP(Runge2[[#This Row],[Metodo]],TbSolver[Metodo],TbSolver[Solver])</f>
        <v>Runge Kutta</v>
      </c>
      <c r="N124" s="2" t="str">
        <f>_xlfn.XLOOKUP(Runge2[[#This Row],[Hebras]],TbTecnologia[Hebras],TbTecnologia[Tecnología])</f>
        <v>OMP</v>
      </c>
      <c r="O124" s="4" t="str" cm="1">
        <f t="array" ref="O124">_xlfn.XLOOKUP(Runge2[[#This Row],[Tecnología]]&amp;Runge2[[#This Row],[Metodo]],TbTipos[Tecnología]&amp;TbTipos[Metodo],TbTipos[Tipo])</f>
        <v>OMP Operaciones</v>
      </c>
      <c r="P124" s="4" t="str" cm="1">
        <f t="array" ref="P124">_xlfn.XLOOKUP(Runge2[[#This Row],[Tecnología]]&amp;Runge2[[#This Row],[Problema]],TbNombres[Tecnología]&amp;TbNombres[Problema],TbNombres[Nombre])</f>
        <v>Advdiff1d</v>
      </c>
      <c r="Q124" s="21">
        <v>1</v>
      </c>
      <c r="R124" s="21">
        <v>2</v>
      </c>
      <c r="S124" s="21">
        <v>16</v>
      </c>
      <c r="T124" s="21">
        <v>50000</v>
      </c>
      <c r="U124" s="21">
        <v>50000</v>
      </c>
      <c r="V124" s="21">
        <v>630.00800000000004</v>
      </c>
      <c r="X124" s="2" t="str">
        <f>_xlfn.XLOOKUP(Runge3[[#This Row],[Metodo]],TbSolver[Metodo],TbSolver[Solver])</f>
        <v>Runge Kutta</v>
      </c>
      <c r="Y124" s="2" t="str">
        <f>_xlfn.XLOOKUP(Runge3[[#This Row],[Hebras]],TbTecnologia[Hebras],TbTecnologia[Tecnología])</f>
        <v>OMP</v>
      </c>
      <c r="Z124" s="2" t="str" cm="1">
        <f t="array" ref="Z124">_xlfn.XLOOKUP(Runge3[[#This Row],[Tecnología]]&amp;Runge3[[#This Row],[Metodo]],TbTipos[Tecnología]&amp;TbTipos[Metodo],TbTipos[Tipo])</f>
        <v>OMP Operaciones</v>
      </c>
      <c r="AA124" s="2" t="str" cm="1">
        <f t="array" ref="AA124">_xlfn.XLOOKUP(Runge3[[#This Row],[Tecnología]]&amp;Runge3[[#This Row],[Problema]],TbNombres[Tecnología]&amp;TbNombres[Problema],TbNombres[Nombre])</f>
        <v>Brusselator1d</v>
      </c>
      <c r="AB124" s="21">
        <v>1</v>
      </c>
      <c r="AC124" s="21">
        <v>3</v>
      </c>
      <c r="AD124" s="21">
        <v>16</v>
      </c>
      <c r="AE124" s="21">
        <v>25000</v>
      </c>
      <c r="AF124" s="21">
        <v>50000</v>
      </c>
      <c r="AG124" s="21">
        <v>138.42099999999999</v>
      </c>
    </row>
    <row r="125" spans="2:33" x14ac:dyDescent="0.2">
      <c r="B125" s="1" t="str">
        <f>_xlfn.XLOOKUP(Runge1[[#This Row],[Metodo]],TbSolver[Metodo],TbSolver[Solver])</f>
        <v>Runge Kutta</v>
      </c>
      <c r="C125" s="1" t="str">
        <f>_xlfn.XLOOKUP(Runge1[[#This Row],[Hebras]],TbTecnologia[Hebras],TbTecnologia[Tecnología])</f>
        <v>OMP</v>
      </c>
      <c r="D125" s="1" t="str" cm="1">
        <f t="array" ref="D125">_xlfn.XLOOKUP(Runge1[[#This Row],[Tecnología]]&amp;Runge1[[#This Row],[Metodo]],TbTipos[Tecnología]&amp;TbTipos[Metodo],TbTipos[Tipo])</f>
        <v>OMP Elementos</v>
      </c>
      <c r="E125" s="1" t="str" cm="1">
        <f t="array" ref="E125">_xlfn.XLOOKUP(Runge1[[#This Row],[Tecnología]]&amp;Runge1[[#This Row],[Problema]],TbNombres[Tecnología]&amp;TbNombres[Problema],TbNombres[Nombre])</f>
        <v>Simple Advdiff</v>
      </c>
      <c r="F125" s="20">
        <v>2</v>
      </c>
      <c r="G125" s="20">
        <v>1</v>
      </c>
      <c r="H125" s="20">
        <v>16</v>
      </c>
      <c r="I125" s="20">
        <v>50000</v>
      </c>
      <c r="J125" s="20">
        <v>50000</v>
      </c>
      <c r="K125" s="20">
        <v>134.35499999999999</v>
      </c>
      <c r="M125" s="2" t="str">
        <f>_xlfn.XLOOKUP(Runge2[[#This Row],[Metodo]],TbSolver[Metodo],TbSolver[Solver])</f>
        <v>Runge Kutta</v>
      </c>
      <c r="N125" s="2" t="str">
        <f>_xlfn.XLOOKUP(Runge2[[#This Row],[Hebras]],TbTecnologia[Hebras],TbTecnologia[Tecnología])</f>
        <v>OMP</v>
      </c>
      <c r="O125" s="4" t="str" cm="1">
        <f t="array" ref="O125">_xlfn.XLOOKUP(Runge2[[#This Row],[Tecnología]]&amp;Runge2[[#This Row],[Metodo]],TbTipos[Tecnología]&amp;TbTipos[Metodo],TbTipos[Tipo])</f>
        <v>OMP Operaciones</v>
      </c>
      <c r="P125" s="4" t="str" cm="1">
        <f t="array" ref="P125">_xlfn.XLOOKUP(Runge2[[#This Row],[Tecnología]]&amp;Runge2[[#This Row],[Problema]],TbNombres[Tecnología]&amp;TbNombres[Problema],TbNombres[Nombre])</f>
        <v>Advdiff1d</v>
      </c>
      <c r="Q125" s="21">
        <v>1</v>
      </c>
      <c r="R125" s="21">
        <v>2</v>
      </c>
      <c r="S125" s="21">
        <v>4</v>
      </c>
      <c r="T125" s="21">
        <v>50000</v>
      </c>
      <c r="U125" s="21">
        <v>50000</v>
      </c>
      <c r="V125" s="21">
        <v>1308.05</v>
      </c>
      <c r="X125" s="2" t="str">
        <f>_xlfn.XLOOKUP(Runge3[[#This Row],[Metodo]],TbSolver[Metodo],TbSolver[Solver])</f>
        <v>Runge Kutta</v>
      </c>
      <c r="Y125" s="2" t="str">
        <f>_xlfn.XLOOKUP(Runge3[[#This Row],[Hebras]],TbTecnologia[Hebras],TbTecnologia[Tecnología])</f>
        <v>OMP</v>
      </c>
      <c r="Z125" s="2" t="str" cm="1">
        <f t="array" ref="Z125">_xlfn.XLOOKUP(Runge3[[#This Row],[Tecnología]]&amp;Runge3[[#This Row],[Metodo]],TbTipos[Tecnología]&amp;TbTipos[Metodo],TbTipos[Tipo])</f>
        <v>OMP Operaciones</v>
      </c>
      <c r="AA125" s="2" t="str" cm="1">
        <f t="array" ref="AA125">_xlfn.XLOOKUP(Runge3[[#This Row],[Tecnología]]&amp;Runge3[[#This Row],[Problema]],TbNombres[Tecnología]&amp;TbNombres[Problema],TbNombres[Nombre])</f>
        <v>Brusselator1d</v>
      </c>
      <c r="AB125" s="21">
        <v>1</v>
      </c>
      <c r="AC125" s="21">
        <v>3</v>
      </c>
      <c r="AD125" s="21">
        <v>4</v>
      </c>
      <c r="AE125" s="21">
        <v>25000</v>
      </c>
      <c r="AF125" s="21">
        <v>50000</v>
      </c>
      <c r="AG125" s="21">
        <v>201.69800000000001</v>
      </c>
    </row>
    <row r="126" spans="2:33" x14ac:dyDescent="0.2">
      <c r="B126" s="1" t="str">
        <f>_xlfn.XLOOKUP(Runge1[[#This Row],[Metodo]],TbSolver[Metodo],TbSolver[Solver])</f>
        <v>Runge Kutta</v>
      </c>
      <c r="C126" s="1" t="str">
        <f>_xlfn.XLOOKUP(Runge1[[#This Row],[Hebras]],TbTecnologia[Hebras],TbTecnologia[Tecnología])</f>
        <v>OMP</v>
      </c>
      <c r="D126" s="1" t="str" cm="1">
        <f t="array" ref="D126">_xlfn.XLOOKUP(Runge1[[#This Row],[Tecnología]]&amp;Runge1[[#This Row],[Metodo]],TbTipos[Tecnología]&amp;TbTipos[Metodo],TbTipos[Tipo])</f>
        <v>OMP Operaciones</v>
      </c>
      <c r="E126" s="1" t="str" cm="1">
        <f t="array" ref="E126">_xlfn.XLOOKUP(Runge1[[#This Row],[Tecnología]]&amp;Runge1[[#This Row],[Problema]],TbNombres[Tecnología]&amp;TbNombres[Problema],TbNombres[Nombre])</f>
        <v>Simple Advdiff</v>
      </c>
      <c r="F126" s="20">
        <v>1</v>
      </c>
      <c r="G126" s="20">
        <v>1</v>
      </c>
      <c r="H126" s="20">
        <v>1</v>
      </c>
      <c r="I126" s="20">
        <v>50000</v>
      </c>
      <c r="J126" s="20">
        <v>50000</v>
      </c>
      <c r="K126" s="20">
        <v>345.55799999999999</v>
      </c>
      <c r="M126" s="2" t="str">
        <f>_xlfn.XLOOKUP(Runge2[[#This Row],[Metodo]],TbSolver[Metodo],TbSolver[Solver])</f>
        <v>Runge Kutta</v>
      </c>
      <c r="N126" s="2" t="str">
        <f>_xlfn.XLOOKUP(Runge2[[#This Row],[Hebras]],TbTecnologia[Hebras],TbTecnologia[Tecnología])</f>
        <v>OMP</v>
      </c>
      <c r="O126" s="4" t="str" cm="1">
        <f t="array" ref="O126">_xlfn.XLOOKUP(Runge2[[#This Row],[Tecnología]]&amp;Runge2[[#This Row],[Metodo]],TbTipos[Tecnología]&amp;TbTipos[Metodo],TbTipos[Tipo])</f>
        <v>OMP Elementos</v>
      </c>
      <c r="P126" s="4" t="str" cm="1">
        <f t="array" ref="P126">_xlfn.XLOOKUP(Runge2[[#This Row],[Tecnología]]&amp;Runge2[[#This Row],[Problema]],TbNombres[Tecnología]&amp;TbNombres[Problema],TbNombres[Nombre])</f>
        <v>Advdiff1d</v>
      </c>
      <c r="Q126" s="21">
        <v>2</v>
      </c>
      <c r="R126" s="21">
        <v>2</v>
      </c>
      <c r="S126" s="21">
        <v>4</v>
      </c>
      <c r="T126" s="21">
        <v>50000</v>
      </c>
      <c r="U126" s="21">
        <v>50000</v>
      </c>
      <c r="V126" s="21">
        <v>1629.52</v>
      </c>
      <c r="X126" s="2" t="str">
        <f>_xlfn.XLOOKUP(Runge3[[#This Row],[Metodo]],TbSolver[Metodo],TbSolver[Solver])</f>
        <v>Runge Kutta</v>
      </c>
      <c r="Y126" s="2" t="str">
        <f>_xlfn.XLOOKUP(Runge3[[#This Row],[Hebras]],TbTecnologia[Hebras],TbTecnologia[Tecnología])</f>
        <v>OMP</v>
      </c>
      <c r="Z126" s="2" t="str" cm="1">
        <f t="array" ref="Z126">_xlfn.XLOOKUP(Runge3[[#This Row],[Tecnología]]&amp;Runge3[[#This Row],[Metodo]],TbTipos[Tecnología]&amp;TbTipos[Metodo],TbTipos[Tipo])</f>
        <v>OMP Elementos</v>
      </c>
      <c r="AA126" s="2" t="str" cm="1">
        <f t="array" ref="AA126">_xlfn.XLOOKUP(Runge3[[#This Row],[Tecnología]]&amp;Runge3[[#This Row],[Problema]],TbNombres[Tecnología]&amp;TbNombres[Problema],TbNombres[Nombre])</f>
        <v>Brusselator1d</v>
      </c>
      <c r="AB126" s="21">
        <v>2</v>
      </c>
      <c r="AC126" s="21">
        <v>3</v>
      </c>
      <c r="AD126" s="21">
        <v>4</v>
      </c>
      <c r="AE126" s="21">
        <v>25000</v>
      </c>
      <c r="AF126" s="21">
        <v>50000</v>
      </c>
      <c r="AG126" s="21">
        <v>341.44</v>
      </c>
    </row>
    <row r="127" spans="2:33" x14ac:dyDescent="0.2">
      <c r="B127" s="1" t="str">
        <f>_xlfn.XLOOKUP(Runge1[[#This Row],[Metodo]],TbSolver[Metodo],TbSolver[Solver])</f>
        <v>Runge Kutta</v>
      </c>
      <c r="C127" s="1" t="str">
        <f>_xlfn.XLOOKUP(Runge1[[#This Row],[Hebras]],TbTecnologia[Hebras],TbTecnologia[Tecnología])</f>
        <v>OMP</v>
      </c>
      <c r="D127" s="1" t="str" cm="1">
        <f t="array" ref="D127">_xlfn.XLOOKUP(Runge1[[#This Row],[Tecnología]]&amp;Runge1[[#This Row],[Metodo]],TbTipos[Tecnología]&amp;TbTipos[Metodo],TbTipos[Tipo])</f>
        <v>OMP Elementos</v>
      </c>
      <c r="E127" s="1" t="str" cm="1">
        <f t="array" ref="E127">_xlfn.XLOOKUP(Runge1[[#This Row],[Tecnología]]&amp;Runge1[[#This Row],[Problema]],TbNombres[Tecnología]&amp;TbNombres[Problema],TbNombres[Nombre])</f>
        <v>Simple Advdiff</v>
      </c>
      <c r="F127" s="20">
        <v>2</v>
      </c>
      <c r="G127" s="20">
        <v>1</v>
      </c>
      <c r="H127" s="20">
        <v>4</v>
      </c>
      <c r="I127" s="20">
        <v>50000</v>
      </c>
      <c r="J127" s="20">
        <v>50000</v>
      </c>
      <c r="K127" s="20">
        <v>432.42099999999999</v>
      </c>
      <c r="M127" s="2" t="str">
        <f>_xlfn.XLOOKUP(Runge2[[#This Row],[Metodo]],TbSolver[Metodo],TbSolver[Solver])</f>
        <v>Runge Kutta</v>
      </c>
      <c r="N127" s="2" t="str">
        <f>_xlfn.XLOOKUP(Runge2[[#This Row],[Hebras]],TbTecnologia[Hebras],TbTecnologia[Tecnología])</f>
        <v>OMP</v>
      </c>
      <c r="O127" s="4" t="str" cm="1">
        <f t="array" ref="O127">_xlfn.XLOOKUP(Runge2[[#This Row],[Tecnología]]&amp;Runge2[[#This Row],[Metodo]],TbTipos[Tecnología]&amp;TbTipos[Metodo],TbTipos[Tipo])</f>
        <v>OMP Operaciones</v>
      </c>
      <c r="P127" s="4" t="str" cm="1">
        <f t="array" ref="P127">_xlfn.XLOOKUP(Runge2[[#This Row],[Tecnología]]&amp;Runge2[[#This Row],[Problema]],TbNombres[Tecnología]&amp;TbNombres[Problema],TbNombres[Nombre])</f>
        <v>Advdiff1d</v>
      </c>
      <c r="Q127" s="21">
        <v>1</v>
      </c>
      <c r="R127" s="21">
        <v>2</v>
      </c>
      <c r="S127" s="21">
        <v>1</v>
      </c>
      <c r="T127" s="21">
        <v>50000</v>
      </c>
      <c r="U127" s="21">
        <v>50000</v>
      </c>
      <c r="V127" s="21">
        <v>4482.71</v>
      </c>
      <c r="X127" s="2" t="str">
        <f>_xlfn.XLOOKUP(Runge3[[#This Row],[Metodo]],TbSolver[Metodo],TbSolver[Solver])</f>
        <v>Runge Kutta</v>
      </c>
      <c r="Y127" s="2" t="str">
        <f>_xlfn.XLOOKUP(Runge3[[#This Row],[Hebras]],TbTecnologia[Hebras],TbTecnologia[Tecnología])</f>
        <v>OMP</v>
      </c>
      <c r="Z127" s="2" t="str" cm="1">
        <f t="array" ref="Z127">_xlfn.XLOOKUP(Runge3[[#This Row],[Tecnología]]&amp;Runge3[[#This Row],[Metodo]],TbTipos[Tecnología]&amp;TbTipos[Metodo],TbTipos[Tipo])</f>
        <v>OMP Operaciones</v>
      </c>
      <c r="AA127" s="2" t="str" cm="1">
        <f t="array" ref="AA127">_xlfn.XLOOKUP(Runge3[[#This Row],[Tecnología]]&amp;Runge3[[#This Row],[Problema]],TbNombres[Tecnología]&amp;TbNombres[Problema],TbNombres[Nombre])</f>
        <v>Brusselator1d</v>
      </c>
      <c r="AB127" s="21">
        <v>1</v>
      </c>
      <c r="AC127" s="21">
        <v>3</v>
      </c>
      <c r="AD127" s="21">
        <v>1</v>
      </c>
      <c r="AE127" s="21">
        <v>25000</v>
      </c>
      <c r="AF127" s="21">
        <v>50000</v>
      </c>
      <c r="AG127" s="21">
        <v>700.17600000000004</v>
      </c>
    </row>
    <row r="128" spans="2:33" x14ac:dyDescent="0.2">
      <c r="B128" s="1" t="str">
        <f>_xlfn.XLOOKUP(Runge1[[#This Row],[Metodo]],TbSolver[Metodo],TbSolver[Solver])</f>
        <v>Runge Kutta</v>
      </c>
      <c r="C128" s="1" t="str">
        <f>_xlfn.XLOOKUP(Runge1[[#This Row],[Hebras]],TbTecnologia[Hebras],TbTecnologia[Tecnología])</f>
        <v>OMP</v>
      </c>
      <c r="D128" s="1" t="str" cm="1">
        <f t="array" ref="D128">_xlfn.XLOOKUP(Runge1[[#This Row],[Tecnología]]&amp;Runge1[[#This Row],[Metodo]],TbTipos[Tecnología]&amp;TbTipos[Metodo],TbTipos[Tipo])</f>
        <v>OMP Elementos</v>
      </c>
      <c r="E128" s="1" t="str" cm="1">
        <f t="array" ref="E128">_xlfn.XLOOKUP(Runge1[[#This Row],[Tecnología]]&amp;Runge1[[#This Row],[Problema]],TbNombres[Tecnología]&amp;TbNombres[Problema],TbNombres[Nombre])</f>
        <v>Simple Advdiff</v>
      </c>
      <c r="F128" s="20">
        <v>2</v>
      </c>
      <c r="G128" s="20">
        <v>1</v>
      </c>
      <c r="H128" s="20">
        <v>1</v>
      </c>
      <c r="I128" s="20">
        <v>50000</v>
      </c>
      <c r="J128" s="20">
        <v>50000</v>
      </c>
      <c r="K128" s="20">
        <v>1568.93</v>
      </c>
      <c r="M128" s="2" t="str">
        <f>_xlfn.XLOOKUP(Runge2[[#This Row],[Metodo]],TbSolver[Metodo],TbSolver[Solver])</f>
        <v>Runge Kutta</v>
      </c>
      <c r="N128" s="2" t="str">
        <f>_xlfn.XLOOKUP(Runge2[[#This Row],[Hebras]],TbTecnologia[Hebras],TbTecnologia[Tecnología])</f>
        <v>OMP</v>
      </c>
      <c r="O128" s="4" t="str" cm="1">
        <f t="array" ref="O128">_xlfn.XLOOKUP(Runge2[[#This Row],[Tecnología]]&amp;Runge2[[#This Row],[Metodo]],TbTipos[Tecnología]&amp;TbTipos[Metodo],TbTipos[Tipo])</f>
        <v>OMP Elementos</v>
      </c>
      <c r="P128" s="4" t="str" cm="1">
        <f t="array" ref="P128">_xlfn.XLOOKUP(Runge2[[#This Row],[Tecnología]]&amp;Runge2[[#This Row],[Problema]],TbNombres[Tecnología]&amp;TbNombres[Problema],TbNombres[Nombre])</f>
        <v>Advdiff1d</v>
      </c>
      <c r="Q128" s="21">
        <v>2</v>
      </c>
      <c r="R128" s="21">
        <v>2</v>
      </c>
      <c r="S128" s="21">
        <v>1</v>
      </c>
      <c r="T128" s="21">
        <v>50000</v>
      </c>
      <c r="U128" s="21">
        <v>50000</v>
      </c>
      <c r="V128" s="21">
        <v>5879.78</v>
      </c>
      <c r="X128" s="2" t="str">
        <f>_xlfn.XLOOKUP(Runge3[[#This Row],[Metodo]],TbSolver[Metodo],TbSolver[Solver])</f>
        <v>Runge Kutta</v>
      </c>
      <c r="Y128" s="2" t="str">
        <f>_xlfn.XLOOKUP(Runge3[[#This Row],[Hebras]],TbTecnologia[Hebras],TbTecnologia[Tecnología])</f>
        <v>OMP</v>
      </c>
      <c r="Z128" s="2" t="str" cm="1">
        <f t="array" ref="Z128">_xlfn.XLOOKUP(Runge3[[#This Row],[Tecnología]]&amp;Runge3[[#This Row],[Metodo]],TbTipos[Tecnología]&amp;TbTipos[Metodo],TbTipos[Tipo])</f>
        <v>OMP Elementos</v>
      </c>
      <c r="AA128" s="2" t="str" cm="1">
        <f t="array" ref="AA128">_xlfn.XLOOKUP(Runge3[[#This Row],[Tecnología]]&amp;Runge3[[#This Row],[Problema]],TbNombres[Tecnología]&amp;TbNombres[Problema],TbNombres[Nombre])</f>
        <v>Brusselator1d</v>
      </c>
      <c r="AB128" s="21">
        <v>2</v>
      </c>
      <c r="AC128" s="21">
        <v>3</v>
      </c>
      <c r="AD128" s="21">
        <v>1</v>
      </c>
      <c r="AE128" s="21">
        <v>25000</v>
      </c>
      <c r="AF128" s="21">
        <v>50000</v>
      </c>
      <c r="AG128" s="21">
        <v>1247.83</v>
      </c>
    </row>
    <row r="129" spans="2:33" x14ac:dyDescent="0.2">
      <c r="B129" s="1" t="str">
        <f>_xlfn.XLOOKUP(Runge1[[#This Row],[Metodo]],TbSolver[Metodo],TbSolver[Solver])</f>
        <v>Runge Kutta</v>
      </c>
      <c r="C129" s="1" t="str">
        <f>_xlfn.XLOOKUP(Runge1[[#This Row],[Hebras]],TbTecnologia[Hebras],TbTecnologia[Tecnología])</f>
        <v>CUDA</v>
      </c>
      <c r="D129" s="1" t="str" cm="1">
        <f t="array" ref="D129">_xlfn.XLOOKUP(Runge1[[#This Row],[Tecnología]]&amp;Runge1[[#This Row],[Metodo]],TbTipos[Tecnología]&amp;TbTipos[Metodo],TbTipos[Tipo])</f>
        <v>CUDA con graph</v>
      </c>
      <c r="E129" s="1" t="str" cm="1">
        <f t="array" ref="E129">_xlfn.XLOOKUP(Runge1[[#This Row],[Tecnología]]&amp;Runge1[[#This Row],[Problema]],TbNombres[Tecnología]&amp;TbNombres[Problema],TbNombres[Nombre])</f>
        <v>Simple Advdiff</v>
      </c>
      <c r="F129" s="20">
        <v>2</v>
      </c>
      <c r="G129" s="20">
        <v>1</v>
      </c>
      <c r="H129" s="20">
        <v>256</v>
      </c>
      <c r="I129" s="20">
        <v>75000</v>
      </c>
      <c r="J129" s="20">
        <v>75000</v>
      </c>
      <c r="K129" s="20">
        <v>28.390499999999999</v>
      </c>
      <c r="M129" s="4" t="str">
        <f>_xlfn.XLOOKUP(Runge2[[#This Row],[Metodo]],TbSolver[Metodo],TbSolver[Solver])</f>
        <v>Runge Kutta</v>
      </c>
      <c r="N129" s="4" t="str">
        <f>_xlfn.XLOOKUP(Runge2[[#This Row],[Hebras]],TbTecnologia[Hebras],TbTecnologia[Tecnología])</f>
        <v>CUDA</v>
      </c>
      <c r="O129" s="4" t="str" cm="1">
        <f t="array" ref="O129">_xlfn.XLOOKUP(Runge2[[#This Row],[Tecnología]]&amp;Runge2[[#This Row],[Metodo]],TbTipos[Tecnología]&amp;TbTipos[Metodo],TbTipos[Tipo])</f>
        <v>CUDA con graph</v>
      </c>
      <c r="P129" s="4" t="str" cm="1">
        <f t="array" ref="P129">_xlfn.XLOOKUP(Runge2[[#This Row],[Tecnología]]&amp;Runge2[[#This Row],[Problema]],TbNombres[Tecnología]&amp;TbNombres[Problema],TbNombres[Nombre])</f>
        <v>Advdiff1d</v>
      </c>
      <c r="Q129" s="4">
        <v>2</v>
      </c>
      <c r="R129" s="4">
        <v>3</v>
      </c>
      <c r="S129" s="4">
        <v>256</v>
      </c>
      <c r="T129" s="4">
        <v>75000</v>
      </c>
      <c r="U129" s="4">
        <v>75000</v>
      </c>
      <c r="V129" s="4">
        <v>111.44499999999999</v>
      </c>
      <c r="X129" s="2" t="str">
        <f>_xlfn.XLOOKUP(Runge3[[#This Row],[Metodo]],TbSolver[Metodo],TbSolver[Solver])</f>
        <v>Runge Kutta</v>
      </c>
      <c r="Y129" s="2" t="str">
        <f>_xlfn.XLOOKUP(Runge3[[#This Row],[Hebras]],TbTecnologia[Hebras],TbTecnologia[Tecnología])</f>
        <v>CUDA</v>
      </c>
      <c r="Z129" s="2" t="str" cm="1">
        <f t="array" ref="Z129">_xlfn.XLOOKUP(Runge3[[#This Row],[Tecnología]]&amp;Runge3[[#This Row],[Metodo]],TbTipos[Tecnología]&amp;TbTipos[Metodo],TbTipos[Tipo])</f>
        <v>CUDA con graph</v>
      </c>
      <c r="AA129" s="2" t="str" cm="1">
        <f t="array" ref="AA129">_xlfn.XLOOKUP(Runge3[[#This Row],[Tecnología]]&amp;Runge3[[#This Row],[Problema]],TbNombres[Tecnología]&amp;TbNombres[Problema],TbNombres[Nombre])</f>
        <v>Brusselator1d</v>
      </c>
      <c r="AB129" s="21">
        <v>2</v>
      </c>
      <c r="AC129" s="21">
        <v>5</v>
      </c>
      <c r="AD129" s="21">
        <v>256</v>
      </c>
      <c r="AE129" s="21">
        <v>30000</v>
      </c>
      <c r="AF129" s="21">
        <v>60000</v>
      </c>
      <c r="AG129" s="21">
        <v>30.177800000000001</v>
      </c>
    </row>
    <row r="130" spans="2:33" x14ac:dyDescent="0.2">
      <c r="B130" s="1" t="str">
        <f>_xlfn.XLOOKUP(Runge1[[#This Row],[Metodo]],TbSolver[Metodo],TbSolver[Solver])</f>
        <v>Runge Kutta</v>
      </c>
      <c r="C130" s="1" t="str">
        <f>_xlfn.XLOOKUP(Runge1[[#This Row],[Hebras]],TbTecnologia[Hebras],TbTecnologia[Tecnología])</f>
        <v>CUDA</v>
      </c>
      <c r="D130" s="1" t="str" cm="1">
        <f t="array" ref="D130">_xlfn.XLOOKUP(Runge1[[#This Row],[Tecnología]]&amp;Runge1[[#This Row],[Metodo]],TbTipos[Tecnología]&amp;TbTipos[Metodo],TbTipos[Tipo])</f>
        <v>CUDA con graph</v>
      </c>
      <c r="E130" s="1" t="str" cm="1">
        <f t="array" ref="E130">_xlfn.XLOOKUP(Runge1[[#This Row],[Tecnología]]&amp;Runge1[[#This Row],[Problema]],TbNombres[Tecnología]&amp;TbNombres[Problema],TbNombres[Nombre])</f>
        <v>Simple Advdiff</v>
      </c>
      <c r="F130" s="1">
        <v>2</v>
      </c>
      <c r="G130" s="1">
        <v>1</v>
      </c>
      <c r="H130" s="1">
        <v>256</v>
      </c>
      <c r="I130" s="1">
        <v>75000</v>
      </c>
      <c r="J130" s="1">
        <v>75000</v>
      </c>
      <c r="K130" s="1">
        <v>28.4298</v>
      </c>
      <c r="M130" s="2" t="str">
        <f>_xlfn.XLOOKUP(Runge2[[#This Row],[Metodo]],TbSolver[Metodo],TbSolver[Solver])</f>
        <v>Runge Kutta</v>
      </c>
      <c r="N130" s="2" t="str">
        <f>_xlfn.XLOOKUP(Runge2[[#This Row],[Hebras]],TbTecnologia[Hebras],TbTecnologia[Tecnología])</f>
        <v>CUDA</v>
      </c>
      <c r="O130" s="4" t="str" cm="1">
        <f t="array" ref="O130">_xlfn.XLOOKUP(Runge2[[#This Row],[Tecnología]]&amp;Runge2[[#This Row],[Metodo]],TbTipos[Tecnología]&amp;TbTipos[Metodo],TbTipos[Tipo])</f>
        <v>CUDA con graph</v>
      </c>
      <c r="P130" s="4" t="str" cm="1">
        <f t="array" ref="P130">_xlfn.XLOOKUP(Runge2[[#This Row],[Tecnología]]&amp;Runge2[[#This Row],[Problema]],TbNombres[Tecnología]&amp;TbNombres[Problema],TbNombres[Nombre])</f>
        <v>Advdiff1d</v>
      </c>
      <c r="Q130" s="21">
        <v>2</v>
      </c>
      <c r="R130" s="21">
        <v>3</v>
      </c>
      <c r="S130" s="21">
        <v>256</v>
      </c>
      <c r="T130" s="21">
        <v>75000</v>
      </c>
      <c r="U130" s="21">
        <v>75000</v>
      </c>
      <c r="V130" s="21">
        <v>112.839</v>
      </c>
      <c r="X130" s="2" t="str">
        <f>_xlfn.XLOOKUP(Runge3[[#This Row],[Metodo]],TbSolver[Metodo],TbSolver[Solver])</f>
        <v>Runge Kutta</v>
      </c>
      <c r="Y130" s="2" t="str">
        <f>_xlfn.XLOOKUP(Runge3[[#This Row],[Hebras]],TbTecnologia[Hebras],TbTecnologia[Tecnología])</f>
        <v>CUDA</v>
      </c>
      <c r="Z130" s="2" t="str" cm="1">
        <f t="array" ref="Z130">_xlfn.XLOOKUP(Runge3[[#This Row],[Tecnología]]&amp;Runge3[[#This Row],[Metodo]],TbTipos[Tecnología]&amp;TbTipos[Metodo],TbTipos[Tipo])</f>
        <v>CUDA sin graph</v>
      </c>
      <c r="AA130" s="2" t="str" cm="1">
        <f t="array" ref="AA130">_xlfn.XLOOKUP(Runge3[[#This Row],[Tecnología]]&amp;Runge3[[#This Row],[Problema]],TbNombres[Tecnología]&amp;TbNombres[Problema],TbNombres[Nombre])</f>
        <v>Brusselator1d</v>
      </c>
      <c r="AB130" s="21">
        <v>1</v>
      </c>
      <c r="AC130" s="21">
        <v>5</v>
      </c>
      <c r="AD130" s="21">
        <v>256</v>
      </c>
      <c r="AE130" s="21">
        <v>30000</v>
      </c>
      <c r="AF130" s="21">
        <v>60000</v>
      </c>
      <c r="AG130" s="21">
        <v>33.410499999999999</v>
      </c>
    </row>
    <row r="131" spans="2:33" x14ac:dyDescent="0.2">
      <c r="B131" s="1" t="str">
        <f>_xlfn.XLOOKUP(Runge1[[#This Row],[Metodo]],TbSolver[Metodo],TbSolver[Solver])</f>
        <v>Runge Kutta</v>
      </c>
      <c r="C131" s="1" t="str">
        <f>_xlfn.XLOOKUP(Runge1[[#This Row],[Hebras]],TbTecnologia[Hebras],TbTecnologia[Tecnología])</f>
        <v>CUDA</v>
      </c>
      <c r="D131" s="1" t="str" cm="1">
        <f t="array" ref="D131">_xlfn.XLOOKUP(Runge1[[#This Row],[Tecnología]]&amp;Runge1[[#This Row],[Metodo]],TbTipos[Tecnología]&amp;TbTipos[Metodo],TbTipos[Tipo])</f>
        <v>CUDA sin graph</v>
      </c>
      <c r="E131" s="1" t="str" cm="1">
        <f t="array" ref="E131">_xlfn.XLOOKUP(Runge1[[#This Row],[Tecnología]]&amp;Runge1[[#This Row],[Problema]],TbNombres[Tecnología]&amp;TbNombres[Problema],TbNombres[Nombre])</f>
        <v>Simple Advdiff</v>
      </c>
      <c r="F131" s="20">
        <v>1</v>
      </c>
      <c r="G131" s="20">
        <v>1</v>
      </c>
      <c r="H131" s="20">
        <v>256</v>
      </c>
      <c r="I131" s="20">
        <v>75000</v>
      </c>
      <c r="J131" s="20">
        <v>75000</v>
      </c>
      <c r="K131" s="20">
        <v>31.2439</v>
      </c>
      <c r="M131" s="2" t="str">
        <f>_xlfn.XLOOKUP(Runge2[[#This Row],[Metodo]],TbSolver[Metodo],TbSolver[Solver])</f>
        <v>Runge Kutta</v>
      </c>
      <c r="N131" s="2" t="str">
        <f>_xlfn.XLOOKUP(Runge2[[#This Row],[Hebras]],TbTecnologia[Hebras],TbTecnologia[Tecnología])</f>
        <v>CUDA</v>
      </c>
      <c r="O131" s="2" t="str" cm="1">
        <f t="array" ref="O131">_xlfn.XLOOKUP(Runge2[[#This Row],[Tecnología]]&amp;Runge2[[#This Row],[Metodo]],TbTipos[Tecnología]&amp;TbTipos[Metodo],TbTipos[Tipo])</f>
        <v>CUDA sin graph</v>
      </c>
      <c r="P131" s="2" t="str" cm="1">
        <f t="array" ref="P131">_xlfn.XLOOKUP(Runge2[[#This Row],[Tecnología]]&amp;Runge2[[#This Row],[Problema]],TbNombres[Tecnología]&amp;TbNombres[Problema],TbNombres[Nombre])</f>
        <v>Advdiff1d</v>
      </c>
      <c r="Q131" s="2">
        <v>1</v>
      </c>
      <c r="R131" s="2">
        <v>3</v>
      </c>
      <c r="S131" s="2">
        <v>256</v>
      </c>
      <c r="T131" s="2">
        <v>75000</v>
      </c>
      <c r="U131" s="2">
        <v>75000</v>
      </c>
      <c r="V131" s="2">
        <v>113.012</v>
      </c>
      <c r="X131" s="2" t="str">
        <f>_xlfn.XLOOKUP(Runge3[[#This Row],[Metodo]],TbSolver[Metodo],TbSolver[Solver])</f>
        <v>Runge Kutta</v>
      </c>
      <c r="Y131" s="2" t="str">
        <f>_xlfn.XLOOKUP(Runge3[[#This Row],[Hebras]],TbTecnologia[Hebras],TbTecnologia[Tecnología])</f>
        <v>OMP</v>
      </c>
      <c r="Z131" s="2" t="str" cm="1">
        <f t="array" ref="Z131">_xlfn.XLOOKUP(Runge3[[#This Row],[Tecnología]]&amp;Runge3[[#This Row],[Metodo]],TbTipos[Tecnología]&amp;TbTipos[Metodo],TbTipos[Tipo])</f>
        <v>OMP Elementos</v>
      </c>
      <c r="AA131" s="2" t="str" cm="1">
        <f t="array" ref="AA131">_xlfn.XLOOKUP(Runge3[[#This Row],[Tecnología]]&amp;Runge3[[#This Row],[Problema]],TbNombres[Tecnología]&amp;TbNombres[Problema],TbNombres[Nombre])</f>
        <v>Brusselator1d</v>
      </c>
      <c r="AB131" s="21">
        <v>2</v>
      </c>
      <c r="AC131" s="21">
        <v>3</v>
      </c>
      <c r="AD131" s="21">
        <v>16</v>
      </c>
      <c r="AE131" s="21">
        <v>30000</v>
      </c>
      <c r="AF131" s="21">
        <v>60000</v>
      </c>
      <c r="AG131" s="21">
        <v>120.941</v>
      </c>
    </row>
    <row r="132" spans="2:33" x14ac:dyDescent="0.2">
      <c r="B132" s="1" t="str">
        <f>_xlfn.XLOOKUP(Runge1[[#This Row],[Metodo]],TbSolver[Metodo],TbSolver[Solver])</f>
        <v>Runge Kutta</v>
      </c>
      <c r="C132" s="1" t="str">
        <f>_xlfn.XLOOKUP(Runge1[[#This Row],[Hebras]],TbTecnologia[Hebras],TbTecnologia[Tecnología])</f>
        <v>CUDA</v>
      </c>
      <c r="D132" s="1" t="str" cm="1">
        <f t="array" ref="D132">_xlfn.XLOOKUP(Runge1[[#This Row],[Tecnología]]&amp;Runge1[[#This Row],[Metodo]],TbTipos[Tecnología]&amp;TbTipos[Metodo],TbTipos[Tipo])</f>
        <v>CUDA sin graph</v>
      </c>
      <c r="E132" s="1" t="str" cm="1">
        <f t="array" ref="E132">_xlfn.XLOOKUP(Runge1[[#This Row],[Tecnología]]&amp;Runge1[[#This Row],[Problema]],TbNombres[Tecnología]&amp;TbNombres[Problema],TbNombres[Nombre])</f>
        <v>Simple Advdiff</v>
      </c>
      <c r="F132" s="1">
        <v>1</v>
      </c>
      <c r="G132" s="1">
        <v>1</v>
      </c>
      <c r="H132" s="1">
        <v>256</v>
      </c>
      <c r="I132" s="1">
        <v>75000</v>
      </c>
      <c r="J132" s="1">
        <v>75000</v>
      </c>
      <c r="K132" s="1">
        <v>31.302900000000001</v>
      </c>
      <c r="M132" s="2" t="str">
        <f>_xlfn.XLOOKUP(Runge2[[#This Row],[Metodo]],TbSolver[Metodo],TbSolver[Solver])</f>
        <v>Runge Kutta</v>
      </c>
      <c r="N132" s="2" t="str">
        <f>_xlfn.XLOOKUP(Runge2[[#This Row],[Hebras]],TbTecnologia[Hebras],TbTecnologia[Tecnología])</f>
        <v>CUDA</v>
      </c>
      <c r="O132" s="4" t="str" cm="1">
        <f t="array" ref="O132">_xlfn.XLOOKUP(Runge2[[#This Row],[Tecnología]]&amp;Runge2[[#This Row],[Metodo]],TbTipos[Tecnología]&amp;TbTipos[Metodo],TbTipos[Tipo])</f>
        <v>CUDA sin graph</v>
      </c>
      <c r="P132" s="4" t="str" cm="1">
        <f t="array" ref="P132">_xlfn.XLOOKUP(Runge2[[#This Row],[Tecnología]]&amp;Runge2[[#This Row],[Problema]],TbNombres[Tecnología]&amp;TbNombres[Problema],TbNombres[Nombre])</f>
        <v>Advdiff1d</v>
      </c>
      <c r="Q132" s="21">
        <v>1</v>
      </c>
      <c r="R132" s="21">
        <v>3</v>
      </c>
      <c r="S132" s="21">
        <v>256</v>
      </c>
      <c r="T132" s="21">
        <v>75000</v>
      </c>
      <c r="U132" s="21">
        <v>75000</v>
      </c>
      <c r="V132" s="21">
        <v>115.03100000000001</v>
      </c>
      <c r="X132" s="2" t="str">
        <f>_xlfn.XLOOKUP(Runge3[[#This Row],[Metodo]],TbSolver[Metodo],TbSolver[Solver])</f>
        <v>Runge Kutta</v>
      </c>
      <c r="Y132" s="2" t="str">
        <f>_xlfn.XLOOKUP(Runge3[[#This Row],[Hebras]],TbTecnologia[Hebras],TbTecnologia[Tecnología])</f>
        <v>OMP</v>
      </c>
      <c r="Z132" s="2" t="str" cm="1">
        <f t="array" ref="Z132">_xlfn.XLOOKUP(Runge3[[#This Row],[Tecnología]]&amp;Runge3[[#This Row],[Metodo]],TbTipos[Tecnología]&amp;TbTipos[Metodo],TbTipos[Tipo])</f>
        <v>OMP Operaciones</v>
      </c>
      <c r="AA132" s="2" t="str" cm="1">
        <f t="array" ref="AA132">_xlfn.XLOOKUP(Runge3[[#This Row],[Tecnología]]&amp;Runge3[[#This Row],[Problema]],TbNombres[Tecnología]&amp;TbNombres[Problema],TbNombres[Nombre])</f>
        <v>Brusselator1d</v>
      </c>
      <c r="AB132" s="21">
        <v>1</v>
      </c>
      <c r="AC132" s="21">
        <v>3</v>
      </c>
      <c r="AD132" s="21">
        <v>16</v>
      </c>
      <c r="AE132" s="21">
        <v>30000</v>
      </c>
      <c r="AF132" s="21">
        <v>60000</v>
      </c>
      <c r="AG132" s="21">
        <v>145.535</v>
      </c>
    </row>
    <row r="133" spans="2:33" x14ac:dyDescent="0.2">
      <c r="B133" s="1" t="str">
        <f>_xlfn.XLOOKUP(Runge1[[#This Row],[Metodo]],TbSolver[Metodo],TbSolver[Solver])</f>
        <v>Runge Kutta</v>
      </c>
      <c r="C133" s="1" t="str">
        <f>_xlfn.XLOOKUP(Runge1[[#This Row],[Hebras]],TbTecnologia[Hebras],TbTecnologia[Tecnología])</f>
        <v>CUDA</v>
      </c>
      <c r="D133" s="1" t="str" cm="1">
        <f t="array" ref="D133">_xlfn.XLOOKUP(Runge1[[#This Row],[Tecnología]]&amp;Runge1[[#This Row],[Metodo]],TbTipos[Tecnología]&amp;TbTipos[Metodo],TbTipos[Tipo])</f>
        <v>CUDA con graph</v>
      </c>
      <c r="E133" s="1" t="str" cm="1">
        <f t="array" ref="E133">_xlfn.XLOOKUP(Runge1[[#This Row],[Tecnología]]&amp;Runge1[[#This Row],[Problema]],TbNombres[Tecnología]&amp;TbNombres[Problema],TbNombres[Nombre])</f>
        <v>Simple Advdiff</v>
      </c>
      <c r="F133" s="1">
        <v>2</v>
      </c>
      <c r="G133" s="1">
        <v>1</v>
      </c>
      <c r="H133" s="1">
        <v>256</v>
      </c>
      <c r="I133" s="1">
        <v>100000</v>
      </c>
      <c r="J133" s="1">
        <v>100000</v>
      </c>
      <c r="K133" s="1">
        <v>32.409700000000001</v>
      </c>
      <c r="M133" s="4" t="str">
        <f>_xlfn.XLOOKUP(Runge2[[#This Row],[Metodo]],TbSolver[Metodo],TbSolver[Solver])</f>
        <v>Runge Kutta</v>
      </c>
      <c r="N133" s="4" t="str">
        <f>_xlfn.XLOOKUP(Runge2[[#This Row],[Hebras]],TbTecnologia[Hebras],TbTecnologia[Tecnología])</f>
        <v>CUDA</v>
      </c>
      <c r="O133" s="4" t="str" cm="1">
        <f t="array" ref="O133">_xlfn.XLOOKUP(Runge2[[#This Row],[Tecnología]]&amp;Runge2[[#This Row],[Metodo]],TbTipos[Tecnología]&amp;TbTipos[Metodo],TbTipos[Tipo])</f>
        <v>CUDA con graph</v>
      </c>
      <c r="P133" s="4" t="str" cm="1">
        <f t="array" ref="P133">_xlfn.XLOOKUP(Runge2[[#This Row],[Tecnología]]&amp;Runge2[[#This Row],[Problema]],TbNombres[Tecnología]&amp;TbNombres[Problema],TbNombres[Nombre])</f>
        <v>Advdiff1d</v>
      </c>
      <c r="Q133" s="4">
        <v>2</v>
      </c>
      <c r="R133" s="4">
        <v>3</v>
      </c>
      <c r="S133" s="4">
        <v>256</v>
      </c>
      <c r="T133" s="4">
        <v>100000</v>
      </c>
      <c r="U133" s="4">
        <v>100000</v>
      </c>
      <c r="V133" s="4">
        <v>132.828</v>
      </c>
      <c r="X133" s="2" t="str">
        <f>_xlfn.XLOOKUP(Runge3[[#This Row],[Metodo]],TbSolver[Metodo],TbSolver[Solver])</f>
        <v>Runge Kutta</v>
      </c>
      <c r="Y133" s="2" t="str">
        <f>_xlfn.XLOOKUP(Runge3[[#This Row],[Hebras]],TbTecnologia[Hebras],TbTecnologia[Tecnología])</f>
        <v>OMP</v>
      </c>
      <c r="Z133" s="2" t="str" cm="1">
        <f t="array" ref="Z133">_xlfn.XLOOKUP(Runge3[[#This Row],[Tecnología]]&amp;Runge3[[#This Row],[Metodo]],TbTipos[Tecnología]&amp;TbTipos[Metodo],TbTipos[Tipo])</f>
        <v>OMP Operaciones</v>
      </c>
      <c r="AA133" s="2" t="str" cm="1">
        <f t="array" ref="AA133">_xlfn.XLOOKUP(Runge3[[#This Row],[Tecnología]]&amp;Runge3[[#This Row],[Problema]],TbNombres[Tecnología]&amp;TbNombres[Problema],TbNombres[Nombre])</f>
        <v>Brusselator1d</v>
      </c>
      <c r="AB133" s="21">
        <v>1</v>
      </c>
      <c r="AC133" s="21">
        <v>3</v>
      </c>
      <c r="AD133" s="21">
        <v>4</v>
      </c>
      <c r="AE133" s="21">
        <v>30000</v>
      </c>
      <c r="AF133" s="21">
        <v>60000</v>
      </c>
      <c r="AG133" s="21">
        <v>233.30699999999999</v>
      </c>
    </row>
    <row r="134" spans="2:33" x14ac:dyDescent="0.2">
      <c r="B134" s="1" t="str">
        <f>_xlfn.XLOOKUP(Runge1[[#This Row],[Metodo]],TbSolver[Metodo],TbSolver[Solver])</f>
        <v>Runge Kutta</v>
      </c>
      <c r="C134" s="1" t="str">
        <f>_xlfn.XLOOKUP(Runge1[[#This Row],[Hebras]],TbTecnologia[Hebras],TbTecnologia[Tecnología])</f>
        <v>CUDA</v>
      </c>
      <c r="D134" s="1" t="str" cm="1">
        <f t="array" ref="D134">_xlfn.XLOOKUP(Runge1[[#This Row],[Tecnología]]&amp;Runge1[[#This Row],[Metodo]],TbTipos[Tecnología]&amp;TbTipos[Metodo],TbTipos[Tipo])</f>
        <v>CUDA sin graph</v>
      </c>
      <c r="E134" s="1" t="str" cm="1">
        <f t="array" ref="E134">_xlfn.XLOOKUP(Runge1[[#This Row],[Tecnología]]&amp;Runge1[[#This Row],[Problema]],TbNombres[Tecnología]&amp;TbNombres[Problema],TbNombres[Nombre])</f>
        <v>Simple Advdiff</v>
      </c>
      <c r="F134" s="1">
        <v>1</v>
      </c>
      <c r="G134" s="1">
        <v>1</v>
      </c>
      <c r="H134" s="1">
        <v>256</v>
      </c>
      <c r="I134" s="1">
        <v>100000</v>
      </c>
      <c r="J134" s="1">
        <v>100000</v>
      </c>
      <c r="K134" s="1">
        <v>36.124099999999999</v>
      </c>
      <c r="M134" s="2" t="str">
        <f>_xlfn.XLOOKUP(Runge2[[#This Row],[Metodo]],TbSolver[Metodo],TbSolver[Solver])</f>
        <v>Runge Kutta</v>
      </c>
      <c r="N134" s="2" t="str">
        <f>_xlfn.XLOOKUP(Runge2[[#This Row],[Hebras]],TbTecnologia[Hebras],TbTecnologia[Tecnología])</f>
        <v>CUDA</v>
      </c>
      <c r="O134" s="2" t="str" cm="1">
        <f t="array" ref="O134">_xlfn.XLOOKUP(Runge2[[#This Row],[Tecnología]]&amp;Runge2[[#This Row],[Metodo]],TbTipos[Tecnología]&amp;TbTipos[Metodo],TbTipos[Tipo])</f>
        <v>CUDA sin graph</v>
      </c>
      <c r="P134" s="2" t="str" cm="1">
        <f t="array" ref="P134">_xlfn.XLOOKUP(Runge2[[#This Row],[Tecnología]]&amp;Runge2[[#This Row],[Problema]],TbNombres[Tecnología]&amp;TbNombres[Problema],TbNombres[Nombre])</f>
        <v>Advdiff1d</v>
      </c>
      <c r="Q134" s="2">
        <v>1</v>
      </c>
      <c r="R134" s="2">
        <v>3</v>
      </c>
      <c r="S134" s="2">
        <v>256</v>
      </c>
      <c r="T134" s="2">
        <v>100000</v>
      </c>
      <c r="U134" s="2">
        <v>100000</v>
      </c>
      <c r="V134" s="2">
        <v>134.52500000000001</v>
      </c>
      <c r="X134" s="2" t="str">
        <f>_xlfn.XLOOKUP(Runge3[[#This Row],[Metodo]],TbSolver[Metodo],TbSolver[Solver])</f>
        <v>Runge Kutta</v>
      </c>
      <c r="Y134" s="2" t="str">
        <f>_xlfn.XLOOKUP(Runge3[[#This Row],[Hebras]],TbTecnologia[Hebras],TbTecnologia[Tecnología])</f>
        <v>OMP</v>
      </c>
      <c r="Z134" s="2" t="str" cm="1">
        <f t="array" ref="Z134">_xlfn.XLOOKUP(Runge3[[#This Row],[Tecnología]]&amp;Runge3[[#This Row],[Metodo]],TbTipos[Tecnología]&amp;TbTipos[Metodo],TbTipos[Tipo])</f>
        <v>OMP Elementos</v>
      </c>
      <c r="AA134" s="2" t="str" cm="1">
        <f t="array" ref="AA134">_xlfn.XLOOKUP(Runge3[[#This Row],[Tecnología]]&amp;Runge3[[#This Row],[Problema]],TbNombres[Tecnología]&amp;TbNombres[Problema],TbNombres[Nombre])</f>
        <v>Brusselator1d</v>
      </c>
      <c r="AB134" s="21">
        <v>2</v>
      </c>
      <c r="AC134" s="21">
        <v>3</v>
      </c>
      <c r="AD134" s="21">
        <v>4</v>
      </c>
      <c r="AE134" s="21">
        <v>30000</v>
      </c>
      <c r="AF134" s="21">
        <v>60000</v>
      </c>
      <c r="AG134" s="21">
        <v>407.02499999999998</v>
      </c>
    </row>
    <row r="135" spans="2:33" x14ac:dyDescent="0.2">
      <c r="B135" s="1" t="str">
        <f>_xlfn.XLOOKUP(Runge1[[#This Row],[Metodo]],TbSolver[Metodo],TbSolver[Solver])</f>
        <v>Runge Kutta</v>
      </c>
      <c r="C135" s="1" t="str">
        <f>_xlfn.XLOOKUP(Runge1[[#This Row],[Hebras]],TbTecnologia[Hebras],TbTecnologia[Tecnología])</f>
        <v>CUDA</v>
      </c>
      <c r="D135" s="1" t="str" cm="1">
        <f t="array" ref="D135">_xlfn.XLOOKUP(Runge1[[#This Row],[Tecnología]]&amp;Runge1[[#This Row],[Metodo]],TbTipos[Tecnología]&amp;TbTipos[Metodo],TbTipos[Tipo])</f>
        <v>CUDA con graph</v>
      </c>
      <c r="E135" s="1" t="str" cm="1">
        <f t="array" ref="E135">_xlfn.XLOOKUP(Runge1[[#This Row],[Tecnología]]&amp;Runge1[[#This Row],[Problema]],TbNombres[Tecnología]&amp;TbNombres[Problema],TbNombres[Nombre])</f>
        <v>Simple Advdiff</v>
      </c>
      <c r="F135" s="20">
        <v>2</v>
      </c>
      <c r="G135" s="20">
        <v>1</v>
      </c>
      <c r="H135" s="20">
        <v>256</v>
      </c>
      <c r="I135" s="20">
        <v>125000</v>
      </c>
      <c r="J135" s="20">
        <v>125000</v>
      </c>
      <c r="K135" s="20">
        <v>41.174799999999998</v>
      </c>
      <c r="M135" s="2" t="str">
        <f>_xlfn.XLOOKUP(Runge2[[#This Row],[Metodo]],TbSolver[Metodo],TbSolver[Solver])</f>
        <v>Runge Kutta</v>
      </c>
      <c r="N135" s="2" t="str">
        <f>_xlfn.XLOOKUP(Runge2[[#This Row],[Hebras]],TbTecnologia[Hebras],TbTecnologia[Tecnología])</f>
        <v>CUDA</v>
      </c>
      <c r="O135" s="4" t="str" cm="1">
        <f t="array" ref="O135">_xlfn.XLOOKUP(Runge2[[#This Row],[Tecnología]]&amp;Runge2[[#This Row],[Metodo]],TbTipos[Tecnología]&amp;TbTipos[Metodo],TbTipos[Tipo])</f>
        <v>CUDA con graph</v>
      </c>
      <c r="P135" s="4" t="str" cm="1">
        <f t="array" ref="P135">_xlfn.XLOOKUP(Runge2[[#This Row],[Tecnología]]&amp;Runge2[[#This Row],[Problema]],TbNombres[Tecnología]&amp;TbNombres[Problema],TbNombres[Nombre])</f>
        <v>Advdiff1d</v>
      </c>
      <c r="Q135" s="21">
        <v>2</v>
      </c>
      <c r="R135" s="21">
        <v>3</v>
      </c>
      <c r="S135" s="21">
        <v>256</v>
      </c>
      <c r="T135" s="21">
        <v>125000</v>
      </c>
      <c r="U135" s="21">
        <v>125000</v>
      </c>
      <c r="V135" s="21">
        <v>178.21199999999999</v>
      </c>
      <c r="X135" s="2" t="str">
        <f>_xlfn.XLOOKUP(Runge3[[#This Row],[Metodo]],TbSolver[Metodo],TbSolver[Solver])</f>
        <v>Runge Kutta</v>
      </c>
      <c r="Y135" s="2" t="str">
        <f>_xlfn.XLOOKUP(Runge3[[#This Row],[Hebras]],TbTecnologia[Hebras],TbTecnologia[Tecnología])</f>
        <v>OMP</v>
      </c>
      <c r="Z135" s="2" t="str" cm="1">
        <f t="array" ref="Z135">_xlfn.XLOOKUP(Runge3[[#This Row],[Tecnología]]&amp;Runge3[[#This Row],[Metodo]],TbTipos[Tecnología]&amp;TbTipos[Metodo],TbTipos[Tipo])</f>
        <v>OMP Operaciones</v>
      </c>
      <c r="AA135" s="2" t="str" cm="1">
        <f t="array" ref="AA135">_xlfn.XLOOKUP(Runge3[[#This Row],[Tecnología]]&amp;Runge3[[#This Row],[Problema]],TbNombres[Tecnología]&amp;TbNombres[Problema],TbNombres[Nombre])</f>
        <v>Brusselator1d</v>
      </c>
      <c r="AB135" s="21">
        <v>1</v>
      </c>
      <c r="AC135" s="21">
        <v>3</v>
      </c>
      <c r="AD135" s="21">
        <v>1</v>
      </c>
      <c r="AE135" s="21">
        <v>30000</v>
      </c>
      <c r="AF135" s="21">
        <v>60000</v>
      </c>
      <c r="AG135" s="21">
        <v>857.09</v>
      </c>
    </row>
    <row r="136" spans="2:33" x14ac:dyDescent="0.2">
      <c r="B136" s="1" t="str">
        <f>_xlfn.XLOOKUP(Runge1[[#This Row],[Metodo]],TbSolver[Metodo],TbSolver[Solver])</f>
        <v>Runge Kutta</v>
      </c>
      <c r="C136" s="1" t="str">
        <f>_xlfn.XLOOKUP(Runge1[[#This Row],[Hebras]],TbTecnologia[Hebras],TbTecnologia[Tecnología])</f>
        <v>CUDA</v>
      </c>
      <c r="D136" s="1" t="str" cm="1">
        <f t="array" ref="D136">_xlfn.XLOOKUP(Runge1[[#This Row],[Tecnología]]&amp;Runge1[[#This Row],[Metodo]],TbTipos[Tecnología]&amp;TbTipos[Metodo],TbTipos[Tipo])</f>
        <v>CUDA sin graph</v>
      </c>
      <c r="E136" s="1" t="str" cm="1">
        <f t="array" ref="E136">_xlfn.XLOOKUP(Runge1[[#This Row],[Tecnología]]&amp;Runge1[[#This Row],[Problema]],TbNombres[Tecnología]&amp;TbNombres[Problema],TbNombres[Nombre])</f>
        <v>Simple Advdiff</v>
      </c>
      <c r="F136" s="20">
        <v>1</v>
      </c>
      <c r="G136" s="20">
        <v>1</v>
      </c>
      <c r="H136" s="20">
        <v>256</v>
      </c>
      <c r="I136" s="20">
        <v>125000</v>
      </c>
      <c r="J136" s="20">
        <v>125000</v>
      </c>
      <c r="K136" s="20">
        <v>43.666499999999999</v>
      </c>
      <c r="M136" s="2" t="str">
        <f>_xlfn.XLOOKUP(Runge2[[#This Row],[Metodo]],TbSolver[Metodo],TbSolver[Solver])</f>
        <v>Runge Kutta</v>
      </c>
      <c r="N136" s="2" t="str">
        <f>_xlfn.XLOOKUP(Runge2[[#This Row],[Hebras]],TbTecnologia[Hebras],TbTecnologia[Tecnología])</f>
        <v>CUDA</v>
      </c>
      <c r="O136" s="4" t="str" cm="1">
        <f t="array" ref="O136">_xlfn.XLOOKUP(Runge2[[#This Row],[Tecnología]]&amp;Runge2[[#This Row],[Metodo]],TbTipos[Tecnología]&amp;TbTipos[Metodo],TbTipos[Tipo])</f>
        <v>CUDA sin graph</v>
      </c>
      <c r="P136" s="4" t="str" cm="1">
        <f t="array" ref="P136">_xlfn.XLOOKUP(Runge2[[#This Row],[Tecnología]]&amp;Runge2[[#This Row],[Problema]],TbNombres[Tecnología]&amp;TbNombres[Problema],TbNombres[Nombre])</f>
        <v>Advdiff1d</v>
      </c>
      <c r="Q136" s="21">
        <v>1</v>
      </c>
      <c r="R136" s="21">
        <v>3</v>
      </c>
      <c r="S136" s="21">
        <v>256</v>
      </c>
      <c r="T136" s="21">
        <v>125000</v>
      </c>
      <c r="U136" s="21">
        <v>125000</v>
      </c>
      <c r="V136" s="21">
        <v>179.36500000000001</v>
      </c>
      <c r="X136" s="2" t="str">
        <f>_xlfn.XLOOKUP(Runge3[[#This Row],[Metodo]],TbSolver[Metodo],TbSolver[Solver])</f>
        <v>Runge Kutta</v>
      </c>
      <c r="Y136" s="2" t="str">
        <f>_xlfn.XLOOKUP(Runge3[[#This Row],[Hebras]],TbTecnologia[Hebras],TbTecnologia[Tecnología])</f>
        <v>OMP</v>
      </c>
      <c r="Z136" s="2" t="str" cm="1">
        <f t="array" ref="Z136">_xlfn.XLOOKUP(Runge3[[#This Row],[Tecnología]]&amp;Runge3[[#This Row],[Metodo]],TbTipos[Tecnología]&amp;TbTipos[Metodo],TbTipos[Tipo])</f>
        <v>OMP Elementos</v>
      </c>
      <c r="AA136" s="2" t="str" cm="1">
        <f t="array" ref="AA136">_xlfn.XLOOKUP(Runge3[[#This Row],[Tecnología]]&amp;Runge3[[#This Row],[Problema]],TbNombres[Tecnología]&amp;TbNombres[Problema],TbNombres[Nombre])</f>
        <v>Brusselator1d</v>
      </c>
      <c r="AB136" s="21">
        <v>2</v>
      </c>
      <c r="AC136" s="21">
        <v>3</v>
      </c>
      <c r="AD136" s="21">
        <v>1</v>
      </c>
      <c r="AE136" s="21">
        <v>30000</v>
      </c>
      <c r="AF136" s="21">
        <v>60000</v>
      </c>
      <c r="AG136" s="21">
        <v>1504.08</v>
      </c>
    </row>
    <row r="137" spans="2:33" x14ac:dyDescent="0.2">
      <c r="B137" s="1" t="str">
        <f>_xlfn.XLOOKUP(Runge1[[#This Row],[Metodo]],TbSolver[Metodo],TbSolver[Solver])</f>
        <v>Runge Kutta</v>
      </c>
      <c r="C137" s="1" t="str">
        <f>_xlfn.XLOOKUP(Runge1[[#This Row],[Hebras]],TbTecnologia[Hebras],TbTecnologia[Tecnología])</f>
        <v>CUDA</v>
      </c>
      <c r="D137" s="1" t="str" cm="1">
        <f t="array" ref="D137">_xlfn.XLOOKUP(Runge1[[#This Row],[Tecnología]]&amp;Runge1[[#This Row],[Metodo]],TbTipos[Tecnología]&amp;TbTipos[Metodo],TbTipos[Tipo])</f>
        <v>CUDA con graph</v>
      </c>
      <c r="E137" s="1" t="str" cm="1">
        <f t="array" ref="E137">_xlfn.XLOOKUP(Runge1[[#This Row],[Tecnología]]&amp;Runge1[[#This Row],[Problema]],TbNombres[Tecnología]&amp;TbNombres[Problema],TbNombres[Nombre])</f>
        <v>Simple Advdiff</v>
      </c>
      <c r="F137" s="1">
        <v>2</v>
      </c>
      <c r="G137" s="1">
        <v>1</v>
      </c>
      <c r="H137" s="1">
        <v>256</v>
      </c>
      <c r="I137" s="1">
        <v>150000</v>
      </c>
      <c r="J137" s="1">
        <v>150000</v>
      </c>
      <c r="K137" s="1">
        <v>50.311100000000003</v>
      </c>
      <c r="M137" s="4" t="str">
        <f>_xlfn.XLOOKUP(Runge2[[#This Row],[Metodo]],TbSolver[Metodo],TbSolver[Solver])</f>
        <v>Runge Kutta</v>
      </c>
      <c r="N137" s="4" t="str">
        <f>_xlfn.XLOOKUP(Runge2[[#This Row],[Hebras]],TbTecnologia[Hebras],TbTecnologia[Tecnología])</f>
        <v>CUDA</v>
      </c>
      <c r="O137" s="4" t="str" cm="1">
        <f t="array" ref="O137">_xlfn.XLOOKUP(Runge2[[#This Row],[Tecnología]]&amp;Runge2[[#This Row],[Metodo]],TbTipos[Tecnología]&amp;TbTipos[Metodo],TbTipos[Tipo])</f>
        <v>CUDA con graph</v>
      </c>
      <c r="P137" s="4" t="str" cm="1">
        <f t="array" ref="P137">_xlfn.XLOOKUP(Runge2[[#This Row],[Tecnología]]&amp;Runge2[[#This Row],[Problema]],TbNombres[Tecnología]&amp;TbNombres[Problema],TbNombres[Nombre])</f>
        <v>Advdiff1d</v>
      </c>
      <c r="Q137" s="4">
        <v>2</v>
      </c>
      <c r="R137" s="4">
        <v>3</v>
      </c>
      <c r="S137" s="4">
        <v>256</v>
      </c>
      <c r="T137" s="4">
        <v>150000</v>
      </c>
      <c r="U137" s="4">
        <v>150000</v>
      </c>
      <c r="V137" s="4">
        <v>201.69</v>
      </c>
      <c r="X137" s="2" t="str">
        <f>_xlfn.XLOOKUP(Runge3[[#This Row],[Metodo]],TbSolver[Metodo],TbSolver[Solver])</f>
        <v>Runge Kutta</v>
      </c>
      <c r="Y137" s="2" t="str">
        <f>_xlfn.XLOOKUP(Runge3[[#This Row],[Hebras]],TbTecnologia[Hebras],TbTecnologia[Tecnología])</f>
        <v>CUDA</v>
      </c>
      <c r="Z137" s="2" t="str" cm="1">
        <f t="array" ref="Z137">_xlfn.XLOOKUP(Runge3[[#This Row],[Tecnología]]&amp;Runge3[[#This Row],[Metodo]],TbTipos[Tecnología]&amp;TbTipos[Metodo],TbTipos[Tipo])</f>
        <v>CUDA con graph</v>
      </c>
      <c r="AA137" s="2" t="str" cm="1">
        <f t="array" ref="AA137">_xlfn.XLOOKUP(Runge3[[#This Row],[Tecnología]]&amp;Runge3[[#This Row],[Problema]],TbNombres[Tecnología]&amp;TbNombres[Problema],TbNombres[Nombre])</f>
        <v>Brusselator1d</v>
      </c>
      <c r="AB137" s="21">
        <v>2</v>
      </c>
      <c r="AC137" s="21">
        <v>5</v>
      </c>
      <c r="AD137" s="21">
        <v>256</v>
      </c>
      <c r="AE137" s="21">
        <v>40000</v>
      </c>
      <c r="AF137" s="21">
        <v>80000</v>
      </c>
      <c r="AG137" s="21">
        <v>35.204700000000003</v>
      </c>
    </row>
    <row r="138" spans="2:33" x14ac:dyDescent="0.2">
      <c r="B138" s="1" t="str">
        <f>_xlfn.XLOOKUP(Runge1[[#This Row],[Metodo]],TbSolver[Metodo],TbSolver[Solver])</f>
        <v>Runge Kutta</v>
      </c>
      <c r="C138" s="1" t="str">
        <f>_xlfn.XLOOKUP(Runge1[[#This Row],[Hebras]],TbTecnologia[Hebras],TbTecnologia[Tecnología])</f>
        <v>CUDA</v>
      </c>
      <c r="D138" s="1" t="str" cm="1">
        <f t="array" ref="D138">_xlfn.XLOOKUP(Runge1[[#This Row],[Tecnología]]&amp;Runge1[[#This Row],[Metodo]],TbTipos[Tecnología]&amp;TbTipos[Metodo],TbTipos[Tipo])</f>
        <v>CUDA sin graph</v>
      </c>
      <c r="E138" s="1" t="str" cm="1">
        <f t="array" ref="E138">_xlfn.XLOOKUP(Runge1[[#This Row],[Tecnología]]&amp;Runge1[[#This Row],[Problema]],TbNombres[Tecnología]&amp;TbNombres[Problema],TbNombres[Nombre])</f>
        <v>Simple Advdiff</v>
      </c>
      <c r="F138" s="1">
        <v>1</v>
      </c>
      <c r="G138" s="1">
        <v>1</v>
      </c>
      <c r="H138" s="1">
        <v>256</v>
      </c>
      <c r="I138" s="1">
        <v>150000</v>
      </c>
      <c r="J138" s="1">
        <v>150000</v>
      </c>
      <c r="K138" s="1">
        <v>53.823599999999999</v>
      </c>
      <c r="M138" s="2" t="str">
        <f>_xlfn.XLOOKUP(Runge2[[#This Row],[Metodo]],TbSolver[Metodo],TbSolver[Solver])</f>
        <v>Runge Kutta</v>
      </c>
      <c r="N138" s="2" t="str">
        <f>_xlfn.XLOOKUP(Runge2[[#This Row],[Hebras]],TbTecnologia[Hebras],TbTecnologia[Tecnología])</f>
        <v>CUDA</v>
      </c>
      <c r="O138" s="2" t="str" cm="1">
        <f t="array" ref="O138">_xlfn.XLOOKUP(Runge2[[#This Row],[Tecnología]]&amp;Runge2[[#This Row],[Metodo]],TbTipos[Tecnología]&amp;TbTipos[Metodo],TbTipos[Tipo])</f>
        <v>CUDA sin graph</v>
      </c>
      <c r="P138" s="2" t="str" cm="1">
        <f t="array" ref="P138">_xlfn.XLOOKUP(Runge2[[#This Row],[Tecnología]]&amp;Runge2[[#This Row],[Problema]],TbNombres[Tecnología]&amp;TbNombres[Problema],TbNombres[Nombre])</f>
        <v>Advdiff1d</v>
      </c>
      <c r="Q138" s="2">
        <v>1</v>
      </c>
      <c r="R138" s="2">
        <v>3</v>
      </c>
      <c r="S138" s="2">
        <v>256</v>
      </c>
      <c r="T138" s="2">
        <v>150000</v>
      </c>
      <c r="U138" s="2">
        <v>150000</v>
      </c>
      <c r="V138" s="2">
        <v>202.547</v>
      </c>
      <c r="X138" s="2" t="str">
        <f>_xlfn.XLOOKUP(Runge3[[#This Row],[Metodo]],TbSolver[Metodo],TbSolver[Solver])</f>
        <v>Runge Kutta</v>
      </c>
      <c r="Y138" s="2" t="str">
        <f>_xlfn.XLOOKUP(Runge3[[#This Row],[Hebras]],TbTecnologia[Hebras],TbTecnologia[Tecnología])</f>
        <v>CUDA</v>
      </c>
      <c r="Z138" s="2" t="str" cm="1">
        <f t="array" ref="Z138">_xlfn.XLOOKUP(Runge3[[#This Row],[Tecnología]]&amp;Runge3[[#This Row],[Metodo]],TbTipos[Tecnología]&amp;TbTipos[Metodo],TbTipos[Tipo])</f>
        <v>CUDA sin graph</v>
      </c>
      <c r="AA138" s="2" t="str" cm="1">
        <f t="array" ref="AA138">_xlfn.XLOOKUP(Runge3[[#This Row],[Tecnología]]&amp;Runge3[[#This Row],[Problema]],TbNombres[Tecnología]&amp;TbNombres[Problema],TbNombres[Nombre])</f>
        <v>Brusselator1d</v>
      </c>
      <c r="AB138" s="21">
        <v>1</v>
      </c>
      <c r="AC138" s="21">
        <v>5</v>
      </c>
      <c r="AD138" s="21">
        <v>256</v>
      </c>
      <c r="AE138" s="21">
        <v>40000</v>
      </c>
      <c r="AF138" s="21">
        <v>80000</v>
      </c>
      <c r="AG138" s="21">
        <v>38.565800000000003</v>
      </c>
    </row>
    <row r="139" spans="2:33" x14ac:dyDescent="0.2">
      <c r="B139" s="1" t="str">
        <f>_xlfn.XLOOKUP(Runge1[[#This Row],[Metodo]],TbSolver[Metodo],TbSolver[Solver])</f>
        <v>Runge Kutta</v>
      </c>
      <c r="C139" s="1" t="str">
        <f>_xlfn.XLOOKUP(Runge1[[#This Row],[Hebras]],TbTecnologia[Hebras],TbTecnologia[Tecnología])</f>
        <v>CUDA</v>
      </c>
      <c r="D139" s="1" t="str" cm="1">
        <f t="array" ref="D139">_xlfn.XLOOKUP(Runge1[[#This Row],[Tecnología]]&amp;Runge1[[#This Row],[Metodo]],TbTipos[Tecnología]&amp;TbTipos[Metodo],TbTipos[Tipo])</f>
        <v>CUDA con graph</v>
      </c>
      <c r="E139" s="1" t="str" cm="1">
        <f t="array" ref="E139">_xlfn.XLOOKUP(Runge1[[#This Row],[Tecnología]]&amp;Runge1[[#This Row],[Problema]],TbNombres[Tecnología]&amp;TbNombres[Problema],TbNombres[Nombre])</f>
        <v>Simple Advdiff</v>
      </c>
      <c r="F139" s="20">
        <v>2</v>
      </c>
      <c r="G139" s="20">
        <v>1</v>
      </c>
      <c r="H139" s="20">
        <v>256</v>
      </c>
      <c r="I139" s="20">
        <v>175000</v>
      </c>
      <c r="J139" s="20">
        <v>175000</v>
      </c>
      <c r="K139" s="20">
        <v>61.4375</v>
      </c>
      <c r="M139" s="2" t="str">
        <f>_xlfn.XLOOKUP(Runge2[[#This Row],[Metodo]],TbSolver[Metodo],TbSolver[Solver])</f>
        <v>Runge Kutta</v>
      </c>
      <c r="N139" s="2" t="str">
        <f>_xlfn.XLOOKUP(Runge2[[#This Row],[Hebras]],TbTecnologia[Hebras],TbTecnologia[Tecnología])</f>
        <v>CUDA</v>
      </c>
      <c r="O139" s="4" t="str" cm="1">
        <f t="array" ref="O139">_xlfn.XLOOKUP(Runge2[[#This Row],[Tecnología]]&amp;Runge2[[#This Row],[Metodo]],TbTipos[Tecnología]&amp;TbTipos[Metodo],TbTipos[Tipo])</f>
        <v>CUDA con graph</v>
      </c>
      <c r="P139" s="4" t="str" cm="1">
        <f t="array" ref="P139">_xlfn.XLOOKUP(Runge2[[#This Row],[Tecnología]]&amp;Runge2[[#This Row],[Problema]],TbNombres[Tecnología]&amp;TbNombres[Problema],TbNombres[Nombre])</f>
        <v>Advdiff1d</v>
      </c>
      <c r="Q139" s="21">
        <v>2</v>
      </c>
      <c r="R139" s="21">
        <v>3</v>
      </c>
      <c r="S139" s="21">
        <v>256</v>
      </c>
      <c r="T139" s="21">
        <v>175000</v>
      </c>
      <c r="U139" s="21">
        <v>175000</v>
      </c>
      <c r="V139" s="21">
        <v>246.95</v>
      </c>
      <c r="X139" s="2" t="str">
        <f>_xlfn.XLOOKUP(Runge3[[#This Row],[Metodo]],TbSolver[Metodo],TbSolver[Solver])</f>
        <v>Runge Kutta</v>
      </c>
      <c r="Y139" s="2" t="str">
        <f>_xlfn.XLOOKUP(Runge3[[#This Row],[Hebras]],TbTecnologia[Hebras],TbTecnologia[Tecnología])</f>
        <v>OMP</v>
      </c>
      <c r="Z139" s="2" t="str" cm="1">
        <f t="array" ref="Z139">_xlfn.XLOOKUP(Runge3[[#This Row],[Tecnología]]&amp;Runge3[[#This Row],[Metodo]],TbTipos[Tecnología]&amp;TbTipos[Metodo],TbTipos[Tipo])</f>
        <v>OMP Elementos</v>
      </c>
      <c r="AA139" s="2" t="str" cm="1">
        <f t="array" ref="AA139">_xlfn.XLOOKUP(Runge3[[#This Row],[Tecnología]]&amp;Runge3[[#This Row],[Problema]],TbNombres[Tecnología]&amp;TbNombres[Problema],TbNombres[Nombre])</f>
        <v>Brusselator1d</v>
      </c>
      <c r="AB139" s="21">
        <v>2</v>
      </c>
      <c r="AC139" s="21">
        <v>3</v>
      </c>
      <c r="AD139" s="21">
        <v>16</v>
      </c>
      <c r="AE139" s="21">
        <v>40000</v>
      </c>
      <c r="AF139" s="21">
        <v>80000</v>
      </c>
      <c r="AG139" s="21">
        <v>153.08500000000001</v>
      </c>
    </row>
    <row r="140" spans="2:33" x14ac:dyDescent="0.2">
      <c r="B140" s="1" t="str">
        <f>_xlfn.XLOOKUP(Runge1[[#This Row],[Metodo]],TbSolver[Metodo],TbSolver[Solver])</f>
        <v>Runge Kutta</v>
      </c>
      <c r="C140" s="1" t="str">
        <f>_xlfn.XLOOKUP(Runge1[[#This Row],[Hebras]],TbTecnologia[Hebras],TbTecnologia[Tecnología])</f>
        <v>CUDA</v>
      </c>
      <c r="D140" s="1" t="str" cm="1">
        <f t="array" ref="D140">_xlfn.XLOOKUP(Runge1[[#This Row],[Tecnología]]&amp;Runge1[[#This Row],[Metodo]],TbTipos[Tecnología]&amp;TbTipos[Metodo],TbTipos[Tipo])</f>
        <v>CUDA sin graph</v>
      </c>
      <c r="E140" s="1" t="str" cm="1">
        <f t="array" ref="E140">_xlfn.XLOOKUP(Runge1[[#This Row],[Tecnología]]&amp;Runge1[[#This Row],[Problema]],TbNombres[Tecnología]&amp;TbNombres[Problema],TbNombres[Nombre])</f>
        <v>Simple Advdiff</v>
      </c>
      <c r="F140" s="20">
        <v>1</v>
      </c>
      <c r="G140" s="20">
        <v>1</v>
      </c>
      <c r="H140" s="20">
        <v>256</v>
      </c>
      <c r="I140" s="20">
        <v>175000</v>
      </c>
      <c r="J140" s="20">
        <v>175000</v>
      </c>
      <c r="K140" s="20">
        <v>63.553699999999999</v>
      </c>
      <c r="M140" s="2" t="str">
        <f>_xlfn.XLOOKUP(Runge2[[#This Row],[Metodo]],TbSolver[Metodo],TbSolver[Solver])</f>
        <v>Runge Kutta</v>
      </c>
      <c r="N140" s="2" t="str">
        <f>_xlfn.XLOOKUP(Runge2[[#This Row],[Hebras]],TbTecnologia[Hebras],TbTecnologia[Tecnología])</f>
        <v>CUDA</v>
      </c>
      <c r="O140" s="4" t="str" cm="1">
        <f t="array" ref="O140">_xlfn.XLOOKUP(Runge2[[#This Row],[Tecnología]]&amp;Runge2[[#This Row],[Metodo]],TbTipos[Tecnología]&amp;TbTipos[Metodo],TbTipos[Tipo])</f>
        <v>CUDA sin graph</v>
      </c>
      <c r="P140" s="4" t="str" cm="1">
        <f t="array" ref="P140">_xlfn.XLOOKUP(Runge2[[#This Row],[Tecnología]]&amp;Runge2[[#This Row],[Problema]],TbNombres[Tecnología]&amp;TbNombres[Problema],TbNombres[Nombre])</f>
        <v>Advdiff1d</v>
      </c>
      <c r="Q140" s="21">
        <v>1</v>
      </c>
      <c r="R140" s="21">
        <v>3</v>
      </c>
      <c r="S140" s="21">
        <v>256</v>
      </c>
      <c r="T140" s="21">
        <v>175000</v>
      </c>
      <c r="U140" s="21">
        <v>175000</v>
      </c>
      <c r="V140" s="21">
        <v>247.07400000000001</v>
      </c>
      <c r="X140" s="2" t="str">
        <f>_xlfn.XLOOKUP(Runge3[[#This Row],[Metodo]],TbSolver[Metodo],TbSolver[Solver])</f>
        <v>Runge Kutta</v>
      </c>
      <c r="Y140" s="2" t="str">
        <f>_xlfn.XLOOKUP(Runge3[[#This Row],[Hebras]],TbTecnologia[Hebras],TbTecnologia[Tecnología])</f>
        <v>OMP</v>
      </c>
      <c r="Z140" s="2" t="str" cm="1">
        <f t="array" ref="Z140">_xlfn.XLOOKUP(Runge3[[#This Row],[Tecnología]]&amp;Runge3[[#This Row],[Metodo]],TbTipos[Tecnología]&amp;TbTipos[Metodo],TbTipos[Tipo])</f>
        <v>OMP Operaciones</v>
      </c>
      <c r="AA140" s="2" t="str" cm="1">
        <f t="array" ref="AA140">_xlfn.XLOOKUP(Runge3[[#This Row],[Tecnología]]&amp;Runge3[[#This Row],[Problema]],TbNombres[Tecnología]&amp;TbNombres[Problema],TbNombres[Nombre])</f>
        <v>Brusselator1d</v>
      </c>
      <c r="AB140" s="21">
        <v>1</v>
      </c>
      <c r="AC140" s="21">
        <v>3</v>
      </c>
      <c r="AD140" s="21">
        <v>16</v>
      </c>
      <c r="AE140" s="21">
        <v>40000</v>
      </c>
      <c r="AF140" s="21">
        <v>80000</v>
      </c>
      <c r="AG140" s="21">
        <v>164.27199999999999</v>
      </c>
    </row>
    <row r="141" spans="2:33" x14ac:dyDescent="0.2">
      <c r="B141" s="1" t="str">
        <f>_xlfn.XLOOKUP(Runge1[[#This Row],[Metodo]],TbSolver[Metodo],TbSolver[Solver])</f>
        <v>Runge Kutta</v>
      </c>
      <c r="C141" s="1" t="str">
        <f>_xlfn.XLOOKUP(Runge1[[#This Row],[Hebras]],TbTecnologia[Hebras],TbTecnologia[Tecnología])</f>
        <v>CUDA</v>
      </c>
      <c r="D141" s="1" t="str" cm="1">
        <f t="array" ref="D141">_xlfn.XLOOKUP(Runge1[[#This Row],[Tecnología]]&amp;Runge1[[#This Row],[Metodo]],TbTipos[Tecnología]&amp;TbTipos[Metodo],TbTipos[Tipo])</f>
        <v>CUDA con graph</v>
      </c>
      <c r="E141" s="1" t="str" cm="1">
        <f t="array" ref="E141">_xlfn.XLOOKUP(Runge1[[#This Row],[Tecnología]]&amp;Runge1[[#This Row],[Problema]],TbNombres[Tecnología]&amp;TbNombres[Problema],TbNombres[Nombre])</f>
        <v>Simple Advdiff</v>
      </c>
      <c r="F141" s="1">
        <v>2</v>
      </c>
      <c r="G141" s="1">
        <v>1</v>
      </c>
      <c r="H141" s="1">
        <v>256</v>
      </c>
      <c r="I141" s="1">
        <v>200000</v>
      </c>
      <c r="J141" s="1">
        <v>200000</v>
      </c>
      <c r="K141" s="1">
        <v>68.772999999999996</v>
      </c>
      <c r="M141" s="4" t="str">
        <f>_xlfn.XLOOKUP(Runge2[[#This Row],[Metodo]],TbSolver[Metodo],TbSolver[Solver])</f>
        <v>Runge Kutta</v>
      </c>
      <c r="N141" s="4" t="str">
        <f>_xlfn.XLOOKUP(Runge2[[#This Row],[Hebras]],TbTecnologia[Hebras],TbTecnologia[Tecnología])</f>
        <v>CUDA</v>
      </c>
      <c r="O141" s="4" t="str" cm="1">
        <f t="array" ref="O141">_xlfn.XLOOKUP(Runge2[[#This Row],[Tecnología]]&amp;Runge2[[#This Row],[Metodo]],TbTipos[Tecnología]&amp;TbTipos[Metodo],TbTipos[Tipo])</f>
        <v>CUDA con graph</v>
      </c>
      <c r="P141" s="4" t="str" cm="1">
        <f t="array" ref="P141">_xlfn.XLOOKUP(Runge2[[#This Row],[Tecnología]]&amp;Runge2[[#This Row],[Problema]],TbNombres[Tecnología]&amp;TbNombres[Problema],TbNombres[Nombre])</f>
        <v>Advdiff1d</v>
      </c>
      <c r="Q141" s="4">
        <v>2</v>
      </c>
      <c r="R141" s="4">
        <v>3</v>
      </c>
      <c r="S141" s="4">
        <v>256</v>
      </c>
      <c r="T141" s="4">
        <v>200000</v>
      </c>
      <c r="U141" s="4">
        <v>200000</v>
      </c>
      <c r="V141" s="4">
        <v>269.69499999999999</v>
      </c>
      <c r="X141" s="2" t="str">
        <f>_xlfn.XLOOKUP(Runge3[[#This Row],[Metodo]],TbSolver[Metodo],TbSolver[Solver])</f>
        <v>Runge Kutta</v>
      </c>
      <c r="Y141" s="2" t="str">
        <f>_xlfn.XLOOKUP(Runge3[[#This Row],[Hebras]],TbTecnologia[Hebras],TbTecnologia[Tecnología])</f>
        <v>OMP</v>
      </c>
      <c r="Z141" s="2" t="str" cm="1">
        <f t="array" ref="Z141">_xlfn.XLOOKUP(Runge3[[#This Row],[Tecnología]]&amp;Runge3[[#This Row],[Metodo]],TbTipos[Tecnología]&amp;TbTipos[Metodo],TbTipos[Tipo])</f>
        <v>OMP Operaciones</v>
      </c>
      <c r="AA141" s="2" t="str" cm="1">
        <f t="array" ref="AA141">_xlfn.XLOOKUP(Runge3[[#This Row],[Tecnología]]&amp;Runge3[[#This Row],[Problema]],TbNombres[Tecnología]&amp;TbNombres[Problema],TbNombres[Nombre])</f>
        <v>Brusselator1d</v>
      </c>
      <c r="AB141" s="21">
        <v>1</v>
      </c>
      <c r="AC141" s="21">
        <v>3</v>
      </c>
      <c r="AD141" s="21">
        <v>4</v>
      </c>
      <c r="AE141" s="21">
        <v>40000</v>
      </c>
      <c r="AF141" s="21">
        <v>80000</v>
      </c>
      <c r="AG141" s="21">
        <v>299.74400000000003</v>
      </c>
    </row>
    <row r="142" spans="2:33" x14ac:dyDescent="0.2">
      <c r="B142" s="1" t="str">
        <f>_xlfn.XLOOKUP(Runge1[[#This Row],[Metodo]],TbSolver[Metodo],TbSolver[Solver])</f>
        <v>Runge Kutta</v>
      </c>
      <c r="C142" s="1" t="str">
        <f>_xlfn.XLOOKUP(Runge1[[#This Row],[Hebras]],TbTecnologia[Hebras],TbTecnologia[Tecnología])</f>
        <v>CUDA</v>
      </c>
      <c r="D142" s="1" t="str" cm="1">
        <f t="array" ref="D142">_xlfn.XLOOKUP(Runge1[[#This Row],[Tecnología]]&amp;Runge1[[#This Row],[Metodo]],TbTipos[Tecnología]&amp;TbTipos[Metodo],TbTipos[Tipo])</f>
        <v>CUDA sin graph</v>
      </c>
      <c r="E142" s="1" t="str" cm="1">
        <f t="array" ref="E142">_xlfn.XLOOKUP(Runge1[[#This Row],[Tecnología]]&amp;Runge1[[#This Row],[Problema]],TbNombres[Tecnología]&amp;TbNombres[Problema],TbNombres[Nombre])</f>
        <v>Simple Advdiff</v>
      </c>
      <c r="F142" s="1">
        <v>1</v>
      </c>
      <c r="G142" s="1">
        <v>1</v>
      </c>
      <c r="H142" s="1">
        <v>256</v>
      </c>
      <c r="I142" s="1">
        <v>200000</v>
      </c>
      <c r="J142" s="1">
        <v>200000</v>
      </c>
      <c r="K142" s="1">
        <v>72.234200000000001</v>
      </c>
      <c r="M142" s="2" t="str">
        <f>_xlfn.XLOOKUP(Runge2[[#This Row],[Metodo]],TbSolver[Metodo],TbSolver[Solver])</f>
        <v>Runge Kutta</v>
      </c>
      <c r="N142" s="2" t="str">
        <f>_xlfn.XLOOKUP(Runge2[[#This Row],[Hebras]],TbTecnologia[Hebras],TbTecnologia[Tecnología])</f>
        <v>CUDA</v>
      </c>
      <c r="O142" s="2" t="str" cm="1">
        <f t="array" ref="O142">_xlfn.XLOOKUP(Runge2[[#This Row],[Tecnología]]&amp;Runge2[[#This Row],[Metodo]],TbTipos[Tecnología]&amp;TbTipos[Metodo],TbTipos[Tipo])</f>
        <v>CUDA sin graph</v>
      </c>
      <c r="P142" s="2" t="str" cm="1">
        <f t="array" ref="P142">_xlfn.XLOOKUP(Runge2[[#This Row],[Tecnología]]&amp;Runge2[[#This Row],[Problema]],TbNombres[Tecnología]&amp;TbNombres[Problema],TbNombres[Nombre])</f>
        <v>Advdiff1d</v>
      </c>
      <c r="Q142" s="2">
        <v>1</v>
      </c>
      <c r="R142" s="2">
        <v>3</v>
      </c>
      <c r="S142" s="2">
        <v>256</v>
      </c>
      <c r="T142" s="2">
        <v>200000</v>
      </c>
      <c r="U142" s="2">
        <v>200000</v>
      </c>
      <c r="V142" s="2">
        <v>270.13499999999999</v>
      </c>
      <c r="X142" s="2" t="str">
        <f>_xlfn.XLOOKUP(Runge3[[#This Row],[Metodo]],TbSolver[Metodo],TbSolver[Solver])</f>
        <v>Runge Kutta</v>
      </c>
      <c r="Y142" s="2" t="str">
        <f>_xlfn.XLOOKUP(Runge3[[#This Row],[Hebras]],TbTecnologia[Hebras],TbTecnologia[Tecnología])</f>
        <v>OMP</v>
      </c>
      <c r="Z142" s="2" t="str" cm="1">
        <f t="array" ref="Z142">_xlfn.XLOOKUP(Runge3[[#This Row],[Tecnología]]&amp;Runge3[[#This Row],[Metodo]],TbTipos[Tecnología]&amp;TbTipos[Metodo],TbTipos[Tipo])</f>
        <v>OMP Elementos</v>
      </c>
      <c r="AA142" s="2" t="str" cm="1">
        <f t="array" ref="AA142">_xlfn.XLOOKUP(Runge3[[#This Row],[Tecnología]]&amp;Runge3[[#This Row],[Problema]],TbNombres[Tecnología]&amp;TbNombres[Problema],TbNombres[Nombre])</f>
        <v>Brusselator1d</v>
      </c>
      <c r="AB142" s="21">
        <v>2</v>
      </c>
      <c r="AC142" s="21">
        <v>3</v>
      </c>
      <c r="AD142" s="21">
        <v>4</v>
      </c>
      <c r="AE142" s="21">
        <v>40000</v>
      </c>
      <c r="AF142" s="21">
        <v>80000</v>
      </c>
      <c r="AG142" s="21">
        <v>536.69299999999998</v>
      </c>
    </row>
    <row r="143" spans="2:33" x14ac:dyDescent="0.2">
      <c r="B143" s="1" t="str">
        <f>_xlfn.XLOOKUP(Runge1[[#This Row],[Metodo]],TbSolver[Metodo],TbSolver[Solver])</f>
        <v>Runge Kutta</v>
      </c>
      <c r="C143" s="1" t="str">
        <f>_xlfn.XLOOKUP(Runge1[[#This Row],[Hebras]],TbTecnologia[Hebras],TbTecnologia[Tecnología])</f>
        <v>CUDA</v>
      </c>
      <c r="D143" s="1" t="str" cm="1">
        <f t="array" ref="D143">_xlfn.XLOOKUP(Runge1[[#This Row],[Tecnología]]&amp;Runge1[[#This Row],[Metodo]],TbTipos[Tecnología]&amp;TbTipos[Metodo],TbTipos[Tipo])</f>
        <v>CUDA con graph</v>
      </c>
      <c r="E143" s="1" t="str" cm="1">
        <f t="array" ref="E143">_xlfn.XLOOKUP(Runge1[[#This Row],[Tecnología]]&amp;Runge1[[#This Row],[Problema]],TbNombres[Tecnología]&amp;TbNombres[Problema],TbNombres[Nombre])</f>
        <v>Simple Advdiff</v>
      </c>
      <c r="F143" s="1">
        <v>2</v>
      </c>
      <c r="G143" s="1">
        <v>1</v>
      </c>
      <c r="H143" s="1">
        <v>256</v>
      </c>
      <c r="I143" s="1">
        <v>250000</v>
      </c>
      <c r="J143" s="1">
        <v>250000</v>
      </c>
      <c r="K143" s="1">
        <v>90.616900000000001</v>
      </c>
      <c r="M143" s="2" t="str">
        <f>_xlfn.XLOOKUP(Runge2[[#This Row],[Metodo]],TbSolver[Metodo],TbSolver[Solver])</f>
        <v>Runge Kutta</v>
      </c>
      <c r="N143" s="2" t="str">
        <f>_xlfn.XLOOKUP(Runge2[[#This Row],[Hebras]],TbTecnologia[Hebras],TbTecnologia[Tecnología])</f>
        <v>CUDA</v>
      </c>
      <c r="O143" s="2" t="str" cm="1">
        <f t="array" ref="O143">_xlfn.XLOOKUP(Runge2[[#This Row],[Tecnología]]&amp;Runge2[[#This Row],[Metodo]],TbTipos[Tecnología]&amp;TbTipos[Metodo],TbTipos[Tipo])</f>
        <v>CUDA sin graph</v>
      </c>
      <c r="P143" s="2" t="str" cm="1">
        <f t="array" ref="P143">_xlfn.XLOOKUP(Runge2[[#This Row],[Tecnología]]&amp;Runge2[[#This Row],[Problema]],TbNombres[Tecnología]&amp;TbNombres[Problema],TbNombres[Nombre])</f>
        <v>Advdiff1d</v>
      </c>
      <c r="Q143" s="2">
        <v>1</v>
      </c>
      <c r="R143" s="2">
        <v>3</v>
      </c>
      <c r="S143" s="2">
        <v>256</v>
      </c>
      <c r="T143" s="2">
        <v>250000</v>
      </c>
      <c r="U143" s="2">
        <v>250000</v>
      </c>
      <c r="V143" s="2">
        <v>340.20699999999999</v>
      </c>
      <c r="X143" s="2" t="str">
        <f>_xlfn.XLOOKUP(Runge3[[#This Row],[Metodo]],TbSolver[Metodo],TbSolver[Solver])</f>
        <v>Runge Kutta</v>
      </c>
      <c r="Y143" s="2" t="str">
        <f>_xlfn.XLOOKUP(Runge3[[#This Row],[Hebras]],TbTecnologia[Hebras],TbTecnologia[Tecnología])</f>
        <v>OMP</v>
      </c>
      <c r="Z143" s="2" t="str" cm="1">
        <f t="array" ref="Z143">_xlfn.XLOOKUP(Runge3[[#This Row],[Tecnología]]&amp;Runge3[[#This Row],[Metodo]],TbTipos[Tecnología]&amp;TbTipos[Metodo],TbTipos[Tipo])</f>
        <v>OMP Operaciones</v>
      </c>
      <c r="AA143" s="2" t="str" cm="1">
        <f t="array" ref="AA143">_xlfn.XLOOKUP(Runge3[[#This Row],[Tecnología]]&amp;Runge3[[#This Row],[Problema]],TbNombres[Tecnología]&amp;TbNombres[Problema],TbNombres[Nombre])</f>
        <v>Brusselator1d</v>
      </c>
      <c r="AB143" s="21">
        <v>1</v>
      </c>
      <c r="AC143" s="21">
        <v>3</v>
      </c>
      <c r="AD143" s="21">
        <v>1</v>
      </c>
      <c r="AE143" s="21">
        <v>40000</v>
      </c>
      <c r="AF143" s="21">
        <v>80000</v>
      </c>
      <c r="AG143" s="21">
        <v>1211.32</v>
      </c>
    </row>
    <row r="144" spans="2:33" x14ac:dyDescent="0.2">
      <c r="B144" s="1" t="str">
        <f>_xlfn.XLOOKUP(Runge1[[#This Row],[Metodo]],TbSolver[Metodo],TbSolver[Solver])</f>
        <v>Runge Kutta</v>
      </c>
      <c r="C144" s="1" t="str">
        <f>_xlfn.XLOOKUP(Runge1[[#This Row],[Hebras]],TbTecnologia[Hebras],TbTecnologia[Tecnología])</f>
        <v>CUDA</v>
      </c>
      <c r="D144" s="1" t="str" cm="1">
        <f t="array" ref="D144">_xlfn.XLOOKUP(Runge1[[#This Row],[Tecnología]]&amp;Runge1[[#This Row],[Metodo]],TbTipos[Tecnología]&amp;TbTipos[Metodo],TbTipos[Tipo])</f>
        <v>CUDA sin graph</v>
      </c>
      <c r="E144" s="1" t="str" cm="1">
        <f t="array" ref="E144">_xlfn.XLOOKUP(Runge1[[#This Row],[Tecnología]]&amp;Runge1[[#This Row],[Problema]],TbNombres[Tecnología]&amp;TbNombres[Problema],TbNombres[Nombre])</f>
        <v>Simple Advdiff</v>
      </c>
      <c r="F144" s="1">
        <v>1</v>
      </c>
      <c r="G144" s="1">
        <v>1</v>
      </c>
      <c r="H144" s="1">
        <v>256</v>
      </c>
      <c r="I144" s="1">
        <v>250000</v>
      </c>
      <c r="J144" s="1">
        <v>250000</v>
      </c>
      <c r="K144" s="1">
        <v>94.997200000000007</v>
      </c>
      <c r="M144" s="4" t="str">
        <f>_xlfn.XLOOKUP(Runge2[[#This Row],[Metodo]],TbSolver[Metodo],TbSolver[Solver])</f>
        <v>Runge Kutta</v>
      </c>
      <c r="N144" s="4" t="str">
        <f>_xlfn.XLOOKUP(Runge2[[#This Row],[Hebras]],TbTecnologia[Hebras],TbTecnologia[Tecnología])</f>
        <v>CUDA</v>
      </c>
      <c r="O144" s="4" t="str" cm="1">
        <f t="array" ref="O144">_xlfn.XLOOKUP(Runge2[[#This Row],[Tecnología]]&amp;Runge2[[#This Row],[Metodo]],TbTipos[Tecnología]&amp;TbTipos[Metodo],TbTipos[Tipo])</f>
        <v>CUDA con graph</v>
      </c>
      <c r="P144" s="4" t="str" cm="1">
        <f t="array" ref="P144">_xlfn.XLOOKUP(Runge2[[#This Row],[Tecnología]]&amp;Runge2[[#This Row],[Problema]],TbNombres[Tecnología]&amp;TbNombres[Problema],TbNombres[Nombre])</f>
        <v>Advdiff1d</v>
      </c>
      <c r="Q144" s="4">
        <v>2</v>
      </c>
      <c r="R144" s="4">
        <v>3</v>
      </c>
      <c r="S144" s="4">
        <v>256</v>
      </c>
      <c r="T144" s="4">
        <v>250000</v>
      </c>
      <c r="U144" s="4">
        <v>250000</v>
      </c>
      <c r="V144" s="4">
        <v>340.43</v>
      </c>
      <c r="X144" s="2" t="str">
        <f>_xlfn.XLOOKUP(Runge3[[#This Row],[Metodo]],TbSolver[Metodo],TbSolver[Solver])</f>
        <v>Runge Kutta</v>
      </c>
      <c r="Y144" s="2" t="str">
        <f>_xlfn.XLOOKUP(Runge3[[#This Row],[Hebras]],TbTecnologia[Hebras],TbTecnologia[Tecnología])</f>
        <v>OMP</v>
      </c>
      <c r="Z144" s="2" t="str" cm="1">
        <f t="array" ref="Z144">_xlfn.XLOOKUP(Runge3[[#This Row],[Tecnología]]&amp;Runge3[[#This Row],[Metodo]],TbTipos[Tecnología]&amp;TbTipos[Metodo],TbTipos[Tipo])</f>
        <v>OMP Elementos</v>
      </c>
      <c r="AA144" s="2" t="str" cm="1">
        <f t="array" ref="AA144">_xlfn.XLOOKUP(Runge3[[#This Row],[Tecnología]]&amp;Runge3[[#This Row],[Problema]],TbNombres[Tecnología]&amp;TbNombres[Problema],TbNombres[Nombre])</f>
        <v>Brusselator1d</v>
      </c>
      <c r="AB144" s="21">
        <v>2</v>
      </c>
      <c r="AC144" s="21">
        <v>3</v>
      </c>
      <c r="AD144" s="21">
        <v>1</v>
      </c>
      <c r="AE144" s="21">
        <v>40000</v>
      </c>
      <c r="AF144" s="21">
        <v>80000</v>
      </c>
      <c r="AG144" s="21">
        <v>1998.68</v>
      </c>
    </row>
    <row r="145" spans="2:33" x14ac:dyDescent="0.2">
      <c r="B145" s="1" t="str">
        <f>_xlfn.XLOOKUP(Runge1[[#This Row],[Metodo]],TbSolver[Metodo],TbSolver[Solver])</f>
        <v>Runge Kutta</v>
      </c>
      <c r="C145" s="1" t="str">
        <f>_xlfn.XLOOKUP(Runge1[[#This Row],[Hebras]],TbTecnologia[Hebras],TbTecnologia[Tecnología])</f>
        <v>CUDA</v>
      </c>
      <c r="D145" s="1" t="str" cm="1">
        <f t="array" ref="D145">_xlfn.XLOOKUP(Runge1[[#This Row],[Tecnología]]&amp;Runge1[[#This Row],[Metodo]],TbTipos[Tecnología]&amp;TbTipos[Metodo],TbTipos[Tipo])</f>
        <v>CUDA con graph</v>
      </c>
      <c r="E145" s="1" t="str" cm="1">
        <f t="array" ref="E145">_xlfn.XLOOKUP(Runge1[[#This Row],[Tecnología]]&amp;Runge1[[#This Row],[Problema]],TbNombres[Tecnología]&amp;TbNombres[Problema],TbNombres[Nombre])</f>
        <v>Simple Advdiff</v>
      </c>
      <c r="F145" s="1">
        <v>2</v>
      </c>
      <c r="G145" s="1">
        <v>1</v>
      </c>
      <c r="H145" s="1">
        <v>256</v>
      </c>
      <c r="I145" s="1">
        <v>300000</v>
      </c>
      <c r="J145" s="1">
        <v>300000</v>
      </c>
      <c r="K145" s="1">
        <v>109.379</v>
      </c>
      <c r="M145" s="2" t="str">
        <f>_xlfn.XLOOKUP(Runge2[[#This Row],[Metodo]],TbSolver[Metodo],TbSolver[Solver])</f>
        <v>Runge Kutta</v>
      </c>
      <c r="N145" s="2" t="str">
        <f>_xlfn.XLOOKUP(Runge2[[#This Row],[Hebras]],TbTecnologia[Hebras],TbTecnologia[Tecnología])</f>
        <v>CUDA</v>
      </c>
      <c r="O145" s="2" t="str" cm="1">
        <f t="array" ref="O145">_xlfn.XLOOKUP(Runge2[[#This Row],[Tecnología]]&amp;Runge2[[#This Row],[Metodo]],TbTipos[Tecnología]&amp;TbTipos[Metodo],TbTipos[Tipo])</f>
        <v>CUDA sin graph</v>
      </c>
      <c r="P145" s="2" t="str" cm="1">
        <f t="array" ref="P145">_xlfn.XLOOKUP(Runge2[[#This Row],[Tecnología]]&amp;Runge2[[#This Row],[Problema]],TbNombres[Tecnología]&amp;TbNombres[Problema],TbNombres[Nombre])</f>
        <v>Advdiff1d</v>
      </c>
      <c r="Q145" s="2">
        <v>1</v>
      </c>
      <c r="R145" s="2">
        <v>3</v>
      </c>
      <c r="S145" s="2">
        <v>256</v>
      </c>
      <c r="T145" s="2">
        <v>300000</v>
      </c>
      <c r="U145" s="2">
        <v>300000</v>
      </c>
      <c r="V145" s="2">
        <v>411.625</v>
      </c>
      <c r="X145" s="2" t="str">
        <f>_xlfn.XLOOKUP(Runge3[[#This Row],[Metodo]],TbSolver[Metodo],TbSolver[Solver])</f>
        <v>Runge Kutta</v>
      </c>
      <c r="Y145" s="2" t="str">
        <f>_xlfn.XLOOKUP(Runge3[[#This Row],[Hebras]],TbTecnologia[Hebras],TbTecnologia[Tecnología])</f>
        <v>CUDA</v>
      </c>
      <c r="Z145" s="2" t="str" cm="1">
        <f t="array" ref="Z145">_xlfn.XLOOKUP(Runge3[[#This Row],[Tecnología]]&amp;Runge3[[#This Row],[Metodo]],TbTipos[Tecnología]&amp;TbTipos[Metodo],TbTipos[Tipo])</f>
        <v>CUDA con graph</v>
      </c>
      <c r="AA145" s="2" t="str" cm="1">
        <f t="array" ref="AA145">_xlfn.XLOOKUP(Runge3[[#This Row],[Tecnología]]&amp;Runge3[[#This Row],[Problema]],TbNombres[Tecnología]&amp;TbNombres[Problema],TbNombres[Nombre])</f>
        <v>Brusselator1d</v>
      </c>
      <c r="AB145" s="2">
        <v>2</v>
      </c>
      <c r="AC145" s="2">
        <v>5</v>
      </c>
      <c r="AD145" s="2">
        <v>256</v>
      </c>
      <c r="AE145" s="2">
        <v>50000</v>
      </c>
      <c r="AF145" s="2">
        <v>100000</v>
      </c>
      <c r="AG145" s="2">
        <v>39.9285</v>
      </c>
    </row>
    <row r="146" spans="2:33" x14ac:dyDescent="0.2">
      <c r="B146" s="1" t="str">
        <f>_xlfn.XLOOKUP(Runge1[[#This Row],[Metodo]],TbSolver[Metodo],TbSolver[Solver])</f>
        <v>Runge Kutta</v>
      </c>
      <c r="C146" s="1" t="str">
        <f>_xlfn.XLOOKUP(Runge1[[#This Row],[Hebras]],TbTecnologia[Hebras],TbTecnologia[Tecnología])</f>
        <v>CUDA</v>
      </c>
      <c r="D146" s="1" t="str" cm="1">
        <f t="array" ref="D146">_xlfn.XLOOKUP(Runge1[[#This Row],[Tecnología]]&amp;Runge1[[#This Row],[Metodo]],TbTipos[Tecnología]&amp;TbTipos[Metodo],TbTipos[Tipo])</f>
        <v>CUDA sin graph</v>
      </c>
      <c r="E146" s="1" t="str" cm="1">
        <f t="array" ref="E146">_xlfn.XLOOKUP(Runge1[[#This Row],[Tecnología]]&amp;Runge1[[#This Row],[Problema]],TbNombres[Tecnología]&amp;TbNombres[Problema],TbNombres[Nombre])</f>
        <v>Simple Advdiff</v>
      </c>
      <c r="F146" s="1">
        <v>1</v>
      </c>
      <c r="G146" s="1">
        <v>1</v>
      </c>
      <c r="H146" s="1">
        <v>256</v>
      </c>
      <c r="I146" s="1">
        <v>300000</v>
      </c>
      <c r="J146" s="1">
        <v>300000</v>
      </c>
      <c r="K146" s="1">
        <v>113.41</v>
      </c>
      <c r="M146" s="4" t="str">
        <f>_xlfn.XLOOKUP(Runge2[[#This Row],[Metodo]],TbSolver[Metodo],TbSolver[Solver])</f>
        <v>Runge Kutta</v>
      </c>
      <c r="N146" s="4" t="str">
        <f>_xlfn.XLOOKUP(Runge2[[#This Row],[Hebras]],TbTecnologia[Hebras],TbTecnologia[Tecnología])</f>
        <v>CUDA</v>
      </c>
      <c r="O146" s="4" t="str" cm="1">
        <f t="array" ref="O146">_xlfn.XLOOKUP(Runge2[[#This Row],[Tecnología]]&amp;Runge2[[#This Row],[Metodo]],TbTipos[Tecnología]&amp;TbTipos[Metodo],TbTipos[Tipo])</f>
        <v>CUDA con graph</v>
      </c>
      <c r="P146" s="4" t="str" cm="1">
        <f t="array" ref="P146">_xlfn.XLOOKUP(Runge2[[#This Row],[Tecnología]]&amp;Runge2[[#This Row],[Problema]],TbNombres[Tecnología]&amp;TbNombres[Problema],TbNombres[Nombre])</f>
        <v>Advdiff1d</v>
      </c>
      <c r="Q146" s="4">
        <v>2</v>
      </c>
      <c r="R146" s="4">
        <v>3</v>
      </c>
      <c r="S146" s="4">
        <v>256</v>
      </c>
      <c r="T146" s="4">
        <v>300000</v>
      </c>
      <c r="U146" s="4">
        <v>300000</v>
      </c>
      <c r="V146" s="4">
        <v>412.34100000000001</v>
      </c>
      <c r="X146" s="2" t="str">
        <f>_xlfn.XLOOKUP(Runge3[[#This Row],[Metodo]],TbSolver[Metodo],TbSolver[Solver])</f>
        <v>Runge Kutta</v>
      </c>
      <c r="Y146" s="2" t="str">
        <f>_xlfn.XLOOKUP(Runge3[[#This Row],[Hebras]],TbTecnologia[Hebras],TbTecnologia[Tecnología])</f>
        <v>CUDA</v>
      </c>
      <c r="Z146" s="2" t="str" cm="1">
        <f t="array" ref="Z146">_xlfn.XLOOKUP(Runge3[[#This Row],[Tecnología]]&amp;Runge3[[#This Row],[Metodo]],TbTipos[Tecnología]&amp;TbTipos[Metodo],TbTipos[Tipo])</f>
        <v>CUDA sin graph</v>
      </c>
      <c r="AA146" s="2" t="str" cm="1">
        <f t="array" ref="AA146">_xlfn.XLOOKUP(Runge3[[#This Row],[Tecnología]]&amp;Runge3[[#This Row],[Problema]],TbNombres[Tecnología]&amp;TbNombres[Problema],TbNombres[Nombre])</f>
        <v>Brusselator1d</v>
      </c>
      <c r="AB146" s="2">
        <v>1</v>
      </c>
      <c r="AC146" s="2">
        <v>5</v>
      </c>
      <c r="AD146" s="2">
        <v>256</v>
      </c>
      <c r="AE146" s="2">
        <v>50000</v>
      </c>
      <c r="AF146" s="2">
        <v>100000</v>
      </c>
      <c r="AG146" s="2">
        <v>43.403700000000001</v>
      </c>
    </row>
    <row r="147" spans="2:33" x14ac:dyDescent="0.2">
      <c r="B147" s="1" t="str">
        <f>_xlfn.XLOOKUP(Runge1[[#This Row],[Metodo]],TbSolver[Metodo],TbSolver[Solver])</f>
        <v>Runge Kutta</v>
      </c>
      <c r="C147" s="1" t="str">
        <f>_xlfn.XLOOKUP(Runge1[[#This Row],[Hebras]],TbTecnologia[Hebras],TbTecnologia[Tecnología])</f>
        <v>CUDA</v>
      </c>
      <c r="D147" s="1" t="str" cm="1">
        <f t="array" ref="D147">_xlfn.XLOOKUP(Runge1[[#This Row],[Tecnología]]&amp;Runge1[[#This Row],[Metodo]],TbTipos[Tecnología]&amp;TbTipos[Metodo],TbTipos[Tipo])</f>
        <v>CUDA con graph</v>
      </c>
      <c r="E147" s="1" t="str" cm="1">
        <f t="array" ref="E147">_xlfn.XLOOKUP(Runge1[[#This Row],[Tecnología]]&amp;Runge1[[#This Row],[Problema]],TbNombres[Tecnología]&amp;TbNombres[Problema],TbNombres[Nombre])</f>
        <v>Simple Advdiff</v>
      </c>
      <c r="F147" s="1">
        <v>2</v>
      </c>
      <c r="G147" s="1">
        <v>1</v>
      </c>
      <c r="H147" s="1">
        <v>256</v>
      </c>
      <c r="I147" s="1">
        <v>350000</v>
      </c>
      <c r="J147" s="1">
        <v>350000</v>
      </c>
      <c r="K147" s="1">
        <v>132.48500000000001</v>
      </c>
      <c r="M147" s="2" t="str">
        <f>_xlfn.XLOOKUP(Runge2[[#This Row],[Metodo]],TbSolver[Metodo],TbSolver[Solver])</f>
        <v>Runge Kutta</v>
      </c>
      <c r="N147" s="2" t="str">
        <f>_xlfn.XLOOKUP(Runge2[[#This Row],[Hebras]],TbTecnologia[Hebras],TbTecnologia[Tecnología])</f>
        <v>CUDA</v>
      </c>
      <c r="O147" s="2" t="str" cm="1">
        <f t="array" ref="O147">_xlfn.XLOOKUP(Runge2[[#This Row],[Tecnología]]&amp;Runge2[[#This Row],[Metodo]],TbTipos[Tecnología]&amp;TbTipos[Metodo],TbTipos[Tipo])</f>
        <v>CUDA sin graph</v>
      </c>
      <c r="P147" s="2" t="str" cm="1">
        <f t="array" ref="P147">_xlfn.XLOOKUP(Runge2[[#This Row],[Tecnología]]&amp;Runge2[[#This Row],[Problema]],TbNombres[Tecnología]&amp;TbNombres[Problema],TbNombres[Nombre])</f>
        <v>Advdiff1d</v>
      </c>
      <c r="Q147" s="2">
        <v>1</v>
      </c>
      <c r="R147" s="2">
        <v>3</v>
      </c>
      <c r="S147" s="2">
        <v>256</v>
      </c>
      <c r="T147" s="2">
        <v>350000</v>
      </c>
      <c r="U147" s="2">
        <v>350000</v>
      </c>
      <c r="V147" s="2">
        <v>484.81400000000002</v>
      </c>
      <c r="X147" s="2" t="str">
        <f>_xlfn.XLOOKUP(Runge3[[#This Row],[Metodo]],TbSolver[Metodo],TbSolver[Solver])</f>
        <v>Runge Kutta</v>
      </c>
      <c r="Y147" s="2" t="str">
        <f>_xlfn.XLOOKUP(Runge3[[#This Row],[Hebras]],TbTecnologia[Hebras],TbTecnologia[Tecnología])</f>
        <v>OMP</v>
      </c>
      <c r="Z147" s="2" t="str" cm="1">
        <f t="array" ref="Z147">_xlfn.XLOOKUP(Runge3[[#This Row],[Tecnología]]&amp;Runge3[[#This Row],[Metodo]],TbTipos[Tecnología]&amp;TbTipos[Metodo],TbTipos[Tipo])</f>
        <v>OMP Operaciones</v>
      </c>
      <c r="AA147" s="2" t="str" cm="1">
        <f t="array" ref="AA147">_xlfn.XLOOKUP(Runge3[[#This Row],[Tecnología]]&amp;Runge3[[#This Row],[Problema]],TbNombres[Tecnología]&amp;TbNombres[Problema],TbNombres[Nombre])</f>
        <v>Brusselator1d</v>
      </c>
      <c r="AB147" s="21">
        <v>1</v>
      </c>
      <c r="AC147" s="21">
        <v>3</v>
      </c>
      <c r="AD147" s="21">
        <v>16</v>
      </c>
      <c r="AE147" s="21">
        <v>50000</v>
      </c>
      <c r="AF147" s="21">
        <v>100000</v>
      </c>
      <c r="AG147" s="21">
        <v>180.327</v>
      </c>
    </row>
    <row r="148" spans="2:33" x14ac:dyDescent="0.2">
      <c r="B148" s="1" t="str">
        <f>_xlfn.XLOOKUP(Runge1[[#This Row],[Metodo]],TbSolver[Metodo],TbSolver[Solver])</f>
        <v>Runge Kutta</v>
      </c>
      <c r="C148" s="1" t="str">
        <f>_xlfn.XLOOKUP(Runge1[[#This Row],[Hebras]],TbTecnologia[Hebras],TbTecnologia[Tecnología])</f>
        <v>CUDA</v>
      </c>
      <c r="D148" s="1" t="str" cm="1">
        <f t="array" ref="D148">_xlfn.XLOOKUP(Runge1[[#This Row],[Tecnología]]&amp;Runge1[[#This Row],[Metodo]],TbTipos[Tecnología]&amp;TbTipos[Metodo],TbTipos[Tipo])</f>
        <v>CUDA sin graph</v>
      </c>
      <c r="E148" s="1" t="str" cm="1">
        <f t="array" ref="E148">_xlfn.XLOOKUP(Runge1[[#This Row],[Tecnología]]&amp;Runge1[[#This Row],[Problema]],TbNombres[Tecnología]&amp;TbNombres[Problema],TbNombres[Nombre])</f>
        <v>Simple Advdiff</v>
      </c>
      <c r="F148" s="1">
        <v>1</v>
      </c>
      <c r="G148" s="1">
        <v>1</v>
      </c>
      <c r="H148" s="1">
        <v>256</v>
      </c>
      <c r="I148" s="1">
        <v>350000</v>
      </c>
      <c r="J148" s="1">
        <v>350000</v>
      </c>
      <c r="K148" s="1">
        <v>136.81</v>
      </c>
      <c r="M148" s="4" t="str">
        <f>_xlfn.XLOOKUP(Runge2[[#This Row],[Metodo]],TbSolver[Metodo],TbSolver[Solver])</f>
        <v>Runge Kutta</v>
      </c>
      <c r="N148" s="4" t="str">
        <f>_xlfn.XLOOKUP(Runge2[[#This Row],[Hebras]],TbTecnologia[Hebras],TbTecnologia[Tecnología])</f>
        <v>CUDA</v>
      </c>
      <c r="O148" s="4" t="str" cm="1">
        <f t="array" ref="O148">_xlfn.XLOOKUP(Runge2[[#This Row],[Tecnología]]&amp;Runge2[[#This Row],[Metodo]],TbTipos[Tecnología]&amp;TbTipos[Metodo],TbTipos[Tipo])</f>
        <v>CUDA con graph</v>
      </c>
      <c r="P148" s="4" t="str" cm="1">
        <f t="array" ref="P148">_xlfn.XLOOKUP(Runge2[[#This Row],[Tecnología]]&amp;Runge2[[#This Row],[Problema]],TbNombres[Tecnología]&amp;TbNombres[Problema],TbNombres[Nombre])</f>
        <v>Advdiff1d</v>
      </c>
      <c r="Q148" s="4">
        <v>2</v>
      </c>
      <c r="R148" s="4">
        <v>3</v>
      </c>
      <c r="S148" s="4">
        <v>256</v>
      </c>
      <c r="T148" s="4">
        <v>350000</v>
      </c>
      <c r="U148" s="4">
        <v>350000</v>
      </c>
      <c r="V148" s="4">
        <v>485.90699999999998</v>
      </c>
      <c r="X148" s="2" t="str">
        <f>_xlfn.XLOOKUP(Runge3[[#This Row],[Metodo]],TbSolver[Metodo],TbSolver[Solver])</f>
        <v>Runge Kutta</v>
      </c>
      <c r="Y148" s="2" t="str">
        <f>_xlfn.XLOOKUP(Runge3[[#This Row],[Hebras]],TbTecnologia[Hebras],TbTecnologia[Tecnología])</f>
        <v>OMP</v>
      </c>
      <c r="Z148" s="2" t="str" cm="1">
        <f t="array" ref="Z148">_xlfn.XLOOKUP(Runge3[[#This Row],[Tecnología]]&amp;Runge3[[#This Row],[Metodo]],TbTipos[Tecnología]&amp;TbTipos[Metodo],TbTipos[Tipo])</f>
        <v>OMP Elementos</v>
      </c>
      <c r="AA148" s="2" t="str" cm="1">
        <f t="array" ref="AA148">_xlfn.XLOOKUP(Runge3[[#This Row],[Tecnología]]&amp;Runge3[[#This Row],[Problema]],TbNombres[Tecnología]&amp;TbNombres[Problema],TbNombres[Nombre])</f>
        <v>Brusselator1d</v>
      </c>
      <c r="AB148" s="21">
        <v>2</v>
      </c>
      <c r="AC148" s="21">
        <v>3</v>
      </c>
      <c r="AD148" s="21">
        <v>16</v>
      </c>
      <c r="AE148" s="21">
        <v>50000</v>
      </c>
      <c r="AF148" s="21">
        <v>100000</v>
      </c>
      <c r="AG148" s="21">
        <v>197.065</v>
      </c>
    </row>
    <row r="149" spans="2:33" x14ac:dyDescent="0.2">
      <c r="B149" s="1" t="str">
        <f>_xlfn.XLOOKUP(Runge1[[#This Row],[Metodo]],TbSolver[Metodo],TbSolver[Solver])</f>
        <v>Runge Kutta</v>
      </c>
      <c r="C149" s="1" t="str">
        <f>_xlfn.XLOOKUP(Runge1[[#This Row],[Hebras]],TbTecnologia[Hebras],TbTecnologia[Tecnología])</f>
        <v>CUDA</v>
      </c>
      <c r="D149" s="1" t="str" cm="1">
        <f t="array" ref="D149">_xlfn.XLOOKUP(Runge1[[#This Row],[Tecnología]]&amp;Runge1[[#This Row],[Metodo]],TbTipos[Tecnología]&amp;TbTipos[Metodo],TbTipos[Tipo])</f>
        <v>CUDA con graph</v>
      </c>
      <c r="E149" s="1" t="str" cm="1">
        <f t="array" ref="E149">_xlfn.XLOOKUP(Runge1[[#This Row],[Tecnología]]&amp;Runge1[[#This Row],[Problema]],TbNombres[Tecnología]&amp;TbNombres[Problema],TbNombres[Nombre])</f>
        <v>Simple Advdiff</v>
      </c>
      <c r="F149" s="1">
        <v>2</v>
      </c>
      <c r="G149" s="1">
        <v>1</v>
      </c>
      <c r="H149" s="1">
        <v>256</v>
      </c>
      <c r="I149" s="1">
        <v>400000</v>
      </c>
      <c r="J149" s="1">
        <v>400000</v>
      </c>
      <c r="K149" s="1">
        <v>154.892</v>
      </c>
      <c r="M149" s="2" t="str">
        <f>_xlfn.XLOOKUP(Runge2[[#This Row],[Metodo]],TbSolver[Metodo],TbSolver[Solver])</f>
        <v>Runge Kutta</v>
      </c>
      <c r="N149" s="2" t="str">
        <f>_xlfn.XLOOKUP(Runge2[[#This Row],[Hebras]],TbTecnologia[Hebras],TbTecnologia[Tecnología])</f>
        <v>CUDA</v>
      </c>
      <c r="O149" s="2" t="str" cm="1">
        <f t="array" ref="O149">_xlfn.XLOOKUP(Runge2[[#This Row],[Tecnología]]&amp;Runge2[[#This Row],[Metodo]],TbTipos[Tecnología]&amp;TbTipos[Metodo],TbTipos[Tipo])</f>
        <v>CUDA sin graph</v>
      </c>
      <c r="P149" s="2" t="str" cm="1">
        <f t="array" ref="P149">_xlfn.XLOOKUP(Runge2[[#This Row],[Tecnología]]&amp;Runge2[[#This Row],[Problema]],TbNombres[Tecnología]&amp;TbNombres[Problema],TbNombres[Nombre])</f>
        <v>Advdiff1d</v>
      </c>
      <c r="Q149" s="2">
        <v>1</v>
      </c>
      <c r="R149" s="2">
        <v>3</v>
      </c>
      <c r="S149" s="2">
        <v>256</v>
      </c>
      <c r="T149" s="2">
        <v>400000</v>
      </c>
      <c r="U149" s="2">
        <v>400000</v>
      </c>
      <c r="V149" s="2">
        <v>542.48699999999997</v>
      </c>
      <c r="X149" s="2" t="str">
        <f>_xlfn.XLOOKUP(Runge3[[#This Row],[Metodo]],TbSolver[Metodo],TbSolver[Solver])</f>
        <v>Runge Kutta</v>
      </c>
      <c r="Y149" s="2" t="str">
        <f>_xlfn.XLOOKUP(Runge3[[#This Row],[Hebras]],TbTecnologia[Hebras],TbTecnologia[Tecnología])</f>
        <v>OMP</v>
      </c>
      <c r="Z149" s="2" t="str" cm="1">
        <f t="array" ref="Z149">_xlfn.XLOOKUP(Runge3[[#This Row],[Tecnología]]&amp;Runge3[[#This Row],[Metodo]],TbTipos[Tecnología]&amp;TbTipos[Metodo],TbTipos[Tipo])</f>
        <v>OMP Operaciones</v>
      </c>
      <c r="AA149" s="2" t="str" cm="1">
        <f t="array" ref="AA149">_xlfn.XLOOKUP(Runge3[[#This Row],[Tecnología]]&amp;Runge3[[#This Row],[Problema]],TbNombres[Tecnología]&amp;TbNombres[Problema],TbNombres[Nombre])</f>
        <v>Brusselator1d</v>
      </c>
      <c r="AB149" s="21">
        <v>1</v>
      </c>
      <c r="AC149" s="21">
        <v>3</v>
      </c>
      <c r="AD149" s="21">
        <v>4</v>
      </c>
      <c r="AE149" s="21">
        <v>50000</v>
      </c>
      <c r="AF149" s="21">
        <v>100000</v>
      </c>
      <c r="AG149" s="21">
        <v>371.93</v>
      </c>
    </row>
    <row r="150" spans="2:33" x14ac:dyDescent="0.2">
      <c r="B150" s="1" t="str">
        <f>_xlfn.XLOOKUP(Runge1[[#This Row],[Metodo]],TbSolver[Metodo],TbSolver[Solver])</f>
        <v>Runge Kutta</v>
      </c>
      <c r="C150" s="1" t="str">
        <f>_xlfn.XLOOKUP(Runge1[[#This Row],[Hebras]],TbTecnologia[Hebras],TbTecnologia[Tecnología])</f>
        <v>CUDA</v>
      </c>
      <c r="D150" s="1" t="str" cm="1">
        <f t="array" ref="D150">_xlfn.XLOOKUP(Runge1[[#This Row],[Tecnología]]&amp;Runge1[[#This Row],[Metodo]],TbTipos[Tecnología]&amp;TbTipos[Metodo],TbTipos[Tipo])</f>
        <v>CUDA sin graph</v>
      </c>
      <c r="E150" s="1" t="str" cm="1">
        <f t="array" ref="E150">_xlfn.XLOOKUP(Runge1[[#This Row],[Tecnología]]&amp;Runge1[[#This Row],[Problema]],TbNombres[Tecnología]&amp;TbNombres[Problema],TbNombres[Nombre])</f>
        <v>Simple Advdiff</v>
      </c>
      <c r="F150" s="1">
        <v>1</v>
      </c>
      <c r="G150" s="1">
        <v>1</v>
      </c>
      <c r="H150" s="1">
        <v>256</v>
      </c>
      <c r="I150" s="1">
        <v>400000</v>
      </c>
      <c r="J150" s="1">
        <v>400000</v>
      </c>
      <c r="K150" s="1">
        <v>159.56</v>
      </c>
      <c r="M150" s="4" t="str">
        <f>_xlfn.XLOOKUP(Runge2[[#This Row],[Metodo]],TbSolver[Metodo],TbSolver[Solver])</f>
        <v>Runge Kutta</v>
      </c>
      <c r="N150" s="4" t="str">
        <f>_xlfn.XLOOKUP(Runge2[[#This Row],[Hebras]],TbTecnologia[Hebras],TbTecnologia[Tecnología])</f>
        <v>CUDA</v>
      </c>
      <c r="O150" s="4" t="str" cm="1">
        <f t="array" ref="O150">_xlfn.XLOOKUP(Runge2[[#This Row],[Tecnología]]&amp;Runge2[[#This Row],[Metodo]],TbTipos[Tecnología]&amp;TbTipos[Metodo],TbTipos[Tipo])</f>
        <v>CUDA con graph</v>
      </c>
      <c r="P150" s="4" t="str" cm="1">
        <f t="array" ref="P150">_xlfn.XLOOKUP(Runge2[[#This Row],[Tecnología]]&amp;Runge2[[#This Row],[Problema]],TbNombres[Tecnología]&amp;TbNombres[Problema],TbNombres[Nombre])</f>
        <v>Advdiff1d</v>
      </c>
      <c r="Q150" s="4">
        <v>2</v>
      </c>
      <c r="R150" s="4">
        <v>3</v>
      </c>
      <c r="S150" s="4">
        <v>256</v>
      </c>
      <c r="T150" s="4">
        <v>400000</v>
      </c>
      <c r="U150" s="4">
        <v>400000</v>
      </c>
      <c r="V150" s="4">
        <v>544.51099999999997</v>
      </c>
      <c r="X150" s="2" t="str">
        <f>_xlfn.XLOOKUP(Runge3[[#This Row],[Metodo]],TbSolver[Metodo],TbSolver[Solver])</f>
        <v>Runge Kutta</v>
      </c>
      <c r="Y150" s="2" t="str">
        <f>_xlfn.XLOOKUP(Runge3[[#This Row],[Hebras]],TbTecnologia[Hebras],TbTecnologia[Tecnología])</f>
        <v>OMP</v>
      </c>
      <c r="Z150" s="2" t="str" cm="1">
        <f t="array" ref="Z150">_xlfn.XLOOKUP(Runge3[[#This Row],[Tecnología]]&amp;Runge3[[#This Row],[Metodo]],TbTipos[Tecnología]&amp;TbTipos[Metodo],TbTipos[Tipo])</f>
        <v>OMP Elementos</v>
      </c>
      <c r="AA150" s="2" t="str" cm="1">
        <f t="array" ref="AA150">_xlfn.XLOOKUP(Runge3[[#This Row],[Tecnología]]&amp;Runge3[[#This Row],[Problema]],TbNombres[Tecnología]&amp;TbNombres[Problema],TbNombres[Nombre])</f>
        <v>Brusselator1d</v>
      </c>
      <c r="AB150" s="21">
        <v>2</v>
      </c>
      <c r="AC150" s="21">
        <v>3</v>
      </c>
      <c r="AD150" s="21">
        <v>4</v>
      </c>
      <c r="AE150" s="21">
        <v>50000</v>
      </c>
      <c r="AF150" s="21">
        <v>100000</v>
      </c>
      <c r="AG150" s="21">
        <v>670.50400000000002</v>
      </c>
    </row>
    <row r="151" spans="2:33" x14ac:dyDescent="0.2">
      <c r="B151" s="1" t="str">
        <f>_xlfn.XLOOKUP(Runge1[[#This Row],[Metodo]],TbSolver[Metodo],TbSolver[Solver])</f>
        <v>Runge Kutta</v>
      </c>
      <c r="C151" s="1" t="str">
        <f>_xlfn.XLOOKUP(Runge1[[#This Row],[Hebras]],TbTecnologia[Hebras],TbTecnologia[Tecnología])</f>
        <v>CUDA</v>
      </c>
      <c r="D151" s="1" t="str" cm="1">
        <f t="array" ref="D151">_xlfn.XLOOKUP(Runge1[[#This Row],[Tecnología]]&amp;Runge1[[#This Row],[Metodo]],TbTipos[Tecnología]&amp;TbTipos[Metodo],TbTipos[Tipo])</f>
        <v>CUDA con graph</v>
      </c>
      <c r="E151" s="1" t="str" cm="1">
        <f t="array" ref="E151">_xlfn.XLOOKUP(Runge1[[#This Row],[Tecnología]]&amp;Runge1[[#This Row],[Problema]],TbNombres[Tecnología]&amp;TbNombres[Problema],TbNombres[Nombre])</f>
        <v>Simple Advdiff</v>
      </c>
      <c r="F151" s="1">
        <v>2</v>
      </c>
      <c r="G151" s="1">
        <v>1</v>
      </c>
      <c r="H151" s="1">
        <v>256</v>
      </c>
      <c r="I151" s="1">
        <v>450000</v>
      </c>
      <c r="J151" s="1">
        <v>450000</v>
      </c>
      <c r="K151" s="1">
        <v>180.83099999999999</v>
      </c>
      <c r="M151" s="2" t="str">
        <f>_xlfn.XLOOKUP(Runge2[[#This Row],[Metodo]],TbSolver[Metodo],TbSolver[Solver])</f>
        <v>Runge Kutta</v>
      </c>
      <c r="N151" s="2" t="str">
        <f>_xlfn.XLOOKUP(Runge2[[#This Row],[Hebras]],TbTecnologia[Hebras],TbTecnologia[Tecnología])</f>
        <v>CUDA</v>
      </c>
      <c r="O151" s="2" t="str" cm="1">
        <f t="array" ref="O151">_xlfn.XLOOKUP(Runge2[[#This Row],[Tecnología]]&amp;Runge2[[#This Row],[Metodo]],TbTipos[Tecnología]&amp;TbTipos[Metodo],TbTipos[Tipo])</f>
        <v>CUDA sin graph</v>
      </c>
      <c r="P151" s="2" t="str" cm="1">
        <f t="array" ref="P151">_xlfn.XLOOKUP(Runge2[[#This Row],[Tecnología]]&amp;Runge2[[#This Row],[Problema]],TbNombres[Tecnología]&amp;TbNombres[Problema],TbNombres[Nombre])</f>
        <v>Advdiff1d</v>
      </c>
      <c r="Q151" s="2">
        <v>1</v>
      </c>
      <c r="R151" s="2">
        <v>3</v>
      </c>
      <c r="S151" s="2">
        <v>256</v>
      </c>
      <c r="T151" s="2">
        <v>450000</v>
      </c>
      <c r="U151" s="2">
        <v>450000</v>
      </c>
      <c r="V151" s="2">
        <v>615.779</v>
      </c>
      <c r="X151" s="2" t="str">
        <f>_xlfn.XLOOKUP(Runge3[[#This Row],[Metodo]],TbSolver[Metodo],TbSolver[Solver])</f>
        <v>Runge Kutta</v>
      </c>
      <c r="Y151" s="2" t="str">
        <f>_xlfn.XLOOKUP(Runge3[[#This Row],[Hebras]],TbTecnologia[Hebras],TbTecnologia[Tecnología])</f>
        <v>OMP</v>
      </c>
      <c r="Z151" s="2" t="str" cm="1">
        <f t="array" ref="Z151">_xlfn.XLOOKUP(Runge3[[#This Row],[Tecnología]]&amp;Runge3[[#This Row],[Metodo]],TbTipos[Tecnología]&amp;TbTipos[Metodo],TbTipos[Tipo])</f>
        <v>OMP Operaciones</v>
      </c>
      <c r="AA151" s="2" t="str" cm="1">
        <f t="array" ref="AA151">_xlfn.XLOOKUP(Runge3[[#This Row],[Tecnología]]&amp;Runge3[[#This Row],[Problema]],TbNombres[Tecnología]&amp;TbNombres[Problema],TbNombres[Nombre])</f>
        <v>Brusselator1d</v>
      </c>
      <c r="AB151" s="21">
        <v>1</v>
      </c>
      <c r="AC151" s="21">
        <v>3</v>
      </c>
      <c r="AD151" s="21">
        <v>1</v>
      </c>
      <c r="AE151" s="21">
        <v>50000</v>
      </c>
      <c r="AF151" s="21">
        <v>100000</v>
      </c>
      <c r="AG151" s="21">
        <v>1544.87</v>
      </c>
    </row>
    <row r="152" spans="2:33" x14ac:dyDescent="0.2">
      <c r="B152" s="1" t="str">
        <f>_xlfn.XLOOKUP(Runge1[[#This Row],[Metodo]],TbSolver[Metodo],TbSolver[Solver])</f>
        <v>Runge Kutta</v>
      </c>
      <c r="C152" s="1" t="str">
        <f>_xlfn.XLOOKUP(Runge1[[#This Row],[Hebras]],TbTecnologia[Hebras],TbTecnologia[Tecnología])</f>
        <v>CUDA</v>
      </c>
      <c r="D152" s="1" t="str" cm="1">
        <f t="array" ref="D152">_xlfn.XLOOKUP(Runge1[[#This Row],[Tecnología]]&amp;Runge1[[#This Row],[Metodo]],TbTipos[Tecnología]&amp;TbTipos[Metodo],TbTipos[Tipo])</f>
        <v>CUDA sin graph</v>
      </c>
      <c r="E152" s="1" t="str" cm="1">
        <f t="array" ref="E152">_xlfn.XLOOKUP(Runge1[[#This Row],[Tecnología]]&amp;Runge1[[#This Row],[Problema]],TbNombres[Tecnología]&amp;TbNombres[Problema],TbNombres[Nombre])</f>
        <v>Simple Advdiff</v>
      </c>
      <c r="F152" s="1">
        <v>1</v>
      </c>
      <c r="G152" s="1">
        <v>1</v>
      </c>
      <c r="H152" s="1">
        <v>256</v>
      </c>
      <c r="I152" s="1">
        <v>450000</v>
      </c>
      <c r="J152" s="1">
        <v>450000</v>
      </c>
      <c r="K152" s="1">
        <v>185.614</v>
      </c>
      <c r="M152" s="4" t="str">
        <f>_xlfn.XLOOKUP(Runge2[[#This Row],[Metodo]],TbSolver[Metodo],TbSolver[Solver])</f>
        <v>Runge Kutta</v>
      </c>
      <c r="N152" s="4" t="str">
        <f>_xlfn.XLOOKUP(Runge2[[#This Row],[Hebras]],TbTecnologia[Hebras],TbTecnologia[Tecnología])</f>
        <v>CUDA</v>
      </c>
      <c r="O152" s="4" t="str" cm="1">
        <f t="array" ref="O152">_xlfn.XLOOKUP(Runge2[[#This Row],[Tecnología]]&amp;Runge2[[#This Row],[Metodo]],TbTipos[Tecnología]&amp;TbTipos[Metodo],TbTipos[Tipo])</f>
        <v>CUDA con graph</v>
      </c>
      <c r="P152" s="4" t="str" cm="1">
        <f t="array" ref="P152">_xlfn.XLOOKUP(Runge2[[#This Row],[Tecnología]]&amp;Runge2[[#This Row],[Problema]],TbNombres[Tecnología]&amp;TbNombres[Problema],TbNombres[Nombre])</f>
        <v>Advdiff1d</v>
      </c>
      <c r="Q152" s="4">
        <v>2</v>
      </c>
      <c r="R152" s="4">
        <v>3</v>
      </c>
      <c r="S152" s="4">
        <v>256</v>
      </c>
      <c r="T152" s="4">
        <v>450000</v>
      </c>
      <c r="U152" s="4">
        <v>450000</v>
      </c>
      <c r="V152" s="4">
        <v>618.33900000000006</v>
      </c>
      <c r="X152" s="2" t="str">
        <f>_xlfn.XLOOKUP(Runge3[[#This Row],[Metodo]],TbSolver[Metodo],TbSolver[Solver])</f>
        <v>Runge Kutta</v>
      </c>
      <c r="Y152" s="2" t="str">
        <f>_xlfn.XLOOKUP(Runge3[[#This Row],[Hebras]],TbTecnologia[Hebras],TbTecnologia[Tecnología])</f>
        <v>OMP</v>
      </c>
      <c r="Z152" s="2" t="str" cm="1">
        <f t="array" ref="Z152">_xlfn.XLOOKUP(Runge3[[#This Row],[Tecnología]]&amp;Runge3[[#This Row],[Metodo]],TbTipos[Tecnología]&amp;TbTipos[Metodo],TbTipos[Tipo])</f>
        <v>OMP Elementos</v>
      </c>
      <c r="AA152" s="2" t="str" cm="1">
        <f t="array" ref="AA152">_xlfn.XLOOKUP(Runge3[[#This Row],[Tecnología]]&amp;Runge3[[#This Row],[Problema]],TbNombres[Tecnología]&amp;TbNombres[Problema],TbNombres[Nombre])</f>
        <v>Brusselator1d</v>
      </c>
      <c r="AB152" s="21">
        <v>2</v>
      </c>
      <c r="AC152" s="21">
        <v>3</v>
      </c>
      <c r="AD152" s="21">
        <v>1</v>
      </c>
      <c r="AE152" s="21">
        <v>50000</v>
      </c>
      <c r="AF152" s="21">
        <v>100000</v>
      </c>
      <c r="AG152" s="21">
        <v>2501.84</v>
      </c>
    </row>
    <row r="153" spans="2:33" x14ac:dyDescent="0.2">
      <c r="B153" s="1" t="str">
        <f>_xlfn.XLOOKUP(Runge1[[#This Row],[Metodo]],TbSolver[Metodo],TbSolver[Solver])</f>
        <v>Runge Kutta</v>
      </c>
      <c r="C153" s="1" t="str">
        <f>_xlfn.XLOOKUP(Runge1[[#This Row],[Hebras]],TbTecnologia[Hebras],TbTecnologia[Tecnología])</f>
        <v>CUDA</v>
      </c>
      <c r="D153" s="1" t="str" cm="1">
        <f t="array" ref="D153">_xlfn.XLOOKUP(Runge1[[#This Row],[Tecnología]]&amp;Runge1[[#This Row],[Metodo]],TbTipos[Tecnología]&amp;TbTipos[Metodo],TbTipos[Tipo])</f>
        <v>CUDA con graph</v>
      </c>
      <c r="E153" s="1" t="str" cm="1">
        <f t="array" ref="E153">_xlfn.XLOOKUP(Runge1[[#This Row],[Tecnología]]&amp;Runge1[[#This Row],[Problema]],TbNombres[Tecnología]&amp;TbNombres[Problema],TbNombres[Nombre])</f>
        <v>Simple Advdiff</v>
      </c>
      <c r="F153" s="1">
        <v>2</v>
      </c>
      <c r="G153" s="1">
        <v>1</v>
      </c>
      <c r="H153" s="1">
        <v>256</v>
      </c>
      <c r="I153" s="1">
        <v>500000</v>
      </c>
      <c r="J153" s="1">
        <v>500000</v>
      </c>
      <c r="K153" s="1">
        <v>209.68299999999999</v>
      </c>
      <c r="M153" s="2" t="str">
        <f>_xlfn.XLOOKUP(Runge2[[#This Row],[Metodo]],TbSolver[Metodo],TbSolver[Solver])</f>
        <v>Runge Kutta</v>
      </c>
      <c r="N153" s="2" t="str">
        <f>_xlfn.XLOOKUP(Runge2[[#This Row],[Hebras]],TbTecnologia[Hebras],TbTecnologia[Tecnología])</f>
        <v>CUDA</v>
      </c>
      <c r="O153" s="2" t="str" cm="1">
        <f t="array" ref="O153">_xlfn.XLOOKUP(Runge2[[#This Row],[Tecnología]]&amp;Runge2[[#This Row],[Metodo]],TbTipos[Tecnología]&amp;TbTipos[Metodo],TbTipos[Tipo])</f>
        <v>CUDA sin graph</v>
      </c>
      <c r="P153" s="2" t="str" cm="1">
        <f t="array" ref="P153">_xlfn.XLOOKUP(Runge2[[#This Row],[Tecnología]]&amp;Runge2[[#This Row],[Problema]],TbNombres[Tecnología]&amp;TbNombres[Problema],TbNombres[Nombre])</f>
        <v>Advdiff1d</v>
      </c>
      <c r="Q153" s="2">
        <v>1</v>
      </c>
      <c r="R153" s="2">
        <v>3</v>
      </c>
      <c r="S153" s="2">
        <v>256</v>
      </c>
      <c r="T153" s="2">
        <v>500000</v>
      </c>
      <c r="U153" s="2">
        <v>500000</v>
      </c>
      <c r="V153" s="2">
        <v>687.30799999999999</v>
      </c>
      <c r="X153" s="2" t="str">
        <f>_xlfn.XLOOKUP(Runge3[[#This Row],[Metodo]],TbSolver[Metodo],TbSolver[Solver])</f>
        <v>Runge Kutta</v>
      </c>
      <c r="Y153" s="2" t="str">
        <f>_xlfn.XLOOKUP(Runge3[[#This Row],[Hebras]],TbTecnologia[Hebras],TbTecnologia[Tecnología])</f>
        <v>CUDA</v>
      </c>
      <c r="Z153" s="2" t="str" cm="1">
        <f t="array" ref="Z153">_xlfn.XLOOKUP(Runge3[[#This Row],[Tecnología]]&amp;Runge3[[#This Row],[Metodo]],TbTipos[Tecnología]&amp;TbTipos[Metodo],TbTipos[Tipo])</f>
        <v>CUDA con graph</v>
      </c>
      <c r="AA153" s="2" t="str" cm="1">
        <f t="array" ref="AA153">_xlfn.XLOOKUP(Runge3[[#This Row],[Tecnología]]&amp;Runge3[[#This Row],[Problema]],TbNombres[Tecnología]&amp;TbNombres[Problema],TbNombres[Nombre])</f>
        <v>Brusselator1d</v>
      </c>
      <c r="AB153" s="2">
        <v>2</v>
      </c>
      <c r="AC153" s="2">
        <v>5</v>
      </c>
      <c r="AD153" s="2">
        <v>256</v>
      </c>
      <c r="AE153" s="2">
        <v>75000</v>
      </c>
      <c r="AF153" s="2">
        <v>150000</v>
      </c>
      <c r="AG153" s="2">
        <v>62.948599999999999</v>
      </c>
    </row>
    <row r="154" spans="2:33" x14ac:dyDescent="0.2">
      <c r="B154" s="1" t="str">
        <f>_xlfn.XLOOKUP(Runge1[[#This Row],[Metodo]],TbSolver[Metodo],TbSolver[Solver])</f>
        <v>Runge Kutta</v>
      </c>
      <c r="C154" s="1" t="str">
        <f>_xlfn.XLOOKUP(Runge1[[#This Row],[Hebras]],TbTecnologia[Hebras],TbTecnologia[Tecnología])</f>
        <v>CUDA</v>
      </c>
      <c r="D154" s="1" t="str" cm="1">
        <f t="array" ref="D154">_xlfn.XLOOKUP(Runge1[[#This Row],[Tecnología]]&amp;Runge1[[#This Row],[Metodo]],TbTipos[Tecnología]&amp;TbTipos[Metodo],TbTipos[Tipo])</f>
        <v>CUDA sin graph</v>
      </c>
      <c r="E154" s="1" t="str" cm="1">
        <f t="array" ref="E154">_xlfn.XLOOKUP(Runge1[[#This Row],[Tecnología]]&amp;Runge1[[#This Row],[Problema]],TbNombres[Tecnología]&amp;TbNombres[Problema],TbNombres[Nombre])</f>
        <v>Simple Advdiff</v>
      </c>
      <c r="F154" s="1">
        <v>1</v>
      </c>
      <c r="G154" s="1">
        <v>1</v>
      </c>
      <c r="H154" s="1">
        <v>256</v>
      </c>
      <c r="I154" s="1">
        <v>500000</v>
      </c>
      <c r="J154" s="1">
        <v>500000</v>
      </c>
      <c r="K154" s="1">
        <v>214.54400000000001</v>
      </c>
      <c r="M154" s="4" t="str">
        <f>_xlfn.XLOOKUP(Runge2[[#This Row],[Metodo]],TbSolver[Metodo],TbSolver[Solver])</f>
        <v>Runge Kutta</v>
      </c>
      <c r="N154" s="4" t="str">
        <f>_xlfn.XLOOKUP(Runge2[[#This Row],[Hebras]],TbTecnologia[Hebras],TbTecnologia[Tecnología])</f>
        <v>CUDA</v>
      </c>
      <c r="O154" s="4" t="str" cm="1">
        <f t="array" ref="O154">_xlfn.XLOOKUP(Runge2[[#This Row],[Tecnología]]&amp;Runge2[[#This Row],[Metodo]],TbTipos[Tecnología]&amp;TbTipos[Metodo],TbTipos[Tipo])</f>
        <v>CUDA con graph</v>
      </c>
      <c r="P154" s="4" t="str" cm="1">
        <f t="array" ref="P154">_xlfn.XLOOKUP(Runge2[[#This Row],[Tecnología]]&amp;Runge2[[#This Row],[Problema]],TbNombres[Tecnología]&amp;TbNombres[Problema],TbNombres[Nombre])</f>
        <v>Advdiff1d</v>
      </c>
      <c r="Q154" s="4">
        <v>2</v>
      </c>
      <c r="R154" s="4">
        <v>3</v>
      </c>
      <c r="S154" s="4">
        <v>256</v>
      </c>
      <c r="T154" s="4">
        <v>500000</v>
      </c>
      <c r="U154" s="4">
        <v>500000</v>
      </c>
      <c r="V154" s="4">
        <v>690.38900000000001</v>
      </c>
      <c r="X154" s="2" t="str">
        <f>_xlfn.XLOOKUP(Runge3[[#This Row],[Metodo]],TbSolver[Metodo],TbSolver[Solver])</f>
        <v>Runge Kutta</v>
      </c>
      <c r="Y154" s="2" t="str">
        <f>_xlfn.XLOOKUP(Runge3[[#This Row],[Hebras]],TbTecnologia[Hebras],TbTecnologia[Tecnología])</f>
        <v>CUDA</v>
      </c>
      <c r="Z154" s="2" t="str" cm="1">
        <f t="array" ref="Z154">_xlfn.XLOOKUP(Runge3[[#This Row],[Tecnología]]&amp;Runge3[[#This Row],[Metodo]],TbTipos[Tecnología]&amp;TbTipos[Metodo],TbTipos[Tipo])</f>
        <v>CUDA con graph</v>
      </c>
      <c r="AA154" s="2" t="str" cm="1">
        <f t="array" ref="AA154">_xlfn.XLOOKUP(Runge3[[#This Row],[Tecnología]]&amp;Runge3[[#This Row],[Problema]],TbNombres[Tecnología]&amp;TbNombres[Problema],TbNombres[Nombre])</f>
        <v>Brusselator1d</v>
      </c>
      <c r="AB154" s="21">
        <v>2</v>
      </c>
      <c r="AC154" s="21">
        <v>5</v>
      </c>
      <c r="AD154" s="21">
        <v>256</v>
      </c>
      <c r="AE154" s="21">
        <v>75000</v>
      </c>
      <c r="AF154" s="21">
        <v>150000</v>
      </c>
      <c r="AG154" s="21">
        <v>64.478999999999999</v>
      </c>
    </row>
    <row r="155" spans="2:33" x14ac:dyDescent="0.2">
      <c r="B155" s="1" t="str">
        <f>_xlfn.XLOOKUP(Runge1[[#This Row],[Metodo]],TbSolver[Metodo],TbSolver[Solver])</f>
        <v>Runge Kutta</v>
      </c>
      <c r="C155" s="1" t="str">
        <f>_xlfn.XLOOKUP(Runge1[[#This Row],[Hebras]],TbTecnologia[Hebras],TbTecnologia[Tecnología])</f>
        <v>CUDA</v>
      </c>
      <c r="D155" s="1" t="str" cm="1">
        <f t="array" ref="D155">_xlfn.XLOOKUP(Runge1[[#This Row],[Tecnología]]&amp;Runge1[[#This Row],[Metodo]],TbTipos[Tecnología]&amp;TbTipos[Metodo],TbTipos[Tipo])</f>
        <v>CUDA con graph</v>
      </c>
      <c r="E155" s="1" t="str" cm="1">
        <f t="array" ref="E155">_xlfn.XLOOKUP(Runge1[[#This Row],[Tecnología]]&amp;Runge1[[#This Row],[Problema]],TbNombres[Tecnología]&amp;TbNombres[Problema],TbNombres[Nombre])</f>
        <v>Simple Advdiff</v>
      </c>
      <c r="F155" s="20">
        <v>2</v>
      </c>
      <c r="G155" s="20">
        <v>1</v>
      </c>
      <c r="H155" s="20">
        <v>256</v>
      </c>
      <c r="I155" s="20">
        <v>750000</v>
      </c>
      <c r="J155" s="20">
        <v>750000</v>
      </c>
      <c r="K155" s="20">
        <v>311.36700000000002</v>
      </c>
      <c r="M155" s="2" t="str">
        <f>_xlfn.XLOOKUP(Runge2[[#This Row],[Metodo]],TbSolver[Metodo],TbSolver[Solver])</f>
        <v>Runge Kutta</v>
      </c>
      <c r="N155" s="2" t="str">
        <f>_xlfn.XLOOKUP(Runge2[[#This Row],[Hebras]],TbTecnologia[Hebras],TbTecnologia[Tecnología])</f>
        <v>CUDA</v>
      </c>
      <c r="O155" s="4" t="str" cm="1">
        <f t="array" ref="O155">_xlfn.XLOOKUP(Runge2[[#This Row],[Tecnología]]&amp;Runge2[[#This Row],[Metodo]],TbTipos[Tecnología]&amp;TbTipos[Metodo],TbTipos[Tipo])</f>
        <v>CUDA sin graph</v>
      </c>
      <c r="P155" s="4" t="str" cm="1">
        <f t="array" ref="P155">_xlfn.XLOOKUP(Runge2[[#This Row],[Tecnología]]&amp;Runge2[[#This Row],[Problema]],TbNombres[Tecnología]&amp;TbNombres[Problema],TbNombres[Nombre])</f>
        <v>Advdiff1d</v>
      </c>
      <c r="Q155" s="21">
        <v>1</v>
      </c>
      <c r="R155" s="21">
        <v>3</v>
      </c>
      <c r="S155" s="21">
        <v>256</v>
      </c>
      <c r="T155" s="21">
        <v>750000</v>
      </c>
      <c r="U155" s="21">
        <v>750000</v>
      </c>
      <c r="V155" s="21">
        <v>1044.07</v>
      </c>
      <c r="X155" s="2" t="str">
        <f>_xlfn.XLOOKUP(Runge3[[#This Row],[Metodo]],TbSolver[Metodo],TbSolver[Solver])</f>
        <v>Runge Kutta</v>
      </c>
      <c r="Y155" s="2" t="str">
        <f>_xlfn.XLOOKUP(Runge3[[#This Row],[Hebras]],TbTecnologia[Hebras],TbTecnologia[Tecnología])</f>
        <v>CUDA</v>
      </c>
      <c r="Z155" s="2" t="str" cm="1">
        <f t="array" ref="Z155">_xlfn.XLOOKUP(Runge3[[#This Row],[Tecnología]]&amp;Runge3[[#This Row],[Metodo]],TbTipos[Tecnología]&amp;TbTipos[Metodo],TbTipos[Tipo])</f>
        <v>CUDA sin graph</v>
      </c>
      <c r="AA155" s="2" t="str" cm="1">
        <f t="array" ref="AA155">_xlfn.XLOOKUP(Runge3[[#This Row],[Tecnología]]&amp;Runge3[[#This Row],[Problema]],TbNombres[Tecnología]&amp;TbNombres[Problema],TbNombres[Nombre])</f>
        <v>Brusselator1d</v>
      </c>
      <c r="AB155" s="2">
        <v>1</v>
      </c>
      <c r="AC155" s="2">
        <v>5</v>
      </c>
      <c r="AD155" s="2">
        <v>256</v>
      </c>
      <c r="AE155" s="2">
        <v>75000</v>
      </c>
      <c r="AF155" s="2">
        <v>150000</v>
      </c>
      <c r="AG155" s="2">
        <v>66.495599999999996</v>
      </c>
    </row>
    <row r="156" spans="2:33" x14ac:dyDescent="0.2">
      <c r="B156" s="1" t="str">
        <f>_xlfn.XLOOKUP(Runge1[[#This Row],[Metodo]],TbSolver[Metodo],TbSolver[Solver])</f>
        <v>Runge Kutta</v>
      </c>
      <c r="C156" s="1" t="str">
        <f>_xlfn.XLOOKUP(Runge1[[#This Row],[Hebras]],TbTecnologia[Hebras],TbTecnologia[Tecnología])</f>
        <v>CUDA</v>
      </c>
      <c r="D156" s="1" t="str" cm="1">
        <f t="array" ref="D156">_xlfn.XLOOKUP(Runge1[[#This Row],[Tecnología]]&amp;Runge1[[#This Row],[Metodo]],TbTipos[Tecnología]&amp;TbTipos[Metodo],TbTipos[Tipo])</f>
        <v>CUDA sin graph</v>
      </c>
      <c r="E156" s="1" t="str" cm="1">
        <f t="array" ref="E156">_xlfn.XLOOKUP(Runge1[[#This Row],[Tecnología]]&amp;Runge1[[#This Row],[Problema]],TbNombres[Tecnología]&amp;TbNombres[Problema],TbNombres[Nombre])</f>
        <v>Simple Advdiff</v>
      </c>
      <c r="F156" s="20">
        <v>1</v>
      </c>
      <c r="G156" s="20">
        <v>1</v>
      </c>
      <c r="H156" s="20">
        <v>256</v>
      </c>
      <c r="I156" s="20">
        <v>750000</v>
      </c>
      <c r="J156" s="20">
        <v>750000</v>
      </c>
      <c r="K156" s="20">
        <v>315.87700000000001</v>
      </c>
      <c r="M156" s="2" t="str">
        <f>_xlfn.XLOOKUP(Runge2[[#This Row],[Metodo]],TbSolver[Metodo],TbSolver[Solver])</f>
        <v>Runge Kutta</v>
      </c>
      <c r="N156" s="2" t="str">
        <f>_xlfn.XLOOKUP(Runge2[[#This Row],[Hebras]],TbTecnologia[Hebras],TbTecnologia[Tecnología])</f>
        <v>CUDA</v>
      </c>
      <c r="O156" s="4" t="str" cm="1">
        <f t="array" ref="O156">_xlfn.XLOOKUP(Runge2[[#This Row],[Tecnología]]&amp;Runge2[[#This Row],[Metodo]],TbTipos[Tecnología]&amp;TbTipos[Metodo],TbTipos[Tipo])</f>
        <v>CUDA con graph</v>
      </c>
      <c r="P156" s="4" t="str" cm="1">
        <f t="array" ref="P156">_xlfn.XLOOKUP(Runge2[[#This Row],[Tecnología]]&amp;Runge2[[#This Row],[Problema]],TbNombres[Tecnología]&amp;TbNombres[Problema],TbNombres[Nombre])</f>
        <v>Advdiff1d</v>
      </c>
      <c r="Q156" s="21">
        <v>2</v>
      </c>
      <c r="R156" s="21">
        <v>3</v>
      </c>
      <c r="S156" s="21">
        <v>256</v>
      </c>
      <c r="T156" s="21">
        <v>750000</v>
      </c>
      <c r="U156" s="21">
        <v>750000</v>
      </c>
      <c r="V156" s="21">
        <v>1052.22</v>
      </c>
      <c r="X156" s="2" t="str">
        <f>_xlfn.XLOOKUP(Runge3[[#This Row],[Metodo]],TbSolver[Metodo],TbSolver[Solver])</f>
        <v>Runge Kutta</v>
      </c>
      <c r="Y156" s="2" t="str">
        <f>_xlfn.XLOOKUP(Runge3[[#This Row],[Hebras]],TbTecnologia[Hebras],TbTecnologia[Tecnología])</f>
        <v>CUDA</v>
      </c>
      <c r="Z156" s="2" t="str" cm="1">
        <f t="array" ref="Z156">_xlfn.XLOOKUP(Runge3[[#This Row],[Tecnología]]&amp;Runge3[[#This Row],[Metodo]],TbTipos[Tecnología]&amp;TbTipos[Metodo],TbTipos[Tipo])</f>
        <v>CUDA sin graph</v>
      </c>
      <c r="AA156" s="2" t="str" cm="1">
        <f t="array" ref="AA156">_xlfn.XLOOKUP(Runge3[[#This Row],[Tecnología]]&amp;Runge3[[#This Row],[Problema]],TbNombres[Tecnología]&amp;TbNombres[Problema],TbNombres[Nombre])</f>
        <v>Brusselator1d</v>
      </c>
      <c r="AB156" s="21">
        <v>1</v>
      </c>
      <c r="AC156" s="21">
        <v>5</v>
      </c>
      <c r="AD156" s="21">
        <v>256</v>
      </c>
      <c r="AE156" s="21">
        <v>75000</v>
      </c>
      <c r="AF156" s="21">
        <v>150000</v>
      </c>
      <c r="AG156" s="21">
        <v>68.543400000000005</v>
      </c>
    </row>
    <row r="157" spans="2:33" x14ac:dyDescent="0.2">
      <c r="B157" s="1" t="str">
        <f>_xlfn.XLOOKUP(Runge1[[#This Row],[Metodo]],TbSolver[Metodo],TbSolver[Solver])</f>
        <v>Runge Kutta</v>
      </c>
      <c r="C157" s="1" t="str">
        <f>_xlfn.XLOOKUP(Runge1[[#This Row],[Hebras]],TbTecnologia[Hebras],TbTecnologia[Tecnología])</f>
        <v>CUDA</v>
      </c>
      <c r="D157" s="1" t="str" cm="1">
        <f t="array" ref="D157">_xlfn.XLOOKUP(Runge1[[#This Row],[Tecnología]]&amp;Runge1[[#This Row],[Metodo]],TbTipos[Tecnología]&amp;TbTipos[Metodo],TbTipos[Tipo])</f>
        <v>CUDA con graph</v>
      </c>
      <c r="E157" s="1" t="str" cm="1">
        <f t="array" ref="E157">_xlfn.XLOOKUP(Runge1[[#This Row],[Tecnología]]&amp;Runge1[[#This Row],[Problema]],TbNombres[Tecnología]&amp;TbNombres[Problema],TbNombres[Nombre])</f>
        <v>Simple Advdiff</v>
      </c>
      <c r="F157" s="20">
        <v>2</v>
      </c>
      <c r="G157" s="20">
        <v>1</v>
      </c>
      <c r="H157" s="20">
        <v>256</v>
      </c>
      <c r="I157" s="20">
        <v>1000000</v>
      </c>
      <c r="J157" s="20">
        <v>1000000</v>
      </c>
      <c r="K157" s="20">
        <v>406.75299999999999</v>
      </c>
      <c r="M157" s="2" t="str">
        <f>_xlfn.XLOOKUP(Runge2[[#This Row],[Metodo]],TbSolver[Metodo],TbSolver[Solver])</f>
        <v>Runge Kutta</v>
      </c>
      <c r="N157" s="2" t="str">
        <f>_xlfn.XLOOKUP(Runge2[[#This Row],[Hebras]],TbTecnologia[Hebras],TbTecnologia[Tecnología])</f>
        <v>CUDA</v>
      </c>
      <c r="O157" s="4" t="str" cm="1">
        <f t="array" ref="O157">_xlfn.XLOOKUP(Runge2[[#This Row],[Tecnología]]&amp;Runge2[[#This Row],[Metodo]],TbTipos[Tecnología]&amp;TbTipos[Metodo],TbTipos[Tipo])</f>
        <v>CUDA sin graph</v>
      </c>
      <c r="P157" s="4" t="str" cm="1">
        <f t="array" ref="P157">_xlfn.XLOOKUP(Runge2[[#This Row],[Tecnología]]&amp;Runge2[[#This Row],[Problema]],TbNombres[Tecnología]&amp;TbNombres[Problema],TbNombres[Nombre])</f>
        <v>Advdiff1d</v>
      </c>
      <c r="Q157" s="21">
        <v>1</v>
      </c>
      <c r="R157" s="21">
        <v>3</v>
      </c>
      <c r="S157" s="21">
        <v>256</v>
      </c>
      <c r="T157" s="21">
        <v>1000000</v>
      </c>
      <c r="U157" s="21">
        <v>1000000</v>
      </c>
      <c r="V157" s="21">
        <v>1375.45</v>
      </c>
      <c r="X157" s="2" t="str">
        <f>_xlfn.XLOOKUP(Runge3[[#This Row],[Metodo]],TbSolver[Metodo],TbSolver[Solver])</f>
        <v>Runge Kutta</v>
      </c>
      <c r="Y157" s="2" t="str">
        <f>_xlfn.XLOOKUP(Runge3[[#This Row],[Hebras]],TbTecnologia[Hebras],TbTecnologia[Tecnología])</f>
        <v>CUDA</v>
      </c>
      <c r="Z157" s="2" t="str" cm="1">
        <f t="array" ref="Z157">_xlfn.XLOOKUP(Runge3[[#This Row],[Tecnología]]&amp;Runge3[[#This Row],[Metodo]],TbTipos[Tecnología]&amp;TbTipos[Metodo],TbTipos[Tipo])</f>
        <v>CUDA con graph</v>
      </c>
      <c r="AA157" s="2" t="str" cm="1">
        <f t="array" ref="AA157">_xlfn.XLOOKUP(Runge3[[#This Row],[Tecnología]]&amp;Runge3[[#This Row],[Problema]],TbNombres[Tecnología]&amp;TbNombres[Problema],TbNombres[Nombre])</f>
        <v>Brusselator1d</v>
      </c>
      <c r="AB157" s="2">
        <v>2</v>
      </c>
      <c r="AC157" s="2">
        <v>5</v>
      </c>
      <c r="AD157" s="2">
        <v>256</v>
      </c>
      <c r="AE157" s="2">
        <v>100000</v>
      </c>
      <c r="AF157" s="2">
        <v>200000</v>
      </c>
      <c r="AG157" s="2">
        <v>85.591800000000006</v>
      </c>
    </row>
    <row r="158" spans="2:33" x14ac:dyDescent="0.2">
      <c r="B158" s="1" t="str">
        <f>_xlfn.XLOOKUP(Runge1[[#This Row],[Metodo]],TbSolver[Metodo],TbSolver[Solver])</f>
        <v>Runge Kutta</v>
      </c>
      <c r="C158" s="1" t="str">
        <f>_xlfn.XLOOKUP(Runge1[[#This Row],[Hebras]],TbTecnologia[Hebras],TbTecnologia[Tecnología])</f>
        <v>CUDA</v>
      </c>
      <c r="D158" s="1" t="str" cm="1">
        <f t="array" ref="D158">_xlfn.XLOOKUP(Runge1[[#This Row],[Tecnología]]&amp;Runge1[[#This Row],[Metodo]],TbTipos[Tecnología]&amp;TbTipos[Metodo],TbTipos[Tipo])</f>
        <v>CUDA sin graph</v>
      </c>
      <c r="E158" s="1" t="str" cm="1">
        <f t="array" ref="E158">_xlfn.XLOOKUP(Runge1[[#This Row],[Tecnología]]&amp;Runge1[[#This Row],[Problema]],TbNombres[Tecnología]&amp;TbNombres[Problema],TbNombres[Nombre])</f>
        <v>Simple Advdiff</v>
      </c>
      <c r="F158" s="20">
        <v>1</v>
      </c>
      <c r="G158" s="20">
        <v>1</v>
      </c>
      <c r="H158" s="20">
        <v>256</v>
      </c>
      <c r="I158" s="20">
        <v>1000000</v>
      </c>
      <c r="J158" s="20">
        <v>1000000</v>
      </c>
      <c r="K158" s="20">
        <v>410.64600000000002</v>
      </c>
      <c r="M158" s="2" t="str">
        <f>_xlfn.XLOOKUP(Runge2[[#This Row],[Metodo]],TbSolver[Metodo],TbSolver[Solver])</f>
        <v>Runge Kutta</v>
      </c>
      <c r="N158" s="2" t="str">
        <f>_xlfn.XLOOKUP(Runge2[[#This Row],[Hebras]],TbTecnologia[Hebras],TbTecnologia[Tecnología])</f>
        <v>CUDA</v>
      </c>
      <c r="O158" s="4" t="str" cm="1">
        <f t="array" ref="O158">_xlfn.XLOOKUP(Runge2[[#This Row],[Tecnología]]&amp;Runge2[[#This Row],[Metodo]],TbTipos[Tecnología]&amp;TbTipos[Metodo],TbTipos[Tipo])</f>
        <v>CUDA con graph</v>
      </c>
      <c r="P158" s="4" t="str" cm="1">
        <f t="array" ref="P158">_xlfn.XLOOKUP(Runge2[[#This Row],[Tecnología]]&amp;Runge2[[#This Row],[Problema]],TbNombres[Tecnología]&amp;TbNombres[Problema],TbNombres[Nombre])</f>
        <v>Advdiff1d</v>
      </c>
      <c r="Q158" s="21">
        <v>2</v>
      </c>
      <c r="R158" s="21">
        <v>3</v>
      </c>
      <c r="S158" s="21">
        <v>256</v>
      </c>
      <c r="T158" s="21">
        <v>1000000</v>
      </c>
      <c r="U158" s="21">
        <v>1000000</v>
      </c>
      <c r="V158" s="21">
        <v>1388.4</v>
      </c>
      <c r="X158" s="2" t="str">
        <f>_xlfn.XLOOKUP(Runge3[[#This Row],[Metodo]],TbSolver[Metodo],TbSolver[Solver])</f>
        <v>Runge Kutta</v>
      </c>
      <c r="Y158" s="2" t="str">
        <f>_xlfn.XLOOKUP(Runge3[[#This Row],[Hebras]],TbTecnologia[Hebras],TbTecnologia[Tecnología])</f>
        <v>CUDA</v>
      </c>
      <c r="Z158" s="2" t="str" cm="1">
        <f t="array" ref="Z158">_xlfn.XLOOKUP(Runge3[[#This Row],[Tecnología]]&amp;Runge3[[#This Row],[Metodo]],TbTipos[Tecnología]&amp;TbTipos[Metodo],TbTipos[Tipo])</f>
        <v>CUDA sin graph</v>
      </c>
      <c r="AA158" s="2" t="str" cm="1">
        <f t="array" ref="AA158">_xlfn.XLOOKUP(Runge3[[#This Row],[Tecnología]]&amp;Runge3[[#This Row],[Problema]],TbNombres[Tecnología]&amp;TbNombres[Problema],TbNombres[Nombre])</f>
        <v>Brusselator1d</v>
      </c>
      <c r="AB158" s="2">
        <v>1</v>
      </c>
      <c r="AC158" s="2">
        <v>5</v>
      </c>
      <c r="AD158" s="2">
        <v>256</v>
      </c>
      <c r="AE158" s="2">
        <v>100000</v>
      </c>
      <c r="AF158" s="2">
        <v>200000</v>
      </c>
      <c r="AG158" s="2">
        <v>89.162099999999995</v>
      </c>
    </row>
    <row r="159" spans="2:33" x14ac:dyDescent="0.2">
      <c r="X159" s="2" t="str">
        <f>_xlfn.XLOOKUP(Runge3[[#This Row],[Metodo]],TbSolver[Metodo],TbSolver[Solver])</f>
        <v>Runge Kutta</v>
      </c>
      <c r="Y159" s="2" t="str">
        <f>_xlfn.XLOOKUP(Runge3[[#This Row],[Hebras]],TbTecnologia[Hebras],TbTecnologia[Tecnología])</f>
        <v>CUDA</v>
      </c>
      <c r="Z159" s="2" t="str" cm="1">
        <f t="array" ref="Z159">_xlfn.XLOOKUP(Runge3[[#This Row],[Tecnología]]&amp;Runge3[[#This Row],[Metodo]],TbTipos[Tecnología]&amp;TbTipos[Metodo],TbTipos[Tipo])</f>
        <v>CUDA con graph</v>
      </c>
      <c r="AA159" s="2" t="str" cm="1">
        <f t="array" ref="AA159">_xlfn.XLOOKUP(Runge3[[#This Row],[Tecnología]]&amp;Runge3[[#This Row],[Problema]],TbNombres[Tecnología]&amp;TbNombres[Problema],TbNombres[Nombre])</f>
        <v>Brusselator1d</v>
      </c>
      <c r="AB159" s="21">
        <v>2</v>
      </c>
      <c r="AC159" s="21">
        <v>5</v>
      </c>
      <c r="AD159" s="21">
        <v>256</v>
      </c>
      <c r="AE159" s="21">
        <v>125000</v>
      </c>
      <c r="AF159" s="21">
        <v>250000</v>
      </c>
      <c r="AG159" s="21">
        <v>111.325</v>
      </c>
    </row>
    <row r="160" spans="2:33" x14ac:dyDescent="0.2">
      <c r="X160" s="2" t="str">
        <f>_xlfn.XLOOKUP(Runge3[[#This Row],[Metodo]],TbSolver[Metodo],TbSolver[Solver])</f>
        <v>Runge Kutta</v>
      </c>
      <c r="Y160" s="2" t="str">
        <f>_xlfn.XLOOKUP(Runge3[[#This Row],[Hebras]],TbTecnologia[Hebras],TbTecnologia[Tecnología])</f>
        <v>CUDA</v>
      </c>
      <c r="Z160" s="2" t="str" cm="1">
        <f t="array" ref="Z160">_xlfn.XLOOKUP(Runge3[[#This Row],[Tecnología]]&amp;Runge3[[#This Row],[Metodo]],TbTipos[Tecnología]&amp;TbTipos[Metodo],TbTipos[Tipo])</f>
        <v>CUDA sin graph</v>
      </c>
      <c r="AA160" s="2" t="str" cm="1">
        <f t="array" ref="AA160">_xlfn.XLOOKUP(Runge3[[#This Row],[Tecnología]]&amp;Runge3[[#This Row],[Problema]],TbNombres[Tecnología]&amp;TbNombres[Problema],TbNombres[Nombre])</f>
        <v>Brusselator1d</v>
      </c>
      <c r="AB160" s="21">
        <v>1</v>
      </c>
      <c r="AC160" s="21">
        <v>5</v>
      </c>
      <c r="AD160" s="21">
        <v>256</v>
      </c>
      <c r="AE160" s="21">
        <v>125000</v>
      </c>
      <c r="AF160" s="21">
        <v>250000</v>
      </c>
      <c r="AG160" s="21">
        <v>115.643</v>
      </c>
    </row>
    <row r="161" spans="24:33" x14ac:dyDescent="0.2">
      <c r="X161" s="2" t="str">
        <f>_xlfn.XLOOKUP(Runge3[[#This Row],[Metodo]],TbSolver[Metodo],TbSolver[Solver])</f>
        <v>Runge Kutta</v>
      </c>
      <c r="Y161" s="2" t="str">
        <f>_xlfn.XLOOKUP(Runge3[[#This Row],[Hebras]],TbTecnologia[Hebras],TbTecnologia[Tecnología])</f>
        <v>CUDA</v>
      </c>
      <c r="Z161" s="2" t="str" cm="1">
        <f t="array" ref="Z161">_xlfn.XLOOKUP(Runge3[[#This Row],[Tecnología]]&amp;Runge3[[#This Row],[Metodo]],TbTipos[Tecnología]&amp;TbTipos[Metodo],TbTipos[Tipo])</f>
        <v>CUDA con graph</v>
      </c>
      <c r="AA161" s="2" t="str" cm="1">
        <f t="array" ref="AA161">_xlfn.XLOOKUP(Runge3[[#This Row],[Tecnología]]&amp;Runge3[[#This Row],[Problema]],TbNombres[Tecnología]&amp;TbNombres[Problema],TbNombres[Nombre])</f>
        <v>Brusselator1d</v>
      </c>
      <c r="AB161" s="2">
        <v>2</v>
      </c>
      <c r="AC161" s="2">
        <v>5</v>
      </c>
      <c r="AD161" s="2">
        <v>256</v>
      </c>
      <c r="AE161" s="2">
        <v>150000</v>
      </c>
      <c r="AF161" s="2">
        <v>300000</v>
      </c>
      <c r="AG161" s="2">
        <v>136.15</v>
      </c>
    </row>
    <row r="162" spans="24:33" x14ac:dyDescent="0.2">
      <c r="X162" s="2" t="str">
        <f>_xlfn.XLOOKUP(Runge3[[#This Row],[Metodo]],TbSolver[Metodo],TbSolver[Solver])</f>
        <v>Runge Kutta</v>
      </c>
      <c r="Y162" s="2" t="str">
        <f>_xlfn.XLOOKUP(Runge3[[#This Row],[Hebras]],TbTecnologia[Hebras],TbTecnologia[Tecnología])</f>
        <v>CUDA</v>
      </c>
      <c r="Z162" s="2" t="str" cm="1">
        <f t="array" ref="Z162">_xlfn.XLOOKUP(Runge3[[#This Row],[Tecnología]]&amp;Runge3[[#This Row],[Metodo]],TbTipos[Tecnología]&amp;TbTipos[Metodo],TbTipos[Tipo])</f>
        <v>CUDA sin graph</v>
      </c>
      <c r="AA162" s="2" t="str" cm="1">
        <f t="array" ref="AA162">_xlfn.XLOOKUP(Runge3[[#This Row],[Tecnología]]&amp;Runge3[[#This Row],[Problema]],TbNombres[Tecnología]&amp;TbNombres[Problema],TbNombres[Nombre])</f>
        <v>Brusselator1d</v>
      </c>
      <c r="AB162" s="2">
        <v>1</v>
      </c>
      <c r="AC162" s="2">
        <v>5</v>
      </c>
      <c r="AD162" s="2">
        <v>256</v>
      </c>
      <c r="AE162" s="2">
        <v>150000</v>
      </c>
      <c r="AF162" s="2">
        <v>300000</v>
      </c>
      <c r="AG162" s="2">
        <v>141.374</v>
      </c>
    </row>
    <row r="163" spans="24:33" x14ac:dyDescent="0.2">
      <c r="X163" s="2" t="str">
        <f>_xlfn.XLOOKUP(Runge3[[#This Row],[Metodo]],TbSolver[Metodo],TbSolver[Solver])</f>
        <v>Runge Kutta</v>
      </c>
      <c r="Y163" s="2" t="str">
        <f>_xlfn.XLOOKUP(Runge3[[#This Row],[Hebras]],TbTecnologia[Hebras],TbTecnologia[Tecnología])</f>
        <v>CUDA</v>
      </c>
      <c r="Z163" s="2" t="str" cm="1">
        <f t="array" ref="Z163">_xlfn.XLOOKUP(Runge3[[#This Row],[Tecnología]]&amp;Runge3[[#This Row],[Metodo]],TbTipos[Tecnología]&amp;TbTipos[Metodo],TbTipos[Tipo])</f>
        <v>CUDA con graph</v>
      </c>
      <c r="AA163" s="2" t="str" cm="1">
        <f t="array" ref="AA163">_xlfn.XLOOKUP(Runge3[[#This Row],[Tecnología]]&amp;Runge3[[#This Row],[Problema]],TbNombres[Tecnología]&amp;TbNombres[Problema],TbNombres[Nombre])</f>
        <v>Brusselator1d</v>
      </c>
      <c r="AB163" s="21">
        <v>2</v>
      </c>
      <c r="AC163" s="21">
        <v>5</v>
      </c>
      <c r="AD163" s="21">
        <v>256</v>
      </c>
      <c r="AE163" s="21">
        <v>175000</v>
      </c>
      <c r="AF163" s="21">
        <v>350000</v>
      </c>
      <c r="AG163" s="21">
        <v>168.09200000000001</v>
      </c>
    </row>
    <row r="164" spans="24:33" x14ac:dyDescent="0.2">
      <c r="X164" s="2" t="str">
        <f>_xlfn.XLOOKUP(Runge3[[#This Row],[Metodo]],TbSolver[Metodo],TbSolver[Solver])</f>
        <v>Runge Kutta</v>
      </c>
      <c r="Y164" s="2" t="str">
        <f>_xlfn.XLOOKUP(Runge3[[#This Row],[Hebras]],TbTecnologia[Hebras],TbTecnologia[Tecnología])</f>
        <v>CUDA</v>
      </c>
      <c r="Z164" s="2" t="str" cm="1">
        <f t="array" ref="Z164">_xlfn.XLOOKUP(Runge3[[#This Row],[Tecnología]]&amp;Runge3[[#This Row],[Metodo]],TbTipos[Tecnología]&amp;TbTipos[Metodo],TbTipos[Tipo])</f>
        <v>CUDA sin graph</v>
      </c>
      <c r="AA164" s="2" t="str" cm="1">
        <f t="array" ref="AA164">_xlfn.XLOOKUP(Runge3[[#This Row],[Tecnología]]&amp;Runge3[[#This Row],[Problema]],TbNombres[Tecnología]&amp;TbNombres[Problema],TbNombres[Nombre])</f>
        <v>Brusselator1d</v>
      </c>
      <c r="AB164" s="21">
        <v>1</v>
      </c>
      <c r="AC164" s="21">
        <v>5</v>
      </c>
      <c r="AD164" s="21">
        <v>256</v>
      </c>
      <c r="AE164" s="21">
        <v>175000</v>
      </c>
      <c r="AF164" s="21">
        <v>350000</v>
      </c>
      <c r="AG164" s="21">
        <v>173.56299999999999</v>
      </c>
    </row>
    <row r="165" spans="24:33" x14ac:dyDescent="0.2">
      <c r="X165" s="2" t="str">
        <f>_xlfn.XLOOKUP(Runge3[[#This Row],[Metodo]],TbSolver[Metodo],TbSolver[Solver])</f>
        <v>Runge Kutta</v>
      </c>
      <c r="Y165" s="2" t="str">
        <f>_xlfn.XLOOKUP(Runge3[[#This Row],[Hebras]],TbTecnologia[Hebras],TbTecnologia[Tecnología])</f>
        <v>CUDA</v>
      </c>
      <c r="Z165" s="2" t="str" cm="1">
        <f t="array" ref="Z165">_xlfn.XLOOKUP(Runge3[[#This Row],[Tecnología]]&amp;Runge3[[#This Row],[Metodo]],TbTipos[Tecnología]&amp;TbTipos[Metodo],TbTipos[Tipo])</f>
        <v>CUDA con graph</v>
      </c>
      <c r="AA165" s="2" t="str" cm="1">
        <f t="array" ref="AA165">_xlfn.XLOOKUP(Runge3[[#This Row],[Tecnología]]&amp;Runge3[[#This Row],[Problema]],TbNombres[Tecnología]&amp;TbNombres[Problema],TbNombres[Nombre])</f>
        <v>Brusselator1d</v>
      </c>
      <c r="AB165" s="2">
        <v>2</v>
      </c>
      <c r="AC165" s="2">
        <v>5</v>
      </c>
      <c r="AD165" s="2">
        <v>256</v>
      </c>
      <c r="AE165" s="2">
        <v>200000</v>
      </c>
      <c r="AF165" s="2">
        <v>400000</v>
      </c>
      <c r="AG165" s="2">
        <v>190.59800000000001</v>
      </c>
    </row>
    <row r="166" spans="24:33" x14ac:dyDescent="0.2">
      <c r="X166" s="2" t="str">
        <f>_xlfn.XLOOKUP(Runge3[[#This Row],[Metodo]],TbSolver[Metodo],TbSolver[Solver])</f>
        <v>Runge Kutta</v>
      </c>
      <c r="Y166" s="2" t="str">
        <f>_xlfn.XLOOKUP(Runge3[[#This Row],[Hebras]],TbTecnologia[Hebras],TbTecnologia[Tecnología])</f>
        <v>CUDA</v>
      </c>
      <c r="Z166" s="2" t="str" cm="1">
        <f t="array" ref="Z166">_xlfn.XLOOKUP(Runge3[[#This Row],[Tecnología]]&amp;Runge3[[#This Row],[Metodo]],TbTipos[Tecnología]&amp;TbTipos[Metodo],TbTipos[Tipo])</f>
        <v>CUDA sin graph</v>
      </c>
      <c r="AA166" s="2" t="str" cm="1">
        <f t="array" ref="AA166">_xlfn.XLOOKUP(Runge3[[#This Row],[Tecnología]]&amp;Runge3[[#This Row],[Problema]],TbNombres[Tecnología]&amp;TbNombres[Problema],TbNombres[Nombre])</f>
        <v>Brusselator1d</v>
      </c>
      <c r="AB166" s="2">
        <v>1</v>
      </c>
      <c r="AC166" s="2">
        <v>5</v>
      </c>
      <c r="AD166" s="2">
        <v>256</v>
      </c>
      <c r="AE166" s="2">
        <v>200000</v>
      </c>
      <c r="AF166" s="2">
        <v>400000</v>
      </c>
      <c r="AG166" s="2">
        <v>195.79300000000001</v>
      </c>
    </row>
    <row r="167" spans="24:33" x14ac:dyDescent="0.2">
      <c r="X167" s="2" t="str">
        <f>_xlfn.XLOOKUP(Runge3[[#This Row],[Metodo]],TbSolver[Metodo],TbSolver[Solver])</f>
        <v>Runge Kutta</v>
      </c>
      <c r="Y167" s="2" t="str">
        <f>_xlfn.XLOOKUP(Runge3[[#This Row],[Hebras]],TbTecnologia[Hebras],TbTecnologia[Tecnología])</f>
        <v>CUDA</v>
      </c>
      <c r="Z167" s="2" t="str" cm="1">
        <f t="array" ref="Z167">_xlfn.XLOOKUP(Runge3[[#This Row],[Tecnología]]&amp;Runge3[[#This Row],[Metodo]],TbTipos[Tecnología]&amp;TbTipos[Metodo],TbTipos[Tipo])</f>
        <v>CUDA con graph</v>
      </c>
      <c r="AA167" s="2" t="str" cm="1">
        <f t="array" ref="AA167">_xlfn.XLOOKUP(Runge3[[#This Row],[Tecnología]]&amp;Runge3[[#This Row],[Problema]],TbNombres[Tecnología]&amp;TbNombres[Problema],TbNombres[Nombre])</f>
        <v>Brusselator1d</v>
      </c>
      <c r="AB167" s="2">
        <v>2</v>
      </c>
      <c r="AC167" s="2">
        <v>5</v>
      </c>
      <c r="AD167" s="2">
        <v>256</v>
      </c>
      <c r="AE167" s="2">
        <v>250000</v>
      </c>
      <c r="AF167" s="2">
        <v>500000</v>
      </c>
      <c r="AG167" s="2">
        <v>241.274</v>
      </c>
    </row>
    <row r="168" spans="24:33" x14ac:dyDescent="0.2">
      <c r="X168" s="2" t="str">
        <f>_xlfn.XLOOKUP(Runge3[[#This Row],[Metodo]],TbSolver[Metodo],TbSolver[Solver])</f>
        <v>Runge Kutta</v>
      </c>
      <c r="Y168" s="2" t="str">
        <f>_xlfn.XLOOKUP(Runge3[[#This Row],[Hebras]],TbTecnologia[Hebras],TbTecnologia[Tecnología])</f>
        <v>CUDA</v>
      </c>
      <c r="Z168" s="2" t="str" cm="1">
        <f t="array" ref="Z168">_xlfn.XLOOKUP(Runge3[[#This Row],[Tecnología]]&amp;Runge3[[#This Row],[Metodo]],TbTipos[Tecnología]&amp;TbTipos[Metodo],TbTipos[Tipo])</f>
        <v>CUDA sin graph</v>
      </c>
      <c r="AA168" s="2" t="str" cm="1">
        <f t="array" ref="AA168">_xlfn.XLOOKUP(Runge3[[#This Row],[Tecnología]]&amp;Runge3[[#This Row],[Problema]],TbNombres[Tecnología]&amp;TbNombres[Problema],TbNombres[Nombre])</f>
        <v>Brusselator1d</v>
      </c>
      <c r="AB168" s="2">
        <v>1</v>
      </c>
      <c r="AC168" s="2">
        <v>5</v>
      </c>
      <c r="AD168" s="2">
        <v>256</v>
      </c>
      <c r="AE168" s="2">
        <v>250000</v>
      </c>
      <c r="AF168" s="2">
        <v>500000</v>
      </c>
      <c r="AG168" s="2">
        <v>246.38900000000001</v>
      </c>
    </row>
    <row r="169" spans="24:33" x14ac:dyDescent="0.2">
      <c r="X169" s="2" t="str">
        <f>_xlfn.XLOOKUP(Runge3[[#This Row],[Metodo]],TbSolver[Metodo],TbSolver[Solver])</f>
        <v>Runge Kutta</v>
      </c>
      <c r="Y169" s="2" t="str">
        <f>_xlfn.XLOOKUP(Runge3[[#This Row],[Hebras]],TbTecnologia[Hebras],TbTecnologia[Tecnología])</f>
        <v>CUDA</v>
      </c>
      <c r="Z169" s="2" t="str" cm="1">
        <f t="array" ref="Z169">_xlfn.XLOOKUP(Runge3[[#This Row],[Tecnología]]&amp;Runge3[[#This Row],[Metodo]],TbTipos[Tecnología]&amp;TbTipos[Metodo],TbTipos[Tipo])</f>
        <v>CUDA con graph</v>
      </c>
      <c r="AA169" s="2" t="str" cm="1">
        <f t="array" ref="AA169">_xlfn.XLOOKUP(Runge3[[#This Row],[Tecnología]]&amp;Runge3[[#This Row],[Problema]],TbNombres[Tecnología]&amp;TbNombres[Problema],TbNombres[Nombre])</f>
        <v>Brusselator1d</v>
      </c>
      <c r="AB169" s="2">
        <v>2</v>
      </c>
      <c r="AC169" s="2">
        <v>5</v>
      </c>
      <c r="AD169" s="2">
        <v>256</v>
      </c>
      <c r="AE169" s="2">
        <v>300000</v>
      </c>
      <c r="AF169" s="2">
        <v>600000</v>
      </c>
      <c r="AG169" s="2">
        <v>286.33699999999999</v>
      </c>
    </row>
    <row r="170" spans="24:33" x14ac:dyDescent="0.2">
      <c r="X170" s="2" t="str">
        <f>_xlfn.XLOOKUP(Runge3[[#This Row],[Metodo]],TbSolver[Metodo],TbSolver[Solver])</f>
        <v>Runge Kutta</v>
      </c>
      <c r="Y170" s="2" t="str">
        <f>_xlfn.XLOOKUP(Runge3[[#This Row],[Hebras]],TbTecnologia[Hebras],TbTecnologia[Tecnología])</f>
        <v>CUDA</v>
      </c>
      <c r="Z170" s="2" t="str" cm="1">
        <f t="array" ref="Z170">_xlfn.XLOOKUP(Runge3[[#This Row],[Tecnología]]&amp;Runge3[[#This Row],[Metodo]],TbTipos[Tecnología]&amp;TbTipos[Metodo],TbTipos[Tipo])</f>
        <v>CUDA sin graph</v>
      </c>
      <c r="AA170" s="2" t="str" cm="1">
        <f t="array" ref="AA170">_xlfn.XLOOKUP(Runge3[[#This Row],[Tecnología]]&amp;Runge3[[#This Row],[Problema]],TbNombres[Tecnología]&amp;TbNombres[Problema],TbNombres[Nombre])</f>
        <v>Brusselator1d</v>
      </c>
      <c r="AB170" s="2">
        <v>1</v>
      </c>
      <c r="AC170" s="2">
        <v>5</v>
      </c>
      <c r="AD170" s="2">
        <v>256</v>
      </c>
      <c r="AE170" s="2">
        <v>300000</v>
      </c>
      <c r="AF170" s="2">
        <v>600000</v>
      </c>
      <c r="AG170" s="2">
        <v>291.95100000000002</v>
      </c>
    </row>
    <row r="171" spans="24:33" x14ac:dyDescent="0.2">
      <c r="X171" s="2" t="str">
        <f>_xlfn.XLOOKUP(Runge3[[#This Row],[Metodo]],TbSolver[Metodo],TbSolver[Solver])</f>
        <v>Runge Kutta</v>
      </c>
      <c r="Y171" s="2" t="str">
        <f>_xlfn.XLOOKUP(Runge3[[#This Row],[Hebras]],TbTecnologia[Hebras],TbTecnologia[Tecnología])</f>
        <v>CUDA</v>
      </c>
      <c r="Z171" s="2" t="str" cm="1">
        <f t="array" ref="Z171">_xlfn.XLOOKUP(Runge3[[#This Row],[Tecnología]]&amp;Runge3[[#This Row],[Metodo]],TbTipos[Tecnología]&amp;TbTipos[Metodo],TbTipos[Tipo])</f>
        <v>CUDA con graph</v>
      </c>
      <c r="AA171" s="2" t="str" cm="1">
        <f t="array" ref="AA171">_xlfn.XLOOKUP(Runge3[[#This Row],[Tecnología]]&amp;Runge3[[#This Row],[Problema]],TbNombres[Tecnología]&amp;TbNombres[Problema],TbNombres[Nombre])</f>
        <v>Brusselator1d</v>
      </c>
      <c r="AB171" s="2">
        <v>2</v>
      </c>
      <c r="AC171" s="2">
        <v>5</v>
      </c>
      <c r="AD171" s="2">
        <v>256</v>
      </c>
      <c r="AE171" s="2">
        <v>350000</v>
      </c>
      <c r="AF171" s="2">
        <v>700000</v>
      </c>
      <c r="AG171" s="2">
        <v>330.11399999999998</v>
      </c>
    </row>
    <row r="172" spans="24:33" x14ac:dyDescent="0.2">
      <c r="X172" s="2" t="str">
        <f>_xlfn.XLOOKUP(Runge3[[#This Row],[Metodo]],TbSolver[Metodo],TbSolver[Solver])</f>
        <v>Runge Kutta</v>
      </c>
      <c r="Y172" s="2" t="str">
        <f>_xlfn.XLOOKUP(Runge3[[#This Row],[Hebras]],TbTecnologia[Hebras],TbTecnologia[Tecnología])</f>
        <v>CUDA</v>
      </c>
      <c r="Z172" s="2" t="str" cm="1">
        <f t="array" ref="Z172">_xlfn.XLOOKUP(Runge3[[#This Row],[Tecnología]]&amp;Runge3[[#This Row],[Metodo]],TbTipos[Tecnología]&amp;TbTipos[Metodo],TbTipos[Tipo])</f>
        <v>CUDA sin graph</v>
      </c>
      <c r="AA172" s="2" t="str" cm="1">
        <f t="array" ref="AA172">_xlfn.XLOOKUP(Runge3[[#This Row],[Tecnología]]&amp;Runge3[[#This Row],[Problema]],TbNombres[Tecnología]&amp;TbNombres[Problema],TbNombres[Nombre])</f>
        <v>Brusselator1d</v>
      </c>
      <c r="AB172" s="2">
        <v>1</v>
      </c>
      <c r="AC172" s="2">
        <v>5</v>
      </c>
      <c r="AD172" s="2">
        <v>256</v>
      </c>
      <c r="AE172" s="2">
        <v>350000</v>
      </c>
      <c r="AF172" s="2">
        <v>700000</v>
      </c>
      <c r="AG172" s="2">
        <v>335.23500000000001</v>
      </c>
    </row>
    <row r="173" spans="24:33" x14ac:dyDescent="0.2">
      <c r="X173" s="2" t="str">
        <f>_xlfn.XLOOKUP(Runge3[[#This Row],[Metodo]],TbSolver[Metodo],TbSolver[Solver])</f>
        <v>Runge Kutta</v>
      </c>
      <c r="Y173" s="2" t="str">
        <f>_xlfn.XLOOKUP(Runge3[[#This Row],[Hebras]],TbTecnologia[Hebras],TbTecnologia[Tecnología])</f>
        <v>CUDA</v>
      </c>
      <c r="Z173" s="2" t="str" cm="1">
        <f t="array" ref="Z173">_xlfn.XLOOKUP(Runge3[[#This Row],[Tecnología]]&amp;Runge3[[#This Row],[Metodo]],TbTipos[Tecnología]&amp;TbTipos[Metodo],TbTipos[Tipo])</f>
        <v>CUDA con graph</v>
      </c>
      <c r="AA173" s="2" t="str" cm="1">
        <f t="array" ref="AA173">_xlfn.XLOOKUP(Runge3[[#This Row],[Tecnología]]&amp;Runge3[[#This Row],[Problema]],TbNombres[Tecnología]&amp;TbNombres[Problema],TbNombres[Nombre])</f>
        <v>Brusselator1d</v>
      </c>
      <c r="AB173" s="2">
        <v>2</v>
      </c>
      <c r="AC173" s="2">
        <v>5</v>
      </c>
      <c r="AD173" s="2">
        <v>256</v>
      </c>
      <c r="AE173" s="2">
        <v>400000</v>
      </c>
      <c r="AF173" s="2">
        <v>800000</v>
      </c>
      <c r="AG173" s="2">
        <v>373.81</v>
      </c>
    </row>
    <row r="174" spans="24:33" x14ac:dyDescent="0.2">
      <c r="X174" s="2" t="str">
        <f>_xlfn.XLOOKUP(Runge3[[#This Row],[Metodo]],TbSolver[Metodo],TbSolver[Solver])</f>
        <v>Runge Kutta</v>
      </c>
      <c r="Y174" s="2" t="str">
        <f>_xlfn.XLOOKUP(Runge3[[#This Row],[Hebras]],TbTecnologia[Hebras],TbTecnologia[Tecnología])</f>
        <v>CUDA</v>
      </c>
      <c r="Z174" s="2" t="str" cm="1">
        <f t="array" ref="Z174">_xlfn.XLOOKUP(Runge3[[#This Row],[Tecnología]]&amp;Runge3[[#This Row],[Metodo]],TbTipos[Tecnología]&amp;TbTipos[Metodo],TbTipos[Tipo])</f>
        <v>CUDA sin graph</v>
      </c>
      <c r="AA174" s="2" t="str" cm="1">
        <f t="array" ref="AA174">_xlfn.XLOOKUP(Runge3[[#This Row],[Tecnología]]&amp;Runge3[[#This Row],[Problema]],TbNombres[Tecnología]&amp;TbNombres[Problema],TbNombres[Nombre])</f>
        <v>Brusselator1d</v>
      </c>
      <c r="AB174" s="2">
        <v>1</v>
      </c>
      <c r="AC174" s="2">
        <v>5</v>
      </c>
      <c r="AD174" s="2">
        <v>256</v>
      </c>
      <c r="AE174" s="2">
        <v>400000</v>
      </c>
      <c r="AF174" s="2">
        <v>800000</v>
      </c>
      <c r="AG174" s="2">
        <v>379.27300000000002</v>
      </c>
    </row>
    <row r="175" spans="24:33" x14ac:dyDescent="0.2">
      <c r="X175" s="2" t="str">
        <f>_xlfn.XLOOKUP(Runge3[[#This Row],[Metodo]],TbSolver[Metodo],TbSolver[Solver])</f>
        <v>Runge Kutta</v>
      </c>
      <c r="Y175" s="2" t="str">
        <f>_xlfn.XLOOKUP(Runge3[[#This Row],[Hebras]],TbTecnologia[Hebras],TbTecnologia[Tecnología])</f>
        <v>CUDA</v>
      </c>
      <c r="Z175" s="2" t="str" cm="1">
        <f t="array" ref="Z175">_xlfn.XLOOKUP(Runge3[[#This Row],[Tecnología]]&amp;Runge3[[#This Row],[Metodo]],TbTipos[Tecnología]&amp;TbTipos[Metodo],TbTipos[Tipo])</f>
        <v>CUDA con graph</v>
      </c>
      <c r="AA175" s="2" t="str" cm="1">
        <f t="array" ref="AA175">_xlfn.XLOOKUP(Runge3[[#This Row],[Tecnología]]&amp;Runge3[[#This Row],[Problema]],TbNombres[Tecnología]&amp;TbNombres[Problema],TbNombres[Nombre])</f>
        <v>Brusselator1d</v>
      </c>
      <c r="AB175" s="2">
        <v>2</v>
      </c>
      <c r="AC175" s="2">
        <v>5</v>
      </c>
      <c r="AD175" s="2">
        <v>256</v>
      </c>
      <c r="AE175" s="2">
        <v>450000</v>
      </c>
      <c r="AF175" s="2">
        <v>900000</v>
      </c>
      <c r="AG175" s="2">
        <v>418.26100000000002</v>
      </c>
    </row>
    <row r="176" spans="24:33" x14ac:dyDescent="0.2">
      <c r="X176" s="2" t="str">
        <f>_xlfn.XLOOKUP(Runge3[[#This Row],[Metodo]],TbSolver[Metodo],TbSolver[Solver])</f>
        <v>Runge Kutta</v>
      </c>
      <c r="Y176" s="2" t="str">
        <f>_xlfn.XLOOKUP(Runge3[[#This Row],[Hebras]],TbTecnologia[Hebras],TbTecnologia[Tecnología])</f>
        <v>CUDA</v>
      </c>
      <c r="Z176" s="2" t="str" cm="1">
        <f t="array" ref="Z176">_xlfn.XLOOKUP(Runge3[[#This Row],[Tecnología]]&amp;Runge3[[#This Row],[Metodo]],TbTipos[Tecnología]&amp;TbTipos[Metodo],TbTipos[Tipo])</f>
        <v>CUDA sin graph</v>
      </c>
      <c r="AA176" s="2" t="str" cm="1">
        <f t="array" ref="AA176">_xlfn.XLOOKUP(Runge3[[#This Row],[Tecnología]]&amp;Runge3[[#This Row],[Problema]],TbNombres[Tecnología]&amp;TbNombres[Problema],TbNombres[Nombre])</f>
        <v>Brusselator1d</v>
      </c>
      <c r="AB176" s="2">
        <v>1</v>
      </c>
      <c r="AC176" s="2">
        <v>5</v>
      </c>
      <c r="AD176" s="2">
        <v>256</v>
      </c>
      <c r="AE176" s="2">
        <v>450000</v>
      </c>
      <c r="AF176" s="2">
        <v>900000</v>
      </c>
      <c r="AG176" s="2">
        <v>423.52100000000002</v>
      </c>
    </row>
    <row r="177" spans="24:33" x14ac:dyDescent="0.2">
      <c r="X177" s="2" t="str">
        <f>_xlfn.XLOOKUP(Runge3[[#This Row],[Metodo]],TbSolver[Metodo],TbSolver[Solver])</f>
        <v>Runge Kutta</v>
      </c>
      <c r="Y177" s="2" t="str">
        <f>_xlfn.XLOOKUP(Runge3[[#This Row],[Hebras]],TbTecnologia[Hebras],TbTecnologia[Tecnología])</f>
        <v>CUDA</v>
      </c>
      <c r="Z177" s="2" t="str" cm="1">
        <f t="array" ref="Z177">_xlfn.XLOOKUP(Runge3[[#This Row],[Tecnología]]&amp;Runge3[[#This Row],[Metodo]],TbTipos[Tecnología]&amp;TbTipos[Metodo],TbTipos[Tipo])</f>
        <v>CUDA con graph</v>
      </c>
      <c r="AA177" s="2" t="str" cm="1">
        <f t="array" ref="AA177">_xlfn.XLOOKUP(Runge3[[#This Row],[Tecnología]]&amp;Runge3[[#This Row],[Problema]],TbNombres[Tecnología]&amp;TbNombres[Problema],TbNombres[Nombre])</f>
        <v>Brusselator1d</v>
      </c>
      <c r="AB177" s="2">
        <v>2</v>
      </c>
      <c r="AC177" s="2">
        <v>5</v>
      </c>
      <c r="AD177" s="2">
        <v>256</v>
      </c>
      <c r="AE177" s="2">
        <v>500000</v>
      </c>
      <c r="AF177" s="2">
        <v>1000000</v>
      </c>
      <c r="AG177" s="2">
        <v>463.78100000000001</v>
      </c>
    </row>
    <row r="178" spans="24:33" x14ac:dyDescent="0.2">
      <c r="X178" s="2" t="str">
        <f>_xlfn.XLOOKUP(Runge3[[#This Row],[Metodo]],TbSolver[Metodo],TbSolver[Solver])</f>
        <v>Runge Kutta</v>
      </c>
      <c r="Y178" s="2" t="str">
        <f>_xlfn.XLOOKUP(Runge3[[#This Row],[Hebras]],TbTecnologia[Hebras],TbTecnologia[Tecnología])</f>
        <v>CUDA</v>
      </c>
      <c r="Z178" s="2" t="str" cm="1">
        <f t="array" ref="Z178">_xlfn.XLOOKUP(Runge3[[#This Row],[Tecnología]]&amp;Runge3[[#This Row],[Metodo]],TbTipos[Tecnología]&amp;TbTipos[Metodo],TbTipos[Tipo])</f>
        <v>CUDA sin graph</v>
      </c>
      <c r="AA178" s="2" t="str" cm="1">
        <f t="array" ref="AA178">_xlfn.XLOOKUP(Runge3[[#This Row],[Tecnología]]&amp;Runge3[[#This Row],[Problema]],TbNombres[Tecnología]&amp;TbNombres[Problema],TbNombres[Nombre])</f>
        <v>Brusselator1d</v>
      </c>
      <c r="AB178" s="2">
        <v>1</v>
      </c>
      <c r="AC178" s="2">
        <v>5</v>
      </c>
      <c r="AD178" s="2">
        <v>256</v>
      </c>
      <c r="AE178" s="2">
        <v>500000</v>
      </c>
      <c r="AF178" s="2">
        <v>1000000</v>
      </c>
      <c r="AG178" s="2">
        <v>469.07100000000003</v>
      </c>
    </row>
    <row r="179" spans="24:33" x14ac:dyDescent="0.2">
      <c r="X179" s="2" t="str">
        <f>_xlfn.XLOOKUP(Runge3[[#This Row],[Metodo]],TbSolver[Metodo],TbSolver[Solver])</f>
        <v>Runge Kutta</v>
      </c>
      <c r="Y179" s="2" t="str">
        <f>_xlfn.XLOOKUP(Runge3[[#This Row],[Hebras]],TbTecnologia[Hebras],TbTecnologia[Tecnología])</f>
        <v>CUDA</v>
      </c>
      <c r="Z179" s="2" t="str" cm="1">
        <f t="array" ref="Z179">_xlfn.XLOOKUP(Runge3[[#This Row],[Tecnología]]&amp;Runge3[[#This Row],[Metodo]],TbTipos[Tecnología]&amp;TbTipos[Metodo],TbTipos[Tipo])</f>
        <v>CUDA con graph</v>
      </c>
      <c r="AA179" s="2" t="str" cm="1">
        <f t="array" ref="AA179">_xlfn.XLOOKUP(Runge3[[#This Row],[Tecnología]]&amp;Runge3[[#This Row],[Problema]],TbNombres[Tecnología]&amp;TbNombres[Problema],TbNombres[Nombre])</f>
        <v>Brusselator1d</v>
      </c>
      <c r="AB179" s="21">
        <v>2</v>
      </c>
      <c r="AC179" s="21">
        <v>5</v>
      </c>
      <c r="AD179" s="21">
        <v>256</v>
      </c>
      <c r="AE179" s="21">
        <v>750000</v>
      </c>
      <c r="AF179" s="21">
        <v>1500000</v>
      </c>
      <c r="AG179" s="21">
        <v>697.01099999999997</v>
      </c>
    </row>
    <row r="180" spans="24:33" x14ac:dyDescent="0.2">
      <c r="X180" s="2" t="str">
        <f>_xlfn.XLOOKUP(Runge3[[#This Row],[Metodo]],TbSolver[Metodo],TbSolver[Solver])</f>
        <v>Runge Kutta</v>
      </c>
      <c r="Y180" s="2" t="str">
        <f>_xlfn.XLOOKUP(Runge3[[#This Row],[Hebras]],TbTecnologia[Hebras],TbTecnologia[Tecnología])</f>
        <v>CUDA</v>
      </c>
      <c r="Z180" s="2" t="str" cm="1">
        <f t="array" ref="Z180">_xlfn.XLOOKUP(Runge3[[#This Row],[Tecnología]]&amp;Runge3[[#This Row],[Metodo]],TbTipos[Tecnología]&amp;TbTipos[Metodo],TbTipos[Tipo])</f>
        <v>CUDA sin graph</v>
      </c>
      <c r="AA180" s="2" t="str" cm="1">
        <f t="array" ref="AA180">_xlfn.XLOOKUP(Runge3[[#This Row],[Tecnología]]&amp;Runge3[[#This Row],[Problema]],TbNombres[Tecnología]&amp;TbNombres[Problema],TbNombres[Nombre])</f>
        <v>Brusselator1d</v>
      </c>
      <c r="AB180" s="21">
        <v>1</v>
      </c>
      <c r="AC180" s="21">
        <v>5</v>
      </c>
      <c r="AD180" s="21">
        <v>256</v>
      </c>
      <c r="AE180" s="21">
        <v>750000</v>
      </c>
      <c r="AF180" s="21">
        <v>1500000</v>
      </c>
      <c r="AG180" s="21">
        <v>702.06799999999998</v>
      </c>
    </row>
    <row r="181" spans="24:33" x14ac:dyDescent="0.2">
      <c r="X181" s="2" t="str">
        <f>_xlfn.XLOOKUP(Runge3[[#This Row],[Metodo]],TbSolver[Metodo],TbSolver[Solver])</f>
        <v>Runge Kutta</v>
      </c>
      <c r="Y181" s="2" t="str">
        <f>_xlfn.XLOOKUP(Runge3[[#This Row],[Hebras]],TbTecnologia[Hebras],TbTecnologia[Tecnología])</f>
        <v>CUDA</v>
      </c>
      <c r="Z181" s="2" t="str" cm="1">
        <f t="array" ref="Z181">_xlfn.XLOOKUP(Runge3[[#This Row],[Tecnología]]&amp;Runge3[[#This Row],[Metodo]],TbTipos[Tecnología]&amp;TbTipos[Metodo],TbTipos[Tipo])</f>
        <v>CUDA con graph</v>
      </c>
      <c r="AA181" s="2" t="str" cm="1">
        <f t="array" ref="AA181">_xlfn.XLOOKUP(Runge3[[#This Row],[Tecnología]]&amp;Runge3[[#This Row],[Problema]],TbNombres[Tecnología]&amp;TbNombres[Problema],TbNombres[Nombre])</f>
        <v>Brusselator1d</v>
      </c>
      <c r="AB181" s="21">
        <v>2</v>
      </c>
      <c r="AC181" s="21">
        <v>5</v>
      </c>
      <c r="AD181" s="21">
        <v>256</v>
      </c>
      <c r="AE181" s="21">
        <v>1000000</v>
      </c>
      <c r="AF181" s="21">
        <v>2000000</v>
      </c>
      <c r="AG181" s="21">
        <v>922.44</v>
      </c>
    </row>
    <row r="182" spans="24:33" x14ac:dyDescent="0.2">
      <c r="X182" s="2" t="str">
        <f>_xlfn.XLOOKUP(Runge3[[#This Row],[Metodo]],TbSolver[Metodo],TbSolver[Solver])</f>
        <v>Runge Kutta</v>
      </c>
      <c r="Y182" s="2" t="str">
        <f>_xlfn.XLOOKUP(Runge3[[#This Row],[Hebras]],TbTecnologia[Hebras],TbTecnologia[Tecnología])</f>
        <v>CUDA</v>
      </c>
      <c r="Z182" s="2" t="str" cm="1">
        <f t="array" ref="Z182">_xlfn.XLOOKUP(Runge3[[#This Row],[Tecnología]]&amp;Runge3[[#This Row],[Metodo]],TbTipos[Tecnología]&amp;TbTipos[Metodo],TbTipos[Tipo])</f>
        <v>CUDA sin graph</v>
      </c>
      <c r="AA182" s="2" t="str" cm="1">
        <f t="array" ref="AA182">_xlfn.XLOOKUP(Runge3[[#This Row],[Tecnología]]&amp;Runge3[[#This Row],[Problema]],TbNombres[Tecnología]&amp;TbNombres[Problema],TbNombres[Nombre])</f>
        <v>Brusselator1d</v>
      </c>
      <c r="AB182" s="21">
        <v>1</v>
      </c>
      <c r="AC182" s="21">
        <v>5</v>
      </c>
      <c r="AD182" s="21">
        <v>256</v>
      </c>
      <c r="AE182" s="21">
        <v>1000000</v>
      </c>
      <c r="AF182" s="21">
        <v>2000000</v>
      </c>
      <c r="AG182" s="21">
        <v>927.77499999999998</v>
      </c>
    </row>
  </sheetData>
  <mergeCells count="8">
    <mergeCell ref="AI3:AR3"/>
    <mergeCell ref="AI4:AR4"/>
    <mergeCell ref="B3:K3"/>
    <mergeCell ref="B4:K4"/>
    <mergeCell ref="M3:V3"/>
    <mergeCell ref="M4:V4"/>
    <mergeCell ref="X3:AG3"/>
    <mergeCell ref="X4:AG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B591-E363-451E-B492-59DB686A139E}">
  <dimension ref="B1:AR208"/>
  <sheetViews>
    <sheetView topLeftCell="U161" zoomScaleNormal="100" workbookViewId="0">
      <selection activeCell="AB172" sqref="AB172:AG208"/>
    </sheetView>
  </sheetViews>
  <sheetFormatPr baseColWidth="10" defaultColWidth="10" defaultRowHeight="12.75" x14ac:dyDescent="0.2"/>
  <cols>
    <col min="2" max="2" width="14.28515625" bestFit="1" customWidth="1"/>
    <col min="3" max="3" width="8" customWidth="1"/>
    <col min="4" max="4" width="16.42578125" bestFit="1" customWidth="1"/>
    <col min="5" max="5" width="12.7109375" bestFit="1" customWidth="1"/>
    <col min="13" max="13" width="14.28515625" bestFit="1" customWidth="1"/>
    <col min="14" max="14" width="7.140625" customWidth="1"/>
    <col min="15" max="15" width="16.42578125" bestFit="1" customWidth="1"/>
    <col min="16" max="16" width="12.7109375" bestFit="1" customWidth="1"/>
    <col min="24" max="24" width="14.7109375" bestFit="1" customWidth="1"/>
    <col min="25" max="25" width="7" customWidth="1"/>
    <col min="26" max="26" width="16.42578125" bestFit="1" customWidth="1"/>
    <col min="27" max="27" width="12.7109375" bestFit="1" customWidth="1"/>
    <col min="35" max="35" width="14.28515625" bestFit="1" customWidth="1"/>
    <col min="36" max="36" width="8.42578125" customWidth="1"/>
    <col min="37" max="37" width="16.42578125" bestFit="1" customWidth="1"/>
    <col min="38" max="38" width="12.7109375" bestFit="1" customWidth="1"/>
  </cols>
  <sheetData>
    <row r="1" spans="2:44" ht="27.75" x14ac:dyDescent="0.2">
      <c r="L1" s="3" t="s">
        <v>17</v>
      </c>
    </row>
    <row r="3" spans="2:44" x14ac:dyDescent="0.2">
      <c r="B3" s="27" t="s">
        <v>7</v>
      </c>
      <c r="C3" s="27"/>
      <c r="D3" s="27"/>
      <c r="E3" s="27"/>
      <c r="F3" s="27"/>
      <c r="G3" s="27"/>
      <c r="H3" s="27"/>
      <c r="I3" s="27"/>
      <c r="J3" s="27"/>
      <c r="K3" s="27"/>
      <c r="M3" s="27" t="s">
        <v>9</v>
      </c>
      <c r="N3" s="27"/>
      <c r="O3" s="27"/>
      <c r="P3" s="27"/>
      <c r="Q3" s="27"/>
      <c r="R3" s="27"/>
      <c r="S3" s="27"/>
      <c r="T3" s="27"/>
      <c r="U3" s="27"/>
      <c r="V3" s="27"/>
      <c r="X3" s="27" t="s">
        <v>11</v>
      </c>
      <c r="Y3" s="27"/>
      <c r="Z3" s="27"/>
      <c r="AA3" s="27"/>
      <c r="AB3" s="27"/>
      <c r="AC3" s="27"/>
      <c r="AD3" s="27"/>
      <c r="AE3" s="27"/>
      <c r="AF3" s="27"/>
      <c r="AG3" s="27"/>
      <c r="AI3" s="27" t="s">
        <v>13</v>
      </c>
      <c r="AJ3" s="27"/>
      <c r="AK3" s="27"/>
      <c r="AL3" s="27"/>
      <c r="AM3" s="27"/>
      <c r="AN3" s="27"/>
      <c r="AO3" s="27"/>
      <c r="AP3" s="27"/>
      <c r="AQ3" s="27"/>
      <c r="AR3" s="27"/>
    </row>
    <row r="4" spans="2:44" x14ac:dyDescent="0.2">
      <c r="B4" s="27" t="s">
        <v>8</v>
      </c>
      <c r="C4" s="27"/>
      <c r="D4" s="27"/>
      <c r="E4" s="27"/>
      <c r="F4" s="27"/>
      <c r="G4" s="27"/>
      <c r="H4" s="27"/>
      <c r="I4" s="27"/>
      <c r="J4" s="27"/>
      <c r="K4" s="27"/>
      <c r="M4" s="27" t="s">
        <v>10</v>
      </c>
      <c r="N4" s="27"/>
      <c r="O4" s="27"/>
      <c r="P4" s="27"/>
      <c r="Q4" s="27"/>
      <c r="R4" s="27"/>
      <c r="S4" s="27"/>
      <c r="T4" s="27"/>
      <c r="U4" s="27"/>
      <c r="V4" s="27"/>
      <c r="X4" s="27" t="s">
        <v>12</v>
      </c>
      <c r="Y4" s="27"/>
      <c r="Z4" s="27"/>
      <c r="AA4" s="27"/>
      <c r="AB4" s="27"/>
      <c r="AC4" s="27"/>
      <c r="AD4" s="27"/>
      <c r="AE4" s="27"/>
      <c r="AF4" s="27"/>
      <c r="AG4" s="27"/>
      <c r="AI4" s="27" t="s">
        <v>14</v>
      </c>
      <c r="AJ4" s="27"/>
      <c r="AK4" s="27"/>
      <c r="AL4" s="27"/>
      <c r="AM4" s="27"/>
      <c r="AN4" s="27"/>
      <c r="AO4" s="27"/>
      <c r="AP4" s="27"/>
      <c r="AQ4" s="27"/>
      <c r="AR4" s="27"/>
    </row>
    <row r="5" spans="2:44" x14ac:dyDescent="0.2">
      <c r="B5" s="1"/>
      <c r="C5" s="1"/>
      <c r="D5" s="1"/>
      <c r="E5" s="1"/>
      <c r="F5" s="1"/>
      <c r="G5" s="1"/>
      <c r="H5" s="1"/>
      <c r="M5" s="1"/>
      <c r="N5" s="1"/>
      <c r="O5" s="1"/>
      <c r="P5" s="1"/>
      <c r="Q5" s="1"/>
      <c r="R5" s="1"/>
      <c r="S5" s="1"/>
      <c r="X5" s="1"/>
      <c r="Y5" s="1"/>
      <c r="Z5" s="1"/>
      <c r="AA5" s="1"/>
      <c r="AB5" s="1"/>
      <c r="AC5" s="1"/>
      <c r="AD5" s="1"/>
      <c r="AI5" s="1"/>
      <c r="AJ5" s="1"/>
      <c r="AK5" s="1"/>
      <c r="AL5" s="1"/>
      <c r="AM5" s="1"/>
      <c r="AN5" s="1"/>
      <c r="AO5" s="1"/>
    </row>
    <row r="6" spans="2:44" x14ac:dyDescent="0.2">
      <c r="B6" s="1" t="s">
        <v>31</v>
      </c>
      <c r="C6" s="1" t="s">
        <v>23</v>
      </c>
      <c r="D6" s="1" t="s">
        <v>6</v>
      </c>
      <c r="E6" s="1" t="s">
        <v>30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0</v>
      </c>
      <c r="K6" s="1" t="s">
        <v>5</v>
      </c>
      <c r="M6" s="1" t="s">
        <v>31</v>
      </c>
      <c r="N6" s="1" t="s">
        <v>23</v>
      </c>
      <c r="O6" s="1" t="s">
        <v>6</v>
      </c>
      <c r="P6" s="1" t="s">
        <v>30</v>
      </c>
      <c r="Q6" s="1" t="s">
        <v>1</v>
      </c>
      <c r="R6" s="1" t="s">
        <v>2</v>
      </c>
      <c r="S6" s="1" t="s">
        <v>3</v>
      </c>
      <c r="T6" s="1" t="s">
        <v>4</v>
      </c>
      <c r="U6" s="1" t="s">
        <v>0</v>
      </c>
      <c r="V6" s="1" t="s">
        <v>5</v>
      </c>
      <c r="X6" s="1" t="s">
        <v>31</v>
      </c>
      <c r="Y6" s="1" t="s">
        <v>23</v>
      </c>
      <c r="Z6" s="1" t="s">
        <v>6</v>
      </c>
      <c r="AA6" s="1" t="s">
        <v>30</v>
      </c>
      <c r="AB6" s="1" t="s">
        <v>1</v>
      </c>
      <c r="AC6" s="1" t="s">
        <v>2</v>
      </c>
      <c r="AD6" s="1" t="s">
        <v>3</v>
      </c>
      <c r="AE6" s="1" t="s">
        <v>4</v>
      </c>
      <c r="AF6" s="1" t="s">
        <v>0</v>
      </c>
      <c r="AG6" s="1" t="s">
        <v>5</v>
      </c>
      <c r="AI6" s="1" t="s">
        <v>31</v>
      </c>
      <c r="AJ6" s="1" t="s">
        <v>23</v>
      </c>
      <c r="AK6" s="1" t="s">
        <v>6</v>
      </c>
      <c r="AL6" s="1" t="s">
        <v>30</v>
      </c>
      <c r="AM6" s="1" t="s">
        <v>1</v>
      </c>
      <c r="AN6" s="1" t="s">
        <v>2</v>
      </c>
      <c r="AO6" s="1" t="s">
        <v>3</v>
      </c>
      <c r="AP6" s="1" t="s">
        <v>4</v>
      </c>
      <c r="AQ6" s="1" t="s">
        <v>0</v>
      </c>
      <c r="AR6" s="1" t="s">
        <v>5</v>
      </c>
    </row>
    <row r="7" spans="2:44" x14ac:dyDescent="0.2">
      <c r="B7" s="1" t="str">
        <f>_xlfn.XLOOKUP(Bash1[[#This Row],[Metodo]],TbSolver[Metodo],TbSolver[Solver])</f>
        <v>Adams Bashford</v>
      </c>
      <c r="C7" s="1" t="str">
        <f>_xlfn.XLOOKUP(Bash1[[#This Row],[Hebras]],TbTecnologia[Hebras],TbTecnologia[Tecnología])</f>
        <v>OMP</v>
      </c>
      <c r="D7" s="1" t="str" cm="1">
        <f t="array" ref="D7">_xlfn.XLOOKUP(Bash1[[#This Row],[Tecnología]]&amp;Bash1[[#This Row],[Metodo]],TbTipos[Tecnología]&amp;TbTipos[Metodo],TbTipos[Tipo])</f>
        <v>OMP Elementos</v>
      </c>
      <c r="E7" s="1" t="str" cm="1">
        <f t="array" ref="E7">_xlfn.XLOOKUP(Bash1[[#This Row],[Tecnología]]&amp;Bash1[[#This Row],[Problema]],TbNombres[Tecnología]&amp;TbNombres[Problema],TbNombres[Nombre])</f>
        <v>Simple Advdiff</v>
      </c>
      <c r="F7" s="1">
        <v>4</v>
      </c>
      <c r="G7" s="1">
        <v>1</v>
      </c>
      <c r="H7" s="1">
        <v>1</v>
      </c>
      <c r="I7" s="1">
        <v>100</v>
      </c>
      <c r="J7" s="1">
        <v>100</v>
      </c>
      <c r="K7" s="1">
        <v>0.96739799999999998</v>
      </c>
      <c r="M7" s="2" t="str">
        <f>_xlfn.XLOOKUP(Bash2[[#This Row],[Metodo]],TbSolver[Metodo],TbSolver[Solver])</f>
        <v>Adams Bashford</v>
      </c>
      <c r="N7" s="2" t="str">
        <f>_xlfn.XLOOKUP(Bash2[[#This Row],[Hebras]],TbTecnologia[Hebras],TbTecnologia[Tecnología])</f>
        <v>OMP</v>
      </c>
      <c r="O7" s="2" t="str" cm="1">
        <f t="array" ref="O7">_xlfn.XLOOKUP(Bash2[[#This Row],[Tecnología]]&amp;Bash2[[#This Row],[Metodo]],TbTipos[Tecnología]&amp;TbTipos[Metodo],TbTipos[Tipo])</f>
        <v>OMP Elementos</v>
      </c>
      <c r="P7" s="2" t="str" cm="1">
        <f t="array" ref="P7">_xlfn.XLOOKUP(Bash2[[#This Row],[Tecnología]]&amp;Bash2[[#This Row],[Problema]],TbNombres[Tecnología]&amp;TbNombres[Problema],TbNombres[Nombre])</f>
        <v>Advdiff1d</v>
      </c>
      <c r="Q7" s="2">
        <v>4</v>
      </c>
      <c r="R7" s="2">
        <v>2</v>
      </c>
      <c r="S7" s="2">
        <v>1</v>
      </c>
      <c r="T7" s="2">
        <v>100</v>
      </c>
      <c r="U7" s="2">
        <v>100</v>
      </c>
      <c r="V7" s="2">
        <v>3.16689</v>
      </c>
      <c r="X7" s="2" t="str">
        <f>_xlfn.XLOOKUP(Bash3[[#This Row],[Metodo]],TbSolver[Metodo],TbSolver[Solver])</f>
        <v>Adams Bashford</v>
      </c>
      <c r="Y7" s="2" t="str">
        <f>_xlfn.XLOOKUP(Bash3[[#This Row],[Hebras]],TbTecnologia[Hebras],TbTecnologia[Tecnología])</f>
        <v>OMP</v>
      </c>
      <c r="Z7" s="2" t="str" cm="1">
        <f t="array" ref="Z7">_xlfn.XLOOKUP(Bash3[[#This Row],[Tecnología]]&amp;Bash3[[#This Row],[Metodo]],TbTipos[Tecnología]&amp;TbTipos[Metodo],TbTipos[Tipo])</f>
        <v>OMP Elementos</v>
      </c>
      <c r="AA7" s="2" t="str" cm="1">
        <f t="array" ref="AA7">_xlfn.XLOOKUP(Bash3[[#This Row],[Tecnología]]&amp;Bash3[[#This Row],[Problema]],TbNombres[Tecnología]&amp;TbNombres[Problema],TbNombres[Nombre])</f>
        <v>Brusselator1d</v>
      </c>
      <c r="AB7" s="2">
        <v>4</v>
      </c>
      <c r="AC7" s="2">
        <v>3</v>
      </c>
      <c r="AD7" s="2">
        <v>1</v>
      </c>
      <c r="AE7" s="2">
        <v>100</v>
      </c>
      <c r="AF7" s="2">
        <v>200</v>
      </c>
      <c r="AG7" s="2">
        <v>1.6834800000000001</v>
      </c>
      <c r="AI7" s="2" t="str">
        <f>_xlfn.XLOOKUP(Bash4[[#This Row],[Metodo]],TbSolver[Metodo],TbSolver[Solver])</f>
        <v>Adams Bashford</v>
      </c>
      <c r="AJ7" s="2" t="str">
        <f>_xlfn.XLOOKUP(Bash4[[#This Row],[Hebras]],TbTecnologia[Hebras],TbTecnologia[Tecnología])</f>
        <v>CUDA</v>
      </c>
      <c r="AK7" s="2" t="str" cm="1">
        <f t="array" ref="AK7">_xlfn.XLOOKUP(Bash4[[#This Row],[Tecnología]]&amp;Bash4[[#This Row],[Metodo]],TbTipos[Tecnología]&amp;TbTipos[Metodo],TbTipos[Tipo])</f>
        <v>CUDA sin graph</v>
      </c>
      <c r="AL7" s="4" t="str" cm="1">
        <f t="array" ref="AL7">_xlfn.XLOOKUP(Bash4[[#This Row],[Tecnología]]&amp;Bash4[[#This Row],[Problema]],TbNombres[Tecnología]&amp;TbNombres[Problema],TbNombres[Nombre])</f>
        <v>Brusselator2d</v>
      </c>
      <c r="AM7" s="4">
        <v>3</v>
      </c>
      <c r="AN7" s="21">
        <v>8</v>
      </c>
      <c r="AO7" s="21">
        <v>256</v>
      </c>
      <c r="AP7" s="21">
        <v>25</v>
      </c>
      <c r="AQ7" s="21">
        <v>1250</v>
      </c>
      <c r="AR7" s="21">
        <v>5.25162</v>
      </c>
    </row>
    <row r="8" spans="2:44" x14ac:dyDescent="0.2">
      <c r="B8" s="1" t="str">
        <f>_xlfn.XLOOKUP(Bash1[[#This Row],[Metodo]],TbSolver[Metodo],TbSolver[Solver])</f>
        <v>Adams Bashford</v>
      </c>
      <c r="C8" s="1" t="str">
        <f>_xlfn.XLOOKUP(Bash1[[#This Row],[Hebras]],TbTecnologia[Hebras],TbTecnologia[Tecnología])</f>
        <v>OMP</v>
      </c>
      <c r="D8" s="1" t="str" cm="1">
        <f t="array" ref="D8">_xlfn.XLOOKUP(Bash1[[#This Row],[Tecnología]]&amp;Bash1[[#This Row],[Metodo]],TbTipos[Tecnología]&amp;TbTipos[Metodo],TbTipos[Tipo])</f>
        <v>OMP Operaciones</v>
      </c>
      <c r="E8" s="1" t="str" cm="1">
        <f t="array" ref="E8">_xlfn.XLOOKUP(Bash1[[#This Row],[Tecnología]]&amp;Bash1[[#This Row],[Problema]],TbNombres[Tecnología]&amp;TbNombres[Problema],TbNombres[Nombre])</f>
        <v>Simple Advdiff</v>
      </c>
      <c r="F8" s="1">
        <v>3</v>
      </c>
      <c r="G8" s="1">
        <v>1</v>
      </c>
      <c r="H8" s="1">
        <v>1</v>
      </c>
      <c r="I8" s="1">
        <v>100</v>
      </c>
      <c r="J8" s="1">
        <v>100</v>
      </c>
      <c r="K8" s="1">
        <v>1.3585700000000001</v>
      </c>
      <c r="M8" s="2" t="str">
        <f>_xlfn.XLOOKUP(Bash2[[#This Row],[Metodo]],TbSolver[Metodo],TbSolver[Solver])</f>
        <v>Adams Bashford</v>
      </c>
      <c r="N8" s="2" t="str">
        <f>_xlfn.XLOOKUP(Bash2[[#This Row],[Hebras]],TbTecnologia[Hebras],TbTecnologia[Tecnología])</f>
        <v>OMP</v>
      </c>
      <c r="O8" s="2" t="str" cm="1">
        <f t="array" ref="O8">_xlfn.XLOOKUP(Bash2[[#This Row],[Tecnología]]&amp;Bash2[[#This Row],[Metodo]],TbTipos[Tecnología]&amp;TbTipos[Metodo],TbTipos[Tipo])</f>
        <v>OMP Operaciones</v>
      </c>
      <c r="P8" s="2" t="str" cm="1">
        <f t="array" ref="P8">_xlfn.XLOOKUP(Bash2[[#This Row],[Tecnología]]&amp;Bash2[[#This Row],[Problema]],TbNombres[Tecnología]&amp;TbNombres[Problema],TbNombres[Nombre])</f>
        <v>Advdiff1d</v>
      </c>
      <c r="Q8" s="2">
        <v>3</v>
      </c>
      <c r="R8" s="2">
        <v>2</v>
      </c>
      <c r="S8" s="2">
        <v>1</v>
      </c>
      <c r="T8" s="2">
        <v>100</v>
      </c>
      <c r="U8" s="2">
        <v>100</v>
      </c>
      <c r="V8" s="2">
        <v>3.7526199999999998</v>
      </c>
      <c r="X8" s="2" t="str">
        <f>_xlfn.XLOOKUP(Bash3[[#This Row],[Metodo]],TbSolver[Metodo],TbSolver[Solver])</f>
        <v>Adams Bashford</v>
      </c>
      <c r="Y8" s="2" t="str">
        <f>_xlfn.XLOOKUP(Bash3[[#This Row],[Hebras]],TbTecnologia[Hebras],TbTecnologia[Tecnología])</f>
        <v>OMP</v>
      </c>
      <c r="Z8" s="2" t="str" cm="1">
        <f t="array" ref="Z8">_xlfn.XLOOKUP(Bash3[[#This Row],[Tecnología]]&amp;Bash3[[#This Row],[Metodo]],TbTipos[Tecnología]&amp;TbTipos[Metodo],TbTipos[Tipo])</f>
        <v>OMP Operaciones</v>
      </c>
      <c r="AA8" s="2" t="str" cm="1">
        <f t="array" ref="AA8">_xlfn.XLOOKUP(Bash3[[#This Row],[Tecnología]]&amp;Bash3[[#This Row],[Problema]],TbNombres[Tecnología]&amp;TbNombres[Problema],TbNombres[Nombre])</f>
        <v>Brusselator1d</v>
      </c>
      <c r="AB8" s="2">
        <v>3</v>
      </c>
      <c r="AC8" s="2">
        <v>3</v>
      </c>
      <c r="AD8" s="2">
        <v>1</v>
      </c>
      <c r="AE8" s="2">
        <v>100</v>
      </c>
      <c r="AF8" s="2">
        <v>200</v>
      </c>
      <c r="AG8" s="2">
        <v>2.05783</v>
      </c>
      <c r="AI8" s="2" t="str">
        <f>_xlfn.XLOOKUP(Bash4[[#This Row],[Metodo]],TbSolver[Metodo],TbSolver[Solver])</f>
        <v>Adams Bashford</v>
      </c>
      <c r="AJ8" s="2" t="str">
        <f>_xlfn.XLOOKUP(Bash4[[#This Row],[Hebras]],TbTecnologia[Hebras],TbTecnologia[Tecnología])</f>
        <v>CUDA</v>
      </c>
      <c r="AK8" s="2" t="str" cm="1">
        <f t="array" ref="AK8">_xlfn.XLOOKUP(Bash4[[#This Row],[Tecnología]]&amp;Bash4[[#This Row],[Metodo]],TbTipos[Tecnología]&amp;TbTipos[Metodo],TbTipos[Tipo])</f>
        <v>CUDA con graph</v>
      </c>
      <c r="AL8" s="4" t="str" cm="1">
        <f t="array" ref="AL8">_xlfn.XLOOKUP(Bash4[[#This Row],[Tecnología]]&amp;Bash4[[#This Row],[Problema]],TbNombres[Tecnología]&amp;TbNombres[Problema],TbNombres[Nombre])</f>
        <v>Brusselator2d</v>
      </c>
      <c r="AM8" s="4">
        <v>4</v>
      </c>
      <c r="AN8" s="21">
        <v>8</v>
      </c>
      <c r="AO8" s="21">
        <v>256</v>
      </c>
      <c r="AP8" s="21">
        <v>25</v>
      </c>
      <c r="AQ8" s="21">
        <v>1250</v>
      </c>
      <c r="AR8" s="21">
        <v>6.9494400000000001</v>
      </c>
    </row>
    <row r="9" spans="2:44" x14ac:dyDescent="0.2">
      <c r="B9" s="1" t="str">
        <f>_xlfn.XLOOKUP(Bash1[[#This Row],[Metodo]],TbSolver[Metodo],TbSolver[Solver])</f>
        <v>Adams Bashford</v>
      </c>
      <c r="C9" s="1" t="str">
        <f>_xlfn.XLOOKUP(Bash1[[#This Row],[Hebras]],TbTecnologia[Hebras],TbTecnologia[Tecnología])</f>
        <v>CUDA</v>
      </c>
      <c r="D9" s="1" t="str" cm="1">
        <f t="array" ref="D9">_xlfn.XLOOKUP(Bash1[[#This Row],[Tecnología]]&amp;Bash1[[#This Row],[Metodo]],TbTipos[Tecnología]&amp;TbTipos[Metodo],TbTipos[Tipo])</f>
        <v>CUDA sin graph</v>
      </c>
      <c r="E9" s="1" t="str" cm="1">
        <f t="array" ref="E9">_xlfn.XLOOKUP(Bash1[[#This Row],[Tecnología]]&amp;Bash1[[#This Row],[Problema]],TbNombres[Tecnología]&amp;TbNombres[Problema],TbNombres[Nombre])</f>
        <v>Simple Advdiff</v>
      </c>
      <c r="F9" s="1">
        <v>3</v>
      </c>
      <c r="G9" s="1">
        <v>1</v>
      </c>
      <c r="H9" s="1">
        <v>256</v>
      </c>
      <c r="I9" s="1">
        <v>100</v>
      </c>
      <c r="J9" s="1">
        <v>100</v>
      </c>
      <c r="K9" s="1">
        <v>3.70452</v>
      </c>
      <c r="M9" s="2" t="str">
        <f>_xlfn.XLOOKUP(Bash2[[#This Row],[Metodo]],TbSolver[Metodo],TbSolver[Solver])</f>
        <v>Adams Bashford</v>
      </c>
      <c r="N9" s="2" t="str">
        <f>_xlfn.XLOOKUP(Bash2[[#This Row],[Hebras]],TbTecnologia[Hebras],TbTecnologia[Tecnología])</f>
        <v>OMP</v>
      </c>
      <c r="O9" s="2" t="str" cm="1">
        <f t="array" ref="O9">_xlfn.XLOOKUP(Bash2[[#This Row],[Tecnología]]&amp;Bash2[[#This Row],[Metodo]],TbTipos[Tecnología]&amp;TbTipos[Metodo],TbTipos[Tipo])</f>
        <v>OMP Elementos</v>
      </c>
      <c r="P9" s="2" t="str" cm="1">
        <f t="array" ref="P9">_xlfn.XLOOKUP(Bash2[[#This Row],[Tecnología]]&amp;Bash2[[#This Row],[Problema]],TbNombres[Tecnología]&amp;TbNombres[Problema],TbNombres[Nombre])</f>
        <v>Advdiff1d</v>
      </c>
      <c r="Q9" s="2">
        <v>4</v>
      </c>
      <c r="R9" s="2">
        <v>2</v>
      </c>
      <c r="S9" s="2">
        <v>4</v>
      </c>
      <c r="T9" s="2">
        <v>100</v>
      </c>
      <c r="U9" s="2">
        <v>100</v>
      </c>
      <c r="V9" s="2">
        <v>5.38103</v>
      </c>
      <c r="X9" s="2" t="str">
        <f>_xlfn.XLOOKUP(Bash3[[#This Row],[Metodo]],TbSolver[Metodo],TbSolver[Solver])</f>
        <v>Adams Bashford</v>
      </c>
      <c r="Y9" s="2" t="str">
        <f>_xlfn.XLOOKUP(Bash3[[#This Row],[Hebras]],TbTecnologia[Hebras],TbTecnologia[Tecnología])</f>
        <v>CUDA</v>
      </c>
      <c r="Z9" s="2" t="str" cm="1">
        <f t="array" ref="Z9">_xlfn.XLOOKUP(Bash3[[#This Row],[Tecnología]]&amp;Bash3[[#This Row],[Metodo]],TbTipos[Tecnología]&amp;TbTipos[Metodo],TbTipos[Tipo])</f>
        <v>CUDA sin graph</v>
      </c>
      <c r="AA9" s="2" t="str" cm="1">
        <f t="array" ref="AA9">_xlfn.XLOOKUP(Bash3[[#This Row],[Tecnología]]&amp;Bash3[[#This Row],[Problema]],TbNombres[Tecnología]&amp;TbNombres[Problema],TbNombres[Nombre])</f>
        <v>Brusselator1d</v>
      </c>
      <c r="AB9" s="2">
        <v>3</v>
      </c>
      <c r="AC9" s="2">
        <v>5</v>
      </c>
      <c r="AD9" s="2">
        <v>256</v>
      </c>
      <c r="AE9" s="2">
        <v>100</v>
      </c>
      <c r="AF9" s="2">
        <v>200</v>
      </c>
      <c r="AG9" s="2">
        <v>4.2511799999999997</v>
      </c>
      <c r="AI9" s="2" t="str">
        <f>_xlfn.XLOOKUP(Bash4[[#This Row],[Metodo]],TbSolver[Metodo],TbSolver[Solver])</f>
        <v>Adams Bashford</v>
      </c>
      <c r="AJ9" s="2" t="str">
        <f>_xlfn.XLOOKUP(Bash4[[#This Row],[Hebras]],TbTecnologia[Hebras],TbTecnologia[Tecnología])</f>
        <v>OMP</v>
      </c>
      <c r="AK9" s="2" t="str" cm="1">
        <f t="array" ref="AK9">_xlfn.XLOOKUP(Bash4[[#This Row],[Tecnología]]&amp;Bash4[[#This Row],[Metodo]],TbTipos[Tecnología]&amp;TbTipos[Metodo],TbTipos[Tipo])</f>
        <v>OMP Operaciones</v>
      </c>
      <c r="AL9" s="4" t="str" cm="1">
        <f t="array" ref="AL9">_xlfn.XLOOKUP(Bash4[[#This Row],[Tecnología]]&amp;Bash4[[#This Row],[Problema]],TbNombres[Tecnología]&amp;TbNombres[Problema],TbNombres[Nombre])</f>
        <v>Brusselator2d</v>
      </c>
      <c r="AM9" s="4">
        <v>3</v>
      </c>
      <c r="AN9" s="4">
        <v>4</v>
      </c>
      <c r="AO9" s="4">
        <v>1</v>
      </c>
      <c r="AP9" s="4">
        <v>25</v>
      </c>
      <c r="AQ9" s="4">
        <v>1250</v>
      </c>
      <c r="AR9" s="4">
        <v>8.3451599999999999</v>
      </c>
    </row>
    <row r="10" spans="2:44" x14ac:dyDescent="0.2">
      <c r="B10" s="1" t="str">
        <f>_xlfn.XLOOKUP(Bash1[[#This Row],[Metodo]],TbSolver[Metodo],TbSolver[Solver])</f>
        <v>Adams Bashford</v>
      </c>
      <c r="C10" s="1" t="str">
        <f>_xlfn.XLOOKUP(Bash1[[#This Row],[Hebras]],TbTecnologia[Hebras],TbTecnologia[Tecnología])</f>
        <v>CUDA</v>
      </c>
      <c r="D10" s="1" t="str" cm="1">
        <f t="array" ref="D10">_xlfn.XLOOKUP(Bash1[[#This Row],[Tecnología]]&amp;Bash1[[#This Row],[Metodo]],TbTipos[Tecnología]&amp;TbTipos[Metodo],TbTipos[Tipo])</f>
        <v>CUDA sin graph</v>
      </c>
      <c r="E10" s="1" t="str" cm="1">
        <f t="array" ref="E10">_xlfn.XLOOKUP(Bash1[[#This Row],[Tecnología]]&amp;Bash1[[#This Row],[Problema]],TbNombres[Tecnología]&amp;TbNombres[Problema],TbNombres[Nombre])</f>
        <v>Simple Advdiff shuffle</v>
      </c>
      <c r="F10" s="1">
        <v>3</v>
      </c>
      <c r="G10" s="1">
        <v>2</v>
      </c>
      <c r="H10" s="1">
        <v>256</v>
      </c>
      <c r="I10" s="1">
        <v>100</v>
      </c>
      <c r="J10" s="1">
        <v>100</v>
      </c>
      <c r="K10" s="1">
        <v>3.7521300000000002</v>
      </c>
      <c r="M10" s="2" t="str">
        <f>_xlfn.XLOOKUP(Bash2[[#This Row],[Metodo]],TbSolver[Metodo],TbSolver[Solver])</f>
        <v>Adams Bashford</v>
      </c>
      <c r="N10" s="2" t="str">
        <f>_xlfn.XLOOKUP(Bash2[[#This Row],[Hebras]],TbTecnologia[Hebras],TbTecnologia[Tecnología])</f>
        <v>CUDA</v>
      </c>
      <c r="O10" s="2" t="str" cm="1">
        <f t="array" ref="O10">_xlfn.XLOOKUP(Bash2[[#This Row],[Tecnología]]&amp;Bash2[[#This Row],[Metodo]],TbTipos[Tecnología]&amp;TbTipos[Metodo],TbTipos[Tipo])</f>
        <v>CUDA sin graph</v>
      </c>
      <c r="P10" s="2" t="str" cm="1">
        <f t="array" ref="P10">_xlfn.XLOOKUP(Bash2[[#This Row],[Tecnología]]&amp;Bash2[[#This Row],[Problema]],TbNombres[Tecnología]&amp;TbNombres[Problema],TbNombres[Nombre])</f>
        <v>Advdiff1d</v>
      </c>
      <c r="Q10" s="2">
        <v>3</v>
      </c>
      <c r="R10" s="2">
        <v>3</v>
      </c>
      <c r="S10" s="2">
        <v>256</v>
      </c>
      <c r="T10" s="2">
        <v>100</v>
      </c>
      <c r="U10" s="2">
        <v>100</v>
      </c>
      <c r="V10" s="2">
        <v>5.5731599999999997</v>
      </c>
      <c r="X10" s="2" t="str">
        <f>_xlfn.XLOOKUP(Bash3[[#This Row],[Metodo]],TbSolver[Metodo],TbSolver[Solver])</f>
        <v>Adams Bashford</v>
      </c>
      <c r="Y10" s="2" t="str">
        <f>_xlfn.XLOOKUP(Bash3[[#This Row],[Hebras]],TbTecnologia[Hebras],TbTecnologia[Tecnología])</f>
        <v>CUDA</v>
      </c>
      <c r="Z10" s="2" t="str" cm="1">
        <f t="array" ref="Z10">_xlfn.XLOOKUP(Bash3[[#This Row],[Tecnología]]&amp;Bash3[[#This Row],[Metodo]],TbTipos[Tecnología]&amp;TbTipos[Metodo],TbTipos[Tipo])</f>
        <v>CUDA sin graph</v>
      </c>
      <c r="AA10" s="2" t="str" cm="1">
        <f t="array" ref="AA10">_xlfn.XLOOKUP(Bash3[[#This Row],[Tecnología]]&amp;Bash3[[#This Row],[Problema]],TbNombres[Tecnología]&amp;TbNombres[Problema],TbNombres[Nombre])</f>
        <v>Brusselator1d shuffle</v>
      </c>
      <c r="AB10" s="2">
        <v>3</v>
      </c>
      <c r="AC10" s="2">
        <v>6</v>
      </c>
      <c r="AD10" s="2">
        <v>256</v>
      </c>
      <c r="AE10" s="2">
        <v>100</v>
      </c>
      <c r="AF10" s="2">
        <v>200</v>
      </c>
      <c r="AG10" s="2">
        <v>4.2739500000000001</v>
      </c>
      <c r="AI10" s="2" t="str">
        <f>_xlfn.XLOOKUP(Bash4[[#This Row],[Metodo]],TbSolver[Metodo],TbSolver[Solver])</f>
        <v>Adams Bashford</v>
      </c>
      <c r="AJ10" s="2" t="str">
        <f>_xlfn.XLOOKUP(Bash4[[#This Row],[Hebras]],TbTecnologia[Hebras],TbTecnologia[Tecnología])</f>
        <v>OMP</v>
      </c>
      <c r="AK10" s="2" t="str" cm="1">
        <f t="array" ref="AK10">_xlfn.XLOOKUP(Bash4[[#This Row],[Tecnología]]&amp;Bash4[[#This Row],[Metodo]],TbTipos[Tecnología]&amp;TbTipos[Metodo],TbTipos[Tipo])</f>
        <v>OMP Elementos</v>
      </c>
      <c r="AL10" s="4" t="str" cm="1">
        <f t="array" ref="AL10">_xlfn.XLOOKUP(Bash4[[#This Row],[Tecnología]]&amp;Bash4[[#This Row],[Problema]],TbNombres[Tecnología]&amp;TbNombres[Problema],TbNombres[Nombre])</f>
        <v>Brusselator2d</v>
      </c>
      <c r="AM10" s="4">
        <v>4</v>
      </c>
      <c r="AN10" s="4">
        <v>4</v>
      </c>
      <c r="AO10" s="4">
        <v>4</v>
      </c>
      <c r="AP10" s="4">
        <v>25</v>
      </c>
      <c r="AQ10" s="4">
        <v>1250</v>
      </c>
      <c r="AR10" s="4">
        <v>9.3468400000000003</v>
      </c>
    </row>
    <row r="11" spans="2:44" x14ac:dyDescent="0.2">
      <c r="B11" s="1" t="str">
        <f>_xlfn.XLOOKUP(Bash1[[#This Row],[Metodo]],TbSolver[Metodo],TbSolver[Solver])</f>
        <v>Adams Bashford</v>
      </c>
      <c r="C11" s="1" t="str">
        <f>_xlfn.XLOOKUP(Bash1[[#This Row],[Hebras]],TbTecnologia[Hebras],TbTecnologia[Tecnología])</f>
        <v>OMP</v>
      </c>
      <c r="D11" s="1" t="str" cm="1">
        <f t="array" ref="D11">_xlfn.XLOOKUP(Bash1[[#This Row],[Tecnología]]&amp;Bash1[[#This Row],[Metodo]],TbTipos[Tecnología]&amp;TbTipos[Metodo],TbTipos[Tipo])</f>
        <v>OMP Elementos</v>
      </c>
      <c r="E11" s="1" t="str" cm="1">
        <f t="array" ref="E11">_xlfn.XLOOKUP(Bash1[[#This Row],[Tecnología]]&amp;Bash1[[#This Row],[Problema]],TbNombres[Tecnología]&amp;TbNombres[Problema],TbNombres[Nombre])</f>
        <v>Simple Advdiff</v>
      </c>
      <c r="F11" s="1">
        <v>4</v>
      </c>
      <c r="G11" s="1">
        <v>1</v>
      </c>
      <c r="H11" s="1">
        <v>4</v>
      </c>
      <c r="I11" s="1">
        <v>100</v>
      </c>
      <c r="J11" s="1">
        <v>100</v>
      </c>
      <c r="K11" s="1">
        <v>4.3358400000000001</v>
      </c>
      <c r="M11" s="2" t="str">
        <f>_xlfn.XLOOKUP(Bash2[[#This Row],[Metodo]],TbSolver[Metodo],TbSolver[Solver])</f>
        <v>Adams Bashford</v>
      </c>
      <c r="N11" s="2" t="str">
        <f>_xlfn.XLOOKUP(Bash2[[#This Row],[Hebras]],TbTecnologia[Hebras],TbTecnologia[Tecnología])</f>
        <v>CUDA</v>
      </c>
      <c r="O11" s="2" t="str" cm="1">
        <f t="array" ref="O11">_xlfn.XLOOKUP(Bash2[[#This Row],[Tecnología]]&amp;Bash2[[#This Row],[Metodo]],TbTipos[Tecnología]&amp;TbTipos[Metodo],TbTipos[Tipo])</f>
        <v>CUDA sin graph</v>
      </c>
      <c r="P11" s="2" t="str" cm="1">
        <f t="array" ref="P11">_xlfn.XLOOKUP(Bash2[[#This Row],[Tecnología]]&amp;Bash2[[#This Row],[Problema]],TbNombres[Tecnología]&amp;TbNombres[Problema],TbNombres[Nombre])</f>
        <v>Advdiff1d shuffle</v>
      </c>
      <c r="Q11" s="2">
        <v>3</v>
      </c>
      <c r="R11" s="2">
        <v>4</v>
      </c>
      <c r="S11" s="2">
        <v>256</v>
      </c>
      <c r="T11" s="2">
        <v>100</v>
      </c>
      <c r="U11" s="2">
        <v>100</v>
      </c>
      <c r="V11" s="2">
        <v>5.7496799999999997</v>
      </c>
      <c r="X11" s="2" t="str">
        <f>_xlfn.XLOOKUP(Bash3[[#This Row],[Metodo]],TbSolver[Metodo],TbSolver[Solver])</f>
        <v>Adams Bashford</v>
      </c>
      <c r="Y11" s="2" t="str">
        <f>_xlfn.XLOOKUP(Bash3[[#This Row],[Hebras]],TbTecnologia[Hebras],TbTecnologia[Tecnología])</f>
        <v>OMP</v>
      </c>
      <c r="Z11" s="2" t="str" cm="1">
        <f t="array" ref="Z11">_xlfn.XLOOKUP(Bash3[[#This Row],[Tecnología]]&amp;Bash3[[#This Row],[Metodo]],TbTipos[Tecnología]&amp;TbTipos[Metodo],TbTipos[Tipo])</f>
        <v>OMP Elementos</v>
      </c>
      <c r="AA11" s="2" t="str" cm="1">
        <f t="array" ref="AA11">_xlfn.XLOOKUP(Bash3[[#This Row],[Tecnología]]&amp;Bash3[[#This Row],[Problema]],TbNombres[Tecnología]&amp;TbNombres[Problema],TbNombres[Nombre])</f>
        <v>Brusselator1d</v>
      </c>
      <c r="AB11" s="2">
        <v>4</v>
      </c>
      <c r="AC11" s="2">
        <v>3</v>
      </c>
      <c r="AD11" s="2">
        <v>4</v>
      </c>
      <c r="AE11" s="2">
        <v>100</v>
      </c>
      <c r="AF11" s="2">
        <v>200</v>
      </c>
      <c r="AG11" s="2">
        <v>4.3878500000000003</v>
      </c>
      <c r="AI11" s="2" t="str">
        <f>_xlfn.XLOOKUP(Bash4[[#This Row],[Metodo]],TbSolver[Metodo],TbSolver[Solver])</f>
        <v>Adams Bashford</v>
      </c>
      <c r="AJ11" s="2" t="str">
        <f>_xlfn.XLOOKUP(Bash4[[#This Row],[Hebras]],TbTecnologia[Hebras],TbTecnologia[Tecnología])</f>
        <v>OMP</v>
      </c>
      <c r="AK11" s="2" t="str" cm="1">
        <f t="array" ref="AK11">_xlfn.XLOOKUP(Bash4[[#This Row],[Tecnología]]&amp;Bash4[[#This Row],[Metodo]],TbTipos[Tecnología]&amp;TbTipos[Metodo],TbTipos[Tipo])</f>
        <v>OMP Operaciones</v>
      </c>
      <c r="AL11" s="4" t="str" cm="1">
        <f t="array" ref="AL11">_xlfn.XLOOKUP(Bash4[[#This Row],[Tecnología]]&amp;Bash4[[#This Row],[Problema]],TbNombres[Tecnología]&amp;TbNombres[Problema],TbNombres[Nombre])</f>
        <v>Brusselator2d</v>
      </c>
      <c r="AM11" s="4">
        <v>3</v>
      </c>
      <c r="AN11" s="4">
        <v>4</v>
      </c>
      <c r="AO11" s="4">
        <v>4</v>
      </c>
      <c r="AP11" s="4">
        <v>25</v>
      </c>
      <c r="AQ11" s="4">
        <v>1250</v>
      </c>
      <c r="AR11" s="4">
        <v>14.35</v>
      </c>
    </row>
    <row r="12" spans="2:44" x14ac:dyDescent="0.2">
      <c r="B12" s="1" t="str">
        <f>_xlfn.XLOOKUP(Bash1[[#This Row],[Metodo]],TbSolver[Metodo],TbSolver[Solver])</f>
        <v>Adams Bashford</v>
      </c>
      <c r="C12" s="1" t="str">
        <f>_xlfn.XLOOKUP(Bash1[[#This Row],[Hebras]],TbTecnologia[Hebras],TbTecnologia[Tecnología])</f>
        <v>CUDA</v>
      </c>
      <c r="D12" s="1" t="str" cm="1">
        <f t="array" ref="D12">_xlfn.XLOOKUP(Bash1[[#This Row],[Tecnología]]&amp;Bash1[[#This Row],[Metodo]],TbTipos[Tecnología]&amp;TbTipos[Metodo],TbTipos[Tipo])</f>
        <v>CUDA con graph</v>
      </c>
      <c r="E12" s="1" t="str" cm="1">
        <f t="array" ref="E12">_xlfn.XLOOKUP(Bash1[[#This Row],[Tecnología]]&amp;Bash1[[#This Row],[Problema]],TbNombres[Tecnología]&amp;TbNombres[Problema],TbNombres[Nombre])</f>
        <v>Simple Advdiff</v>
      </c>
      <c r="F12" s="1">
        <v>4</v>
      </c>
      <c r="G12" s="1">
        <v>1</v>
      </c>
      <c r="H12" s="1">
        <v>256</v>
      </c>
      <c r="I12" s="1">
        <v>100</v>
      </c>
      <c r="J12" s="1">
        <v>100</v>
      </c>
      <c r="K12" s="1">
        <v>5.2505199999999999</v>
      </c>
      <c r="M12" s="2" t="str">
        <f>_xlfn.XLOOKUP(Bash2[[#This Row],[Metodo]],TbSolver[Metodo],TbSolver[Solver])</f>
        <v>Adams Bashford</v>
      </c>
      <c r="N12" s="2" t="str">
        <f>_xlfn.XLOOKUP(Bash2[[#This Row],[Hebras]],TbTecnologia[Hebras],TbTecnologia[Tecnología])</f>
        <v>CUDA</v>
      </c>
      <c r="O12" s="2" t="str" cm="1">
        <f t="array" ref="O12">_xlfn.XLOOKUP(Bash2[[#This Row],[Tecnología]]&amp;Bash2[[#This Row],[Metodo]],TbTipos[Tecnología]&amp;TbTipos[Metodo],TbTipos[Tipo])</f>
        <v>CUDA con graph</v>
      </c>
      <c r="P12" s="2" t="str" cm="1">
        <f t="array" ref="P12">_xlfn.XLOOKUP(Bash2[[#This Row],[Tecnología]]&amp;Bash2[[#This Row],[Problema]],TbNombres[Tecnología]&amp;TbNombres[Problema],TbNombres[Nombre])</f>
        <v>Advdiff1d</v>
      </c>
      <c r="Q12" s="2">
        <v>4</v>
      </c>
      <c r="R12" s="2">
        <v>3</v>
      </c>
      <c r="S12" s="2">
        <v>256</v>
      </c>
      <c r="T12" s="2">
        <v>100</v>
      </c>
      <c r="U12" s="2">
        <v>100</v>
      </c>
      <c r="V12" s="2">
        <v>7.1238299999999999</v>
      </c>
      <c r="X12" s="2" t="str">
        <f>_xlfn.XLOOKUP(Bash3[[#This Row],[Metodo]],TbSolver[Metodo],TbSolver[Solver])</f>
        <v>Adams Bashford</v>
      </c>
      <c r="Y12" s="2" t="str">
        <f>_xlfn.XLOOKUP(Bash3[[#This Row],[Hebras]],TbTecnologia[Hebras],TbTecnologia[Tecnología])</f>
        <v>CUDA</v>
      </c>
      <c r="Z12" s="2" t="str" cm="1">
        <f t="array" ref="Z12">_xlfn.XLOOKUP(Bash3[[#This Row],[Tecnología]]&amp;Bash3[[#This Row],[Metodo]],TbTipos[Tecnología]&amp;TbTipos[Metodo],TbTipos[Tipo])</f>
        <v>CUDA sin graph</v>
      </c>
      <c r="AA12" s="2" t="str" cm="1">
        <f t="array" ref="AA12">_xlfn.XLOOKUP(Bash3[[#This Row],[Tecnología]]&amp;Bash3[[#This Row],[Problema]],TbNombres[Tecnología]&amp;TbNombres[Problema],TbNombres[Nombre])</f>
        <v>Brusselator1d grid</v>
      </c>
      <c r="AB12" s="2">
        <v>3</v>
      </c>
      <c r="AC12" s="2">
        <v>7</v>
      </c>
      <c r="AD12" s="2">
        <v>256</v>
      </c>
      <c r="AE12" s="2">
        <v>100</v>
      </c>
      <c r="AF12" s="2">
        <v>200</v>
      </c>
      <c r="AG12" s="2">
        <v>4.4091699999999996</v>
      </c>
      <c r="AI12" s="2" t="str">
        <f>_xlfn.XLOOKUP(Bash4[[#This Row],[Metodo]],TbSolver[Metodo],TbSolver[Solver])</f>
        <v>Adams Bashford</v>
      </c>
      <c r="AJ12" s="2" t="str">
        <f>_xlfn.XLOOKUP(Bash4[[#This Row],[Hebras]],TbTecnologia[Hebras],TbTecnologia[Tecnología])</f>
        <v>OMP</v>
      </c>
      <c r="AK12" s="2" t="str" cm="1">
        <f t="array" ref="AK12">_xlfn.XLOOKUP(Bash4[[#This Row],[Tecnología]]&amp;Bash4[[#This Row],[Metodo]],TbTipos[Tecnología]&amp;TbTipos[Metodo],TbTipos[Tipo])</f>
        <v>OMP Elementos</v>
      </c>
      <c r="AL12" s="4" t="str" cm="1">
        <f t="array" ref="AL12">_xlfn.XLOOKUP(Bash4[[#This Row],[Tecnología]]&amp;Bash4[[#This Row],[Problema]],TbNombres[Tecnología]&amp;TbNombres[Problema],TbNombres[Nombre])</f>
        <v>Brusselator2d</v>
      </c>
      <c r="AM12" s="4">
        <v>4</v>
      </c>
      <c r="AN12" s="4">
        <v>4</v>
      </c>
      <c r="AO12" s="4">
        <v>1</v>
      </c>
      <c r="AP12" s="4">
        <v>25</v>
      </c>
      <c r="AQ12" s="4">
        <v>1250</v>
      </c>
      <c r="AR12" s="4">
        <v>16.757000000000001</v>
      </c>
    </row>
    <row r="13" spans="2:44" x14ac:dyDescent="0.2">
      <c r="B13" s="1" t="str">
        <f>_xlfn.XLOOKUP(Bash1[[#This Row],[Metodo]],TbSolver[Metodo],TbSolver[Solver])</f>
        <v>Adams Bashford</v>
      </c>
      <c r="C13" s="1" t="str">
        <f>_xlfn.XLOOKUP(Bash1[[#This Row],[Hebras]],TbTecnologia[Hebras],TbTecnologia[Tecnología])</f>
        <v>CUDA</v>
      </c>
      <c r="D13" s="1" t="str" cm="1">
        <f t="array" ref="D13">_xlfn.XLOOKUP(Bash1[[#This Row],[Tecnología]]&amp;Bash1[[#This Row],[Metodo]],TbTipos[Tecnología]&amp;TbTipos[Metodo],TbTipos[Tipo])</f>
        <v>CUDA con graph</v>
      </c>
      <c r="E13" s="1" t="str" cm="1">
        <f t="array" ref="E13">_xlfn.XLOOKUP(Bash1[[#This Row],[Tecnología]]&amp;Bash1[[#This Row],[Problema]],TbNombres[Tecnología]&amp;TbNombres[Problema],TbNombres[Nombre])</f>
        <v>Simple Advdiff shuffle</v>
      </c>
      <c r="F13" s="1">
        <v>4</v>
      </c>
      <c r="G13" s="1">
        <v>2</v>
      </c>
      <c r="H13" s="1">
        <v>256</v>
      </c>
      <c r="I13" s="1">
        <v>100</v>
      </c>
      <c r="J13" s="1">
        <v>100</v>
      </c>
      <c r="K13" s="1">
        <v>5.3073199999999998</v>
      </c>
      <c r="M13" s="2" t="str">
        <f>_xlfn.XLOOKUP(Bash2[[#This Row],[Metodo]],TbSolver[Metodo],TbSolver[Solver])</f>
        <v>Adams Bashford</v>
      </c>
      <c r="N13" s="2" t="str">
        <f>_xlfn.XLOOKUP(Bash2[[#This Row],[Hebras]],TbTecnologia[Hebras],TbTecnologia[Tecnología])</f>
        <v>CUDA</v>
      </c>
      <c r="O13" s="2" t="str" cm="1">
        <f t="array" ref="O13">_xlfn.XLOOKUP(Bash2[[#This Row],[Tecnología]]&amp;Bash2[[#This Row],[Metodo]],TbTipos[Tecnología]&amp;TbTipos[Metodo],TbTipos[Tipo])</f>
        <v>CUDA con graph</v>
      </c>
      <c r="P13" s="2" t="str" cm="1">
        <f t="array" ref="P13">_xlfn.XLOOKUP(Bash2[[#This Row],[Tecnología]]&amp;Bash2[[#This Row],[Problema]],TbNombres[Tecnología]&amp;TbNombres[Problema],TbNombres[Nombre])</f>
        <v>Advdiff1d shuffle</v>
      </c>
      <c r="Q13" s="2">
        <v>4</v>
      </c>
      <c r="R13" s="2">
        <v>4</v>
      </c>
      <c r="S13" s="2">
        <v>256</v>
      </c>
      <c r="T13" s="2">
        <v>100</v>
      </c>
      <c r="U13" s="2">
        <v>100</v>
      </c>
      <c r="V13" s="2">
        <v>7.2684499999999996</v>
      </c>
      <c r="X13" s="2" t="str">
        <f>_xlfn.XLOOKUP(Bash3[[#This Row],[Metodo]],TbSolver[Metodo],TbSolver[Solver])</f>
        <v>Adams Bashford</v>
      </c>
      <c r="Y13" s="2" t="str">
        <f>_xlfn.XLOOKUP(Bash3[[#This Row],[Hebras]],TbTecnologia[Hebras],TbTecnologia[Tecnología])</f>
        <v>CUDA</v>
      </c>
      <c r="Z13" s="2" t="str" cm="1">
        <f t="array" ref="Z13">_xlfn.XLOOKUP(Bash3[[#This Row],[Tecnología]]&amp;Bash3[[#This Row],[Metodo]],TbTipos[Tecnología]&amp;TbTipos[Metodo],TbTipos[Tipo])</f>
        <v>CUDA con graph</v>
      </c>
      <c r="AA13" s="2" t="str" cm="1">
        <f t="array" ref="AA13">_xlfn.XLOOKUP(Bash3[[#This Row],[Tecnología]]&amp;Bash3[[#This Row],[Problema]],TbNombres[Tecnología]&amp;TbNombres[Problema],TbNombres[Nombre])</f>
        <v>Brusselator1d</v>
      </c>
      <c r="AB13" s="2">
        <v>4</v>
      </c>
      <c r="AC13" s="2">
        <v>5</v>
      </c>
      <c r="AD13" s="2">
        <v>256</v>
      </c>
      <c r="AE13" s="2">
        <v>100</v>
      </c>
      <c r="AF13" s="2">
        <v>200</v>
      </c>
      <c r="AG13" s="2">
        <v>5.79298</v>
      </c>
      <c r="AI13" s="2" t="str">
        <f>_xlfn.XLOOKUP(Bash4[[#This Row],[Metodo]],TbSolver[Metodo],TbSolver[Solver])</f>
        <v>Adams Bashford</v>
      </c>
      <c r="AJ13" s="2" t="str">
        <f>_xlfn.XLOOKUP(Bash4[[#This Row],[Hebras]],TbTecnologia[Hebras],TbTecnologia[Tecnología])</f>
        <v>OMP</v>
      </c>
      <c r="AK13" s="2" t="str" cm="1">
        <f t="array" ref="AK13">_xlfn.XLOOKUP(Bash4[[#This Row],[Tecnología]]&amp;Bash4[[#This Row],[Metodo]],TbTipos[Tecnología]&amp;TbTipos[Metodo],TbTipos[Tipo])</f>
        <v>OMP Elementos</v>
      </c>
      <c r="AL13" s="4" t="str" cm="1">
        <f t="array" ref="AL13">_xlfn.XLOOKUP(Bash4[[#This Row],[Tecnología]]&amp;Bash4[[#This Row],[Problema]],TbNombres[Tecnología]&amp;TbNombres[Problema],TbNombres[Nombre])</f>
        <v>Brusselator2d</v>
      </c>
      <c r="AM13" s="4">
        <v>4</v>
      </c>
      <c r="AN13" s="4">
        <v>4</v>
      </c>
      <c r="AO13" s="4">
        <v>16</v>
      </c>
      <c r="AP13" s="4">
        <v>25</v>
      </c>
      <c r="AQ13" s="4">
        <v>1250</v>
      </c>
      <c r="AR13" s="4">
        <v>22.5047</v>
      </c>
    </row>
    <row r="14" spans="2:44" x14ac:dyDescent="0.2">
      <c r="B14" s="1" t="str">
        <f>_xlfn.XLOOKUP(Bash1[[#This Row],[Metodo]],TbSolver[Metodo],TbSolver[Solver])</f>
        <v>Adams Bashford</v>
      </c>
      <c r="C14" s="1" t="str">
        <f>_xlfn.XLOOKUP(Bash1[[#This Row],[Hebras]],TbTecnologia[Hebras],TbTecnologia[Tecnología])</f>
        <v>OMP</v>
      </c>
      <c r="D14" s="1" t="str" cm="1">
        <f t="array" ref="D14">_xlfn.XLOOKUP(Bash1[[#This Row],[Tecnología]]&amp;Bash1[[#This Row],[Metodo]],TbTipos[Tecnología]&amp;TbTipos[Metodo],TbTipos[Tipo])</f>
        <v>OMP Operaciones</v>
      </c>
      <c r="E14" s="1" t="str" cm="1">
        <f t="array" ref="E14">_xlfn.XLOOKUP(Bash1[[#This Row],[Tecnología]]&amp;Bash1[[#This Row],[Problema]],TbNombres[Tecnología]&amp;TbNombres[Problema],TbNombres[Nombre])</f>
        <v>Simple Advdiff</v>
      </c>
      <c r="F14" s="1">
        <v>3</v>
      </c>
      <c r="G14" s="1">
        <v>1</v>
      </c>
      <c r="H14" s="1">
        <v>4</v>
      </c>
      <c r="I14" s="1">
        <v>100</v>
      </c>
      <c r="J14" s="1">
        <v>100</v>
      </c>
      <c r="K14" s="1">
        <v>13.014099999999999</v>
      </c>
      <c r="M14" s="2" t="str">
        <f>_xlfn.XLOOKUP(Bash2[[#This Row],[Metodo]],TbSolver[Metodo],TbSolver[Solver])</f>
        <v>Adams Bashford</v>
      </c>
      <c r="N14" s="2" t="str">
        <f>_xlfn.XLOOKUP(Bash2[[#This Row],[Hebras]],TbTecnologia[Hebras],TbTecnologia[Tecnología])</f>
        <v>OMP</v>
      </c>
      <c r="O14" s="2" t="str" cm="1">
        <f t="array" ref="O14">_xlfn.XLOOKUP(Bash2[[#This Row],[Tecnología]]&amp;Bash2[[#This Row],[Metodo]],TbTipos[Tecnología]&amp;TbTipos[Metodo],TbTipos[Tipo])</f>
        <v>OMP Elementos</v>
      </c>
      <c r="P14" s="2" t="str" cm="1">
        <f t="array" ref="P14">_xlfn.XLOOKUP(Bash2[[#This Row],[Tecnología]]&amp;Bash2[[#This Row],[Problema]],TbNombres[Tecnología]&amp;TbNombres[Problema],TbNombres[Nombre])</f>
        <v>Advdiff1d</v>
      </c>
      <c r="Q14" s="2">
        <v>4</v>
      </c>
      <c r="R14" s="2">
        <v>2</v>
      </c>
      <c r="S14" s="2">
        <v>16</v>
      </c>
      <c r="T14" s="2">
        <v>100</v>
      </c>
      <c r="U14" s="2">
        <v>100</v>
      </c>
      <c r="V14" s="2">
        <v>10.819800000000001</v>
      </c>
      <c r="X14" s="2" t="str">
        <f>_xlfn.XLOOKUP(Bash3[[#This Row],[Metodo]],TbSolver[Metodo],TbSolver[Solver])</f>
        <v>Adams Bashford</v>
      </c>
      <c r="Y14" s="2" t="str">
        <f>_xlfn.XLOOKUP(Bash3[[#This Row],[Hebras]],TbTecnologia[Hebras],TbTecnologia[Tecnología])</f>
        <v>CUDA</v>
      </c>
      <c r="Z14" s="2" t="str" cm="1">
        <f t="array" ref="Z14">_xlfn.XLOOKUP(Bash3[[#This Row],[Tecnología]]&amp;Bash3[[#This Row],[Metodo]],TbTipos[Tecnología]&amp;TbTipos[Metodo],TbTipos[Tipo])</f>
        <v>CUDA con graph</v>
      </c>
      <c r="AA14" s="2" t="str" cm="1">
        <f t="array" ref="AA14">_xlfn.XLOOKUP(Bash3[[#This Row],[Tecnología]]&amp;Bash3[[#This Row],[Problema]],TbNombres[Tecnología]&amp;TbNombres[Problema],TbNombres[Nombre])</f>
        <v>Brusselator1d shuffle</v>
      </c>
      <c r="AB14" s="2">
        <v>4</v>
      </c>
      <c r="AC14" s="2">
        <v>6</v>
      </c>
      <c r="AD14" s="2">
        <v>256</v>
      </c>
      <c r="AE14" s="2">
        <v>100</v>
      </c>
      <c r="AF14" s="2">
        <v>200</v>
      </c>
      <c r="AG14" s="2">
        <v>5.8353200000000003</v>
      </c>
      <c r="AI14" s="2" t="str">
        <f>_xlfn.XLOOKUP(Bash4[[#This Row],[Metodo]],TbSolver[Metodo],TbSolver[Solver])</f>
        <v>Adams Bashford</v>
      </c>
      <c r="AJ14" s="2" t="str">
        <f>_xlfn.XLOOKUP(Bash4[[#This Row],[Hebras]],TbTecnologia[Hebras],TbTecnologia[Tecnología])</f>
        <v>OMP</v>
      </c>
      <c r="AK14" s="2" t="str" cm="1">
        <f t="array" ref="AK14">_xlfn.XLOOKUP(Bash4[[#This Row],[Tecnología]]&amp;Bash4[[#This Row],[Metodo]],TbTipos[Tecnología]&amp;TbTipos[Metodo],TbTipos[Tipo])</f>
        <v>OMP Operaciones</v>
      </c>
      <c r="AL14" s="4" t="str" cm="1">
        <f t="array" ref="AL14">_xlfn.XLOOKUP(Bash4[[#This Row],[Tecnología]]&amp;Bash4[[#This Row],[Problema]],TbNombres[Tecnología]&amp;TbNombres[Problema],TbNombres[Nombre])</f>
        <v>Brusselator2d</v>
      </c>
      <c r="AM14" s="4">
        <v>3</v>
      </c>
      <c r="AN14" s="4">
        <v>4</v>
      </c>
      <c r="AO14" s="4">
        <v>16</v>
      </c>
      <c r="AP14" s="4">
        <v>25</v>
      </c>
      <c r="AQ14" s="4">
        <v>1250</v>
      </c>
      <c r="AR14" s="4">
        <v>30.5852</v>
      </c>
    </row>
    <row r="15" spans="2:44" x14ac:dyDescent="0.2">
      <c r="B15" s="1" t="str">
        <f>_xlfn.XLOOKUP(Bash1[[#This Row],[Metodo]],TbSolver[Metodo],TbSolver[Solver])</f>
        <v>Adams Bashford</v>
      </c>
      <c r="C15" s="1" t="str">
        <f>_xlfn.XLOOKUP(Bash1[[#This Row],[Hebras]],TbTecnologia[Hebras],TbTecnologia[Tecnología])</f>
        <v>OMP</v>
      </c>
      <c r="D15" s="1" t="str" cm="1">
        <f t="array" ref="D15">_xlfn.XLOOKUP(Bash1[[#This Row],[Tecnología]]&amp;Bash1[[#This Row],[Metodo]],TbTipos[Tecnología]&amp;TbTipos[Metodo],TbTipos[Tipo])</f>
        <v>OMP Elementos</v>
      </c>
      <c r="E15" s="1" t="str" cm="1">
        <f t="array" ref="E15">_xlfn.XLOOKUP(Bash1[[#This Row],[Tecnología]]&amp;Bash1[[#This Row],[Problema]],TbNombres[Tecnología]&amp;TbNombres[Problema],TbNombres[Nombre])</f>
        <v>Simple Advdiff</v>
      </c>
      <c r="F15" s="1">
        <v>4</v>
      </c>
      <c r="G15" s="1">
        <v>1</v>
      </c>
      <c r="H15" s="1">
        <v>16</v>
      </c>
      <c r="I15" s="1">
        <v>100</v>
      </c>
      <c r="J15" s="1">
        <v>100</v>
      </c>
      <c r="K15" s="1">
        <v>18.105</v>
      </c>
      <c r="M15" s="2" t="str">
        <f>_xlfn.XLOOKUP(Bash2[[#This Row],[Metodo]],TbSolver[Metodo],TbSolver[Solver])</f>
        <v>Adams Bashford</v>
      </c>
      <c r="N15" s="2" t="str">
        <f>_xlfn.XLOOKUP(Bash2[[#This Row],[Hebras]],TbTecnologia[Hebras],TbTecnologia[Tecnología])</f>
        <v>OMP</v>
      </c>
      <c r="O15" s="2" t="str" cm="1">
        <f t="array" ref="O15">_xlfn.XLOOKUP(Bash2[[#This Row],[Tecnología]]&amp;Bash2[[#This Row],[Metodo]],TbTipos[Tecnología]&amp;TbTipos[Metodo],TbTipos[Tipo])</f>
        <v>OMP Operaciones</v>
      </c>
      <c r="P15" s="2" t="str" cm="1">
        <f t="array" ref="P15">_xlfn.XLOOKUP(Bash2[[#This Row],[Tecnología]]&amp;Bash2[[#This Row],[Problema]],TbNombres[Tecnología]&amp;TbNombres[Problema],TbNombres[Nombre])</f>
        <v>Advdiff1d</v>
      </c>
      <c r="Q15" s="2">
        <v>3</v>
      </c>
      <c r="R15" s="2">
        <v>2</v>
      </c>
      <c r="S15" s="2">
        <v>4</v>
      </c>
      <c r="T15" s="2">
        <v>100</v>
      </c>
      <c r="U15" s="2">
        <v>100</v>
      </c>
      <c r="V15" s="2">
        <v>16.279699999999998</v>
      </c>
      <c r="X15" s="2" t="str">
        <f>_xlfn.XLOOKUP(Bash3[[#This Row],[Metodo]],TbSolver[Metodo],TbSolver[Solver])</f>
        <v>Adams Bashford</v>
      </c>
      <c r="Y15" s="2" t="str">
        <f>_xlfn.XLOOKUP(Bash3[[#This Row],[Hebras]],TbTecnologia[Hebras],TbTecnologia[Tecnología])</f>
        <v>CUDA</v>
      </c>
      <c r="Z15" s="2" t="str" cm="1">
        <f t="array" ref="Z15">_xlfn.XLOOKUP(Bash3[[#This Row],[Tecnología]]&amp;Bash3[[#This Row],[Metodo]],TbTipos[Tecnología]&amp;TbTipos[Metodo],TbTipos[Tipo])</f>
        <v>CUDA con graph</v>
      </c>
      <c r="AA15" s="2" t="str" cm="1">
        <f t="array" ref="AA15">_xlfn.XLOOKUP(Bash3[[#This Row],[Tecnología]]&amp;Bash3[[#This Row],[Problema]],TbNombres[Tecnología]&amp;TbNombres[Problema],TbNombres[Nombre])</f>
        <v>Brusselator1d grid</v>
      </c>
      <c r="AB15" s="2">
        <v>4</v>
      </c>
      <c r="AC15" s="2">
        <v>7</v>
      </c>
      <c r="AD15" s="2">
        <v>256</v>
      </c>
      <c r="AE15" s="2">
        <v>100</v>
      </c>
      <c r="AF15" s="2">
        <v>200</v>
      </c>
      <c r="AG15" s="2">
        <v>5.9540899999999999</v>
      </c>
      <c r="AI15" s="2" t="str">
        <f>_xlfn.XLOOKUP(Bash4[[#This Row],[Metodo]],TbSolver[Metodo],TbSolver[Solver])</f>
        <v>Adams Bashford</v>
      </c>
      <c r="AJ15" s="2" t="str">
        <f>_xlfn.XLOOKUP(Bash4[[#This Row],[Hebras]],TbTecnologia[Hebras],TbTecnologia[Tecnología])</f>
        <v>CUDA</v>
      </c>
      <c r="AK15" s="2" t="str" cm="1">
        <f t="array" ref="AK15">_xlfn.XLOOKUP(Bash4[[#This Row],[Tecnología]]&amp;Bash4[[#This Row],[Metodo]],TbTipos[Tecnología]&amp;TbTipos[Metodo],TbTipos[Tipo])</f>
        <v>CUDA sin graph</v>
      </c>
      <c r="AL15" s="2" t="str" cm="1">
        <f t="array" ref="AL15">_xlfn.XLOOKUP(Bash4[[#This Row],[Tecnología]]&amp;Bash4[[#This Row],[Problema]],TbNombres[Tecnología]&amp;TbNombres[Problema],TbNombres[Nombre])</f>
        <v>Brusselator2d shuffle</v>
      </c>
      <c r="AM15" s="2">
        <v>3</v>
      </c>
      <c r="AN15" s="2">
        <v>9</v>
      </c>
      <c r="AO15" s="2">
        <v>256</v>
      </c>
      <c r="AP15" s="2">
        <v>50</v>
      </c>
      <c r="AQ15" s="2">
        <v>5000</v>
      </c>
      <c r="AR15" s="2">
        <v>5.2246300000000003</v>
      </c>
    </row>
    <row r="16" spans="2:44" x14ac:dyDescent="0.2">
      <c r="B16" s="1" t="str">
        <f>_xlfn.XLOOKUP(Bash1[[#This Row],[Metodo]],TbSolver[Metodo],TbSolver[Solver])</f>
        <v>Adams Bashford</v>
      </c>
      <c r="C16" s="1" t="str">
        <f>_xlfn.XLOOKUP(Bash1[[#This Row],[Hebras]],TbTecnologia[Hebras],TbTecnologia[Tecnología])</f>
        <v>OMP</v>
      </c>
      <c r="D16" s="1" t="str" cm="1">
        <f t="array" ref="D16">_xlfn.XLOOKUP(Bash1[[#This Row],[Tecnología]]&amp;Bash1[[#This Row],[Metodo]],TbTipos[Tecnología]&amp;TbTipos[Metodo],TbTipos[Tipo])</f>
        <v>OMP Operaciones</v>
      </c>
      <c r="E16" s="1" t="str" cm="1">
        <f t="array" ref="E16">_xlfn.XLOOKUP(Bash1[[#This Row],[Tecnología]]&amp;Bash1[[#This Row],[Problema]],TbNombres[Tecnología]&amp;TbNombres[Problema],TbNombres[Nombre])</f>
        <v>Simple Advdiff</v>
      </c>
      <c r="F16" s="1">
        <v>3</v>
      </c>
      <c r="G16" s="1">
        <v>1</v>
      </c>
      <c r="H16" s="1">
        <v>16</v>
      </c>
      <c r="I16" s="1">
        <v>100</v>
      </c>
      <c r="J16" s="1">
        <v>100</v>
      </c>
      <c r="K16" s="1">
        <v>28.328299999999999</v>
      </c>
      <c r="M16" s="2" t="str">
        <f>_xlfn.XLOOKUP(Bash2[[#This Row],[Metodo]],TbSolver[Metodo],TbSolver[Solver])</f>
        <v>Adams Bashford</v>
      </c>
      <c r="N16" s="2" t="str">
        <f>_xlfn.XLOOKUP(Bash2[[#This Row],[Hebras]],TbTecnologia[Hebras],TbTecnologia[Tecnología])</f>
        <v>OMP</v>
      </c>
      <c r="O16" s="2" t="str" cm="1">
        <f t="array" ref="O16">_xlfn.XLOOKUP(Bash2[[#This Row],[Tecnología]]&amp;Bash2[[#This Row],[Metodo]],TbTipos[Tecnología]&amp;TbTipos[Metodo],TbTipos[Tipo])</f>
        <v>OMP Operaciones</v>
      </c>
      <c r="P16" s="2" t="str" cm="1">
        <f t="array" ref="P16">_xlfn.XLOOKUP(Bash2[[#This Row],[Tecnología]]&amp;Bash2[[#This Row],[Problema]],TbNombres[Tecnología]&amp;TbNombres[Problema],TbNombres[Nombre])</f>
        <v>Advdiff1d</v>
      </c>
      <c r="Q16" s="2">
        <v>3</v>
      </c>
      <c r="R16" s="2">
        <v>2</v>
      </c>
      <c r="S16" s="2">
        <v>16</v>
      </c>
      <c r="T16" s="2">
        <v>100</v>
      </c>
      <c r="U16" s="2">
        <v>100</v>
      </c>
      <c r="V16" s="2">
        <v>34.238399999999999</v>
      </c>
      <c r="X16" s="2" t="str">
        <f>_xlfn.XLOOKUP(Bash3[[#This Row],[Metodo]],TbSolver[Metodo],TbSolver[Solver])</f>
        <v>Adams Bashford</v>
      </c>
      <c r="Y16" s="2" t="str">
        <f>_xlfn.XLOOKUP(Bash3[[#This Row],[Hebras]],TbTecnologia[Hebras],TbTecnologia[Tecnología])</f>
        <v>OMP</v>
      </c>
      <c r="Z16" s="2" t="str" cm="1">
        <f t="array" ref="Z16">_xlfn.XLOOKUP(Bash3[[#This Row],[Tecnología]]&amp;Bash3[[#This Row],[Metodo]],TbTipos[Tecnología]&amp;TbTipos[Metodo],TbTipos[Tipo])</f>
        <v>OMP Operaciones</v>
      </c>
      <c r="AA16" s="2" t="str" cm="1">
        <f t="array" ref="AA16">_xlfn.XLOOKUP(Bash3[[#This Row],[Tecnología]]&amp;Bash3[[#This Row],[Problema]],TbNombres[Tecnología]&amp;TbNombres[Problema],TbNombres[Nombre])</f>
        <v>Brusselator1d</v>
      </c>
      <c r="AB16" s="2">
        <v>3</v>
      </c>
      <c r="AC16" s="2">
        <v>3</v>
      </c>
      <c r="AD16" s="2">
        <v>4</v>
      </c>
      <c r="AE16" s="2">
        <v>100</v>
      </c>
      <c r="AF16" s="2">
        <v>200</v>
      </c>
      <c r="AG16" s="2">
        <v>14.2804</v>
      </c>
      <c r="AI16" s="2" t="str">
        <f>_xlfn.XLOOKUP(Bash4[[#This Row],[Metodo]],TbSolver[Metodo],TbSolver[Solver])</f>
        <v>Adams Bashford</v>
      </c>
      <c r="AJ16" s="2" t="str">
        <f>_xlfn.XLOOKUP(Bash4[[#This Row],[Hebras]],TbTecnologia[Hebras],TbTecnologia[Tecnología])</f>
        <v>CUDA</v>
      </c>
      <c r="AK16" s="2" t="str" cm="1">
        <f t="array" ref="AK16">_xlfn.XLOOKUP(Bash4[[#This Row],[Tecnología]]&amp;Bash4[[#This Row],[Metodo]],TbTipos[Tecnología]&amp;TbTipos[Metodo],TbTipos[Tipo])</f>
        <v>CUDA sin graph</v>
      </c>
      <c r="AL16" s="2" t="str" cm="1">
        <f t="array" ref="AL16">_xlfn.XLOOKUP(Bash4[[#This Row],[Tecnología]]&amp;Bash4[[#This Row],[Problema]],TbNombres[Tecnología]&amp;TbNombres[Problema],TbNombres[Nombre])</f>
        <v>Brusselator2d</v>
      </c>
      <c r="AM16" s="2">
        <v>3</v>
      </c>
      <c r="AN16" s="2">
        <v>8</v>
      </c>
      <c r="AO16" s="2">
        <v>256</v>
      </c>
      <c r="AP16" s="2">
        <v>50</v>
      </c>
      <c r="AQ16" s="2">
        <v>5000</v>
      </c>
      <c r="AR16" s="2">
        <v>5.2259399999999996</v>
      </c>
    </row>
    <row r="17" spans="2:44" x14ac:dyDescent="0.2">
      <c r="B17" s="1" t="str">
        <f>_xlfn.XLOOKUP(Bash1[[#This Row],[Metodo]],TbSolver[Metodo],TbSolver[Solver])</f>
        <v>Adams Bashford</v>
      </c>
      <c r="C17" s="1" t="str">
        <f>_xlfn.XLOOKUP(Bash1[[#This Row],[Hebras]],TbTecnologia[Hebras],TbTecnologia[Tecnología])</f>
        <v>OMP</v>
      </c>
      <c r="D17" s="1" t="str" cm="1">
        <f t="array" ref="D17">_xlfn.XLOOKUP(Bash1[[#This Row],[Tecnología]]&amp;Bash1[[#This Row],[Metodo]],TbTipos[Tecnología]&amp;TbTipos[Metodo],TbTipos[Tipo])</f>
        <v>OMP Elementos</v>
      </c>
      <c r="E17" s="1" t="str" cm="1">
        <f t="array" ref="E17">_xlfn.XLOOKUP(Bash1[[#This Row],[Tecnología]]&amp;Bash1[[#This Row],[Problema]],TbNombres[Tecnología]&amp;TbNombres[Problema],TbNombres[Nombre])</f>
        <v>Simple Advdiff</v>
      </c>
      <c r="F17" s="1">
        <v>4</v>
      </c>
      <c r="G17" s="1">
        <v>1</v>
      </c>
      <c r="H17" s="1">
        <v>1</v>
      </c>
      <c r="I17" s="1">
        <v>200</v>
      </c>
      <c r="J17" s="1">
        <v>200</v>
      </c>
      <c r="K17" s="1">
        <v>1.4582599999999999</v>
      </c>
      <c r="M17" s="2" t="str">
        <f>_xlfn.XLOOKUP(Bash2[[#This Row],[Metodo]],TbSolver[Metodo],TbSolver[Solver])</f>
        <v>Adams Bashford</v>
      </c>
      <c r="N17" s="2" t="str">
        <f>_xlfn.XLOOKUP(Bash2[[#This Row],[Hebras]],TbTecnologia[Hebras],TbTecnologia[Tecnología])</f>
        <v>OMP</v>
      </c>
      <c r="O17" s="2" t="str" cm="1">
        <f t="array" ref="O17">_xlfn.XLOOKUP(Bash2[[#This Row],[Tecnología]]&amp;Bash2[[#This Row],[Metodo]],TbTipos[Tecnología]&amp;TbTipos[Metodo],TbTipos[Tipo])</f>
        <v>OMP Elementos</v>
      </c>
      <c r="P17" s="2" t="str" cm="1">
        <f t="array" ref="P17">_xlfn.XLOOKUP(Bash2[[#This Row],[Tecnología]]&amp;Bash2[[#This Row],[Problema]],TbNombres[Tecnología]&amp;TbNombres[Problema],TbNombres[Nombre])</f>
        <v>Advdiff1d</v>
      </c>
      <c r="Q17" s="2">
        <v>4</v>
      </c>
      <c r="R17" s="2">
        <v>2</v>
      </c>
      <c r="S17" s="2">
        <v>1</v>
      </c>
      <c r="T17" s="2">
        <v>200</v>
      </c>
      <c r="U17" s="2">
        <v>200</v>
      </c>
      <c r="V17" s="2">
        <v>5.7238499999999997</v>
      </c>
      <c r="X17" s="2" t="str">
        <f>_xlfn.XLOOKUP(Bash3[[#This Row],[Metodo]],TbSolver[Metodo],TbSolver[Solver])</f>
        <v>Adams Bashford</v>
      </c>
      <c r="Y17" s="2" t="str">
        <f>_xlfn.XLOOKUP(Bash3[[#This Row],[Hebras]],TbTecnologia[Hebras],TbTecnologia[Tecnología])</f>
        <v>OMP</v>
      </c>
      <c r="Z17" s="2" t="str" cm="1">
        <f t="array" ref="Z17">_xlfn.XLOOKUP(Bash3[[#This Row],[Tecnología]]&amp;Bash3[[#This Row],[Metodo]],TbTipos[Tecnología]&amp;TbTipos[Metodo],TbTipos[Tipo])</f>
        <v>OMP Elementos</v>
      </c>
      <c r="AA17" s="2" t="str" cm="1">
        <f t="array" ref="AA17">_xlfn.XLOOKUP(Bash3[[#This Row],[Tecnología]]&amp;Bash3[[#This Row],[Problema]],TbNombres[Tecnología]&amp;TbNombres[Problema],TbNombres[Nombre])</f>
        <v>Brusselator1d</v>
      </c>
      <c r="AB17" s="2">
        <v>4</v>
      </c>
      <c r="AC17" s="2">
        <v>3</v>
      </c>
      <c r="AD17" s="2">
        <v>16</v>
      </c>
      <c r="AE17" s="2">
        <v>100</v>
      </c>
      <c r="AF17" s="2">
        <v>200</v>
      </c>
      <c r="AG17" s="2">
        <v>21.4377</v>
      </c>
      <c r="AI17" s="2" t="str">
        <f>_xlfn.XLOOKUP(Bash4[[#This Row],[Metodo]],TbSolver[Metodo],TbSolver[Solver])</f>
        <v>Adams Bashford</v>
      </c>
      <c r="AJ17" s="2" t="str">
        <f>_xlfn.XLOOKUP(Bash4[[#This Row],[Hebras]],TbTecnologia[Hebras],TbTecnologia[Tecnología])</f>
        <v>CUDA</v>
      </c>
      <c r="AK17" s="2" t="str" cm="1">
        <f t="array" ref="AK17">_xlfn.XLOOKUP(Bash4[[#This Row],[Tecnología]]&amp;Bash4[[#This Row],[Metodo]],TbTipos[Tecnología]&amp;TbTipos[Metodo],TbTipos[Tipo])</f>
        <v>CUDA con graph</v>
      </c>
      <c r="AL17" s="2" t="str" cm="1">
        <f t="array" ref="AL17">_xlfn.XLOOKUP(Bash4[[#This Row],[Tecnología]]&amp;Bash4[[#This Row],[Problema]],TbNombres[Tecnología]&amp;TbNombres[Problema],TbNombres[Nombre])</f>
        <v>Brusselator2d</v>
      </c>
      <c r="AM17" s="2">
        <v>4</v>
      </c>
      <c r="AN17" s="2">
        <v>8</v>
      </c>
      <c r="AO17" s="2">
        <v>256</v>
      </c>
      <c r="AP17" s="2">
        <v>50</v>
      </c>
      <c r="AQ17" s="2">
        <v>5000</v>
      </c>
      <c r="AR17" s="2">
        <v>6.9137899999999997</v>
      </c>
    </row>
    <row r="18" spans="2:44" x14ac:dyDescent="0.2">
      <c r="B18" s="1" t="str">
        <f>_xlfn.XLOOKUP(Bash1[[#This Row],[Metodo]],TbSolver[Metodo],TbSolver[Solver])</f>
        <v>Adams Bashford</v>
      </c>
      <c r="C18" s="1" t="str">
        <f>_xlfn.XLOOKUP(Bash1[[#This Row],[Hebras]],TbTecnologia[Hebras],TbTecnologia[Tecnología])</f>
        <v>OMP</v>
      </c>
      <c r="D18" s="1" t="str" cm="1">
        <f t="array" ref="D18">_xlfn.XLOOKUP(Bash1[[#This Row],[Tecnología]]&amp;Bash1[[#This Row],[Metodo]],TbTipos[Tecnología]&amp;TbTipos[Metodo],TbTipos[Tipo])</f>
        <v>OMP Operaciones</v>
      </c>
      <c r="E18" s="1" t="str" cm="1">
        <f t="array" ref="E18">_xlfn.XLOOKUP(Bash1[[#This Row],[Tecnología]]&amp;Bash1[[#This Row],[Problema]],TbNombres[Tecnología]&amp;TbNombres[Problema],TbNombres[Nombre])</f>
        <v>Simple Advdiff</v>
      </c>
      <c r="F18" s="1">
        <v>3</v>
      </c>
      <c r="G18" s="1">
        <v>1</v>
      </c>
      <c r="H18" s="1">
        <v>1</v>
      </c>
      <c r="I18" s="1">
        <v>200</v>
      </c>
      <c r="J18" s="1">
        <v>200</v>
      </c>
      <c r="K18" s="1">
        <v>1.5078100000000001</v>
      </c>
      <c r="M18" s="2" t="str">
        <f>_xlfn.XLOOKUP(Bash2[[#This Row],[Metodo]],TbSolver[Metodo],TbSolver[Solver])</f>
        <v>Adams Bashford</v>
      </c>
      <c r="N18" s="2" t="str">
        <f>_xlfn.XLOOKUP(Bash2[[#This Row],[Hebras]],TbTecnologia[Hebras],TbTecnologia[Tecnología])</f>
        <v>OMP</v>
      </c>
      <c r="O18" s="2" t="str" cm="1">
        <f t="array" ref="O18">_xlfn.XLOOKUP(Bash2[[#This Row],[Tecnología]]&amp;Bash2[[#This Row],[Metodo]],TbTipos[Tecnología]&amp;TbTipos[Metodo],TbTipos[Tipo])</f>
        <v>OMP Elementos</v>
      </c>
      <c r="P18" s="2" t="str" cm="1">
        <f t="array" ref="P18">_xlfn.XLOOKUP(Bash2[[#This Row],[Tecnología]]&amp;Bash2[[#This Row],[Problema]],TbNombres[Tecnología]&amp;TbNombres[Problema],TbNombres[Nombre])</f>
        <v>Advdiff1d</v>
      </c>
      <c r="Q18" s="2">
        <v>4</v>
      </c>
      <c r="R18" s="2">
        <v>2</v>
      </c>
      <c r="S18" s="2">
        <v>4</v>
      </c>
      <c r="T18" s="2">
        <v>200</v>
      </c>
      <c r="U18" s="2">
        <v>200</v>
      </c>
      <c r="V18" s="2">
        <v>6.0631399999999998</v>
      </c>
      <c r="X18" s="2" t="str">
        <f>_xlfn.XLOOKUP(Bash3[[#This Row],[Metodo]],TbSolver[Metodo],TbSolver[Solver])</f>
        <v>Adams Bashford</v>
      </c>
      <c r="Y18" s="2" t="str">
        <f>_xlfn.XLOOKUP(Bash3[[#This Row],[Hebras]],TbTecnologia[Hebras],TbTecnologia[Tecnología])</f>
        <v>OMP</v>
      </c>
      <c r="Z18" s="2" t="str" cm="1">
        <f t="array" ref="Z18">_xlfn.XLOOKUP(Bash3[[#This Row],[Tecnología]]&amp;Bash3[[#This Row],[Metodo]],TbTipos[Tecnología]&amp;TbTipos[Metodo],TbTipos[Tipo])</f>
        <v>OMP Operaciones</v>
      </c>
      <c r="AA18" s="2" t="str" cm="1">
        <f t="array" ref="AA18">_xlfn.XLOOKUP(Bash3[[#This Row],[Tecnología]]&amp;Bash3[[#This Row],[Problema]],TbNombres[Tecnología]&amp;TbNombres[Problema],TbNombres[Nombre])</f>
        <v>Brusselator1d</v>
      </c>
      <c r="AB18" s="2">
        <v>3</v>
      </c>
      <c r="AC18" s="2">
        <v>3</v>
      </c>
      <c r="AD18" s="2">
        <v>16</v>
      </c>
      <c r="AE18" s="2">
        <v>100</v>
      </c>
      <c r="AF18" s="2">
        <v>200</v>
      </c>
      <c r="AG18" s="2">
        <v>38.778199999999998</v>
      </c>
      <c r="AI18" s="2" t="str">
        <f>_xlfn.XLOOKUP(Bash4[[#This Row],[Metodo]],TbSolver[Metodo],TbSolver[Solver])</f>
        <v>Adams Bashford</v>
      </c>
      <c r="AJ18" s="2" t="str">
        <f>_xlfn.XLOOKUP(Bash4[[#This Row],[Hebras]],TbTecnologia[Hebras],TbTecnologia[Tecnología])</f>
        <v>CUDA</v>
      </c>
      <c r="AK18" s="2" t="str" cm="1">
        <f t="array" ref="AK18">_xlfn.XLOOKUP(Bash4[[#This Row],[Tecnología]]&amp;Bash4[[#This Row],[Metodo]],TbTipos[Tecnología]&amp;TbTipos[Metodo],TbTipos[Tipo])</f>
        <v>CUDA con graph</v>
      </c>
      <c r="AL18" s="2" t="str" cm="1">
        <f t="array" ref="AL18">_xlfn.XLOOKUP(Bash4[[#This Row],[Tecnología]]&amp;Bash4[[#This Row],[Problema]],TbNombres[Tecnología]&amp;TbNombres[Problema],TbNombres[Nombre])</f>
        <v>Brusselator2d shuffle</v>
      </c>
      <c r="AM18" s="2">
        <v>4</v>
      </c>
      <c r="AN18" s="2">
        <v>9</v>
      </c>
      <c r="AO18" s="2">
        <v>256</v>
      </c>
      <c r="AP18" s="2">
        <v>50</v>
      </c>
      <c r="AQ18" s="2">
        <v>5000</v>
      </c>
      <c r="AR18" s="2">
        <v>6.9316700000000004</v>
      </c>
    </row>
    <row r="19" spans="2:44" x14ac:dyDescent="0.2">
      <c r="B19" s="1" t="str">
        <f>_xlfn.XLOOKUP(Bash1[[#This Row],[Metodo]],TbSolver[Metodo],TbSolver[Solver])</f>
        <v>Adams Bashford</v>
      </c>
      <c r="C19" s="1" t="str">
        <f>_xlfn.XLOOKUP(Bash1[[#This Row],[Hebras]],TbTecnologia[Hebras],TbTecnologia[Tecnología])</f>
        <v>CUDA</v>
      </c>
      <c r="D19" s="1" t="str" cm="1">
        <f t="array" ref="D19">_xlfn.XLOOKUP(Bash1[[#This Row],[Tecnología]]&amp;Bash1[[#This Row],[Metodo]],TbTipos[Tecnología]&amp;TbTipos[Metodo],TbTipos[Tipo])</f>
        <v>CUDA sin graph</v>
      </c>
      <c r="E19" s="1" t="str" cm="1">
        <f t="array" ref="E19">_xlfn.XLOOKUP(Bash1[[#This Row],[Tecnología]]&amp;Bash1[[#This Row],[Problema]],TbNombres[Tecnología]&amp;TbNombres[Problema],TbNombres[Nombre])</f>
        <v>Simple Advdiff shuffle</v>
      </c>
      <c r="F19" s="1">
        <v>3</v>
      </c>
      <c r="G19" s="1">
        <v>2</v>
      </c>
      <c r="H19" s="1">
        <v>256</v>
      </c>
      <c r="I19" s="1">
        <v>200</v>
      </c>
      <c r="J19" s="1">
        <v>200</v>
      </c>
      <c r="K19" s="1">
        <v>4.0783500000000004</v>
      </c>
      <c r="M19" s="2" t="str">
        <f>_xlfn.XLOOKUP(Bash2[[#This Row],[Metodo]],TbSolver[Metodo],TbSolver[Solver])</f>
        <v>Adams Bashford</v>
      </c>
      <c r="N19" s="2" t="str">
        <f>_xlfn.XLOOKUP(Bash2[[#This Row],[Hebras]],TbTecnologia[Hebras],TbTecnologia[Tecnología])</f>
        <v>OMP</v>
      </c>
      <c r="O19" s="2" t="str" cm="1">
        <f t="array" ref="O19">_xlfn.XLOOKUP(Bash2[[#This Row],[Tecnología]]&amp;Bash2[[#This Row],[Metodo]],TbTipos[Tecnología]&amp;TbTipos[Metodo],TbTipos[Tipo])</f>
        <v>OMP Operaciones</v>
      </c>
      <c r="P19" s="2" t="str" cm="1">
        <f t="array" ref="P19">_xlfn.XLOOKUP(Bash2[[#This Row],[Tecnología]]&amp;Bash2[[#This Row],[Problema]],TbNombres[Tecnología]&amp;TbNombres[Problema],TbNombres[Nombre])</f>
        <v>Advdiff1d</v>
      </c>
      <c r="Q19" s="2">
        <v>3</v>
      </c>
      <c r="R19" s="2">
        <v>2</v>
      </c>
      <c r="S19" s="2">
        <v>1</v>
      </c>
      <c r="T19" s="2">
        <v>200</v>
      </c>
      <c r="U19" s="2">
        <v>200</v>
      </c>
      <c r="V19" s="2">
        <v>6.0966699999999996</v>
      </c>
      <c r="X19" s="2" t="str">
        <f>_xlfn.XLOOKUP(Bash3[[#This Row],[Metodo]],TbSolver[Metodo],TbSolver[Solver])</f>
        <v>Adams Bashford</v>
      </c>
      <c r="Y19" s="2" t="str">
        <f>_xlfn.XLOOKUP(Bash3[[#This Row],[Hebras]],TbTecnologia[Hebras],TbTecnologia[Tecnología])</f>
        <v>OMP</v>
      </c>
      <c r="Z19" s="2" t="str" cm="1">
        <f t="array" ref="Z19">_xlfn.XLOOKUP(Bash3[[#This Row],[Tecnología]]&amp;Bash3[[#This Row],[Metodo]],TbTipos[Tecnología]&amp;TbTipos[Metodo],TbTipos[Tipo])</f>
        <v>OMP Operaciones</v>
      </c>
      <c r="AA19" s="2" t="str" cm="1">
        <f t="array" ref="AA19">_xlfn.XLOOKUP(Bash3[[#This Row],[Tecnología]]&amp;Bash3[[#This Row],[Problema]],TbNombres[Tecnología]&amp;TbNombres[Problema],TbNombres[Nombre])</f>
        <v>Brusselator1d</v>
      </c>
      <c r="AB19" s="2">
        <v>3</v>
      </c>
      <c r="AC19" s="2">
        <v>3</v>
      </c>
      <c r="AD19" s="2">
        <v>1</v>
      </c>
      <c r="AE19" s="2">
        <v>200</v>
      </c>
      <c r="AF19" s="2">
        <v>400</v>
      </c>
      <c r="AG19" s="2">
        <v>2.63</v>
      </c>
      <c r="AI19" s="4" t="str">
        <f>_xlfn.XLOOKUP(Bash4[[#This Row],[Metodo]],TbSolver[Metodo],TbSolver[Solver])</f>
        <v>Adams Bashford</v>
      </c>
      <c r="AJ19" s="4" t="str">
        <f>_xlfn.XLOOKUP(Bash4[[#This Row],[Hebras]],TbTecnologia[Hebras],TbTecnologia[Tecnología])</f>
        <v>OMP</v>
      </c>
      <c r="AK19" s="4" t="str" cm="1">
        <f t="array" ref="AK19">_xlfn.XLOOKUP(Bash4[[#This Row],[Tecnología]]&amp;Bash4[[#This Row],[Metodo]],TbTipos[Tecnología]&amp;TbTipos[Metodo],TbTipos[Tipo])</f>
        <v>OMP Elementos</v>
      </c>
      <c r="AL19" s="4" t="str" cm="1">
        <f t="array" ref="AL19">_xlfn.XLOOKUP(Bash4[[#This Row],[Tecnología]]&amp;Bash4[[#This Row],[Problema]],TbNombres[Tecnología]&amp;TbNombres[Problema],TbNombres[Nombre])</f>
        <v>Brusselator2d</v>
      </c>
      <c r="AM19" s="4">
        <v>4</v>
      </c>
      <c r="AN19" s="4">
        <v>4</v>
      </c>
      <c r="AO19" s="4">
        <v>16</v>
      </c>
      <c r="AP19" s="4">
        <v>50</v>
      </c>
      <c r="AQ19" s="4">
        <v>5000</v>
      </c>
      <c r="AR19" s="4">
        <v>20.823799999999999</v>
      </c>
    </row>
    <row r="20" spans="2:44" x14ac:dyDescent="0.2">
      <c r="B20" s="1" t="str">
        <f>_xlfn.XLOOKUP(Bash1[[#This Row],[Metodo]],TbSolver[Metodo],TbSolver[Solver])</f>
        <v>Adams Bashford</v>
      </c>
      <c r="C20" s="1" t="str">
        <f>_xlfn.XLOOKUP(Bash1[[#This Row],[Hebras]],TbTecnologia[Hebras],TbTecnologia[Tecnología])</f>
        <v>CUDA</v>
      </c>
      <c r="D20" s="1" t="str" cm="1">
        <f t="array" ref="D20">_xlfn.XLOOKUP(Bash1[[#This Row],[Tecnología]]&amp;Bash1[[#This Row],[Metodo]],TbTipos[Tecnología]&amp;TbTipos[Metodo],TbTipos[Tipo])</f>
        <v>CUDA sin graph</v>
      </c>
      <c r="E20" s="1" t="str" cm="1">
        <f t="array" ref="E20">_xlfn.XLOOKUP(Bash1[[#This Row],[Tecnología]]&amp;Bash1[[#This Row],[Problema]],TbNombres[Tecnología]&amp;TbNombres[Problema],TbNombres[Nombre])</f>
        <v>Simple Advdiff</v>
      </c>
      <c r="F20" s="1">
        <v>3</v>
      </c>
      <c r="G20" s="1">
        <v>1</v>
      </c>
      <c r="H20" s="1">
        <v>256</v>
      </c>
      <c r="I20" s="1">
        <v>200</v>
      </c>
      <c r="J20" s="1">
        <v>200</v>
      </c>
      <c r="K20" s="1">
        <v>4.3080800000000004</v>
      </c>
      <c r="M20" s="2" t="str">
        <f>_xlfn.XLOOKUP(Bash2[[#This Row],[Metodo]],TbSolver[Metodo],TbSolver[Solver])</f>
        <v>Adams Bashford</v>
      </c>
      <c r="N20" s="2" t="str">
        <f>_xlfn.XLOOKUP(Bash2[[#This Row],[Hebras]],TbTecnologia[Hebras],TbTecnologia[Tecnología])</f>
        <v>CUDA</v>
      </c>
      <c r="O20" s="2" t="str" cm="1">
        <f t="array" ref="O20">_xlfn.XLOOKUP(Bash2[[#This Row],[Tecnología]]&amp;Bash2[[#This Row],[Metodo]],TbTipos[Tecnología]&amp;TbTipos[Metodo],TbTipos[Tipo])</f>
        <v>CUDA sin graph</v>
      </c>
      <c r="P20" s="2" t="str" cm="1">
        <f t="array" ref="P20">_xlfn.XLOOKUP(Bash2[[#This Row],[Tecnología]]&amp;Bash2[[#This Row],[Problema]],TbNombres[Tecnología]&amp;TbNombres[Problema],TbNombres[Nombre])</f>
        <v>Advdiff1d</v>
      </c>
      <c r="Q20" s="2">
        <v>3</v>
      </c>
      <c r="R20" s="2">
        <v>3</v>
      </c>
      <c r="S20" s="2">
        <v>256</v>
      </c>
      <c r="T20" s="2">
        <v>200</v>
      </c>
      <c r="U20" s="2">
        <v>200</v>
      </c>
      <c r="V20" s="2">
        <v>7.4048800000000004</v>
      </c>
      <c r="X20" s="2" t="str">
        <f>_xlfn.XLOOKUP(Bash3[[#This Row],[Metodo]],TbSolver[Metodo],TbSolver[Solver])</f>
        <v>Adams Bashford</v>
      </c>
      <c r="Y20" s="2" t="str">
        <f>_xlfn.XLOOKUP(Bash3[[#This Row],[Hebras]],TbTecnologia[Hebras],TbTecnologia[Tecnología])</f>
        <v>OMP</v>
      </c>
      <c r="Z20" s="2" t="str" cm="1">
        <f t="array" ref="Z20">_xlfn.XLOOKUP(Bash3[[#This Row],[Tecnología]]&amp;Bash3[[#This Row],[Metodo]],TbTipos[Tecnología]&amp;TbTipos[Metodo],TbTipos[Tipo])</f>
        <v>OMP Elementos</v>
      </c>
      <c r="AA20" s="2" t="str" cm="1">
        <f t="array" ref="AA20">_xlfn.XLOOKUP(Bash3[[#This Row],[Tecnología]]&amp;Bash3[[#This Row],[Problema]],TbNombres[Tecnología]&amp;TbNombres[Problema],TbNombres[Nombre])</f>
        <v>Brusselator1d</v>
      </c>
      <c r="AB20" s="2">
        <v>4</v>
      </c>
      <c r="AC20" s="2">
        <v>3</v>
      </c>
      <c r="AD20" s="2">
        <v>1</v>
      </c>
      <c r="AE20" s="2">
        <v>200</v>
      </c>
      <c r="AF20" s="2">
        <v>400</v>
      </c>
      <c r="AG20" s="2">
        <v>2.9061900000000001</v>
      </c>
      <c r="AI20" s="4" t="str">
        <f>_xlfn.XLOOKUP(Bash4[[#This Row],[Metodo]],TbSolver[Metodo],TbSolver[Solver])</f>
        <v>Adams Bashford</v>
      </c>
      <c r="AJ20" s="4" t="str">
        <f>_xlfn.XLOOKUP(Bash4[[#This Row],[Hebras]],TbTecnologia[Hebras],TbTecnologia[Tecnología])</f>
        <v>OMP</v>
      </c>
      <c r="AK20" s="4" t="str" cm="1">
        <f t="array" ref="AK20">_xlfn.XLOOKUP(Bash4[[#This Row],[Tecnología]]&amp;Bash4[[#This Row],[Metodo]],TbTipos[Tecnología]&amp;TbTipos[Metodo],TbTipos[Tipo])</f>
        <v>OMP Operaciones</v>
      </c>
      <c r="AL20" s="4" t="str" cm="1">
        <f t="array" ref="AL20">_xlfn.XLOOKUP(Bash4[[#This Row],[Tecnología]]&amp;Bash4[[#This Row],[Problema]],TbNombres[Tecnología]&amp;TbNombres[Problema],TbNombres[Nombre])</f>
        <v>Brusselator2d</v>
      </c>
      <c r="AM20" s="4">
        <v>3</v>
      </c>
      <c r="AN20" s="4">
        <v>4</v>
      </c>
      <c r="AO20" s="4">
        <v>4</v>
      </c>
      <c r="AP20" s="4">
        <v>50</v>
      </c>
      <c r="AQ20" s="4">
        <v>5000</v>
      </c>
      <c r="AR20" s="4">
        <v>20.840399999999999</v>
      </c>
    </row>
    <row r="21" spans="2:44" x14ac:dyDescent="0.2">
      <c r="B21" s="1" t="str">
        <f>_xlfn.XLOOKUP(Bash1[[#This Row],[Metodo]],TbSolver[Metodo],TbSolver[Solver])</f>
        <v>Adams Bashford</v>
      </c>
      <c r="C21" s="1" t="str">
        <f>_xlfn.XLOOKUP(Bash1[[#This Row],[Hebras]],TbTecnologia[Hebras],TbTecnologia[Tecnología])</f>
        <v>OMP</v>
      </c>
      <c r="D21" s="1" t="str" cm="1">
        <f t="array" ref="D21">_xlfn.XLOOKUP(Bash1[[#This Row],[Tecnología]]&amp;Bash1[[#This Row],[Metodo]],TbTipos[Tecnología]&amp;TbTipos[Metodo],TbTipos[Tipo])</f>
        <v>OMP Elementos</v>
      </c>
      <c r="E21" s="1" t="str" cm="1">
        <f t="array" ref="E21">_xlfn.XLOOKUP(Bash1[[#This Row],[Tecnología]]&amp;Bash1[[#This Row],[Problema]],TbNombres[Tecnología]&amp;TbNombres[Problema],TbNombres[Nombre])</f>
        <v>Simple Advdiff</v>
      </c>
      <c r="F21" s="1">
        <v>4</v>
      </c>
      <c r="G21" s="1">
        <v>1</v>
      </c>
      <c r="H21" s="1">
        <v>4</v>
      </c>
      <c r="I21" s="1">
        <v>200</v>
      </c>
      <c r="J21" s="1">
        <v>200</v>
      </c>
      <c r="K21" s="1">
        <v>4.4360600000000003</v>
      </c>
      <c r="M21" s="2" t="str">
        <f>_xlfn.XLOOKUP(Bash2[[#This Row],[Metodo]],TbSolver[Metodo],TbSolver[Solver])</f>
        <v>Adams Bashford</v>
      </c>
      <c r="N21" s="2" t="str">
        <f>_xlfn.XLOOKUP(Bash2[[#This Row],[Hebras]],TbTecnologia[Hebras],TbTecnologia[Tecnología])</f>
        <v>CUDA</v>
      </c>
      <c r="O21" s="2" t="str" cm="1">
        <f t="array" ref="O21">_xlfn.XLOOKUP(Bash2[[#This Row],[Tecnología]]&amp;Bash2[[#This Row],[Metodo]],TbTipos[Tecnología]&amp;TbTipos[Metodo],TbTipos[Tipo])</f>
        <v>CUDA sin graph</v>
      </c>
      <c r="P21" s="2" t="str" cm="1">
        <f t="array" ref="P21">_xlfn.XLOOKUP(Bash2[[#This Row],[Tecnología]]&amp;Bash2[[#This Row],[Problema]],TbNombres[Tecnología]&amp;TbNombres[Problema],TbNombres[Nombre])</f>
        <v>Advdiff1d shuffle</v>
      </c>
      <c r="Q21" s="2">
        <v>3</v>
      </c>
      <c r="R21" s="2">
        <v>4</v>
      </c>
      <c r="S21" s="2">
        <v>256</v>
      </c>
      <c r="T21" s="2">
        <v>200</v>
      </c>
      <c r="U21" s="2">
        <v>200</v>
      </c>
      <c r="V21" s="2">
        <v>7.5563900000000004</v>
      </c>
      <c r="X21" s="2" t="str">
        <f>_xlfn.XLOOKUP(Bash3[[#This Row],[Metodo]],TbSolver[Metodo],TbSolver[Solver])</f>
        <v>Adams Bashford</v>
      </c>
      <c r="Y21" s="2" t="str">
        <f>_xlfn.XLOOKUP(Bash3[[#This Row],[Hebras]],TbTecnologia[Hebras],TbTecnologia[Tecnología])</f>
        <v>CUDA</v>
      </c>
      <c r="Z21" s="2" t="str" cm="1">
        <f t="array" ref="Z21">_xlfn.XLOOKUP(Bash3[[#This Row],[Tecnología]]&amp;Bash3[[#This Row],[Metodo]],TbTipos[Tecnología]&amp;TbTipos[Metodo],TbTipos[Tipo])</f>
        <v>CUDA sin graph</v>
      </c>
      <c r="AA21" s="2" t="str" cm="1">
        <f t="array" ref="AA21">_xlfn.XLOOKUP(Bash3[[#This Row],[Tecnología]]&amp;Bash3[[#This Row],[Problema]],TbNombres[Tecnología]&amp;TbNombres[Problema],TbNombres[Nombre])</f>
        <v>Brusselator1d</v>
      </c>
      <c r="AB21" s="2">
        <v>3</v>
      </c>
      <c r="AC21" s="2">
        <v>5</v>
      </c>
      <c r="AD21" s="2">
        <v>256</v>
      </c>
      <c r="AE21" s="2">
        <v>200</v>
      </c>
      <c r="AF21" s="2">
        <v>400</v>
      </c>
      <c r="AG21" s="2">
        <v>4.3825000000000003</v>
      </c>
      <c r="AI21" s="4" t="str">
        <f>_xlfn.XLOOKUP(Bash4[[#This Row],[Metodo]],TbSolver[Metodo],TbSolver[Solver])</f>
        <v>Adams Bashford</v>
      </c>
      <c r="AJ21" s="4" t="str">
        <f>_xlfn.XLOOKUP(Bash4[[#This Row],[Hebras]],TbTecnologia[Hebras],TbTecnologia[Tecnología])</f>
        <v>OMP</v>
      </c>
      <c r="AK21" s="4" t="str" cm="1">
        <f t="array" ref="AK21">_xlfn.XLOOKUP(Bash4[[#This Row],[Tecnología]]&amp;Bash4[[#This Row],[Metodo]],TbTipos[Tecnología]&amp;TbTipos[Metodo],TbTipos[Tipo])</f>
        <v>OMP Elementos</v>
      </c>
      <c r="AL21" s="4" t="str" cm="1">
        <f t="array" ref="AL21">_xlfn.XLOOKUP(Bash4[[#This Row],[Tecnología]]&amp;Bash4[[#This Row],[Problema]],TbNombres[Tecnología]&amp;TbNombres[Problema],TbNombres[Nombre])</f>
        <v>Brusselator2d</v>
      </c>
      <c r="AM21" s="4">
        <v>4</v>
      </c>
      <c r="AN21" s="4">
        <v>4</v>
      </c>
      <c r="AO21" s="4">
        <v>4</v>
      </c>
      <c r="AP21" s="4">
        <v>50</v>
      </c>
      <c r="AQ21" s="4">
        <v>5000</v>
      </c>
      <c r="AR21" s="4">
        <v>21.574999999999999</v>
      </c>
    </row>
    <row r="22" spans="2:44" x14ac:dyDescent="0.2">
      <c r="B22" s="1" t="str">
        <f>_xlfn.XLOOKUP(Bash1[[#This Row],[Metodo]],TbSolver[Metodo],TbSolver[Solver])</f>
        <v>Adams Bashford</v>
      </c>
      <c r="C22" s="1" t="str">
        <f>_xlfn.XLOOKUP(Bash1[[#This Row],[Hebras]],TbTecnologia[Hebras],TbTecnologia[Tecnología])</f>
        <v>CUDA</v>
      </c>
      <c r="D22" s="1" t="str" cm="1">
        <f t="array" ref="D22">_xlfn.XLOOKUP(Bash1[[#This Row],[Tecnología]]&amp;Bash1[[#This Row],[Metodo]],TbTipos[Tecnología]&amp;TbTipos[Metodo],TbTipos[Tipo])</f>
        <v>CUDA con graph</v>
      </c>
      <c r="E22" s="1" t="str" cm="1">
        <f t="array" ref="E22">_xlfn.XLOOKUP(Bash1[[#This Row],[Tecnología]]&amp;Bash1[[#This Row],[Problema]],TbNombres[Tecnología]&amp;TbNombres[Problema],TbNombres[Nombre])</f>
        <v>Simple Advdiff</v>
      </c>
      <c r="F22" s="1">
        <v>4</v>
      </c>
      <c r="G22" s="1">
        <v>1</v>
      </c>
      <c r="H22" s="1">
        <v>256</v>
      </c>
      <c r="I22" s="1">
        <v>200</v>
      </c>
      <c r="J22" s="1">
        <v>200</v>
      </c>
      <c r="K22" s="1">
        <v>5.5767499999999997</v>
      </c>
      <c r="M22" s="2" t="str">
        <f>_xlfn.XLOOKUP(Bash2[[#This Row],[Metodo]],TbSolver[Metodo],TbSolver[Solver])</f>
        <v>Adams Bashford</v>
      </c>
      <c r="N22" s="2" t="str">
        <f>_xlfn.XLOOKUP(Bash2[[#This Row],[Hebras]],TbTecnologia[Hebras],TbTecnologia[Tecnología])</f>
        <v>CUDA</v>
      </c>
      <c r="O22" s="2" t="str" cm="1">
        <f t="array" ref="O22">_xlfn.XLOOKUP(Bash2[[#This Row],[Tecnología]]&amp;Bash2[[#This Row],[Metodo]],TbTipos[Tecnología]&amp;TbTipos[Metodo],TbTipos[Tipo])</f>
        <v>CUDA con graph</v>
      </c>
      <c r="P22" s="2" t="str" cm="1">
        <f t="array" ref="P22">_xlfn.XLOOKUP(Bash2[[#This Row],[Tecnología]]&amp;Bash2[[#This Row],[Problema]],TbNombres[Tecnología]&amp;TbNombres[Problema],TbNombres[Nombre])</f>
        <v>Advdiff1d</v>
      </c>
      <c r="Q22" s="2">
        <v>4</v>
      </c>
      <c r="R22" s="2">
        <v>3</v>
      </c>
      <c r="S22" s="2">
        <v>256</v>
      </c>
      <c r="T22" s="2">
        <v>200</v>
      </c>
      <c r="U22" s="2">
        <v>200</v>
      </c>
      <c r="V22" s="2">
        <v>9.0020399999999992</v>
      </c>
      <c r="X22" s="2" t="str">
        <f>_xlfn.XLOOKUP(Bash3[[#This Row],[Metodo]],TbSolver[Metodo],TbSolver[Solver])</f>
        <v>Adams Bashford</v>
      </c>
      <c r="Y22" s="2" t="str">
        <f>_xlfn.XLOOKUP(Bash3[[#This Row],[Hebras]],TbTecnologia[Hebras],TbTecnologia[Tecnología])</f>
        <v>CUDA</v>
      </c>
      <c r="Z22" s="2" t="str" cm="1">
        <f t="array" ref="Z22">_xlfn.XLOOKUP(Bash3[[#This Row],[Tecnología]]&amp;Bash3[[#This Row],[Metodo]],TbTipos[Tecnología]&amp;TbTipos[Metodo],TbTipos[Tipo])</f>
        <v>CUDA sin graph</v>
      </c>
      <c r="AA22" s="2" t="str" cm="1">
        <f t="array" ref="AA22">_xlfn.XLOOKUP(Bash3[[#This Row],[Tecnología]]&amp;Bash3[[#This Row],[Problema]],TbNombres[Tecnología]&amp;TbNombres[Problema],TbNombres[Nombre])</f>
        <v>Brusselator1d grid</v>
      </c>
      <c r="AB22" s="2">
        <v>3</v>
      </c>
      <c r="AC22" s="2">
        <v>7</v>
      </c>
      <c r="AD22" s="2">
        <v>256</v>
      </c>
      <c r="AE22" s="2">
        <v>200</v>
      </c>
      <c r="AF22" s="2">
        <v>400</v>
      </c>
      <c r="AG22" s="2">
        <v>4.4284499999999998</v>
      </c>
      <c r="AI22" s="4" t="str">
        <f>_xlfn.XLOOKUP(Bash4[[#This Row],[Metodo]],TbSolver[Metodo],TbSolver[Solver])</f>
        <v>Adams Bashford</v>
      </c>
      <c r="AJ22" s="4" t="str">
        <f>_xlfn.XLOOKUP(Bash4[[#This Row],[Hebras]],TbTecnologia[Hebras],TbTecnologia[Tecnología])</f>
        <v>OMP</v>
      </c>
      <c r="AK22" s="4" t="str" cm="1">
        <f t="array" ref="AK22">_xlfn.XLOOKUP(Bash4[[#This Row],[Tecnología]]&amp;Bash4[[#This Row],[Metodo]],TbTipos[Tecnología]&amp;TbTipos[Metodo],TbTipos[Tipo])</f>
        <v>OMP Operaciones</v>
      </c>
      <c r="AL22" s="4" t="str" cm="1">
        <f t="array" ref="AL22">_xlfn.XLOOKUP(Bash4[[#This Row],[Tecnología]]&amp;Bash4[[#This Row],[Problema]],TbNombres[Tecnología]&amp;TbNombres[Problema],TbNombres[Nombre])</f>
        <v>Brusselator2d</v>
      </c>
      <c r="AM22" s="4">
        <v>3</v>
      </c>
      <c r="AN22" s="4">
        <v>4</v>
      </c>
      <c r="AO22" s="4">
        <v>1</v>
      </c>
      <c r="AP22" s="4">
        <v>50</v>
      </c>
      <c r="AQ22" s="4">
        <v>5000</v>
      </c>
      <c r="AR22" s="4">
        <v>29.783799999999999</v>
      </c>
    </row>
    <row r="23" spans="2:44" x14ac:dyDescent="0.2">
      <c r="B23" s="1" t="str">
        <f>_xlfn.XLOOKUP(Bash1[[#This Row],[Metodo]],TbSolver[Metodo],TbSolver[Solver])</f>
        <v>Adams Bashford</v>
      </c>
      <c r="C23" s="1" t="str">
        <f>_xlfn.XLOOKUP(Bash1[[#This Row],[Hebras]],TbTecnologia[Hebras],TbTecnologia[Tecnología])</f>
        <v>CUDA</v>
      </c>
      <c r="D23" s="1" t="str" cm="1">
        <f t="array" ref="D23">_xlfn.XLOOKUP(Bash1[[#This Row],[Tecnología]]&amp;Bash1[[#This Row],[Metodo]],TbTipos[Tecnología]&amp;TbTipos[Metodo],TbTipos[Tipo])</f>
        <v>CUDA con graph</v>
      </c>
      <c r="E23" s="1" t="str" cm="1">
        <f t="array" ref="E23">_xlfn.XLOOKUP(Bash1[[#This Row],[Tecnología]]&amp;Bash1[[#This Row],[Problema]],TbNombres[Tecnología]&amp;TbNombres[Problema],TbNombres[Nombre])</f>
        <v>Simple Advdiff shuffle</v>
      </c>
      <c r="F23" s="1">
        <v>4</v>
      </c>
      <c r="G23" s="1">
        <v>2</v>
      </c>
      <c r="H23" s="1">
        <v>256</v>
      </c>
      <c r="I23" s="1">
        <v>200</v>
      </c>
      <c r="J23" s="1">
        <v>200</v>
      </c>
      <c r="K23" s="1">
        <v>5.5995400000000002</v>
      </c>
      <c r="M23" s="2" t="str">
        <f>_xlfn.XLOOKUP(Bash2[[#This Row],[Metodo]],TbSolver[Metodo],TbSolver[Solver])</f>
        <v>Adams Bashford</v>
      </c>
      <c r="N23" s="2" t="str">
        <f>_xlfn.XLOOKUP(Bash2[[#This Row],[Hebras]],TbTecnologia[Hebras],TbTecnologia[Tecnología])</f>
        <v>CUDA</v>
      </c>
      <c r="O23" s="2" t="str" cm="1">
        <f t="array" ref="O23">_xlfn.XLOOKUP(Bash2[[#This Row],[Tecnología]]&amp;Bash2[[#This Row],[Metodo]],TbTipos[Tecnología]&amp;TbTipos[Metodo],TbTipos[Tipo])</f>
        <v>CUDA con graph</v>
      </c>
      <c r="P23" s="2" t="str" cm="1">
        <f t="array" ref="P23">_xlfn.XLOOKUP(Bash2[[#This Row],[Tecnología]]&amp;Bash2[[#This Row],[Problema]],TbNombres[Tecnología]&amp;TbNombres[Problema],TbNombres[Nombre])</f>
        <v>Advdiff1d shuffle</v>
      </c>
      <c r="Q23" s="2">
        <v>4</v>
      </c>
      <c r="R23" s="2">
        <v>4</v>
      </c>
      <c r="S23" s="2">
        <v>256</v>
      </c>
      <c r="T23" s="2">
        <v>200</v>
      </c>
      <c r="U23" s="2">
        <v>200</v>
      </c>
      <c r="V23" s="2">
        <v>9.1861899999999999</v>
      </c>
      <c r="X23" s="2" t="str">
        <f>_xlfn.XLOOKUP(Bash3[[#This Row],[Metodo]],TbSolver[Metodo],TbSolver[Solver])</f>
        <v>Adams Bashford</v>
      </c>
      <c r="Y23" s="2" t="str">
        <f>_xlfn.XLOOKUP(Bash3[[#This Row],[Hebras]],TbTecnologia[Hebras],TbTecnologia[Tecnología])</f>
        <v>CUDA</v>
      </c>
      <c r="Z23" s="2" t="str" cm="1">
        <f t="array" ref="Z23">_xlfn.XLOOKUP(Bash3[[#This Row],[Tecnología]]&amp;Bash3[[#This Row],[Metodo]],TbTipos[Tecnología]&amp;TbTipos[Metodo],TbTipos[Tipo])</f>
        <v>CUDA sin graph</v>
      </c>
      <c r="AA23" s="2" t="str" cm="1">
        <f t="array" ref="AA23">_xlfn.XLOOKUP(Bash3[[#This Row],[Tecnología]]&amp;Bash3[[#This Row],[Problema]],TbNombres[Tecnología]&amp;TbNombres[Problema],TbNombres[Nombre])</f>
        <v>Brusselator1d shuffle</v>
      </c>
      <c r="AB23" s="2">
        <v>3</v>
      </c>
      <c r="AC23" s="2">
        <v>6</v>
      </c>
      <c r="AD23" s="2">
        <v>256</v>
      </c>
      <c r="AE23" s="2">
        <v>200</v>
      </c>
      <c r="AF23" s="2">
        <v>400</v>
      </c>
      <c r="AG23" s="2">
        <v>4.4763099999999998</v>
      </c>
      <c r="AI23" s="4" t="str">
        <f>_xlfn.XLOOKUP(Bash4[[#This Row],[Metodo]],TbSolver[Metodo],TbSolver[Solver])</f>
        <v>Adams Bashford</v>
      </c>
      <c r="AJ23" s="4" t="str">
        <f>_xlfn.XLOOKUP(Bash4[[#This Row],[Hebras]],TbTecnologia[Hebras],TbTecnologia[Tecnología])</f>
        <v>OMP</v>
      </c>
      <c r="AK23" s="4" t="str" cm="1">
        <f t="array" ref="AK23">_xlfn.XLOOKUP(Bash4[[#This Row],[Tecnología]]&amp;Bash4[[#This Row],[Metodo]],TbTipos[Tecnología]&amp;TbTipos[Metodo],TbTipos[Tipo])</f>
        <v>OMP Operaciones</v>
      </c>
      <c r="AL23" s="4" t="str" cm="1">
        <f t="array" ref="AL23">_xlfn.XLOOKUP(Bash4[[#This Row],[Tecnología]]&amp;Bash4[[#This Row],[Problema]],TbNombres[Tecnología]&amp;TbNombres[Problema],TbNombres[Nombre])</f>
        <v>Brusselator2d</v>
      </c>
      <c r="AM23" s="4">
        <v>3</v>
      </c>
      <c r="AN23" s="4">
        <v>4</v>
      </c>
      <c r="AO23" s="4">
        <v>16</v>
      </c>
      <c r="AP23" s="4">
        <v>50</v>
      </c>
      <c r="AQ23" s="4">
        <v>5000</v>
      </c>
      <c r="AR23" s="4">
        <v>31.9894</v>
      </c>
    </row>
    <row r="24" spans="2:44" x14ac:dyDescent="0.2">
      <c r="B24" s="1" t="str">
        <f>_xlfn.XLOOKUP(Bash1[[#This Row],[Metodo]],TbSolver[Metodo],TbSolver[Solver])</f>
        <v>Adams Bashford</v>
      </c>
      <c r="C24" s="1" t="str">
        <f>_xlfn.XLOOKUP(Bash1[[#This Row],[Hebras]],TbTecnologia[Hebras],TbTecnologia[Tecnología])</f>
        <v>OMP</v>
      </c>
      <c r="D24" s="1" t="str" cm="1">
        <f t="array" ref="D24">_xlfn.XLOOKUP(Bash1[[#This Row],[Tecnología]]&amp;Bash1[[#This Row],[Metodo]],TbTipos[Tecnología]&amp;TbTipos[Metodo],TbTipos[Tipo])</f>
        <v>OMP Elementos</v>
      </c>
      <c r="E24" s="1" t="str" cm="1">
        <f t="array" ref="E24">_xlfn.XLOOKUP(Bash1[[#This Row],[Tecnología]]&amp;Bash1[[#This Row],[Problema]],TbNombres[Tecnología]&amp;TbNombres[Problema],TbNombres[Nombre])</f>
        <v>Simple Advdiff</v>
      </c>
      <c r="F24" s="1">
        <v>4</v>
      </c>
      <c r="G24" s="1">
        <v>1</v>
      </c>
      <c r="H24" s="1">
        <v>16</v>
      </c>
      <c r="I24" s="1">
        <v>200</v>
      </c>
      <c r="J24" s="1">
        <v>200</v>
      </c>
      <c r="K24" s="1">
        <v>11.6637</v>
      </c>
      <c r="M24" s="2" t="str">
        <f>_xlfn.XLOOKUP(Bash2[[#This Row],[Metodo]],TbSolver[Metodo],TbSolver[Solver])</f>
        <v>Adams Bashford</v>
      </c>
      <c r="N24" s="2" t="str">
        <f>_xlfn.XLOOKUP(Bash2[[#This Row],[Hebras]],TbTecnologia[Hebras],TbTecnologia[Tecnología])</f>
        <v>OMP</v>
      </c>
      <c r="O24" s="2" t="str" cm="1">
        <f t="array" ref="O24">_xlfn.XLOOKUP(Bash2[[#This Row],[Tecnología]]&amp;Bash2[[#This Row],[Metodo]],TbTipos[Tecnología]&amp;TbTipos[Metodo],TbTipos[Tipo])</f>
        <v>OMP Elementos</v>
      </c>
      <c r="P24" s="2" t="str" cm="1">
        <f t="array" ref="P24">_xlfn.XLOOKUP(Bash2[[#This Row],[Tecnología]]&amp;Bash2[[#This Row],[Problema]],TbNombres[Tecnología]&amp;TbNombres[Problema],TbNombres[Nombre])</f>
        <v>Advdiff1d</v>
      </c>
      <c r="Q24" s="2">
        <v>4</v>
      </c>
      <c r="R24" s="2">
        <v>2</v>
      </c>
      <c r="S24" s="2">
        <v>16</v>
      </c>
      <c r="T24" s="2">
        <v>200</v>
      </c>
      <c r="U24" s="2">
        <v>200</v>
      </c>
      <c r="V24" s="2">
        <v>11.5939</v>
      </c>
      <c r="X24" s="2" t="str">
        <f>_xlfn.XLOOKUP(Bash3[[#This Row],[Metodo]],TbSolver[Metodo],TbSolver[Solver])</f>
        <v>Adams Bashford</v>
      </c>
      <c r="Y24" s="2" t="str">
        <f>_xlfn.XLOOKUP(Bash3[[#This Row],[Hebras]],TbTecnologia[Hebras],TbTecnologia[Tecnología])</f>
        <v>OMP</v>
      </c>
      <c r="Z24" s="2" t="str" cm="1">
        <f t="array" ref="Z24">_xlfn.XLOOKUP(Bash3[[#This Row],[Tecnología]]&amp;Bash3[[#This Row],[Metodo]],TbTipos[Tecnología]&amp;TbTipos[Metodo],TbTipos[Tipo])</f>
        <v>OMP Elementos</v>
      </c>
      <c r="AA24" s="2" t="str" cm="1">
        <f t="array" ref="AA24">_xlfn.XLOOKUP(Bash3[[#This Row],[Tecnología]]&amp;Bash3[[#This Row],[Problema]],TbNombres[Tecnología]&amp;TbNombres[Problema],TbNombres[Nombre])</f>
        <v>Brusselator1d</v>
      </c>
      <c r="AB24" s="2">
        <v>4</v>
      </c>
      <c r="AC24" s="2">
        <v>3</v>
      </c>
      <c r="AD24" s="2">
        <v>4</v>
      </c>
      <c r="AE24" s="2">
        <v>200</v>
      </c>
      <c r="AF24" s="2">
        <v>400</v>
      </c>
      <c r="AG24" s="2">
        <v>5.0616000000000003</v>
      </c>
      <c r="AI24" s="4" t="str">
        <f>_xlfn.XLOOKUP(Bash4[[#This Row],[Metodo]],TbSolver[Metodo],TbSolver[Solver])</f>
        <v>Adams Bashford</v>
      </c>
      <c r="AJ24" s="4" t="str">
        <f>_xlfn.XLOOKUP(Bash4[[#This Row],[Hebras]],TbTecnologia[Hebras],TbTecnologia[Tecnología])</f>
        <v>OMP</v>
      </c>
      <c r="AK24" s="4" t="str" cm="1">
        <f t="array" ref="AK24">_xlfn.XLOOKUP(Bash4[[#This Row],[Tecnología]]&amp;Bash4[[#This Row],[Metodo]],TbTipos[Tecnología]&amp;TbTipos[Metodo],TbTipos[Tipo])</f>
        <v>OMP Elementos</v>
      </c>
      <c r="AL24" s="4" t="str" cm="1">
        <f t="array" ref="AL24">_xlfn.XLOOKUP(Bash4[[#This Row],[Tecnología]]&amp;Bash4[[#This Row],[Problema]],TbNombres[Tecnología]&amp;TbNombres[Problema],TbNombres[Nombre])</f>
        <v>Brusselator2d</v>
      </c>
      <c r="AM24" s="4">
        <v>4</v>
      </c>
      <c r="AN24" s="4">
        <v>4</v>
      </c>
      <c r="AO24" s="4">
        <v>1</v>
      </c>
      <c r="AP24" s="4">
        <v>50</v>
      </c>
      <c r="AQ24" s="4">
        <v>5000</v>
      </c>
      <c r="AR24" s="4">
        <v>65.056100000000001</v>
      </c>
    </row>
    <row r="25" spans="2:44" x14ac:dyDescent="0.2">
      <c r="B25" s="1" t="str">
        <f>_xlfn.XLOOKUP(Bash1[[#This Row],[Metodo]],TbSolver[Metodo],TbSolver[Solver])</f>
        <v>Adams Bashford</v>
      </c>
      <c r="C25" s="1" t="str">
        <f>_xlfn.XLOOKUP(Bash1[[#This Row],[Hebras]],TbTecnologia[Hebras],TbTecnologia[Tecnología])</f>
        <v>OMP</v>
      </c>
      <c r="D25" s="1" t="str" cm="1">
        <f t="array" ref="D25">_xlfn.XLOOKUP(Bash1[[#This Row],[Tecnología]]&amp;Bash1[[#This Row],[Metodo]],TbTipos[Tecnología]&amp;TbTipos[Metodo],TbTipos[Tipo])</f>
        <v>OMP Operaciones</v>
      </c>
      <c r="E25" s="1" t="str" cm="1">
        <f t="array" ref="E25">_xlfn.XLOOKUP(Bash1[[#This Row],[Tecnología]]&amp;Bash1[[#This Row],[Problema]],TbNombres[Tecnología]&amp;TbNombres[Problema],TbNombres[Nombre])</f>
        <v>Simple Advdiff</v>
      </c>
      <c r="F25" s="1">
        <v>3</v>
      </c>
      <c r="G25" s="1">
        <v>1</v>
      </c>
      <c r="H25" s="1">
        <v>4</v>
      </c>
      <c r="I25" s="1">
        <v>200</v>
      </c>
      <c r="J25" s="1">
        <v>200</v>
      </c>
      <c r="K25" s="1">
        <v>12.255599999999999</v>
      </c>
      <c r="M25" s="2" t="str">
        <f>_xlfn.XLOOKUP(Bash2[[#This Row],[Metodo]],TbSolver[Metodo],TbSolver[Solver])</f>
        <v>Adams Bashford</v>
      </c>
      <c r="N25" s="2" t="str">
        <f>_xlfn.XLOOKUP(Bash2[[#This Row],[Hebras]],TbTecnologia[Hebras],TbTecnologia[Tecnología])</f>
        <v>OMP</v>
      </c>
      <c r="O25" s="2" t="str" cm="1">
        <f t="array" ref="O25">_xlfn.XLOOKUP(Bash2[[#This Row],[Tecnología]]&amp;Bash2[[#This Row],[Metodo]],TbTipos[Tecnología]&amp;TbTipos[Metodo],TbTipos[Tipo])</f>
        <v>OMP Operaciones</v>
      </c>
      <c r="P25" s="2" t="str" cm="1">
        <f t="array" ref="P25">_xlfn.XLOOKUP(Bash2[[#This Row],[Tecnología]]&amp;Bash2[[#This Row],[Problema]],TbNombres[Tecnología]&amp;TbNombres[Problema],TbNombres[Nombre])</f>
        <v>Advdiff1d</v>
      </c>
      <c r="Q25" s="2">
        <v>3</v>
      </c>
      <c r="R25" s="2">
        <v>2</v>
      </c>
      <c r="S25" s="2">
        <v>4</v>
      </c>
      <c r="T25" s="2">
        <v>200</v>
      </c>
      <c r="U25" s="2">
        <v>200</v>
      </c>
      <c r="V25" s="2">
        <v>16.056000000000001</v>
      </c>
      <c r="X25" s="2" t="str">
        <f>_xlfn.XLOOKUP(Bash3[[#This Row],[Metodo]],TbSolver[Metodo],TbSolver[Solver])</f>
        <v>Adams Bashford</v>
      </c>
      <c r="Y25" s="2" t="str">
        <f>_xlfn.XLOOKUP(Bash3[[#This Row],[Hebras]],TbTecnologia[Hebras],TbTecnologia[Tecnología])</f>
        <v>CUDA</v>
      </c>
      <c r="Z25" s="2" t="str" cm="1">
        <f t="array" ref="Z25">_xlfn.XLOOKUP(Bash3[[#This Row],[Tecnología]]&amp;Bash3[[#This Row],[Metodo]],TbTipos[Tecnología]&amp;TbTipos[Metodo],TbTipos[Tipo])</f>
        <v>CUDA con graph</v>
      </c>
      <c r="AA25" s="2" t="str" cm="1">
        <f t="array" ref="AA25">_xlfn.XLOOKUP(Bash3[[#This Row],[Tecnología]]&amp;Bash3[[#This Row],[Problema]],TbNombres[Tecnología]&amp;TbNombres[Problema],TbNombres[Nombre])</f>
        <v>Brusselator1d</v>
      </c>
      <c r="AB25" s="2">
        <v>4</v>
      </c>
      <c r="AC25" s="2">
        <v>5</v>
      </c>
      <c r="AD25" s="2">
        <v>256</v>
      </c>
      <c r="AE25" s="2">
        <v>200</v>
      </c>
      <c r="AF25" s="2">
        <v>400</v>
      </c>
      <c r="AG25" s="2">
        <v>6.0020499999999997</v>
      </c>
      <c r="AI25" s="2" t="str">
        <f>_xlfn.XLOOKUP(Bash4[[#This Row],[Metodo]],TbSolver[Metodo],TbSolver[Solver])</f>
        <v>Adams Bashford</v>
      </c>
      <c r="AJ25" s="2" t="str">
        <f>_xlfn.XLOOKUP(Bash4[[#This Row],[Hebras]],TbTecnologia[Hebras],TbTecnologia[Tecnología])</f>
        <v>CUDA</v>
      </c>
      <c r="AK25" s="2" t="str" cm="1">
        <f t="array" ref="AK25">_xlfn.XLOOKUP(Bash4[[#This Row],[Tecnología]]&amp;Bash4[[#This Row],[Metodo]],TbTipos[Tecnología]&amp;TbTipos[Metodo],TbTipos[Tipo])</f>
        <v>CUDA sin graph</v>
      </c>
      <c r="AL25" s="4" t="str" cm="1">
        <f t="array" ref="AL25">_xlfn.XLOOKUP(Bash4[[#This Row],[Tecnología]]&amp;Bash4[[#This Row],[Problema]],TbNombres[Tecnología]&amp;TbNombres[Problema],TbNombres[Nombre])</f>
        <v>Brusselator2d</v>
      </c>
      <c r="AM25" s="4">
        <v>3</v>
      </c>
      <c r="AN25" s="21">
        <v>8</v>
      </c>
      <c r="AO25" s="21">
        <v>256</v>
      </c>
      <c r="AP25" s="21">
        <v>75</v>
      </c>
      <c r="AQ25" s="21">
        <v>11250</v>
      </c>
      <c r="AR25" s="21">
        <v>5.3583999999999996</v>
      </c>
    </row>
    <row r="26" spans="2:44" x14ac:dyDescent="0.2">
      <c r="B26" s="1" t="str">
        <f>_xlfn.XLOOKUP(Bash1[[#This Row],[Metodo]],TbSolver[Metodo],TbSolver[Solver])</f>
        <v>Adams Bashford</v>
      </c>
      <c r="C26" s="1" t="str">
        <f>_xlfn.XLOOKUP(Bash1[[#This Row],[Hebras]],TbTecnologia[Hebras],TbTecnologia[Tecnología])</f>
        <v>OMP</v>
      </c>
      <c r="D26" s="1" t="str" cm="1">
        <f t="array" ref="D26">_xlfn.XLOOKUP(Bash1[[#This Row],[Tecnología]]&amp;Bash1[[#This Row],[Metodo]],TbTipos[Tecnología]&amp;TbTipos[Metodo],TbTipos[Tipo])</f>
        <v>OMP Operaciones</v>
      </c>
      <c r="E26" s="1" t="str" cm="1">
        <f t="array" ref="E26">_xlfn.XLOOKUP(Bash1[[#This Row],[Tecnología]]&amp;Bash1[[#This Row],[Problema]],TbNombres[Tecnología]&amp;TbNombres[Problema],TbNombres[Nombre])</f>
        <v>Simple Advdiff</v>
      </c>
      <c r="F26" s="1">
        <v>3</v>
      </c>
      <c r="G26" s="1">
        <v>1</v>
      </c>
      <c r="H26" s="1">
        <v>16</v>
      </c>
      <c r="I26" s="1">
        <v>200</v>
      </c>
      <c r="J26" s="1">
        <v>200</v>
      </c>
      <c r="K26" s="1">
        <v>30.1144</v>
      </c>
      <c r="M26" s="2" t="str">
        <f>_xlfn.XLOOKUP(Bash2[[#This Row],[Metodo]],TbSolver[Metodo],TbSolver[Solver])</f>
        <v>Adams Bashford</v>
      </c>
      <c r="N26" s="2" t="str">
        <f>_xlfn.XLOOKUP(Bash2[[#This Row],[Hebras]],TbTecnologia[Hebras],TbTecnologia[Tecnología])</f>
        <v>OMP</v>
      </c>
      <c r="O26" s="2" t="str" cm="1">
        <f t="array" ref="O26">_xlfn.XLOOKUP(Bash2[[#This Row],[Tecnología]]&amp;Bash2[[#This Row],[Metodo]],TbTipos[Tecnología]&amp;TbTipos[Metodo],TbTipos[Tipo])</f>
        <v>OMP Operaciones</v>
      </c>
      <c r="P26" s="2" t="str" cm="1">
        <f t="array" ref="P26">_xlfn.XLOOKUP(Bash2[[#This Row],[Tecnología]]&amp;Bash2[[#This Row],[Problema]],TbNombres[Tecnología]&amp;TbNombres[Problema],TbNombres[Nombre])</f>
        <v>Advdiff1d</v>
      </c>
      <c r="Q26" s="2">
        <v>3</v>
      </c>
      <c r="R26" s="2">
        <v>2</v>
      </c>
      <c r="S26" s="2">
        <v>16</v>
      </c>
      <c r="T26" s="2">
        <v>200</v>
      </c>
      <c r="U26" s="2">
        <v>200</v>
      </c>
      <c r="V26" s="2">
        <v>37.792000000000002</v>
      </c>
      <c r="X26" s="2" t="str">
        <f>_xlfn.XLOOKUP(Bash3[[#This Row],[Metodo]],TbSolver[Metodo],TbSolver[Solver])</f>
        <v>Adams Bashford</v>
      </c>
      <c r="Y26" s="2" t="str">
        <f>_xlfn.XLOOKUP(Bash3[[#This Row],[Hebras]],TbTecnologia[Hebras],TbTecnologia[Tecnología])</f>
        <v>CUDA</v>
      </c>
      <c r="Z26" s="2" t="str" cm="1">
        <f t="array" ref="Z26">_xlfn.XLOOKUP(Bash3[[#This Row],[Tecnología]]&amp;Bash3[[#This Row],[Metodo]],TbTipos[Tecnología]&amp;TbTipos[Metodo],TbTipos[Tipo])</f>
        <v>CUDA con graph</v>
      </c>
      <c r="AA26" s="2" t="str" cm="1">
        <f t="array" ref="AA26">_xlfn.XLOOKUP(Bash3[[#This Row],[Tecnología]]&amp;Bash3[[#This Row],[Problema]],TbNombres[Tecnología]&amp;TbNombres[Problema],TbNombres[Nombre])</f>
        <v>Brusselator1d grid</v>
      </c>
      <c r="AB26" s="2">
        <v>4</v>
      </c>
      <c r="AC26" s="2">
        <v>7</v>
      </c>
      <c r="AD26" s="2">
        <v>256</v>
      </c>
      <c r="AE26" s="2">
        <v>200</v>
      </c>
      <c r="AF26" s="2">
        <v>400</v>
      </c>
      <c r="AG26" s="2">
        <v>6.0254700000000003</v>
      </c>
      <c r="AI26" s="2" t="str">
        <f>_xlfn.XLOOKUP(Bash4[[#This Row],[Metodo]],TbSolver[Metodo],TbSolver[Solver])</f>
        <v>Adams Bashford</v>
      </c>
      <c r="AJ26" s="2" t="str">
        <f>_xlfn.XLOOKUP(Bash4[[#This Row],[Hebras]],TbTecnologia[Hebras],TbTecnologia[Tecnología])</f>
        <v>CUDA</v>
      </c>
      <c r="AK26" s="2" t="str" cm="1">
        <f t="array" ref="AK26">_xlfn.XLOOKUP(Bash4[[#This Row],[Tecnología]]&amp;Bash4[[#This Row],[Metodo]],TbTipos[Tecnología]&amp;TbTipos[Metodo],TbTipos[Tipo])</f>
        <v>CUDA con graph</v>
      </c>
      <c r="AL26" s="4" t="str" cm="1">
        <f t="array" ref="AL26">_xlfn.XLOOKUP(Bash4[[#This Row],[Tecnología]]&amp;Bash4[[#This Row],[Problema]],TbNombres[Tecnología]&amp;TbNombres[Problema],TbNombres[Nombre])</f>
        <v>Brusselator2d</v>
      </c>
      <c r="AM26" s="4">
        <v>4</v>
      </c>
      <c r="AN26" s="21">
        <v>8</v>
      </c>
      <c r="AO26" s="21">
        <v>256</v>
      </c>
      <c r="AP26" s="21">
        <v>75</v>
      </c>
      <c r="AQ26" s="21">
        <v>11250</v>
      </c>
      <c r="AR26" s="21">
        <v>7.1521100000000004</v>
      </c>
    </row>
    <row r="27" spans="2:44" x14ac:dyDescent="0.2">
      <c r="B27" s="1" t="str">
        <f>_xlfn.XLOOKUP(Bash1[[#This Row],[Metodo]],TbSolver[Metodo],TbSolver[Solver])</f>
        <v>Adams Bashford</v>
      </c>
      <c r="C27" s="1" t="str">
        <f>_xlfn.XLOOKUP(Bash1[[#This Row],[Hebras]],TbTecnologia[Hebras],TbTecnologia[Tecnología])</f>
        <v>OMP</v>
      </c>
      <c r="D27" s="1" t="str" cm="1">
        <f t="array" ref="D27">_xlfn.XLOOKUP(Bash1[[#This Row],[Tecnología]]&amp;Bash1[[#This Row],[Metodo]],TbTipos[Tecnología]&amp;TbTipos[Metodo],TbTipos[Tipo])</f>
        <v>OMP Operaciones</v>
      </c>
      <c r="E27" s="1" t="str" cm="1">
        <f t="array" ref="E27">_xlfn.XLOOKUP(Bash1[[#This Row],[Tecnología]]&amp;Bash1[[#This Row],[Problema]],TbNombres[Tecnología]&amp;TbNombres[Problema],TbNombres[Nombre])</f>
        <v>Simple Advdiff</v>
      </c>
      <c r="F27" s="1">
        <v>3</v>
      </c>
      <c r="G27" s="1">
        <v>1</v>
      </c>
      <c r="H27" s="1">
        <v>1</v>
      </c>
      <c r="I27" s="1">
        <v>500</v>
      </c>
      <c r="J27" s="1">
        <v>500</v>
      </c>
      <c r="K27" s="1">
        <v>2.0038</v>
      </c>
      <c r="M27" s="2" t="str">
        <f>_xlfn.XLOOKUP(Bash2[[#This Row],[Metodo]],TbSolver[Metodo],TbSolver[Solver])</f>
        <v>Adams Bashford</v>
      </c>
      <c r="N27" s="2" t="str">
        <f>_xlfn.XLOOKUP(Bash2[[#This Row],[Hebras]],TbTecnologia[Hebras],TbTecnologia[Tecnología])</f>
        <v>CUDA</v>
      </c>
      <c r="O27" s="2" t="str" cm="1">
        <f t="array" ref="O27">_xlfn.XLOOKUP(Bash2[[#This Row],[Tecnología]]&amp;Bash2[[#This Row],[Metodo]],TbTipos[Tecnología]&amp;TbTipos[Metodo],TbTipos[Tipo])</f>
        <v>CUDA sin graph</v>
      </c>
      <c r="P27" s="2" t="str" cm="1">
        <f t="array" ref="P27">_xlfn.XLOOKUP(Bash2[[#This Row],[Tecnología]]&amp;Bash2[[#This Row],[Problema]],TbNombres[Tecnología]&amp;TbNombres[Problema],TbNombres[Nombre])</f>
        <v>Advdiff1d</v>
      </c>
      <c r="Q27" s="2">
        <v>3</v>
      </c>
      <c r="R27" s="2">
        <v>3</v>
      </c>
      <c r="S27" s="2">
        <v>256</v>
      </c>
      <c r="T27" s="2">
        <v>500</v>
      </c>
      <c r="U27" s="2">
        <v>500</v>
      </c>
      <c r="V27" s="2">
        <v>7.9539900000000001</v>
      </c>
      <c r="X27" s="2" t="str">
        <f>_xlfn.XLOOKUP(Bash3[[#This Row],[Metodo]],TbSolver[Metodo],TbSolver[Solver])</f>
        <v>Adams Bashford</v>
      </c>
      <c r="Y27" s="2" t="str">
        <f>_xlfn.XLOOKUP(Bash3[[#This Row],[Hebras]],TbTecnologia[Hebras],TbTecnologia[Tecnología])</f>
        <v>CUDA</v>
      </c>
      <c r="Z27" s="2" t="str" cm="1">
        <f t="array" ref="Z27">_xlfn.XLOOKUP(Bash3[[#This Row],[Tecnología]]&amp;Bash3[[#This Row],[Metodo]],TbTipos[Tecnología]&amp;TbTipos[Metodo],TbTipos[Tipo])</f>
        <v>CUDA con graph</v>
      </c>
      <c r="AA27" s="2" t="str" cm="1">
        <f t="array" ref="AA27">_xlfn.XLOOKUP(Bash3[[#This Row],[Tecnología]]&amp;Bash3[[#This Row],[Problema]],TbNombres[Tecnología]&amp;TbNombres[Problema],TbNombres[Nombre])</f>
        <v>Brusselator1d shuffle</v>
      </c>
      <c r="AB27" s="2">
        <v>4</v>
      </c>
      <c r="AC27" s="2">
        <v>6</v>
      </c>
      <c r="AD27" s="2">
        <v>256</v>
      </c>
      <c r="AE27" s="2">
        <v>200</v>
      </c>
      <c r="AF27" s="2">
        <v>400</v>
      </c>
      <c r="AG27" s="2">
        <v>6.0285399999999996</v>
      </c>
      <c r="AI27" s="2" t="str">
        <f>_xlfn.XLOOKUP(Bash4[[#This Row],[Metodo]],TbSolver[Metodo],TbSolver[Solver])</f>
        <v>Adams Bashford</v>
      </c>
      <c r="AJ27" s="2" t="str">
        <f>_xlfn.XLOOKUP(Bash4[[#This Row],[Hebras]],TbTecnologia[Hebras],TbTecnologia[Tecnología])</f>
        <v>OMP</v>
      </c>
      <c r="AK27" s="2" t="str" cm="1">
        <f t="array" ref="AK27">_xlfn.XLOOKUP(Bash4[[#This Row],[Tecnología]]&amp;Bash4[[#This Row],[Metodo]],TbTipos[Tecnología]&amp;TbTipos[Metodo],TbTipos[Tipo])</f>
        <v>OMP Operaciones</v>
      </c>
      <c r="AL27" s="4" t="str" cm="1">
        <f t="array" ref="AL27">_xlfn.XLOOKUP(Bash4[[#This Row],[Tecnología]]&amp;Bash4[[#This Row],[Problema]],TbNombres[Tecnología]&amp;TbNombres[Problema],TbNombres[Nombre])</f>
        <v>Brusselator2d</v>
      </c>
      <c r="AM27" s="4">
        <v>3</v>
      </c>
      <c r="AN27" s="4">
        <v>4</v>
      </c>
      <c r="AO27" s="4">
        <v>4</v>
      </c>
      <c r="AP27" s="4">
        <v>75</v>
      </c>
      <c r="AQ27" s="4">
        <v>11250</v>
      </c>
      <c r="AR27" s="4">
        <v>30.352900000000002</v>
      </c>
    </row>
    <row r="28" spans="2:44" x14ac:dyDescent="0.2">
      <c r="B28" s="1" t="str">
        <f>_xlfn.XLOOKUP(Bash1[[#This Row],[Metodo]],TbSolver[Metodo],TbSolver[Solver])</f>
        <v>Adams Bashford</v>
      </c>
      <c r="C28" s="1" t="str">
        <f>_xlfn.XLOOKUP(Bash1[[#This Row],[Hebras]],TbTecnologia[Hebras],TbTecnologia[Tecnología])</f>
        <v>OMP</v>
      </c>
      <c r="D28" s="1" t="str" cm="1">
        <f t="array" ref="D28">_xlfn.XLOOKUP(Bash1[[#This Row],[Tecnología]]&amp;Bash1[[#This Row],[Metodo]],TbTipos[Tecnología]&amp;TbTipos[Metodo],TbTipos[Tipo])</f>
        <v>OMP Elementos</v>
      </c>
      <c r="E28" s="1" t="str" cm="1">
        <f t="array" ref="E28">_xlfn.XLOOKUP(Bash1[[#This Row],[Tecnología]]&amp;Bash1[[#This Row],[Problema]],TbNombres[Tecnología]&amp;TbNombres[Problema],TbNombres[Nombre])</f>
        <v>Simple Advdiff</v>
      </c>
      <c r="F28" s="1">
        <v>4</v>
      </c>
      <c r="G28" s="1">
        <v>1</v>
      </c>
      <c r="H28" s="1">
        <v>1</v>
      </c>
      <c r="I28" s="1">
        <v>500</v>
      </c>
      <c r="J28" s="1">
        <v>500</v>
      </c>
      <c r="K28" s="1">
        <v>2.9785400000000002</v>
      </c>
      <c r="M28" s="2" t="str">
        <f>_xlfn.XLOOKUP(Bash2[[#This Row],[Metodo]],TbSolver[Metodo],TbSolver[Solver])</f>
        <v>Adams Bashford</v>
      </c>
      <c r="N28" s="2" t="str">
        <f>_xlfn.XLOOKUP(Bash2[[#This Row],[Hebras]],TbTecnologia[Hebras],TbTecnologia[Tecnología])</f>
        <v>OMP</v>
      </c>
      <c r="O28" s="2" t="str" cm="1">
        <f t="array" ref="O28">_xlfn.XLOOKUP(Bash2[[#This Row],[Tecnología]]&amp;Bash2[[#This Row],[Metodo]],TbTipos[Tecnología]&amp;TbTipos[Metodo],TbTipos[Tipo])</f>
        <v>OMP Elementos</v>
      </c>
      <c r="P28" s="2" t="str" cm="1">
        <f t="array" ref="P28">_xlfn.XLOOKUP(Bash2[[#This Row],[Tecnología]]&amp;Bash2[[#This Row],[Problema]],TbNombres[Tecnología]&amp;TbNombres[Problema],TbNombres[Nombre])</f>
        <v>Advdiff1d</v>
      </c>
      <c r="Q28" s="2">
        <v>4</v>
      </c>
      <c r="R28" s="2">
        <v>2</v>
      </c>
      <c r="S28" s="2">
        <v>4</v>
      </c>
      <c r="T28" s="2">
        <v>500</v>
      </c>
      <c r="U28" s="2">
        <v>500</v>
      </c>
      <c r="V28" s="2">
        <v>7.9635499999999997</v>
      </c>
      <c r="X28" s="2" t="str">
        <f>_xlfn.XLOOKUP(Bash3[[#This Row],[Metodo]],TbSolver[Metodo],TbSolver[Solver])</f>
        <v>Adams Bashford</v>
      </c>
      <c r="Y28" s="2" t="str">
        <f>_xlfn.XLOOKUP(Bash3[[#This Row],[Hebras]],TbTecnologia[Hebras],TbTecnologia[Tecnología])</f>
        <v>OMP</v>
      </c>
      <c r="Z28" s="2" t="str" cm="1">
        <f t="array" ref="Z28">_xlfn.XLOOKUP(Bash3[[#This Row],[Tecnología]]&amp;Bash3[[#This Row],[Metodo]],TbTipos[Tecnología]&amp;TbTipos[Metodo],TbTipos[Tipo])</f>
        <v>OMP Elementos</v>
      </c>
      <c r="AA28" s="2" t="str" cm="1">
        <f t="array" ref="AA28">_xlfn.XLOOKUP(Bash3[[#This Row],[Tecnología]]&amp;Bash3[[#This Row],[Problema]],TbNombres[Tecnología]&amp;TbNombres[Problema],TbNombres[Nombre])</f>
        <v>Brusselator1d</v>
      </c>
      <c r="AB28" s="2">
        <v>4</v>
      </c>
      <c r="AC28" s="2">
        <v>3</v>
      </c>
      <c r="AD28" s="2">
        <v>16</v>
      </c>
      <c r="AE28" s="2">
        <v>200</v>
      </c>
      <c r="AF28" s="2">
        <v>400</v>
      </c>
      <c r="AG28" s="2">
        <v>12.112299999999999</v>
      </c>
      <c r="AI28" s="2" t="str">
        <f>_xlfn.XLOOKUP(Bash4[[#This Row],[Metodo]],TbSolver[Metodo],TbSolver[Solver])</f>
        <v>Adams Bashford</v>
      </c>
      <c r="AJ28" s="2" t="str">
        <f>_xlfn.XLOOKUP(Bash4[[#This Row],[Hebras]],TbTecnologia[Hebras],TbTecnologia[Tecnología])</f>
        <v>OMP</v>
      </c>
      <c r="AK28" s="2" t="str" cm="1">
        <f t="array" ref="AK28">_xlfn.XLOOKUP(Bash4[[#This Row],[Tecnología]]&amp;Bash4[[#This Row],[Metodo]],TbTipos[Tecnología]&amp;TbTipos[Metodo],TbTipos[Tipo])</f>
        <v>OMP Operaciones</v>
      </c>
      <c r="AL28" s="4" t="str" cm="1">
        <f t="array" ref="AL28">_xlfn.XLOOKUP(Bash4[[#This Row],[Tecnología]]&amp;Bash4[[#This Row],[Problema]],TbNombres[Tecnología]&amp;TbNombres[Problema],TbNombres[Nombre])</f>
        <v>Brusselator2d</v>
      </c>
      <c r="AM28" s="4">
        <v>3</v>
      </c>
      <c r="AN28" s="4">
        <v>4</v>
      </c>
      <c r="AO28" s="4">
        <v>16</v>
      </c>
      <c r="AP28" s="4">
        <v>75</v>
      </c>
      <c r="AQ28" s="4">
        <v>11250</v>
      </c>
      <c r="AR28" s="4">
        <v>40.895099999999999</v>
      </c>
    </row>
    <row r="29" spans="2:44" x14ac:dyDescent="0.2">
      <c r="B29" s="1" t="str">
        <f>_xlfn.XLOOKUP(Bash1[[#This Row],[Metodo]],TbSolver[Metodo],TbSolver[Solver])</f>
        <v>Adams Bashford</v>
      </c>
      <c r="C29" s="1" t="str">
        <f>_xlfn.XLOOKUP(Bash1[[#This Row],[Hebras]],TbTecnologia[Hebras],TbTecnologia[Tecnología])</f>
        <v>CUDA</v>
      </c>
      <c r="D29" s="1" t="str" cm="1">
        <f t="array" ref="D29">_xlfn.XLOOKUP(Bash1[[#This Row],[Tecnología]]&amp;Bash1[[#This Row],[Metodo]],TbTipos[Tecnología]&amp;TbTipos[Metodo],TbTipos[Tipo])</f>
        <v>CUDA sin graph</v>
      </c>
      <c r="E29" s="1" t="str" cm="1">
        <f t="array" ref="E29">_xlfn.XLOOKUP(Bash1[[#This Row],[Tecnología]]&amp;Bash1[[#This Row],[Problema]],TbNombres[Tecnología]&amp;TbNombres[Problema],TbNombres[Nombre])</f>
        <v>Simple Advdiff</v>
      </c>
      <c r="F29" s="1">
        <v>3</v>
      </c>
      <c r="G29" s="1">
        <v>1</v>
      </c>
      <c r="H29" s="1">
        <v>256</v>
      </c>
      <c r="I29" s="1">
        <v>500</v>
      </c>
      <c r="J29" s="1">
        <v>500</v>
      </c>
      <c r="K29" s="1">
        <v>4.1970599999999996</v>
      </c>
      <c r="M29" s="2" t="str">
        <f>_xlfn.XLOOKUP(Bash2[[#This Row],[Metodo]],TbSolver[Metodo],TbSolver[Solver])</f>
        <v>Adams Bashford</v>
      </c>
      <c r="N29" s="2" t="str">
        <f>_xlfn.XLOOKUP(Bash2[[#This Row],[Hebras]],TbTecnologia[Hebras],TbTecnologia[Tecnología])</f>
        <v>CUDA</v>
      </c>
      <c r="O29" s="2" t="str" cm="1">
        <f t="array" ref="O29">_xlfn.XLOOKUP(Bash2[[#This Row],[Tecnología]]&amp;Bash2[[#This Row],[Metodo]],TbTipos[Tecnología]&amp;TbTipos[Metodo],TbTipos[Tipo])</f>
        <v>CUDA sin graph</v>
      </c>
      <c r="P29" s="2" t="str" cm="1">
        <f t="array" ref="P29">_xlfn.XLOOKUP(Bash2[[#This Row],[Tecnología]]&amp;Bash2[[#This Row],[Problema]],TbNombres[Tecnología]&amp;TbNombres[Problema],TbNombres[Nombre])</f>
        <v>Advdiff1d shuffle</v>
      </c>
      <c r="Q29" s="2">
        <v>3</v>
      </c>
      <c r="R29" s="2">
        <v>4</v>
      </c>
      <c r="S29" s="2">
        <v>256</v>
      </c>
      <c r="T29" s="2">
        <v>500</v>
      </c>
      <c r="U29" s="2">
        <v>500</v>
      </c>
      <c r="V29" s="2">
        <v>8.2047600000000003</v>
      </c>
      <c r="X29" s="2" t="str">
        <f>_xlfn.XLOOKUP(Bash3[[#This Row],[Metodo]],TbSolver[Metodo],TbSolver[Solver])</f>
        <v>Adams Bashford</v>
      </c>
      <c r="Y29" s="2" t="str">
        <f>_xlfn.XLOOKUP(Bash3[[#This Row],[Hebras]],TbTecnologia[Hebras],TbTecnologia[Tecnología])</f>
        <v>OMP</v>
      </c>
      <c r="Z29" s="2" t="str" cm="1">
        <f t="array" ref="Z29">_xlfn.XLOOKUP(Bash3[[#This Row],[Tecnología]]&amp;Bash3[[#This Row],[Metodo]],TbTipos[Tecnología]&amp;TbTipos[Metodo],TbTipos[Tipo])</f>
        <v>OMP Operaciones</v>
      </c>
      <c r="AA29" s="2" t="str" cm="1">
        <f t="array" ref="AA29">_xlfn.XLOOKUP(Bash3[[#This Row],[Tecnología]]&amp;Bash3[[#This Row],[Problema]],TbNombres[Tecnología]&amp;TbNombres[Problema],TbNombres[Nombre])</f>
        <v>Brusselator1d</v>
      </c>
      <c r="AB29" s="2">
        <v>3</v>
      </c>
      <c r="AC29" s="2">
        <v>3</v>
      </c>
      <c r="AD29" s="2">
        <v>4</v>
      </c>
      <c r="AE29" s="2">
        <v>200</v>
      </c>
      <c r="AF29" s="2">
        <v>400</v>
      </c>
      <c r="AG29" s="2">
        <v>13.9947</v>
      </c>
      <c r="AI29" s="2" t="str">
        <f>_xlfn.XLOOKUP(Bash4[[#This Row],[Metodo]],TbSolver[Metodo],TbSolver[Solver])</f>
        <v>Adams Bashford</v>
      </c>
      <c r="AJ29" s="2" t="str">
        <f>_xlfn.XLOOKUP(Bash4[[#This Row],[Hebras]],TbTecnologia[Hebras],TbTecnologia[Tecnología])</f>
        <v>OMP</v>
      </c>
      <c r="AK29" s="2" t="str" cm="1">
        <f t="array" ref="AK29">_xlfn.XLOOKUP(Bash4[[#This Row],[Tecnología]]&amp;Bash4[[#This Row],[Metodo]],TbTipos[Tecnología]&amp;TbTipos[Metodo],TbTipos[Tipo])</f>
        <v>OMP Elementos</v>
      </c>
      <c r="AL29" s="4" t="str" cm="1">
        <f t="array" ref="AL29">_xlfn.XLOOKUP(Bash4[[#This Row],[Tecnología]]&amp;Bash4[[#This Row],[Problema]],TbNombres[Tecnología]&amp;TbNombres[Problema],TbNombres[Nombre])</f>
        <v>Brusselator2d</v>
      </c>
      <c r="AM29" s="4">
        <v>4</v>
      </c>
      <c r="AN29" s="4">
        <v>4</v>
      </c>
      <c r="AO29" s="4">
        <v>4</v>
      </c>
      <c r="AP29" s="4">
        <v>75</v>
      </c>
      <c r="AQ29" s="4">
        <v>11250</v>
      </c>
      <c r="AR29" s="4">
        <v>43.497199999999999</v>
      </c>
    </row>
    <row r="30" spans="2:44" x14ac:dyDescent="0.2">
      <c r="B30" s="1" t="str">
        <f>_xlfn.XLOOKUP(Bash1[[#This Row],[Metodo]],TbSolver[Metodo],TbSolver[Solver])</f>
        <v>Adams Bashford</v>
      </c>
      <c r="C30" s="1" t="str">
        <f>_xlfn.XLOOKUP(Bash1[[#This Row],[Hebras]],TbTecnologia[Hebras],TbTecnologia[Tecnología])</f>
        <v>CUDA</v>
      </c>
      <c r="D30" s="1" t="str" cm="1">
        <f t="array" ref="D30">_xlfn.XLOOKUP(Bash1[[#This Row],[Tecnología]]&amp;Bash1[[#This Row],[Metodo]],TbTipos[Tecnología]&amp;TbTipos[Metodo],TbTipos[Tipo])</f>
        <v>CUDA sin graph</v>
      </c>
      <c r="E30" s="1" t="str" cm="1">
        <f t="array" ref="E30">_xlfn.XLOOKUP(Bash1[[#This Row],[Tecnología]]&amp;Bash1[[#This Row],[Problema]],TbNombres[Tecnología]&amp;TbNombres[Problema],TbNombres[Nombre])</f>
        <v>Simple Advdiff shuffle</v>
      </c>
      <c r="F30" s="1">
        <v>3</v>
      </c>
      <c r="G30" s="1">
        <v>2</v>
      </c>
      <c r="H30" s="1">
        <v>256</v>
      </c>
      <c r="I30" s="1">
        <v>500</v>
      </c>
      <c r="J30" s="1">
        <v>500</v>
      </c>
      <c r="K30" s="1">
        <v>4.22342</v>
      </c>
      <c r="M30" s="2" t="str">
        <f>_xlfn.XLOOKUP(Bash2[[#This Row],[Metodo]],TbSolver[Metodo],TbSolver[Solver])</f>
        <v>Adams Bashford</v>
      </c>
      <c r="N30" s="2" t="str">
        <f>_xlfn.XLOOKUP(Bash2[[#This Row],[Hebras]],TbTecnologia[Hebras],TbTecnologia[Tecnología])</f>
        <v>CUDA</v>
      </c>
      <c r="O30" s="2" t="str" cm="1">
        <f t="array" ref="O30">_xlfn.XLOOKUP(Bash2[[#This Row],[Tecnología]]&amp;Bash2[[#This Row],[Metodo]],TbTipos[Tecnología]&amp;TbTipos[Metodo],TbTipos[Tipo])</f>
        <v>CUDA con graph</v>
      </c>
      <c r="P30" s="2" t="str" cm="1">
        <f t="array" ref="P30">_xlfn.XLOOKUP(Bash2[[#This Row],[Tecnología]]&amp;Bash2[[#This Row],[Problema]],TbNombres[Tecnología]&amp;TbNombres[Problema],TbNombres[Nombre])</f>
        <v>Advdiff1d</v>
      </c>
      <c r="Q30" s="2">
        <v>4</v>
      </c>
      <c r="R30" s="2">
        <v>3</v>
      </c>
      <c r="S30" s="2">
        <v>256</v>
      </c>
      <c r="T30" s="2">
        <v>500</v>
      </c>
      <c r="U30" s="2">
        <v>500</v>
      </c>
      <c r="V30" s="2">
        <v>9.6298200000000005</v>
      </c>
      <c r="X30" s="2" t="str">
        <f>_xlfn.XLOOKUP(Bash3[[#This Row],[Metodo]],TbSolver[Metodo],TbSolver[Solver])</f>
        <v>Adams Bashford</v>
      </c>
      <c r="Y30" s="2" t="str">
        <f>_xlfn.XLOOKUP(Bash3[[#This Row],[Hebras]],TbTecnologia[Hebras],TbTecnologia[Tecnología])</f>
        <v>OMP</v>
      </c>
      <c r="Z30" s="2" t="str" cm="1">
        <f t="array" ref="Z30">_xlfn.XLOOKUP(Bash3[[#This Row],[Tecnología]]&amp;Bash3[[#This Row],[Metodo]],TbTipos[Tecnología]&amp;TbTipos[Metodo],TbTipos[Tipo])</f>
        <v>OMP Operaciones</v>
      </c>
      <c r="AA30" s="2" t="str" cm="1">
        <f t="array" ref="AA30">_xlfn.XLOOKUP(Bash3[[#This Row],[Tecnología]]&amp;Bash3[[#This Row],[Problema]],TbNombres[Tecnología]&amp;TbNombres[Problema],TbNombres[Nombre])</f>
        <v>Brusselator1d</v>
      </c>
      <c r="AB30" s="2">
        <v>3</v>
      </c>
      <c r="AC30" s="2">
        <v>3</v>
      </c>
      <c r="AD30" s="2">
        <v>16</v>
      </c>
      <c r="AE30" s="2">
        <v>200</v>
      </c>
      <c r="AF30" s="2">
        <v>400</v>
      </c>
      <c r="AG30" s="2">
        <v>28.839300000000001</v>
      </c>
      <c r="AI30" s="2" t="str">
        <f>_xlfn.XLOOKUP(Bash4[[#This Row],[Metodo]],TbSolver[Metodo],TbSolver[Solver])</f>
        <v>Adams Bashford</v>
      </c>
      <c r="AJ30" s="2" t="str">
        <f>_xlfn.XLOOKUP(Bash4[[#This Row],[Hebras]],TbTecnologia[Hebras],TbTecnologia[Tecnología])</f>
        <v>OMP</v>
      </c>
      <c r="AK30" s="2" t="str" cm="1">
        <f t="array" ref="AK30">_xlfn.XLOOKUP(Bash4[[#This Row],[Tecnología]]&amp;Bash4[[#This Row],[Metodo]],TbTipos[Tecnología]&amp;TbTipos[Metodo],TbTipos[Tipo])</f>
        <v>OMP Operaciones</v>
      </c>
      <c r="AL30" s="4" t="str" cm="1">
        <f t="array" ref="AL30">_xlfn.XLOOKUP(Bash4[[#This Row],[Tecnología]]&amp;Bash4[[#This Row],[Problema]],TbNombres[Tecnología]&amp;TbNombres[Problema],TbNombres[Nombre])</f>
        <v>Brusselator2d</v>
      </c>
      <c r="AM30" s="4">
        <v>3</v>
      </c>
      <c r="AN30" s="4">
        <v>4</v>
      </c>
      <c r="AO30" s="4">
        <v>1</v>
      </c>
      <c r="AP30" s="4">
        <v>75</v>
      </c>
      <c r="AQ30" s="4">
        <v>11250</v>
      </c>
      <c r="AR30" s="4">
        <v>66.094300000000004</v>
      </c>
    </row>
    <row r="31" spans="2:44" x14ac:dyDescent="0.2">
      <c r="B31" s="1" t="str">
        <f>_xlfn.XLOOKUP(Bash1[[#This Row],[Metodo]],TbSolver[Metodo],TbSolver[Solver])</f>
        <v>Adams Bashford</v>
      </c>
      <c r="C31" s="1" t="str">
        <f>_xlfn.XLOOKUP(Bash1[[#This Row],[Hebras]],TbTecnologia[Hebras],TbTecnologia[Tecnología])</f>
        <v>OMP</v>
      </c>
      <c r="D31" s="1" t="str" cm="1">
        <f t="array" ref="D31">_xlfn.XLOOKUP(Bash1[[#This Row],[Tecnología]]&amp;Bash1[[#This Row],[Metodo]],TbTipos[Tecnología]&amp;TbTipos[Metodo],TbTipos[Tipo])</f>
        <v>OMP Elementos</v>
      </c>
      <c r="E31" s="1" t="str" cm="1">
        <f t="array" ref="E31">_xlfn.XLOOKUP(Bash1[[#This Row],[Tecnología]]&amp;Bash1[[#This Row],[Problema]],TbNombres[Tecnología]&amp;TbNombres[Problema],TbNombres[Nombre])</f>
        <v>Simple Advdiff</v>
      </c>
      <c r="F31" s="1">
        <v>4</v>
      </c>
      <c r="G31" s="1">
        <v>1</v>
      </c>
      <c r="H31" s="1">
        <v>4</v>
      </c>
      <c r="I31" s="1">
        <v>500</v>
      </c>
      <c r="J31" s="1">
        <v>500</v>
      </c>
      <c r="K31" s="1">
        <v>5.1633300000000002</v>
      </c>
      <c r="M31" s="2" t="str">
        <f>_xlfn.XLOOKUP(Bash2[[#This Row],[Metodo]],TbSolver[Metodo],TbSolver[Solver])</f>
        <v>Adams Bashford</v>
      </c>
      <c r="N31" s="2" t="str">
        <f>_xlfn.XLOOKUP(Bash2[[#This Row],[Hebras]],TbTecnologia[Hebras],TbTecnologia[Tecnología])</f>
        <v>CUDA</v>
      </c>
      <c r="O31" s="2" t="str" cm="1">
        <f t="array" ref="O31">_xlfn.XLOOKUP(Bash2[[#This Row],[Tecnología]]&amp;Bash2[[#This Row],[Metodo]],TbTipos[Tecnología]&amp;TbTipos[Metodo],TbTipos[Tipo])</f>
        <v>CUDA con graph</v>
      </c>
      <c r="P31" s="2" t="str" cm="1">
        <f t="array" ref="P31">_xlfn.XLOOKUP(Bash2[[#This Row],[Tecnología]]&amp;Bash2[[#This Row],[Problema]],TbNombres[Tecnología]&amp;TbNombres[Problema],TbNombres[Nombre])</f>
        <v>Advdiff1d shuffle</v>
      </c>
      <c r="Q31" s="2">
        <v>4</v>
      </c>
      <c r="R31" s="2">
        <v>4</v>
      </c>
      <c r="S31" s="2">
        <v>256</v>
      </c>
      <c r="T31" s="2">
        <v>500</v>
      </c>
      <c r="U31" s="2">
        <v>500</v>
      </c>
      <c r="V31" s="2">
        <v>9.8934200000000008</v>
      </c>
      <c r="X31" s="2" t="str">
        <f>_xlfn.XLOOKUP(Bash3[[#This Row],[Metodo]],TbSolver[Metodo],TbSolver[Solver])</f>
        <v>Adams Bashford</v>
      </c>
      <c r="Y31" s="2" t="str">
        <f>_xlfn.XLOOKUP(Bash3[[#This Row],[Hebras]],TbTecnologia[Hebras],TbTecnologia[Tecnología])</f>
        <v>CUDA</v>
      </c>
      <c r="Z31" s="2" t="str" cm="1">
        <f t="array" ref="Z31">_xlfn.XLOOKUP(Bash3[[#This Row],[Tecnología]]&amp;Bash3[[#This Row],[Metodo]],TbTipos[Tecnología]&amp;TbTipos[Metodo],TbTipos[Tipo])</f>
        <v>CUDA sin graph</v>
      </c>
      <c r="AA31" s="2" t="str" cm="1">
        <f t="array" ref="AA31">_xlfn.XLOOKUP(Bash3[[#This Row],[Tecnología]]&amp;Bash3[[#This Row],[Problema]],TbNombres[Tecnología]&amp;TbNombres[Problema],TbNombres[Nombre])</f>
        <v>Brusselator1d</v>
      </c>
      <c r="AB31" s="2">
        <v>3</v>
      </c>
      <c r="AC31" s="2">
        <v>5</v>
      </c>
      <c r="AD31" s="2">
        <v>256</v>
      </c>
      <c r="AE31" s="2">
        <v>500</v>
      </c>
      <c r="AF31" s="2">
        <v>1000</v>
      </c>
      <c r="AG31" s="2">
        <v>4.4242800000000004</v>
      </c>
      <c r="AI31" s="2" t="str">
        <f>_xlfn.XLOOKUP(Bash4[[#This Row],[Metodo]],TbSolver[Metodo],TbSolver[Solver])</f>
        <v>Adams Bashford</v>
      </c>
      <c r="AJ31" s="2" t="str">
        <f>_xlfn.XLOOKUP(Bash4[[#This Row],[Hebras]],TbTecnologia[Hebras],TbTecnologia[Tecnología])</f>
        <v>OMP</v>
      </c>
      <c r="AK31" s="2" t="str" cm="1">
        <f t="array" ref="AK31">_xlfn.XLOOKUP(Bash4[[#This Row],[Tecnología]]&amp;Bash4[[#This Row],[Metodo]],TbTipos[Tecnología]&amp;TbTipos[Metodo],TbTipos[Tipo])</f>
        <v>OMP Elementos</v>
      </c>
      <c r="AL31" s="4" t="str" cm="1">
        <f t="array" ref="AL31">_xlfn.XLOOKUP(Bash4[[#This Row],[Tecnología]]&amp;Bash4[[#This Row],[Problema]],TbNombres[Tecnología]&amp;TbNombres[Problema],TbNombres[Nombre])</f>
        <v>Brusselator2d</v>
      </c>
      <c r="AM31" s="4">
        <v>4</v>
      </c>
      <c r="AN31" s="4">
        <v>4</v>
      </c>
      <c r="AO31" s="4">
        <v>16</v>
      </c>
      <c r="AP31" s="4">
        <v>75</v>
      </c>
      <c r="AQ31" s="4">
        <v>11250</v>
      </c>
      <c r="AR31" s="4">
        <v>92.804900000000004</v>
      </c>
    </row>
    <row r="32" spans="2:44" x14ac:dyDescent="0.2">
      <c r="B32" s="1" t="str">
        <f>_xlfn.XLOOKUP(Bash1[[#This Row],[Metodo]],TbSolver[Metodo],TbSolver[Solver])</f>
        <v>Adams Bashford</v>
      </c>
      <c r="C32" s="1" t="str">
        <f>_xlfn.XLOOKUP(Bash1[[#This Row],[Hebras]],TbTecnologia[Hebras],TbTecnologia[Tecnología])</f>
        <v>CUDA</v>
      </c>
      <c r="D32" s="1" t="str" cm="1">
        <f t="array" ref="D32">_xlfn.XLOOKUP(Bash1[[#This Row],[Tecnología]]&amp;Bash1[[#This Row],[Metodo]],TbTipos[Tecnología]&amp;TbTipos[Metodo],TbTipos[Tipo])</f>
        <v>CUDA con graph</v>
      </c>
      <c r="E32" s="1" t="str" cm="1">
        <f t="array" ref="E32">_xlfn.XLOOKUP(Bash1[[#This Row],[Tecnología]]&amp;Bash1[[#This Row],[Problema]],TbNombres[Tecnología]&amp;TbNombres[Problema],TbNombres[Nombre])</f>
        <v>Simple Advdiff</v>
      </c>
      <c r="F32" s="1">
        <v>4</v>
      </c>
      <c r="G32" s="1">
        <v>1</v>
      </c>
      <c r="H32" s="1">
        <v>256</v>
      </c>
      <c r="I32" s="1">
        <v>500</v>
      </c>
      <c r="J32" s="1">
        <v>500</v>
      </c>
      <c r="K32" s="1">
        <v>5.7712399999999997</v>
      </c>
      <c r="M32" s="2" t="str">
        <f>_xlfn.XLOOKUP(Bash2[[#This Row],[Metodo]],TbSolver[Metodo],TbSolver[Solver])</f>
        <v>Adams Bashford</v>
      </c>
      <c r="N32" s="2" t="str">
        <f>_xlfn.XLOOKUP(Bash2[[#This Row],[Hebras]],TbTecnologia[Hebras],TbTecnologia[Tecnología])</f>
        <v>OMP</v>
      </c>
      <c r="O32" s="2" t="str" cm="1">
        <f t="array" ref="O32">_xlfn.XLOOKUP(Bash2[[#This Row],[Tecnología]]&amp;Bash2[[#This Row],[Metodo]],TbTipos[Tecnología]&amp;TbTipos[Metodo],TbTipos[Tipo])</f>
        <v>OMP Operaciones</v>
      </c>
      <c r="P32" s="2" t="str" cm="1">
        <f t="array" ref="P32">_xlfn.XLOOKUP(Bash2[[#This Row],[Tecnología]]&amp;Bash2[[#This Row],[Problema]],TbNombres[Tecnología]&amp;TbNombres[Problema],TbNombres[Nombre])</f>
        <v>Advdiff1d</v>
      </c>
      <c r="Q32" s="2">
        <v>3</v>
      </c>
      <c r="R32" s="2">
        <v>2</v>
      </c>
      <c r="S32" s="2">
        <v>1</v>
      </c>
      <c r="T32" s="2">
        <v>500</v>
      </c>
      <c r="U32" s="2">
        <v>500</v>
      </c>
      <c r="V32" s="2">
        <v>12.735300000000001</v>
      </c>
      <c r="X32" s="2" t="str">
        <f>_xlfn.XLOOKUP(Bash3[[#This Row],[Metodo]],TbSolver[Metodo],TbSolver[Solver])</f>
        <v>Adams Bashford</v>
      </c>
      <c r="Y32" s="2" t="str">
        <f>_xlfn.XLOOKUP(Bash3[[#This Row],[Hebras]],TbTecnologia[Hebras],TbTecnologia[Tecnología])</f>
        <v>CUDA</v>
      </c>
      <c r="Z32" s="2" t="str" cm="1">
        <f t="array" ref="Z32">_xlfn.XLOOKUP(Bash3[[#This Row],[Tecnología]]&amp;Bash3[[#This Row],[Metodo]],TbTipos[Tecnología]&amp;TbTipos[Metodo],TbTipos[Tipo])</f>
        <v>CUDA sin graph</v>
      </c>
      <c r="AA32" s="2" t="str" cm="1">
        <f t="array" ref="AA32">_xlfn.XLOOKUP(Bash3[[#This Row],[Tecnología]]&amp;Bash3[[#This Row],[Problema]],TbNombres[Tecnología]&amp;TbNombres[Problema],TbNombres[Nombre])</f>
        <v>Brusselator1d grid</v>
      </c>
      <c r="AB32" s="2">
        <v>3</v>
      </c>
      <c r="AC32" s="2">
        <v>7</v>
      </c>
      <c r="AD32" s="2">
        <v>256</v>
      </c>
      <c r="AE32" s="2">
        <v>500</v>
      </c>
      <c r="AF32" s="2">
        <v>1000</v>
      </c>
      <c r="AG32" s="2">
        <v>4.4563800000000002</v>
      </c>
      <c r="AI32" s="2" t="str">
        <f>_xlfn.XLOOKUP(Bash4[[#This Row],[Metodo]],TbSolver[Metodo],TbSolver[Solver])</f>
        <v>Adams Bashford</v>
      </c>
      <c r="AJ32" s="2" t="str">
        <f>_xlfn.XLOOKUP(Bash4[[#This Row],[Hebras]],TbTecnologia[Hebras],TbTecnologia[Tecnología])</f>
        <v>OMP</v>
      </c>
      <c r="AK32" s="2" t="str" cm="1">
        <f t="array" ref="AK32">_xlfn.XLOOKUP(Bash4[[#This Row],[Tecnología]]&amp;Bash4[[#This Row],[Metodo]],TbTipos[Tecnología]&amp;TbTipos[Metodo],TbTipos[Tipo])</f>
        <v>OMP Elementos</v>
      </c>
      <c r="AL32" s="4" t="str" cm="1">
        <f t="array" ref="AL32">_xlfn.XLOOKUP(Bash4[[#This Row],[Tecnología]]&amp;Bash4[[#This Row],[Problema]],TbNombres[Tecnología]&amp;TbNombres[Problema],TbNombres[Nombre])</f>
        <v>Brusselator2d</v>
      </c>
      <c r="AM32" s="4">
        <v>4</v>
      </c>
      <c r="AN32" s="4">
        <v>4</v>
      </c>
      <c r="AO32" s="4">
        <v>1</v>
      </c>
      <c r="AP32" s="4">
        <v>75</v>
      </c>
      <c r="AQ32" s="4">
        <v>11250</v>
      </c>
      <c r="AR32" s="4">
        <v>146.249</v>
      </c>
    </row>
    <row r="33" spans="2:44" x14ac:dyDescent="0.2">
      <c r="B33" s="1" t="str">
        <f>_xlfn.XLOOKUP(Bash1[[#This Row],[Metodo]],TbSolver[Metodo],TbSolver[Solver])</f>
        <v>Adams Bashford</v>
      </c>
      <c r="C33" s="1" t="str">
        <f>_xlfn.XLOOKUP(Bash1[[#This Row],[Hebras]],TbTecnologia[Hebras],TbTecnologia[Tecnología])</f>
        <v>CUDA</v>
      </c>
      <c r="D33" s="1" t="str" cm="1">
        <f t="array" ref="D33">_xlfn.XLOOKUP(Bash1[[#This Row],[Tecnología]]&amp;Bash1[[#This Row],[Metodo]],TbTipos[Tecnología]&amp;TbTipos[Metodo],TbTipos[Tipo])</f>
        <v>CUDA con graph</v>
      </c>
      <c r="E33" s="1" t="str" cm="1">
        <f t="array" ref="E33">_xlfn.XLOOKUP(Bash1[[#This Row],[Tecnología]]&amp;Bash1[[#This Row],[Problema]],TbNombres[Tecnología]&amp;TbNombres[Problema],TbNombres[Nombre])</f>
        <v>Simple Advdiff shuffle</v>
      </c>
      <c r="F33" s="1">
        <v>4</v>
      </c>
      <c r="G33" s="1">
        <v>2</v>
      </c>
      <c r="H33" s="1">
        <v>256</v>
      </c>
      <c r="I33" s="1">
        <v>500</v>
      </c>
      <c r="J33" s="1">
        <v>500</v>
      </c>
      <c r="K33" s="1">
        <v>5.7799899999999997</v>
      </c>
      <c r="M33" s="2" t="str">
        <f>_xlfn.XLOOKUP(Bash2[[#This Row],[Metodo]],TbSolver[Metodo],TbSolver[Solver])</f>
        <v>Adams Bashford</v>
      </c>
      <c r="N33" s="2" t="str">
        <f>_xlfn.XLOOKUP(Bash2[[#This Row],[Hebras]],TbTecnologia[Hebras],TbTecnologia[Tecnología])</f>
        <v>OMP</v>
      </c>
      <c r="O33" s="2" t="str" cm="1">
        <f t="array" ref="O33">_xlfn.XLOOKUP(Bash2[[#This Row],[Tecnología]]&amp;Bash2[[#This Row],[Metodo]],TbTipos[Tecnología]&amp;TbTipos[Metodo],TbTipos[Tipo])</f>
        <v>OMP Elementos</v>
      </c>
      <c r="P33" s="2" t="str" cm="1">
        <f t="array" ref="P33">_xlfn.XLOOKUP(Bash2[[#This Row],[Tecnología]]&amp;Bash2[[#This Row],[Problema]],TbNombres[Tecnología]&amp;TbNombres[Problema],TbNombres[Nombre])</f>
        <v>Advdiff1d</v>
      </c>
      <c r="Q33" s="2">
        <v>4</v>
      </c>
      <c r="R33" s="2">
        <v>2</v>
      </c>
      <c r="S33" s="2">
        <v>1</v>
      </c>
      <c r="T33" s="2">
        <v>500</v>
      </c>
      <c r="U33" s="2">
        <v>500</v>
      </c>
      <c r="V33" s="2">
        <v>13.8065</v>
      </c>
      <c r="X33" s="2" t="str">
        <f>_xlfn.XLOOKUP(Bash3[[#This Row],[Metodo]],TbSolver[Metodo],TbSolver[Solver])</f>
        <v>Adams Bashford</v>
      </c>
      <c r="Y33" s="2" t="str">
        <f>_xlfn.XLOOKUP(Bash3[[#This Row],[Hebras]],TbTecnologia[Hebras],TbTecnologia[Tecnología])</f>
        <v>CUDA</v>
      </c>
      <c r="Z33" s="2" t="str" cm="1">
        <f t="array" ref="Z33">_xlfn.XLOOKUP(Bash3[[#This Row],[Tecnología]]&amp;Bash3[[#This Row],[Metodo]],TbTipos[Tecnología]&amp;TbTipos[Metodo],TbTipos[Tipo])</f>
        <v>CUDA sin graph</v>
      </c>
      <c r="AA33" s="2" t="str" cm="1">
        <f t="array" ref="AA33">_xlfn.XLOOKUP(Bash3[[#This Row],[Tecnología]]&amp;Bash3[[#This Row],[Problema]],TbNombres[Tecnología]&amp;TbNombres[Problema],TbNombres[Nombre])</f>
        <v>Brusselator1d shuffle</v>
      </c>
      <c r="AB33" s="2">
        <v>3</v>
      </c>
      <c r="AC33" s="2">
        <v>6</v>
      </c>
      <c r="AD33" s="2">
        <v>256</v>
      </c>
      <c r="AE33" s="2">
        <v>500</v>
      </c>
      <c r="AF33" s="2">
        <v>1000</v>
      </c>
      <c r="AG33" s="2">
        <v>4.4807300000000003</v>
      </c>
      <c r="AI33" s="2" t="str">
        <f>_xlfn.XLOOKUP(Bash4[[#This Row],[Metodo]],TbSolver[Metodo],TbSolver[Solver])</f>
        <v>Adams Bashford</v>
      </c>
      <c r="AJ33" s="2" t="str">
        <f>_xlfn.XLOOKUP(Bash4[[#This Row],[Hebras]],TbTecnologia[Hebras],TbTecnologia[Tecnología])</f>
        <v>CUDA</v>
      </c>
      <c r="AK33" s="2" t="str" cm="1">
        <f t="array" ref="AK33">_xlfn.XLOOKUP(Bash4[[#This Row],[Tecnología]]&amp;Bash4[[#This Row],[Metodo]],TbTipos[Tecnología]&amp;TbTipos[Metodo],TbTipos[Tipo])</f>
        <v>CUDA sin graph</v>
      </c>
      <c r="AL33" s="2" t="str" cm="1">
        <f t="array" ref="AL33">_xlfn.XLOOKUP(Bash4[[#This Row],[Tecnología]]&amp;Bash4[[#This Row],[Problema]],TbNombres[Tecnología]&amp;TbNombres[Problema],TbNombres[Nombre])</f>
        <v>Brusselator2d shuffle</v>
      </c>
      <c r="AM33" s="2">
        <v>3</v>
      </c>
      <c r="AN33" s="2">
        <v>9</v>
      </c>
      <c r="AO33" s="2">
        <v>256</v>
      </c>
      <c r="AP33" s="2">
        <v>100</v>
      </c>
      <c r="AQ33" s="2">
        <v>20000</v>
      </c>
      <c r="AR33" s="2">
        <v>7.3433200000000003</v>
      </c>
    </row>
    <row r="34" spans="2:44" x14ac:dyDescent="0.2">
      <c r="B34" s="1" t="str">
        <f>_xlfn.XLOOKUP(Bash1[[#This Row],[Metodo]],TbSolver[Metodo],TbSolver[Solver])</f>
        <v>Adams Bashford</v>
      </c>
      <c r="C34" s="1" t="str">
        <f>_xlfn.XLOOKUP(Bash1[[#This Row],[Hebras]],TbTecnologia[Hebras],TbTecnologia[Tecnología])</f>
        <v>OMP</v>
      </c>
      <c r="D34" s="1" t="str" cm="1">
        <f t="array" ref="D34">_xlfn.XLOOKUP(Bash1[[#This Row],[Tecnología]]&amp;Bash1[[#This Row],[Metodo]],TbTipos[Tecnología]&amp;TbTipos[Metodo],TbTipos[Tipo])</f>
        <v>OMP Operaciones</v>
      </c>
      <c r="E34" s="1" t="str" cm="1">
        <f t="array" ref="E34">_xlfn.XLOOKUP(Bash1[[#This Row],[Tecnología]]&amp;Bash1[[#This Row],[Problema]],TbNombres[Tecnología]&amp;TbNombres[Problema],TbNombres[Nombre])</f>
        <v>Simple Advdiff</v>
      </c>
      <c r="F34" s="1">
        <v>3</v>
      </c>
      <c r="G34" s="1">
        <v>1</v>
      </c>
      <c r="H34" s="1">
        <v>4</v>
      </c>
      <c r="I34" s="1">
        <v>500</v>
      </c>
      <c r="J34" s="1">
        <v>500</v>
      </c>
      <c r="K34" s="1">
        <v>14.3193</v>
      </c>
      <c r="M34" s="2" t="str">
        <f>_xlfn.XLOOKUP(Bash2[[#This Row],[Metodo]],TbSolver[Metodo],TbSolver[Solver])</f>
        <v>Adams Bashford</v>
      </c>
      <c r="N34" s="2" t="str">
        <f>_xlfn.XLOOKUP(Bash2[[#This Row],[Hebras]],TbTecnologia[Hebras],TbTecnologia[Tecnología])</f>
        <v>OMP</v>
      </c>
      <c r="O34" s="2" t="str" cm="1">
        <f t="array" ref="O34">_xlfn.XLOOKUP(Bash2[[#This Row],[Tecnología]]&amp;Bash2[[#This Row],[Metodo]],TbTipos[Tecnología]&amp;TbTipos[Metodo],TbTipos[Tipo])</f>
        <v>OMP Operaciones</v>
      </c>
      <c r="P34" s="2" t="str" cm="1">
        <f t="array" ref="P34">_xlfn.XLOOKUP(Bash2[[#This Row],[Tecnología]]&amp;Bash2[[#This Row],[Problema]],TbNombres[Tecnología]&amp;TbNombres[Problema],TbNombres[Nombre])</f>
        <v>Advdiff1d</v>
      </c>
      <c r="Q34" s="2">
        <v>3</v>
      </c>
      <c r="R34" s="2">
        <v>2</v>
      </c>
      <c r="S34" s="2">
        <v>4</v>
      </c>
      <c r="T34" s="2">
        <v>500</v>
      </c>
      <c r="U34" s="2">
        <v>500</v>
      </c>
      <c r="V34" s="2">
        <v>19.7759</v>
      </c>
      <c r="X34" s="2" t="str">
        <f>_xlfn.XLOOKUP(Bash3[[#This Row],[Metodo]],TbSolver[Metodo],TbSolver[Solver])</f>
        <v>Adams Bashford</v>
      </c>
      <c r="Y34" s="2" t="str">
        <f>_xlfn.XLOOKUP(Bash3[[#This Row],[Hebras]],TbTecnologia[Hebras],TbTecnologia[Tecnología])</f>
        <v>OMP</v>
      </c>
      <c r="Z34" s="2" t="str" cm="1">
        <f t="array" ref="Z34">_xlfn.XLOOKUP(Bash3[[#This Row],[Tecnología]]&amp;Bash3[[#This Row],[Metodo]],TbTipos[Tecnología]&amp;TbTipos[Metodo],TbTipos[Tipo])</f>
        <v>OMP Operaciones</v>
      </c>
      <c r="AA34" s="2" t="str" cm="1">
        <f t="array" ref="AA34">_xlfn.XLOOKUP(Bash3[[#This Row],[Tecnología]]&amp;Bash3[[#This Row],[Problema]],TbNombres[Tecnología]&amp;TbNombres[Problema],TbNombres[Nombre])</f>
        <v>Brusselator1d</v>
      </c>
      <c r="AB34" s="2">
        <v>3</v>
      </c>
      <c r="AC34" s="2">
        <v>3</v>
      </c>
      <c r="AD34" s="2">
        <v>1</v>
      </c>
      <c r="AE34" s="2">
        <v>500</v>
      </c>
      <c r="AF34" s="2">
        <v>1000</v>
      </c>
      <c r="AG34" s="2">
        <v>4.5126900000000001</v>
      </c>
      <c r="AI34" s="2" t="str">
        <f>_xlfn.XLOOKUP(Bash4[[#This Row],[Metodo]],TbSolver[Metodo],TbSolver[Solver])</f>
        <v>Adams Bashford</v>
      </c>
      <c r="AJ34" s="2" t="str">
        <f>_xlfn.XLOOKUP(Bash4[[#This Row],[Hebras]],TbTecnologia[Hebras],TbTecnologia[Tecnología])</f>
        <v>CUDA</v>
      </c>
      <c r="AK34" s="2" t="str" cm="1">
        <f t="array" ref="AK34">_xlfn.XLOOKUP(Bash4[[#This Row],[Tecnología]]&amp;Bash4[[#This Row],[Metodo]],TbTipos[Tecnología]&amp;TbTipos[Metodo],TbTipos[Tipo])</f>
        <v>CUDA sin graph</v>
      </c>
      <c r="AL34" s="2" t="str" cm="1">
        <f t="array" ref="AL34">_xlfn.XLOOKUP(Bash4[[#This Row],[Tecnología]]&amp;Bash4[[#This Row],[Problema]],TbNombres[Tecnología]&amp;TbNombres[Problema],TbNombres[Nombre])</f>
        <v>Brusselator2d</v>
      </c>
      <c r="AM34" s="2">
        <v>3</v>
      </c>
      <c r="AN34" s="2">
        <v>8</v>
      </c>
      <c r="AO34" s="2">
        <v>256</v>
      </c>
      <c r="AP34" s="2">
        <v>100</v>
      </c>
      <c r="AQ34" s="2">
        <v>20000</v>
      </c>
      <c r="AR34" s="2">
        <v>7.3652899999999999</v>
      </c>
    </row>
    <row r="35" spans="2:44" x14ac:dyDescent="0.2">
      <c r="B35" s="1" t="str">
        <f>_xlfn.XLOOKUP(Bash1[[#This Row],[Metodo]],TbSolver[Metodo],TbSolver[Solver])</f>
        <v>Adams Bashford</v>
      </c>
      <c r="C35" s="1" t="str">
        <f>_xlfn.XLOOKUP(Bash1[[#This Row],[Hebras]],TbTecnologia[Hebras],TbTecnologia[Tecnología])</f>
        <v>OMP</v>
      </c>
      <c r="D35" s="1" t="str" cm="1">
        <f t="array" ref="D35">_xlfn.XLOOKUP(Bash1[[#This Row],[Tecnología]]&amp;Bash1[[#This Row],[Metodo]],TbTipos[Tecnología]&amp;TbTipos[Metodo],TbTipos[Tipo])</f>
        <v>OMP Elementos</v>
      </c>
      <c r="E35" s="1" t="str" cm="1">
        <f t="array" ref="E35">_xlfn.XLOOKUP(Bash1[[#This Row],[Tecnología]]&amp;Bash1[[#This Row],[Problema]],TbNombres[Tecnología]&amp;TbNombres[Problema],TbNombres[Nombre])</f>
        <v>Simple Advdiff</v>
      </c>
      <c r="F35" s="1">
        <v>4</v>
      </c>
      <c r="G35" s="1">
        <v>1</v>
      </c>
      <c r="H35" s="1">
        <v>16</v>
      </c>
      <c r="I35" s="1">
        <v>500</v>
      </c>
      <c r="J35" s="1">
        <v>500</v>
      </c>
      <c r="K35" s="1">
        <v>26.898399999999999</v>
      </c>
      <c r="M35" s="2" t="str">
        <f>_xlfn.XLOOKUP(Bash2[[#This Row],[Metodo]],TbSolver[Metodo],TbSolver[Solver])</f>
        <v>Adams Bashford</v>
      </c>
      <c r="N35" s="2" t="str">
        <f>_xlfn.XLOOKUP(Bash2[[#This Row],[Hebras]],TbTecnologia[Hebras],TbTecnologia[Tecnología])</f>
        <v>OMP</v>
      </c>
      <c r="O35" s="2" t="str" cm="1">
        <f t="array" ref="O35">_xlfn.XLOOKUP(Bash2[[#This Row],[Tecnología]]&amp;Bash2[[#This Row],[Metodo]],TbTipos[Tecnología]&amp;TbTipos[Metodo],TbTipos[Tipo])</f>
        <v>OMP Elementos</v>
      </c>
      <c r="P35" s="2" t="str" cm="1">
        <f t="array" ref="P35">_xlfn.XLOOKUP(Bash2[[#This Row],[Tecnología]]&amp;Bash2[[#This Row],[Problema]],TbNombres[Tecnología]&amp;TbNombres[Problema],TbNombres[Nombre])</f>
        <v>Advdiff1d</v>
      </c>
      <c r="Q35" s="2">
        <v>4</v>
      </c>
      <c r="R35" s="2">
        <v>2</v>
      </c>
      <c r="S35" s="2">
        <v>16</v>
      </c>
      <c r="T35" s="2">
        <v>500</v>
      </c>
      <c r="U35" s="2">
        <v>500</v>
      </c>
      <c r="V35" s="2">
        <v>20.573</v>
      </c>
      <c r="X35" s="2" t="str">
        <f>_xlfn.XLOOKUP(Bash3[[#This Row],[Metodo]],TbSolver[Metodo],TbSolver[Solver])</f>
        <v>Adams Bashford</v>
      </c>
      <c r="Y35" s="2" t="str">
        <f>_xlfn.XLOOKUP(Bash3[[#This Row],[Hebras]],TbTecnologia[Hebras],TbTecnologia[Tecnología])</f>
        <v>OMP</v>
      </c>
      <c r="Z35" s="2" t="str" cm="1">
        <f t="array" ref="Z35">_xlfn.XLOOKUP(Bash3[[#This Row],[Tecnología]]&amp;Bash3[[#This Row],[Metodo]],TbTipos[Tecnología]&amp;TbTipos[Metodo],TbTipos[Tipo])</f>
        <v>OMP Elementos</v>
      </c>
      <c r="AA35" s="2" t="str" cm="1">
        <f t="array" ref="AA35">_xlfn.XLOOKUP(Bash3[[#This Row],[Tecnología]]&amp;Bash3[[#This Row],[Problema]],TbNombres[Tecnología]&amp;TbNombres[Problema],TbNombres[Nombre])</f>
        <v>Brusselator1d</v>
      </c>
      <c r="AB35" s="2">
        <v>4</v>
      </c>
      <c r="AC35" s="2">
        <v>3</v>
      </c>
      <c r="AD35" s="2">
        <v>4</v>
      </c>
      <c r="AE35" s="2">
        <v>500</v>
      </c>
      <c r="AF35" s="2">
        <v>1000</v>
      </c>
      <c r="AG35" s="2">
        <v>5.54575</v>
      </c>
      <c r="AI35" s="2" t="str">
        <f>_xlfn.XLOOKUP(Bash4[[#This Row],[Metodo]],TbSolver[Metodo],TbSolver[Solver])</f>
        <v>Adams Bashford</v>
      </c>
      <c r="AJ35" s="2" t="str">
        <f>_xlfn.XLOOKUP(Bash4[[#This Row],[Hebras]],TbTecnologia[Hebras],TbTecnologia[Tecnología])</f>
        <v>CUDA</v>
      </c>
      <c r="AK35" s="2" t="str" cm="1">
        <f t="array" ref="AK35">_xlfn.XLOOKUP(Bash4[[#This Row],[Tecnología]]&amp;Bash4[[#This Row],[Metodo]],TbTipos[Tecnología]&amp;TbTipos[Metodo],TbTipos[Tipo])</f>
        <v>CUDA con graph</v>
      </c>
      <c r="AL35" s="2" t="str" cm="1">
        <f t="array" ref="AL35">_xlfn.XLOOKUP(Bash4[[#This Row],[Tecnología]]&amp;Bash4[[#This Row],[Problema]],TbNombres[Tecnología]&amp;TbNombres[Problema],TbNombres[Nombre])</f>
        <v>Brusselator2d</v>
      </c>
      <c r="AM35" s="2">
        <v>4</v>
      </c>
      <c r="AN35" s="2">
        <v>8</v>
      </c>
      <c r="AO35" s="2">
        <v>256</v>
      </c>
      <c r="AP35" s="2">
        <v>100</v>
      </c>
      <c r="AQ35" s="2">
        <v>20000</v>
      </c>
      <c r="AR35" s="2">
        <v>9.3744099999999992</v>
      </c>
    </row>
    <row r="36" spans="2:44" x14ac:dyDescent="0.2">
      <c r="B36" s="1" t="str">
        <f>_xlfn.XLOOKUP(Bash1[[#This Row],[Metodo]],TbSolver[Metodo],TbSolver[Solver])</f>
        <v>Adams Bashford</v>
      </c>
      <c r="C36" s="1" t="str">
        <f>_xlfn.XLOOKUP(Bash1[[#This Row],[Hebras]],TbTecnologia[Hebras],TbTecnologia[Tecnología])</f>
        <v>OMP</v>
      </c>
      <c r="D36" s="1" t="str" cm="1">
        <f t="array" ref="D36">_xlfn.XLOOKUP(Bash1[[#This Row],[Tecnología]]&amp;Bash1[[#This Row],[Metodo]],TbTipos[Tecnología]&amp;TbTipos[Metodo],TbTipos[Tipo])</f>
        <v>OMP Operaciones</v>
      </c>
      <c r="E36" s="1" t="str" cm="1">
        <f t="array" ref="E36">_xlfn.XLOOKUP(Bash1[[#This Row],[Tecnología]]&amp;Bash1[[#This Row],[Problema]],TbNombres[Tecnología]&amp;TbNombres[Problema],TbNombres[Nombre])</f>
        <v>Simple Advdiff</v>
      </c>
      <c r="F36" s="1">
        <v>3</v>
      </c>
      <c r="G36" s="1">
        <v>1</v>
      </c>
      <c r="H36" s="1">
        <v>16</v>
      </c>
      <c r="I36" s="1">
        <v>500</v>
      </c>
      <c r="J36" s="1">
        <v>500</v>
      </c>
      <c r="K36" s="1">
        <v>28.5822</v>
      </c>
      <c r="M36" s="2" t="str">
        <f>_xlfn.XLOOKUP(Bash2[[#This Row],[Metodo]],TbSolver[Metodo],TbSolver[Solver])</f>
        <v>Adams Bashford</v>
      </c>
      <c r="N36" s="2" t="str">
        <f>_xlfn.XLOOKUP(Bash2[[#This Row],[Hebras]],TbTecnologia[Hebras],TbTecnologia[Tecnología])</f>
        <v>OMP</v>
      </c>
      <c r="O36" s="2" t="str" cm="1">
        <f t="array" ref="O36">_xlfn.XLOOKUP(Bash2[[#This Row],[Tecnología]]&amp;Bash2[[#This Row],[Metodo]],TbTipos[Tecnología]&amp;TbTipos[Metodo],TbTipos[Tipo])</f>
        <v>OMP Operaciones</v>
      </c>
      <c r="P36" s="2" t="str" cm="1">
        <f t="array" ref="P36">_xlfn.XLOOKUP(Bash2[[#This Row],[Tecnología]]&amp;Bash2[[#This Row],[Problema]],TbNombres[Tecnología]&amp;TbNombres[Problema],TbNombres[Nombre])</f>
        <v>Advdiff1d</v>
      </c>
      <c r="Q36" s="2">
        <v>3</v>
      </c>
      <c r="R36" s="2">
        <v>2</v>
      </c>
      <c r="S36" s="2">
        <v>16</v>
      </c>
      <c r="T36" s="2">
        <v>500</v>
      </c>
      <c r="U36" s="2">
        <v>500</v>
      </c>
      <c r="V36" s="2">
        <v>36.402299999999997</v>
      </c>
      <c r="X36" s="2" t="str">
        <f>_xlfn.XLOOKUP(Bash3[[#This Row],[Metodo]],TbSolver[Metodo],TbSolver[Solver])</f>
        <v>Adams Bashford</v>
      </c>
      <c r="Y36" s="2" t="str">
        <f>_xlfn.XLOOKUP(Bash3[[#This Row],[Hebras]],TbTecnologia[Hebras],TbTecnologia[Tecnología])</f>
        <v>CUDA</v>
      </c>
      <c r="Z36" s="2" t="str" cm="1">
        <f t="array" ref="Z36">_xlfn.XLOOKUP(Bash3[[#This Row],[Tecnología]]&amp;Bash3[[#This Row],[Metodo]],TbTipos[Tecnología]&amp;TbTipos[Metodo],TbTipos[Tipo])</f>
        <v>CUDA con graph</v>
      </c>
      <c r="AA36" s="2" t="str" cm="1">
        <f t="array" ref="AA36">_xlfn.XLOOKUP(Bash3[[#This Row],[Tecnología]]&amp;Bash3[[#This Row],[Problema]],TbNombres[Tecnología]&amp;TbNombres[Problema],TbNombres[Nombre])</f>
        <v>Brusselator1d</v>
      </c>
      <c r="AB36" s="2">
        <v>4</v>
      </c>
      <c r="AC36" s="2">
        <v>5</v>
      </c>
      <c r="AD36" s="2">
        <v>256</v>
      </c>
      <c r="AE36" s="2">
        <v>500</v>
      </c>
      <c r="AF36" s="2">
        <v>1000</v>
      </c>
      <c r="AG36" s="2">
        <v>6.0388000000000002</v>
      </c>
      <c r="AI36" s="2" t="str">
        <f>_xlfn.XLOOKUP(Bash4[[#This Row],[Metodo]],TbSolver[Metodo],TbSolver[Solver])</f>
        <v>Adams Bashford</v>
      </c>
      <c r="AJ36" s="2" t="str">
        <f>_xlfn.XLOOKUP(Bash4[[#This Row],[Hebras]],TbTecnologia[Hebras],TbTecnologia[Tecnología])</f>
        <v>CUDA</v>
      </c>
      <c r="AK36" s="2" t="str" cm="1">
        <f t="array" ref="AK36">_xlfn.XLOOKUP(Bash4[[#This Row],[Tecnología]]&amp;Bash4[[#This Row],[Metodo]],TbTipos[Tecnología]&amp;TbTipos[Metodo],TbTipos[Tipo])</f>
        <v>CUDA con graph</v>
      </c>
      <c r="AL36" s="2" t="str" cm="1">
        <f t="array" ref="AL36">_xlfn.XLOOKUP(Bash4[[#This Row],[Tecnología]]&amp;Bash4[[#This Row],[Problema]],TbNombres[Tecnología]&amp;TbNombres[Problema],TbNombres[Nombre])</f>
        <v>Brusselator2d shuffle</v>
      </c>
      <c r="AM36" s="2">
        <v>4</v>
      </c>
      <c r="AN36" s="2">
        <v>9</v>
      </c>
      <c r="AO36" s="2">
        <v>256</v>
      </c>
      <c r="AP36" s="2">
        <v>100</v>
      </c>
      <c r="AQ36" s="2">
        <v>20000</v>
      </c>
      <c r="AR36" s="2">
        <v>9.4117700000000006</v>
      </c>
    </row>
    <row r="37" spans="2:44" x14ac:dyDescent="0.2">
      <c r="B37" s="1" t="str">
        <f>_xlfn.XLOOKUP(Bash1[[#This Row],[Metodo]],TbSolver[Metodo],TbSolver[Solver])</f>
        <v>Adams Bashford</v>
      </c>
      <c r="C37" s="1" t="str">
        <f>_xlfn.XLOOKUP(Bash1[[#This Row],[Hebras]],TbTecnologia[Hebras],TbTecnologia[Tecnología])</f>
        <v>OMP</v>
      </c>
      <c r="D37" s="1" t="str" cm="1">
        <f t="array" ref="D37">_xlfn.XLOOKUP(Bash1[[#This Row],[Tecnología]]&amp;Bash1[[#This Row],[Metodo]],TbTipos[Tecnología]&amp;TbTipos[Metodo],TbTipos[Tipo])</f>
        <v>OMP Operaciones</v>
      </c>
      <c r="E37" s="1" t="str" cm="1">
        <f t="array" ref="E37">_xlfn.XLOOKUP(Bash1[[#This Row],[Tecnología]]&amp;Bash1[[#This Row],[Problema]],TbNombres[Tecnología]&amp;TbNombres[Problema],TbNombres[Nombre])</f>
        <v>Simple Advdiff</v>
      </c>
      <c r="F37" s="1">
        <v>3</v>
      </c>
      <c r="G37" s="1">
        <v>1</v>
      </c>
      <c r="H37" s="1">
        <v>1</v>
      </c>
      <c r="I37" s="1">
        <v>1000</v>
      </c>
      <c r="J37" s="1">
        <v>1000</v>
      </c>
      <c r="K37" s="1">
        <v>3.1231499999999999</v>
      </c>
      <c r="M37" s="2" t="str">
        <f>_xlfn.XLOOKUP(Bash2[[#This Row],[Metodo]],TbSolver[Metodo],TbSolver[Solver])</f>
        <v>Adams Bashford</v>
      </c>
      <c r="N37" s="2" t="str">
        <f>_xlfn.XLOOKUP(Bash2[[#This Row],[Hebras]],TbTecnologia[Hebras],TbTecnologia[Tecnología])</f>
        <v>CUDA</v>
      </c>
      <c r="O37" s="2" t="str" cm="1">
        <f t="array" ref="O37">_xlfn.XLOOKUP(Bash2[[#This Row],[Tecnología]]&amp;Bash2[[#This Row],[Metodo]],TbTipos[Tecnología]&amp;TbTipos[Metodo],TbTipos[Tipo])</f>
        <v>CUDA sin graph</v>
      </c>
      <c r="P37" s="2" t="str" cm="1">
        <f t="array" ref="P37">_xlfn.XLOOKUP(Bash2[[#This Row],[Tecnología]]&amp;Bash2[[#This Row],[Problema]],TbNombres[Tecnología]&amp;TbNombres[Problema],TbNombres[Nombre])</f>
        <v>Advdiff1d</v>
      </c>
      <c r="Q37" s="2">
        <v>3</v>
      </c>
      <c r="R37" s="2">
        <v>3</v>
      </c>
      <c r="S37" s="2">
        <v>256</v>
      </c>
      <c r="T37" s="2">
        <v>1000</v>
      </c>
      <c r="U37" s="2">
        <v>1000</v>
      </c>
      <c r="V37" s="2">
        <v>7.9650100000000004</v>
      </c>
      <c r="X37" s="2" t="str">
        <f>_xlfn.XLOOKUP(Bash3[[#This Row],[Metodo]],TbSolver[Metodo],TbSolver[Solver])</f>
        <v>Adams Bashford</v>
      </c>
      <c r="Y37" s="2" t="str">
        <f>_xlfn.XLOOKUP(Bash3[[#This Row],[Hebras]],TbTecnologia[Hebras],TbTecnologia[Tecnología])</f>
        <v>CUDA</v>
      </c>
      <c r="Z37" s="2" t="str" cm="1">
        <f t="array" ref="Z37">_xlfn.XLOOKUP(Bash3[[#This Row],[Tecnología]]&amp;Bash3[[#This Row],[Metodo]],TbTipos[Tecnología]&amp;TbTipos[Metodo],TbTipos[Tipo])</f>
        <v>CUDA con graph</v>
      </c>
      <c r="AA37" s="2" t="str" cm="1">
        <f t="array" ref="AA37">_xlfn.XLOOKUP(Bash3[[#This Row],[Tecnología]]&amp;Bash3[[#This Row],[Problema]],TbNombres[Tecnología]&amp;TbNombres[Problema],TbNombres[Nombre])</f>
        <v>Brusselator1d grid</v>
      </c>
      <c r="AB37" s="2">
        <v>4</v>
      </c>
      <c r="AC37" s="2">
        <v>7</v>
      </c>
      <c r="AD37" s="2">
        <v>256</v>
      </c>
      <c r="AE37" s="2">
        <v>500</v>
      </c>
      <c r="AF37" s="2">
        <v>1000</v>
      </c>
      <c r="AG37" s="2">
        <v>6.0445500000000001</v>
      </c>
      <c r="AI37" s="4" t="str">
        <f>_xlfn.XLOOKUP(Bash4[[#This Row],[Metodo]],TbSolver[Metodo],TbSolver[Solver])</f>
        <v>Adams Bashford</v>
      </c>
      <c r="AJ37" s="4" t="str">
        <f>_xlfn.XLOOKUP(Bash4[[#This Row],[Hebras]],TbTecnologia[Hebras],TbTecnologia[Tecnología])</f>
        <v>OMP</v>
      </c>
      <c r="AK37" s="4" t="str" cm="1">
        <f t="array" ref="AK37">_xlfn.XLOOKUP(Bash4[[#This Row],[Tecnología]]&amp;Bash4[[#This Row],[Metodo]],TbTipos[Tecnología]&amp;TbTipos[Metodo],TbTipos[Tipo])</f>
        <v>OMP Operaciones</v>
      </c>
      <c r="AL37" s="4" t="str" cm="1">
        <f t="array" ref="AL37">_xlfn.XLOOKUP(Bash4[[#This Row],[Tecnología]]&amp;Bash4[[#This Row],[Problema]],TbNombres[Tecnología]&amp;TbNombres[Problema],TbNombres[Nombre])</f>
        <v>Brusselator2d</v>
      </c>
      <c r="AM37" s="4">
        <v>3</v>
      </c>
      <c r="AN37" s="4">
        <v>4</v>
      </c>
      <c r="AO37" s="4">
        <v>16</v>
      </c>
      <c r="AP37" s="4">
        <v>100</v>
      </c>
      <c r="AQ37" s="4">
        <v>20000</v>
      </c>
      <c r="AR37" s="4">
        <v>42.384900000000002</v>
      </c>
    </row>
    <row r="38" spans="2:44" x14ac:dyDescent="0.2">
      <c r="B38" s="1" t="str">
        <f>_xlfn.XLOOKUP(Bash1[[#This Row],[Metodo]],TbSolver[Metodo],TbSolver[Solver])</f>
        <v>Adams Bashford</v>
      </c>
      <c r="C38" s="1" t="str">
        <f>_xlfn.XLOOKUP(Bash1[[#This Row],[Hebras]],TbTecnologia[Hebras],TbTecnologia[Tecnología])</f>
        <v>CUDA</v>
      </c>
      <c r="D38" s="1" t="str" cm="1">
        <f t="array" ref="D38">_xlfn.XLOOKUP(Bash1[[#This Row],[Tecnología]]&amp;Bash1[[#This Row],[Metodo]],TbTipos[Tecnología]&amp;TbTipos[Metodo],TbTipos[Tipo])</f>
        <v>CUDA sin graph</v>
      </c>
      <c r="E38" s="1" t="str" cm="1">
        <f t="array" ref="E38">_xlfn.XLOOKUP(Bash1[[#This Row],[Tecnología]]&amp;Bash1[[#This Row],[Problema]],TbNombres[Tecnología]&amp;TbNombres[Problema],TbNombres[Nombre])</f>
        <v>Simple Advdiff</v>
      </c>
      <c r="F38" s="1">
        <v>3</v>
      </c>
      <c r="G38" s="1">
        <v>1</v>
      </c>
      <c r="H38" s="1">
        <v>256</v>
      </c>
      <c r="I38" s="1">
        <v>1000</v>
      </c>
      <c r="J38" s="1">
        <v>1000</v>
      </c>
      <c r="K38" s="1">
        <v>4.1874200000000004</v>
      </c>
      <c r="M38" s="2" t="str">
        <f>_xlfn.XLOOKUP(Bash2[[#This Row],[Metodo]],TbSolver[Metodo],TbSolver[Solver])</f>
        <v>Adams Bashford</v>
      </c>
      <c r="N38" s="2" t="str">
        <f>_xlfn.XLOOKUP(Bash2[[#This Row],[Hebras]],TbTecnologia[Hebras],TbTecnologia[Tecnología])</f>
        <v>CUDA</v>
      </c>
      <c r="O38" s="2" t="str" cm="1">
        <f t="array" ref="O38">_xlfn.XLOOKUP(Bash2[[#This Row],[Tecnología]]&amp;Bash2[[#This Row],[Metodo]],TbTipos[Tecnología]&amp;TbTipos[Metodo],TbTipos[Tipo])</f>
        <v>CUDA sin graph</v>
      </c>
      <c r="P38" s="2" t="str" cm="1">
        <f t="array" ref="P38">_xlfn.XLOOKUP(Bash2[[#This Row],[Tecnología]]&amp;Bash2[[#This Row],[Problema]],TbNombres[Tecnología]&amp;TbNombres[Problema],TbNombres[Nombre])</f>
        <v>Advdiff1d shuffle</v>
      </c>
      <c r="Q38" s="2">
        <v>3</v>
      </c>
      <c r="R38" s="2">
        <v>4</v>
      </c>
      <c r="S38" s="2">
        <v>256</v>
      </c>
      <c r="T38" s="2">
        <v>1000</v>
      </c>
      <c r="U38" s="2">
        <v>1000</v>
      </c>
      <c r="V38" s="2">
        <v>8.2463099999999994</v>
      </c>
      <c r="X38" s="2" t="str">
        <f>_xlfn.XLOOKUP(Bash3[[#This Row],[Metodo]],TbSolver[Metodo],TbSolver[Solver])</f>
        <v>Adams Bashford</v>
      </c>
      <c r="Y38" s="2" t="str">
        <f>_xlfn.XLOOKUP(Bash3[[#This Row],[Hebras]],TbTecnologia[Hebras],TbTecnologia[Tecnología])</f>
        <v>CUDA</v>
      </c>
      <c r="Z38" s="2" t="str" cm="1">
        <f t="array" ref="Z38">_xlfn.XLOOKUP(Bash3[[#This Row],[Tecnología]]&amp;Bash3[[#This Row],[Metodo]],TbTipos[Tecnología]&amp;TbTipos[Metodo],TbTipos[Tipo])</f>
        <v>CUDA con graph</v>
      </c>
      <c r="AA38" s="2" t="str" cm="1">
        <f t="array" ref="AA38">_xlfn.XLOOKUP(Bash3[[#This Row],[Tecnología]]&amp;Bash3[[#This Row],[Problema]],TbNombres[Tecnología]&amp;TbNombres[Problema],TbNombres[Nombre])</f>
        <v>Brusselator1d shuffle</v>
      </c>
      <c r="AB38" s="2">
        <v>4</v>
      </c>
      <c r="AC38" s="2">
        <v>6</v>
      </c>
      <c r="AD38" s="2">
        <v>256</v>
      </c>
      <c r="AE38" s="2">
        <v>500</v>
      </c>
      <c r="AF38" s="2">
        <v>1000</v>
      </c>
      <c r="AG38" s="2">
        <v>6.0677099999999999</v>
      </c>
      <c r="AI38" s="4" t="str">
        <f>_xlfn.XLOOKUP(Bash4[[#This Row],[Metodo]],TbSolver[Metodo],TbSolver[Solver])</f>
        <v>Adams Bashford</v>
      </c>
      <c r="AJ38" s="4" t="str">
        <f>_xlfn.XLOOKUP(Bash4[[#This Row],[Hebras]],TbTecnologia[Hebras],TbTecnologia[Tecnología])</f>
        <v>OMP</v>
      </c>
      <c r="AK38" s="4" t="str" cm="1">
        <f t="array" ref="AK38">_xlfn.XLOOKUP(Bash4[[#This Row],[Tecnología]]&amp;Bash4[[#This Row],[Metodo]],TbTipos[Tecnología]&amp;TbTipos[Metodo],TbTipos[Tipo])</f>
        <v>OMP Operaciones</v>
      </c>
      <c r="AL38" s="4" t="str" cm="1">
        <f t="array" ref="AL38">_xlfn.XLOOKUP(Bash4[[#This Row],[Tecnología]]&amp;Bash4[[#This Row],[Problema]],TbNombres[Tecnología]&amp;TbNombres[Problema],TbNombres[Nombre])</f>
        <v>Brusselator2d</v>
      </c>
      <c r="AM38" s="4">
        <v>3</v>
      </c>
      <c r="AN38" s="4">
        <v>4</v>
      </c>
      <c r="AO38" s="4">
        <v>4</v>
      </c>
      <c r="AP38" s="4">
        <v>100</v>
      </c>
      <c r="AQ38" s="4">
        <v>20000</v>
      </c>
      <c r="AR38" s="4">
        <v>43.1858</v>
      </c>
    </row>
    <row r="39" spans="2:44" x14ac:dyDescent="0.2">
      <c r="B39" s="1" t="str">
        <f>_xlfn.XLOOKUP(Bash1[[#This Row],[Metodo]],TbSolver[Metodo],TbSolver[Solver])</f>
        <v>Adams Bashford</v>
      </c>
      <c r="C39" s="1" t="str">
        <f>_xlfn.XLOOKUP(Bash1[[#This Row],[Hebras]],TbTecnologia[Hebras],TbTecnologia[Tecnología])</f>
        <v>CUDA</v>
      </c>
      <c r="D39" s="1" t="str" cm="1">
        <f t="array" ref="D39">_xlfn.XLOOKUP(Bash1[[#This Row],[Tecnología]]&amp;Bash1[[#This Row],[Metodo]],TbTipos[Tecnología]&amp;TbTipos[Metodo],TbTipos[Tipo])</f>
        <v>CUDA sin graph</v>
      </c>
      <c r="E39" s="1" t="str" cm="1">
        <f t="array" ref="E39">_xlfn.XLOOKUP(Bash1[[#This Row],[Tecnología]]&amp;Bash1[[#This Row],[Problema]],TbNombres[Tecnología]&amp;TbNombres[Problema],TbNombres[Nombre])</f>
        <v>Simple Advdiff shuffle</v>
      </c>
      <c r="F39" s="1">
        <v>3</v>
      </c>
      <c r="G39" s="1">
        <v>2</v>
      </c>
      <c r="H39" s="1">
        <v>256</v>
      </c>
      <c r="I39" s="1">
        <v>1000</v>
      </c>
      <c r="J39" s="1">
        <v>1000</v>
      </c>
      <c r="K39" s="1">
        <v>4.2945399999999996</v>
      </c>
      <c r="M39" s="2" t="str">
        <f>_xlfn.XLOOKUP(Bash2[[#This Row],[Metodo]],TbSolver[Metodo],TbSolver[Solver])</f>
        <v>Adams Bashford</v>
      </c>
      <c r="N39" s="2" t="str">
        <f>_xlfn.XLOOKUP(Bash2[[#This Row],[Hebras]],TbTecnologia[Hebras],TbTecnologia[Tecnología])</f>
        <v>CUDA</v>
      </c>
      <c r="O39" s="2" t="str" cm="1">
        <f t="array" ref="O39">_xlfn.XLOOKUP(Bash2[[#This Row],[Tecnología]]&amp;Bash2[[#This Row],[Metodo]],TbTipos[Tecnología]&amp;TbTipos[Metodo],TbTipos[Tipo])</f>
        <v>CUDA con graph</v>
      </c>
      <c r="P39" s="2" t="str" cm="1">
        <f t="array" ref="P39">_xlfn.XLOOKUP(Bash2[[#This Row],[Tecnología]]&amp;Bash2[[#This Row],[Problema]],TbNombres[Tecnología]&amp;TbNombres[Problema],TbNombres[Nombre])</f>
        <v>Advdiff1d</v>
      </c>
      <c r="Q39" s="2">
        <v>4</v>
      </c>
      <c r="R39" s="2">
        <v>3</v>
      </c>
      <c r="S39" s="2">
        <v>256</v>
      </c>
      <c r="T39" s="2">
        <v>1000</v>
      </c>
      <c r="U39" s="2">
        <v>1000</v>
      </c>
      <c r="V39" s="2">
        <v>9.6440099999999997</v>
      </c>
      <c r="X39" s="2" t="str">
        <f>_xlfn.XLOOKUP(Bash3[[#This Row],[Metodo]],TbSolver[Metodo],TbSolver[Solver])</f>
        <v>Adams Bashford</v>
      </c>
      <c r="Y39" s="2" t="str">
        <f>_xlfn.XLOOKUP(Bash3[[#This Row],[Hebras]],TbTecnologia[Hebras],TbTecnologia[Tecnología])</f>
        <v>OMP</v>
      </c>
      <c r="Z39" s="2" t="str" cm="1">
        <f t="array" ref="Z39">_xlfn.XLOOKUP(Bash3[[#This Row],[Tecnología]]&amp;Bash3[[#This Row],[Metodo]],TbTipos[Tecnología]&amp;TbTipos[Metodo],TbTipos[Tipo])</f>
        <v>OMP Elementos</v>
      </c>
      <c r="AA39" s="2" t="str" cm="1">
        <f t="array" ref="AA39">_xlfn.XLOOKUP(Bash3[[#This Row],[Tecnología]]&amp;Bash3[[#This Row],[Problema]],TbNombres[Tecnología]&amp;TbNombres[Problema],TbNombres[Nombre])</f>
        <v>Brusselator1d</v>
      </c>
      <c r="AB39" s="2">
        <v>4</v>
      </c>
      <c r="AC39" s="2">
        <v>3</v>
      </c>
      <c r="AD39" s="2">
        <v>1</v>
      </c>
      <c r="AE39" s="2">
        <v>500</v>
      </c>
      <c r="AF39" s="2">
        <v>1000</v>
      </c>
      <c r="AG39" s="2">
        <v>6.5622100000000003</v>
      </c>
      <c r="AI39" s="4" t="str">
        <f>_xlfn.XLOOKUP(Bash4[[#This Row],[Metodo]],TbSolver[Metodo],TbSolver[Solver])</f>
        <v>Adams Bashford</v>
      </c>
      <c r="AJ39" s="4" t="str">
        <f>_xlfn.XLOOKUP(Bash4[[#This Row],[Hebras]],TbTecnologia[Hebras],TbTecnologia[Tecnología])</f>
        <v>OMP</v>
      </c>
      <c r="AK39" s="4" t="str" cm="1">
        <f t="array" ref="AK39">_xlfn.XLOOKUP(Bash4[[#This Row],[Tecnología]]&amp;Bash4[[#This Row],[Metodo]],TbTipos[Tecnología]&amp;TbTipos[Metodo],TbTipos[Tipo])</f>
        <v>OMP Elementos</v>
      </c>
      <c r="AL39" s="4" t="str" cm="1">
        <f t="array" ref="AL39">_xlfn.XLOOKUP(Bash4[[#This Row],[Tecnología]]&amp;Bash4[[#This Row],[Problema]],TbNombres[Tecnología]&amp;TbNombres[Problema],TbNombres[Nombre])</f>
        <v>Brusselator2d</v>
      </c>
      <c r="AM39" s="4">
        <v>4</v>
      </c>
      <c r="AN39" s="4">
        <v>4</v>
      </c>
      <c r="AO39" s="4">
        <v>4</v>
      </c>
      <c r="AP39" s="4">
        <v>100</v>
      </c>
      <c r="AQ39" s="4">
        <v>20000</v>
      </c>
      <c r="AR39" s="4">
        <v>73.046400000000006</v>
      </c>
    </row>
    <row r="40" spans="2:44" x14ac:dyDescent="0.2">
      <c r="B40" s="1" t="str">
        <f>_xlfn.XLOOKUP(Bash1[[#This Row],[Metodo]],TbSolver[Metodo],TbSolver[Solver])</f>
        <v>Adams Bashford</v>
      </c>
      <c r="C40" s="1" t="str">
        <f>_xlfn.XLOOKUP(Bash1[[#This Row],[Hebras]],TbTecnologia[Hebras],TbTecnologia[Tecnología])</f>
        <v>OMP</v>
      </c>
      <c r="D40" s="1" t="str" cm="1">
        <f t="array" ref="D40">_xlfn.XLOOKUP(Bash1[[#This Row],[Tecnología]]&amp;Bash1[[#This Row],[Metodo]],TbTipos[Tecnología]&amp;TbTipos[Metodo],TbTipos[Tipo])</f>
        <v>OMP Elementos</v>
      </c>
      <c r="E40" s="1" t="str" cm="1">
        <f t="array" ref="E40">_xlfn.XLOOKUP(Bash1[[#This Row],[Tecnología]]&amp;Bash1[[#This Row],[Problema]],TbNombres[Tecnología]&amp;TbNombres[Problema],TbNombres[Nombre])</f>
        <v>Simple Advdiff</v>
      </c>
      <c r="F40" s="1">
        <v>4</v>
      </c>
      <c r="G40" s="1">
        <v>1</v>
      </c>
      <c r="H40" s="1">
        <v>4</v>
      </c>
      <c r="I40" s="1">
        <v>1000</v>
      </c>
      <c r="J40" s="1">
        <v>1000</v>
      </c>
      <c r="K40" s="1">
        <v>5.3016199999999998</v>
      </c>
      <c r="M40" s="2" t="str">
        <f>_xlfn.XLOOKUP(Bash2[[#This Row],[Metodo]],TbSolver[Metodo],TbSolver[Solver])</f>
        <v>Adams Bashford</v>
      </c>
      <c r="N40" s="2" t="str">
        <f>_xlfn.XLOOKUP(Bash2[[#This Row],[Hebras]],TbTecnologia[Hebras],TbTecnologia[Tecnología])</f>
        <v>CUDA</v>
      </c>
      <c r="O40" s="2" t="str" cm="1">
        <f t="array" ref="O40">_xlfn.XLOOKUP(Bash2[[#This Row],[Tecnología]]&amp;Bash2[[#This Row],[Metodo]],TbTipos[Tecnología]&amp;TbTipos[Metodo],TbTipos[Tipo])</f>
        <v>CUDA con graph</v>
      </c>
      <c r="P40" s="2" t="str" cm="1">
        <f t="array" ref="P40">_xlfn.XLOOKUP(Bash2[[#This Row],[Tecnología]]&amp;Bash2[[#This Row],[Problema]],TbNombres[Tecnología]&amp;TbNombres[Problema],TbNombres[Nombre])</f>
        <v>Advdiff1d shuffle</v>
      </c>
      <c r="Q40" s="2">
        <v>4</v>
      </c>
      <c r="R40" s="2">
        <v>4</v>
      </c>
      <c r="S40" s="2">
        <v>256</v>
      </c>
      <c r="T40" s="2">
        <v>1000</v>
      </c>
      <c r="U40" s="2">
        <v>1000</v>
      </c>
      <c r="V40" s="2">
        <v>9.8551800000000007</v>
      </c>
      <c r="X40" s="2" t="str">
        <f>_xlfn.XLOOKUP(Bash3[[#This Row],[Metodo]],TbSolver[Metodo],TbSolver[Solver])</f>
        <v>Adams Bashford</v>
      </c>
      <c r="Y40" s="2" t="str">
        <f>_xlfn.XLOOKUP(Bash3[[#This Row],[Hebras]],TbTecnologia[Hebras],TbTecnologia[Tecnología])</f>
        <v>OMP</v>
      </c>
      <c r="Z40" s="2" t="str" cm="1">
        <f t="array" ref="Z40">_xlfn.XLOOKUP(Bash3[[#This Row],[Tecnología]]&amp;Bash3[[#This Row],[Metodo]],TbTipos[Tecnología]&amp;TbTipos[Metodo],TbTipos[Tipo])</f>
        <v>OMP Elementos</v>
      </c>
      <c r="AA40" s="2" t="str" cm="1">
        <f t="array" ref="AA40">_xlfn.XLOOKUP(Bash3[[#This Row],[Tecnología]]&amp;Bash3[[#This Row],[Problema]],TbNombres[Tecnología]&amp;TbNombres[Problema],TbNombres[Nombre])</f>
        <v>Brusselator1d</v>
      </c>
      <c r="AB40" s="2">
        <v>4</v>
      </c>
      <c r="AC40" s="2">
        <v>3</v>
      </c>
      <c r="AD40" s="2">
        <v>16</v>
      </c>
      <c r="AE40" s="2">
        <v>500</v>
      </c>
      <c r="AF40" s="2">
        <v>1000</v>
      </c>
      <c r="AG40" s="2">
        <v>9.4365000000000006</v>
      </c>
      <c r="AI40" s="4" t="str">
        <f>_xlfn.XLOOKUP(Bash4[[#This Row],[Metodo]],TbSolver[Metodo],TbSolver[Solver])</f>
        <v>Adams Bashford</v>
      </c>
      <c r="AJ40" s="4" t="str">
        <f>_xlfn.XLOOKUP(Bash4[[#This Row],[Hebras]],TbTecnologia[Hebras],TbTecnologia[Tecnología])</f>
        <v>OMP</v>
      </c>
      <c r="AK40" s="4" t="str" cm="1">
        <f t="array" ref="AK40">_xlfn.XLOOKUP(Bash4[[#This Row],[Tecnología]]&amp;Bash4[[#This Row],[Metodo]],TbTipos[Tecnología]&amp;TbTipos[Metodo],TbTipos[Tipo])</f>
        <v>OMP Elementos</v>
      </c>
      <c r="AL40" s="4" t="str" cm="1">
        <f t="array" ref="AL40">_xlfn.XLOOKUP(Bash4[[#This Row],[Tecnología]]&amp;Bash4[[#This Row],[Problema]],TbNombres[Tecnología]&amp;TbNombres[Problema],TbNombres[Nombre])</f>
        <v>Brusselator2d</v>
      </c>
      <c r="AM40" s="4">
        <v>4</v>
      </c>
      <c r="AN40" s="4">
        <v>4</v>
      </c>
      <c r="AO40" s="4">
        <v>16</v>
      </c>
      <c r="AP40" s="4">
        <v>100</v>
      </c>
      <c r="AQ40" s="4">
        <v>20000</v>
      </c>
      <c r="AR40" s="4">
        <v>108.842</v>
      </c>
    </row>
    <row r="41" spans="2:44" x14ac:dyDescent="0.2">
      <c r="B41" s="1" t="str">
        <f>_xlfn.XLOOKUP(Bash1[[#This Row],[Metodo]],TbSolver[Metodo],TbSolver[Solver])</f>
        <v>Adams Bashford</v>
      </c>
      <c r="C41" s="1" t="str">
        <f>_xlfn.XLOOKUP(Bash1[[#This Row],[Hebras]],TbTecnologia[Hebras],TbTecnologia[Tecnología])</f>
        <v>OMP</v>
      </c>
      <c r="D41" s="1" t="str" cm="1">
        <f t="array" ref="D41">_xlfn.XLOOKUP(Bash1[[#This Row],[Tecnología]]&amp;Bash1[[#This Row],[Metodo]],TbTipos[Tecnología]&amp;TbTipos[Metodo],TbTipos[Tipo])</f>
        <v>OMP Elementos</v>
      </c>
      <c r="E41" s="1" t="str" cm="1">
        <f t="array" ref="E41">_xlfn.XLOOKUP(Bash1[[#This Row],[Tecnología]]&amp;Bash1[[#This Row],[Problema]],TbNombres[Tecnología]&amp;TbNombres[Problema],TbNombres[Nombre])</f>
        <v>Simple Advdiff</v>
      </c>
      <c r="F41" s="1">
        <v>4</v>
      </c>
      <c r="G41" s="1">
        <v>1</v>
      </c>
      <c r="H41" s="1">
        <v>1</v>
      </c>
      <c r="I41" s="1">
        <v>1000</v>
      </c>
      <c r="J41" s="1">
        <v>1000</v>
      </c>
      <c r="K41" s="1">
        <v>5.4117899999999999</v>
      </c>
      <c r="M41" s="2" t="str">
        <f>_xlfn.XLOOKUP(Bash2[[#This Row],[Metodo]],TbSolver[Metodo],TbSolver[Solver])</f>
        <v>Adams Bashford</v>
      </c>
      <c r="N41" s="2" t="str">
        <f>_xlfn.XLOOKUP(Bash2[[#This Row],[Hebras]],TbTecnologia[Hebras],TbTecnologia[Tecnología])</f>
        <v>OMP</v>
      </c>
      <c r="O41" s="2" t="str" cm="1">
        <f t="array" ref="O41">_xlfn.XLOOKUP(Bash2[[#This Row],[Tecnología]]&amp;Bash2[[#This Row],[Metodo]],TbTipos[Tecnología]&amp;TbTipos[Metodo],TbTipos[Tipo])</f>
        <v>OMP Elementos</v>
      </c>
      <c r="P41" s="2" t="str" cm="1">
        <f t="array" ref="P41">_xlfn.XLOOKUP(Bash2[[#This Row],[Tecnología]]&amp;Bash2[[#This Row],[Problema]],TbNombres[Tecnología]&amp;TbNombres[Problema],TbNombres[Nombre])</f>
        <v>Advdiff1d</v>
      </c>
      <c r="Q41" s="2">
        <v>4</v>
      </c>
      <c r="R41" s="2">
        <v>2</v>
      </c>
      <c r="S41" s="2">
        <v>4</v>
      </c>
      <c r="T41" s="2">
        <v>1000</v>
      </c>
      <c r="U41" s="2">
        <v>1000</v>
      </c>
      <c r="V41" s="2">
        <v>11.456200000000001</v>
      </c>
      <c r="X41" s="2" t="str">
        <f>_xlfn.XLOOKUP(Bash3[[#This Row],[Metodo]],TbSolver[Metodo],TbSolver[Solver])</f>
        <v>Adams Bashford</v>
      </c>
      <c r="Y41" s="2" t="str">
        <f>_xlfn.XLOOKUP(Bash3[[#This Row],[Hebras]],TbTecnologia[Hebras],TbTecnologia[Tecnología])</f>
        <v>OMP</v>
      </c>
      <c r="Z41" s="2" t="str" cm="1">
        <f t="array" ref="Z41">_xlfn.XLOOKUP(Bash3[[#This Row],[Tecnología]]&amp;Bash3[[#This Row],[Metodo]],TbTipos[Tecnología]&amp;TbTipos[Metodo],TbTipos[Tipo])</f>
        <v>OMP Operaciones</v>
      </c>
      <c r="AA41" s="2" t="str" cm="1">
        <f t="array" ref="AA41">_xlfn.XLOOKUP(Bash3[[#This Row],[Tecnología]]&amp;Bash3[[#This Row],[Problema]],TbNombres[Tecnología]&amp;TbNombres[Problema],TbNombres[Nombre])</f>
        <v>Brusselator1d</v>
      </c>
      <c r="AB41" s="2">
        <v>3</v>
      </c>
      <c r="AC41" s="2">
        <v>3</v>
      </c>
      <c r="AD41" s="2">
        <v>4</v>
      </c>
      <c r="AE41" s="2">
        <v>500</v>
      </c>
      <c r="AF41" s="2">
        <v>1000</v>
      </c>
      <c r="AG41" s="2">
        <v>15.901400000000001</v>
      </c>
      <c r="AI41" s="4" t="str">
        <f>_xlfn.XLOOKUP(Bash4[[#This Row],[Metodo]],TbSolver[Metodo],TbSolver[Solver])</f>
        <v>Adams Bashford</v>
      </c>
      <c r="AJ41" s="4" t="str">
        <f>_xlfn.XLOOKUP(Bash4[[#This Row],[Hebras]],TbTecnologia[Hebras],TbTecnologia[Tecnología])</f>
        <v>OMP</v>
      </c>
      <c r="AK41" s="4" t="str" cm="1">
        <f t="array" ref="AK41">_xlfn.XLOOKUP(Bash4[[#This Row],[Tecnología]]&amp;Bash4[[#This Row],[Metodo]],TbTipos[Tecnología]&amp;TbTipos[Metodo],TbTipos[Tipo])</f>
        <v>OMP Operaciones</v>
      </c>
      <c r="AL41" s="4" t="str" cm="1">
        <f t="array" ref="AL41">_xlfn.XLOOKUP(Bash4[[#This Row],[Tecnología]]&amp;Bash4[[#This Row],[Problema]],TbNombres[Tecnología]&amp;TbNombres[Problema],TbNombres[Nombre])</f>
        <v>Brusselator2d</v>
      </c>
      <c r="AM41" s="4">
        <v>3</v>
      </c>
      <c r="AN41" s="4">
        <v>4</v>
      </c>
      <c r="AO41" s="4">
        <v>1</v>
      </c>
      <c r="AP41" s="4">
        <v>100</v>
      </c>
      <c r="AQ41" s="4">
        <v>20000</v>
      </c>
      <c r="AR41" s="4">
        <v>122.321</v>
      </c>
    </row>
    <row r="42" spans="2:44" x14ac:dyDescent="0.2">
      <c r="B42" s="1" t="str">
        <f>_xlfn.XLOOKUP(Bash1[[#This Row],[Metodo]],TbSolver[Metodo],TbSolver[Solver])</f>
        <v>Adams Bashford</v>
      </c>
      <c r="C42" s="1" t="str">
        <f>_xlfn.XLOOKUP(Bash1[[#This Row],[Hebras]],TbTecnologia[Hebras],TbTecnologia[Tecnología])</f>
        <v>CUDA</v>
      </c>
      <c r="D42" s="1" t="str" cm="1">
        <f t="array" ref="D42">_xlfn.XLOOKUP(Bash1[[#This Row],[Tecnología]]&amp;Bash1[[#This Row],[Metodo]],TbTipos[Tecnología]&amp;TbTipos[Metodo],TbTipos[Tipo])</f>
        <v>CUDA con graph</v>
      </c>
      <c r="E42" s="1" t="str" cm="1">
        <f t="array" ref="E42">_xlfn.XLOOKUP(Bash1[[#This Row],[Tecnología]]&amp;Bash1[[#This Row],[Problema]],TbNombres[Tecnología]&amp;TbNombres[Problema],TbNombres[Nombre])</f>
        <v>Simple Advdiff shuffle</v>
      </c>
      <c r="F42" s="1">
        <v>4</v>
      </c>
      <c r="G42" s="1">
        <v>2</v>
      </c>
      <c r="H42" s="1">
        <v>256</v>
      </c>
      <c r="I42" s="1">
        <v>1000</v>
      </c>
      <c r="J42" s="1">
        <v>1000</v>
      </c>
      <c r="K42" s="1">
        <v>5.7783199999999999</v>
      </c>
      <c r="M42" s="2" t="str">
        <f>_xlfn.XLOOKUP(Bash2[[#This Row],[Metodo]],TbSolver[Metodo],TbSolver[Solver])</f>
        <v>Adams Bashford</v>
      </c>
      <c r="N42" s="2" t="str">
        <f>_xlfn.XLOOKUP(Bash2[[#This Row],[Hebras]],TbTecnologia[Hebras],TbTecnologia[Tecnología])</f>
        <v>OMP</v>
      </c>
      <c r="O42" s="2" t="str" cm="1">
        <f t="array" ref="O42">_xlfn.XLOOKUP(Bash2[[#This Row],[Tecnología]]&amp;Bash2[[#This Row],[Metodo]],TbTipos[Tecnología]&amp;TbTipos[Metodo],TbTipos[Tipo])</f>
        <v>OMP Operaciones</v>
      </c>
      <c r="P42" s="2" t="str" cm="1">
        <f t="array" ref="P42">_xlfn.XLOOKUP(Bash2[[#This Row],[Tecnología]]&amp;Bash2[[#This Row],[Problema]],TbNombres[Tecnología]&amp;TbNombres[Problema],TbNombres[Nombre])</f>
        <v>Advdiff1d</v>
      </c>
      <c r="Q42" s="2">
        <v>3</v>
      </c>
      <c r="R42" s="2">
        <v>2</v>
      </c>
      <c r="S42" s="2">
        <v>4</v>
      </c>
      <c r="T42" s="2">
        <v>1000</v>
      </c>
      <c r="U42" s="2">
        <v>1000</v>
      </c>
      <c r="V42" s="2">
        <v>21.291699999999999</v>
      </c>
      <c r="X42" s="2" t="str">
        <f>_xlfn.XLOOKUP(Bash3[[#This Row],[Metodo]],TbSolver[Metodo],TbSolver[Solver])</f>
        <v>Adams Bashford</v>
      </c>
      <c r="Y42" s="2" t="str">
        <f>_xlfn.XLOOKUP(Bash3[[#This Row],[Hebras]],TbTecnologia[Hebras],TbTecnologia[Tecnología])</f>
        <v>OMP</v>
      </c>
      <c r="Z42" s="2" t="str" cm="1">
        <f t="array" ref="Z42">_xlfn.XLOOKUP(Bash3[[#This Row],[Tecnología]]&amp;Bash3[[#This Row],[Metodo]],TbTipos[Tecnología]&amp;TbTipos[Metodo],TbTipos[Tipo])</f>
        <v>OMP Operaciones</v>
      </c>
      <c r="AA42" s="2" t="str" cm="1">
        <f t="array" ref="AA42">_xlfn.XLOOKUP(Bash3[[#This Row],[Tecnología]]&amp;Bash3[[#This Row],[Problema]],TbNombres[Tecnología]&amp;TbNombres[Problema],TbNombres[Nombre])</f>
        <v>Brusselator1d</v>
      </c>
      <c r="AB42" s="2">
        <v>3</v>
      </c>
      <c r="AC42" s="2">
        <v>3</v>
      </c>
      <c r="AD42" s="2">
        <v>16</v>
      </c>
      <c r="AE42" s="2">
        <v>500</v>
      </c>
      <c r="AF42" s="2">
        <v>1000</v>
      </c>
      <c r="AG42" s="2">
        <v>39.573799999999999</v>
      </c>
      <c r="AI42" s="4" t="str">
        <f>_xlfn.XLOOKUP(Bash4[[#This Row],[Metodo]],TbSolver[Metodo],TbSolver[Solver])</f>
        <v>Adams Bashford</v>
      </c>
      <c r="AJ42" s="4" t="str">
        <f>_xlfn.XLOOKUP(Bash4[[#This Row],[Hebras]],TbTecnologia[Hebras],TbTecnologia[Tecnología])</f>
        <v>OMP</v>
      </c>
      <c r="AK42" s="4" t="str" cm="1">
        <f t="array" ref="AK42">_xlfn.XLOOKUP(Bash4[[#This Row],[Tecnología]]&amp;Bash4[[#This Row],[Metodo]],TbTipos[Tecnología]&amp;TbTipos[Metodo],TbTipos[Tipo])</f>
        <v>OMP Elementos</v>
      </c>
      <c r="AL42" s="4" t="str" cm="1">
        <f t="array" ref="AL42">_xlfn.XLOOKUP(Bash4[[#This Row],[Tecnología]]&amp;Bash4[[#This Row],[Problema]],TbNombres[Tecnología]&amp;TbNombres[Problema],TbNombres[Nombre])</f>
        <v>Brusselator2d</v>
      </c>
      <c r="AM42" s="4">
        <v>4</v>
      </c>
      <c r="AN42" s="4">
        <v>4</v>
      </c>
      <c r="AO42" s="4">
        <v>1</v>
      </c>
      <c r="AP42" s="4">
        <v>100</v>
      </c>
      <c r="AQ42" s="4">
        <v>20000</v>
      </c>
      <c r="AR42" s="4">
        <v>261.65199999999999</v>
      </c>
    </row>
    <row r="43" spans="2:44" x14ac:dyDescent="0.2">
      <c r="B43" s="1" t="str">
        <f>_xlfn.XLOOKUP(Bash1[[#This Row],[Metodo]],TbSolver[Metodo],TbSolver[Solver])</f>
        <v>Adams Bashford</v>
      </c>
      <c r="C43" s="1" t="str">
        <f>_xlfn.XLOOKUP(Bash1[[#This Row],[Hebras]],TbTecnologia[Hebras],TbTecnologia[Tecnología])</f>
        <v>CUDA</v>
      </c>
      <c r="D43" s="1" t="str" cm="1">
        <f t="array" ref="D43">_xlfn.XLOOKUP(Bash1[[#This Row],[Tecnología]]&amp;Bash1[[#This Row],[Metodo]],TbTipos[Tecnología]&amp;TbTipos[Metodo],TbTipos[Tipo])</f>
        <v>CUDA con graph</v>
      </c>
      <c r="E43" s="1" t="str" cm="1">
        <f t="array" ref="E43">_xlfn.XLOOKUP(Bash1[[#This Row],[Tecnología]]&amp;Bash1[[#This Row],[Problema]],TbNombres[Tecnología]&amp;TbNombres[Problema],TbNombres[Nombre])</f>
        <v>Simple Advdiff</v>
      </c>
      <c r="F43" s="1">
        <v>4</v>
      </c>
      <c r="G43" s="1">
        <v>1</v>
      </c>
      <c r="H43" s="1">
        <v>256</v>
      </c>
      <c r="I43" s="1">
        <v>1000</v>
      </c>
      <c r="J43" s="1">
        <v>1000</v>
      </c>
      <c r="K43" s="1">
        <v>5.78383</v>
      </c>
      <c r="M43" s="2" t="str">
        <f>_xlfn.XLOOKUP(Bash2[[#This Row],[Metodo]],TbSolver[Metodo],TbSolver[Solver])</f>
        <v>Adams Bashford</v>
      </c>
      <c r="N43" s="2" t="str">
        <f>_xlfn.XLOOKUP(Bash2[[#This Row],[Hebras]],TbTecnologia[Hebras],TbTecnologia[Tecnología])</f>
        <v>OMP</v>
      </c>
      <c r="O43" s="2" t="str" cm="1">
        <f t="array" ref="O43">_xlfn.XLOOKUP(Bash2[[#This Row],[Tecnología]]&amp;Bash2[[#This Row],[Metodo]],TbTipos[Tecnología]&amp;TbTipos[Metodo],TbTipos[Tipo])</f>
        <v>OMP Operaciones</v>
      </c>
      <c r="P43" s="2" t="str" cm="1">
        <f t="array" ref="P43">_xlfn.XLOOKUP(Bash2[[#This Row],[Tecnología]]&amp;Bash2[[#This Row],[Problema]],TbNombres[Tecnología]&amp;TbNombres[Problema],TbNombres[Nombre])</f>
        <v>Advdiff1d</v>
      </c>
      <c r="Q43" s="2">
        <v>3</v>
      </c>
      <c r="R43" s="2">
        <v>2</v>
      </c>
      <c r="S43" s="2">
        <v>1</v>
      </c>
      <c r="T43" s="2">
        <v>1000</v>
      </c>
      <c r="U43" s="2">
        <v>1000</v>
      </c>
      <c r="V43" s="2">
        <v>24.2303</v>
      </c>
      <c r="X43" s="2" t="str">
        <f>_xlfn.XLOOKUP(Bash3[[#This Row],[Metodo]],TbSolver[Metodo],TbSolver[Solver])</f>
        <v>Adams Bashford</v>
      </c>
      <c r="Y43" s="2" t="str">
        <f>_xlfn.XLOOKUP(Bash3[[#This Row],[Hebras]],TbTecnologia[Hebras],TbTecnologia[Tecnología])</f>
        <v>CUDA</v>
      </c>
      <c r="Z43" s="2" t="str" cm="1">
        <f t="array" ref="Z43">_xlfn.XLOOKUP(Bash3[[#This Row],[Tecnología]]&amp;Bash3[[#This Row],[Metodo]],TbTipos[Tecnología]&amp;TbTipos[Metodo],TbTipos[Tipo])</f>
        <v>CUDA sin graph</v>
      </c>
      <c r="AA43" s="2" t="str" cm="1">
        <f t="array" ref="AA43">_xlfn.XLOOKUP(Bash3[[#This Row],[Tecnología]]&amp;Bash3[[#This Row],[Problema]],TbNombres[Tecnología]&amp;TbNombres[Problema],TbNombres[Nombre])</f>
        <v>Brusselator1d</v>
      </c>
      <c r="AB43" s="2">
        <v>3</v>
      </c>
      <c r="AC43" s="2">
        <v>5</v>
      </c>
      <c r="AD43" s="2">
        <v>256</v>
      </c>
      <c r="AE43" s="2">
        <v>1000</v>
      </c>
      <c r="AF43" s="2">
        <v>2000</v>
      </c>
      <c r="AG43" s="2">
        <v>4.4725599999999996</v>
      </c>
      <c r="AI43" s="2" t="str">
        <f>_xlfn.XLOOKUP(Bash4[[#This Row],[Metodo]],TbSolver[Metodo],TbSolver[Solver])</f>
        <v>Adams Bashford</v>
      </c>
      <c r="AJ43" s="2" t="str">
        <f>_xlfn.XLOOKUP(Bash4[[#This Row],[Hebras]],TbTecnologia[Hebras],TbTecnologia[Tecnología])</f>
        <v>CUDA</v>
      </c>
      <c r="AK43" s="2" t="str" cm="1">
        <f t="array" ref="AK43">_xlfn.XLOOKUP(Bash4[[#This Row],[Tecnología]]&amp;Bash4[[#This Row],[Metodo]],TbTipos[Tecnología]&amp;TbTipos[Metodo],TbTipos[Tipo])</f>
        <v>CUDA sin graph</v>
      </c>
      <c r="AL43" s="4" t="str" cm="1">
        <f t="array" ref="AL43">_xlfn.XLOOKUP(Bash4[[#This Row],[Tecnología]]&amp;Bash4[[#This Row],[Problema]],TbNombres[Tecnología]&amp;TbNombres[Problema],TbNombres[Nombre])</f>
        <v>Brusselator2d</v>
      </c>
      <c r="AM43" s="4">
        <v>3</v>
      </c>
      <c r="AN43" s="21">
        <v>8</v>
      </c>
      <c r="AO43" s="21">
        <v>256</v>
      </c>
      <c r="AP43" s="21">
        <v>125</v>
      </c>
      <c r="AQ43" s="21">
        <v>31250</v>
      </c>
      <c r="AR43" s="21">
        <v>7.7056500000000003</v>
      </c>
    </row>
    <row r="44" spans="2:44" x14ac:dyDescent="0.2">
      <c r="B44" s="1" t="str">
        <f>_xlfn.XLOOKUP(Bash1[[#This Row],[Metodo]],TbSolver[Metodo],TbSolver[Solver])</f>
        <v>Adams Bashford</v>
      </c>
      <c r="C44" s="1" t="str">
        <f>_xlfn.XLOOKUP(Bash1[[#This Row],[Hebras]],TbTecnologia[Hebras],TbTecnologia[Tecnología])</f>
        <v>OMP</v>
      </c>
      <c r="D44" s="1" t="str" cm="1">
        <f t="array" ref="D44">_xlfn.XLOOKUP(Bash1[[#This Row],[Tecnología]]&amp;Bash1[[#This Row],[Metodo]],TbTipos[Tecnología]&amp;TbTipos[Metodo],TbTipos[Tipo])</f>
        <v>OMP Elementos</v>
      </c>
      <c r="E44" s="1" t="str" cm="1">
        <f t="array" ref="E44">_xlfn.XLOOKUP(Bash1[[#This Row],[Tecnología]]&amp;Bash1[[#This Row],[Problema]],TbNombres[Tecnología]&amp;TbNombres[Problema],TbNombres[Nombre])</f>
        <v>Simple Advdiff</v>
      </c>
      <c r="F44" s="1">
        <v>4</v>
      </c>
      <c r="G44" s="1">
        <v>1</v>
      </c>
      <c r="H44" s="1">
        <v>16</v>
      </c>
      <c r="I44" s="1">
        <v>1000</v>
      </c>
      <c r="J44" s="1">
        <v>1000</v>
      </c>
      <c r="K44" s="1">
        <v>9.2106399999999997</v>
      </c>
      <c r="M44" s="2" t="str">
        <f>_xlfn.XLOOKUP(Bash2[[#This Row],[Metodo]],TbSolver[Metodo],TbSolver[Solver])</f>
        <v>Adams Bashford</v>
      </c>
      <c r="N44" s="2" t="str">
        <f>_xlfn.XLOOKUP(Bash2[[#This Row],[Hebras]],TbTecnologia[Hebras],TbTecnologia[Tecnología])</f>
        <v>OMP</v>
      </c>
      <c r="O44" s="2" t="str" cm="1">
        <f t="array" ref="O44">_xlfn.XLOOKUP(Bash2[[#This Row],[Tecnología]]&amp;Bash2[[#This Row],[Metodo]],TbTipos[Tecnología]&amp;TbTipos[Metodo],TbTipos[Tipo])</f>
        <v>OMP Elementos</v>
      </c>
      <c r="P44" s="2" t="str" cm="1">
        <f t="array" ref="P44">_xlfn.XLOOKUP(Bash2[[#This Row],[Tecnología]]&amp;Bash2[[#This Row],[Problema]],TbNombres[Tecnología]&amp;TbNombres[Problema],TbNombres[Nombre])</f>
        <v>Advdiff1d</v>
      </c>
      <c r="Q44" s="2">
        <v>4</v>
      </c>
      <c r="R44" s="2">
        <v>2</v>
      </c>
      <c r="S44" s="2">
        <v>1</v>
      </c>
      <c r="T44" s="2">
        <v>1000</v>
      </c>
      <c r="U44" s="2">
        <v>1000</v>
      </c>
      <c r="V44" s="2">
        <v>26.942</v>
      </c>
      <c r="X44" s="2" t="str">
        <f>_xlfn.XLOOKUP(Bash3[[#This Row],[Metodo]],TbSolver[Metodo],TbSolver[Solver])</f>
        <v>Adams Bashford</v>
      </c>
      <c r="Y44" s="2" t="str">
        <f>_xlfn.XLOOKUP(Bash3[[#This Row],[Hebras]],TbTecnologia[Hebras],TbTecnologia[Tecnología])</f>
        <v>CUDA</v>
      </c>
      <c r="Z44" s="2" t="str" cm="1">
        <f t="array" ref="Z44">_xlfn.XLOOKUP(Bash3[[#This Row],[Tecnología]]&amp;Bash3[[#This Row],[Metodo]],TbTipos[Tecnología]&amp;TbTipos[Metodo],TbTipos[Tipo])</f>
        <v>CUDA sin graph</v>
      </c>
      <c r="AA44" s="2" t="str" cm="1">
        <f t="array" ref="AA44">_xlfn.XLOOKUP(Bash3[[#This Row],[Tecnología]]&amp;Bash3[[#This Row],[Problema]],TbNombres[Tecnología]&amp;TbNombres[Problema],TbNombres[Nombre])</f>
        <v>Brusselator1d shuffle</v>
      </c>
      <c r="AB44" s="2">
        <v>3</v>
      </c>
      <c r="AC44" s="2">
        <v>6</v>
      </c>
      <c r="AD44" s="2">
        <v>256</v>
      </c>
      <c r="AE44" s="2">
        <v>1000</v>
      </c>
      <c r="AF44" s="2">
        <v>2000</v>
      </c>
      <c r="AG44" s="2">
        <v>4.4973900000000002</v>
      </c>
      <c r="AI44" s="2" t="str">
        <f>_xlfn.XLOOKUP(Bash4[[#This Row],[Metodo]],TbSolver[Metodo],TbSolver[Solver])</f>
        <v>Adams Bashford</v>
      </c>
      <c r="AJ44" s="2" t="str">
        <f>_xlfn.XLOOKUP(Bash4[[#This Row],[Hebras]],TbTecnologia[Hebras],TbTecnologia[Tecnología])</f>
        <v>CUDA</v>
      </c>
      <c r="AK44" s="2" t="str" cm="1">
        <f t="array" ref="AK44">_xlfn.XLOOKUP(Bash4[[#This Row],[Tecnología]]&amp;Bash4[[#This Row],[Metodo]],TbTipos[Tecnología]&amp;TbTipos[Metodo],TbTipos[Tipo])</f>
        <v>CUDA con graph</v>
      </c>
      <c r="AL44" s="4" t="str" cm="1">
        <f t="array" ref="AL44">_xlfn.XLOOKUP(Bash4[[#This Row],[Tecnología]]&amp;Bash4[[#This Row],[Problema]],TbNombres[Tecnología]&amp;TbNombres[Problema],TbNombres[Nombre])</f>
        <v>Brusselator2d</v>
      </c>
      <c r="AM44" s="4">
        <v>4</v>
      </c>
      <c r="AN44" s="21">
        <v>8</v>
      </c>
      <c r="AO44" s="21">
        <v>256</v>
      </c>
      <c r="AP44" s="21">
        <v>125</v>
      </c>
      <c r="AQ44" s="21">
        <v>31250</v>
      </c>
      <c r="AR44" s="21">
        <v>9.8665400000000005</v>
      </c>
    </row>
    <row r="45" spans="2:44" x14ac:dyDescent="0.2">
      <c r="B45" s="1" t="str">
        <f>_xlfn.XLOOKUP(Bash1[[#This Row],[Metodo]],TbSolver[Metodo],TbSolver[Solver])</f>
        <v>Adams Bashford</v>
      </c>
      <c r="C45" s="1" t="str">
        <f>_xlfn.XLOOKUP(Bash1[[#This Row],[Hebras]],TbTecnologia[Hebras],TbTecnologia[Tecnología])</f>
        <v>OMP</v>
      </c>
      <c r="D45" s="1" t="str" cm="1">
        <f t="array" ref="D45">_xlfn.XLOOKUP(Bash1[[#This Row],[Tecnología]]&amp;Bash1[[#This Row],[Metodo]],TbTipos[Tecnología]&amp;TbTipos[Metodo],TbTipos[Tipo])</f>
        <v>OMP Operaciones</v>
      </c>
      <c r="E45" s="1" t="str" cm="1">
        <f t="array" ref="E45">_xlfn.XLOOKUP(Bash1[[#This Row],[Tecnología]]&amp;Bash1[[#This Row],[Problema]],TbNombres[Tecnología]&amp;TbNombres[Problema],TbNombres[Nombre])</f>
        <v>Simple Advdiff</v>
      </c>
      <c r="F45" s="1">
        <v>3</v>
      </c>
      <c r="G45" s="1">
        <v>1</v>
      </c>
      <c r="H45" s="1">
        <v>4</v>
      </c>
      <c r="I45" s="1">
        <v>1000</v>
      </c>
      <c r="J45" s="1">
        <v>1000</v>
      </c>
      <c r="K45" s="1">
        <v>13.0106</v>
      </c>
      <c r="M45" s="2" t="str">
        <f>_xlfn.XLOOKUP(Bash2[[#This Row],[Metodo]],TbSolver[Metodo],TbSolver[Solver])</f>
        <v>Adams Bashford</v>
      </c>
      <c r="N45" s="2" t="str">
        <f>_xlfn.XLOOKUP(Bash2[[#This Row],[Hebras]],TbTecnologia[Hebras],TbTecnologia[Tecnología])</f>
        <v>OMP</v>
      </c>
      <c r="O45" s="2" t="str" cm="1">
        <f t="array" ref="O45">_xlfn.XLOOKUP(Bash2[[#This Row],[Tecnología]]&amp;Bash2[[#This Row],[Metodo]],TbTipos[Tecnología]&amp;TbTipos[Metodo],TbTipos[Tipo])</f>
        <v>OMP Operaciones</v>
      </c>
      <c r="P45" s="2" t="str" cm="1">
        <f t="array" ref="P45">_xlfn.XLOOKUP(Bash2[[#This Row],[Tecnología]]&amp;Bash2[[#This Row],[Problema]],TbNombres[Tecnología]&amp;TbNombres[Problema],TbNombres[Nombre])</f>
        <v>Advdiff1d</v>
      </c>
      <c r="Q45" s="2">
        <v>3</v>
      </c>
      <c r="R45" s="2">
        <v>2</v>
      </c>
      <c r="S45" s="2">
        <v>16</v>
      </c>
      <c r="T45" s="2">
        <v>1000</v>
      </c>
      <c r="U45" s="2">
        <v>1000</v>
      </c>
      <c r="V45" s="2">
        <v>39.200499999999998</v>
      </c>
      <c r="X45" s="2" t="str">
        <f>_xlfn.XLOOKUP(Bash3[[#This Row],[Metodo]],TbSolver[Metodo],TbSolver[Solver])</f>
        <v>Adams Bashford</v>
      </c>
      <c r="Y45" s="2" t="str">
        <f>_xlfn.XLOOKUP(Bash3[[#This Row],[Hebras]],TbTecnologia[Hebras],TbTecnologia[Tecnología])</f>
        <v>CUDA</v>
      </c>
      <c r="Z45" s="2" t="str" cm="1">
        <f t="array" ref="Z45">_xlfn.XLOOKUP(Bash3[[#This Row],[Tecnología]]&amp;Bash3[[#This Row],[Metodo]],TbTipos[Tecnología]&amp;TbTipos[Metodo],TbTipos[Tipo])</f>
        <v>CUDA sin graph</v>
      </c>
      <c r="AA45" s="2" t="str" cm="1">
        <f t="array" ref="AA45">_xlfn.XLOOKUP(Bash3[[#This Row],[Tecnología]]&amp;Bash3[[#This Row],[Problema]],TbNombres[Tecnología]&amp;TbNombres[Problema],TbNombres[Nombre])</f>
        <v>Brusselator1d grid</v>
      </c>
      <c r="AB45" s="2">
        <v>3</v>
      </c>
      <c r="AC45" s="2">
        <v>7</v>
      </c>
      <c r="AD45" s="2">
        <v>256</v>
      </c>
      <c r="AE45" s="2">
        <v>1000</v>
      </c>
      <c r="AF45" s="2">
        <v>2000</v>
      </c>
      <c r="AG45" s="2">
        <v>4.5598000000000001</v>
      </c>
      <c r="AI45" s="2" t="str">
        <f>_xlfn.XLOOKUP(Bash4[[#This Row],[Metodo]],TbSolver[Metodo],TbSolver[Solver])</f>
        <v>Adams Bashford</v>
      </c>
      <c r="AJ45" s="2" t="str">
        <f>_xlfn.XLOOKUP(Bash4[[#This Row],[Hebras]],TbTecnologia[Hebras],TbTecnologia[Tecnología])</f>
        <v>OMP</v>
      </c>
      <c r="AK45" s="2" t="str" cm="1">
        <f t="array" ref="AK45">_xlfn.XLOOKUP(Bash4[[#This Row],[Tecnología]]&amp;Bash4[[#This Row],[Metodo]],TbTipos[Tecnología]&amp;TbTipos[Metodo],TbTipos[Tipo])</f>
        <v>OMP Elementos</v>
      </c>
      <c r="AL45" s="4" t="str" cm="1">
        <f t="array" ref="AL45">_xlfn.XLOOKUP(Bash4[[#This Row],[Tecnología]]&amp;Bash4[[#This Row],[Problema]],TbNombres[Tecnología]&amp;TbNombres[Problema],TbNombres[Nombre])</f>
        <v>Brusselator2d</v>
      </c>
      <c r="AM45" s="4">
        <v>4</v>
      </c>
      <c r="AN45" s="4">
        <v>4</v>
      </c>
      <c r="AO45" s="4">
        <v>16</v>
      </c>
      <c r="AP45" s="4">
        <v>125</v>
      </c>
      <c r="AQ45" s="4">
        <v>31250</v>
      </c>
      <c r="AR45" s="4">
        <v>45.336199999999998</v>
      </c>
    </row>
    <row r="46" spans="2:44" x14ac:dyDescent="0.2">
      <c r="B46" s="1" t="str">
        <f>_xlfn.XLOOKUP(Bash1[[#This Row],[Metodo]],TbSolver[Metodo],TbSolver[Solver])</f>
        <v>Adams Bashford</v>
      </c>
      <c r="C46" s="1" t="str">
        <f>_xlfn.XLOOKUP(Bash1[[#This Row],[Hebras]],TbTecnologia[Hebras],TbTecnologia[Tecnología])</f>
        <v>OMP</v>
      </c>
      <c r="D46" s="1" t="str" cm="1">
        <f t="array" ref="D46">_xlfn.XLOOKUP(Bash1[[#This Row],[Tecnología]]&amp;Bash1[[#This Row],[Metodo]],TbTipos[Tecnología]&amp;TbTipos[Metodo],TbTipos[Tipo])</f>
        <v>OMP Operaciones</v>
      </c>
      <c r="E46" s="1" t="str" cm="1">
        <f t="array" ref="E46">_xlfn.XLOOKUP(Bash1[[#This Row],[Tecnología]]&amp;Bash1[[#This Row],[Problema]],TbNombres[Tecnología]&amp;TbNombres[Problema],TbNombres[Nombre])</f>
        <v>Simple Advdiff</v>
      </c>
      <c r="F46" s="1">
        <v>3</v>
      </c>
      <c r="G46" s="1">
        <v>1</v>
      </c>
      <c r="H46" s="1">
        <v>16</v>
      </c>
      <c r="I46" s="1">
        <v>1000</v>
      </c>
      <c r="J46" s="1">
        <v>1000</v>
      </c>
      <c r="K46" s="1">
        <v>31.720600000000001</v>
      </c>
      <c r="M46" s="2" t="str">
        <f>_xlfn.XLOOKUP(Bash2[[#This Row],[Metodo]],TbSolver[Metodo],TbSolver[Solver])</f>
        <v>Adams Bashford</v>
      </c>
      <c r="N46" s="2" t="str">
        <f>_xlfn.XLOOKUP(Bash2[[#This Row],[Hebras]],TbTecnologia[Hebras],TbTecnologia[Tecnología])</f>
        <v>OMP</v>
      </c>
      <c r="O46" s="6" t="str" cm="1">
        <f t="array" ref="O46">_xlfn.XLOOKUP(Bash2[[#This Row],[Tecnología]]&amp;Bash2[[#This Row],[Metodo]],TbTipos[Tecnología]&amp;TbTipos[Metodo],TbTipos[Tipo])</f>
        <v>OMP Elementos</v>
      </c>
      <c r="P46" s="6" t="str" cm="1">
        <f t="array" ref="P46">_xlfn.XLOOKUP(Bash2[[#This Row],[Tecnología]]&amp;Bash2[[#This Row],[Problema]],TbNombres[Tecnología]&amp;TbNombres[Problema],TbNombres[Nombre])</f>
        <v>Advdiff1d</v>
      </c>
      <c r="Q46" s="2">
        <v>4</v>
      </c>
      <c r="R46" s="6">
        <v>2</v>
      </c>
      <c r="S46" s="6">
        <v>16</v>
      </c>
      <c r="T46" s="6">
        <v>1000</v>
      </c>
      <c r="U46" s="6">
        <v>1000</v>
      </c>
      <c r="V46" s="8">
        <v>76.611400000000003</v>
      </c>
      <c r="X46" s="2" t="str">
        <f>_xlfn.XLOOKUP(Bash3[[#This Row],[Metodo]],TbSolver[Metodo],TbSolver[Solver])</f>
        <v>Adams Bashford</v>
      </c>
      <c r="Y46" s="2" t="str">
        <f>_xlfn.XLOOKUP(Bash3[[#This Row],[Hebras]],TbTecnologia[Hebras],TbTecnologia[Tecnología])</f>
        <v>CUDA</v>
      </c>
      <c r="Z46" s="2" t="str" cm="1">
        <f t="array" ref="Z46">_xlfn.XLOOKUP(Bash3[[#This Row],[Tecnología]]&amp;Bash3[[#This Row],[Metodo]],TbTipos[Tecnología]&amp;TbTipos[Metodo],TbTipos[Tipo])</f>
        <v>CUDA con graph</v>
      </c>
      <c r="AA46" s="2" t="str" cm="1">
        <f t="array" ref="AA46">_xlfn.XLOOKUP(Bash3[[#This Row],[Tecnología]]&amp;Bash3[[#This Row],[Problema]],TbNombres[Tecnología]&amp;TbNombres[Problema],TbNombres[Nombre])</f>
        <v>Brusselator1d</v>
      </c>
      <c r="AB46" s="2">
        <v>4</v>
      </c>
      <c r="AC46" s="2">
        <v>5</v>
      </c>
      <c r="AD46" s="2">
        <v>256</v>
      </c>
      <c r="AE46" s="2">
        <v>1000</v>
      </c>
      <c r="AF46" s="2">
        <v>2000</v>
      </c>
      <c r="AG46" s="2">
        <v>6.0667</v>
      </c>
      <c r="AI46" s="2" t="str">
        <f>_xlfn.XLOOKUP(Bash4[[#This Row],[Metodo]],TbSolver[Metodo],TbSolver[Solver])</f>
        <v>Adams Bashford</v>
      </c>
      <c r="AJ46" s="2" t="str">
        <f>_xlfn.XLOOKUP(Bash4[[#This Row],[Hebras]],TbTecnologia[Hebras],TbTecnologia[Tecnología])</f>
        <v>OMP</v>
      </c>
      <c r="AK46" s="2" t="str" cm="1">
        <f t="array" ref="AK46">_xlfn.XLOOKUP(Bash4[[#This Row],[Tecnología]]&amp;Bash4[[#This Row],[Metodo]],TbTipos[Tecnología]&amp;TbTipos[Metodo],TbTipos[Tipo])</f>
        <v>OMP Operaciones</v>
      </c>
      <c r="AL46" s="4" t="str" cm="1">
        <f t="array" ref="AL46">_xlfn.XLOOKUP(Bash4[[#This Row],[Tecnología]]&amp;Bash4[[#This Row],[Problema]],TbNombres[Tecnología]&amp;TbNombres[Problema],TbNombres[Nombre])</f>
        <v>Brusselator2d</v>
      </c>
      <c r="AM46" s="4">
        <v>3</v>
      </c>
      <c r="AN46" s="4">
        <v>4</v>
      </c>
      <c r="AO46" s="4">
        <v>16</v>
      </c>
      <c r="AP46" s="4">
        <v>125</v>
      </c>
      <c r="AQ46" s="4">
        <v>31250</v>
      </c>
      <c r="AR46" s="4">
        <v>47.646700000000003</v>
      </c>
    </row>
    <row r="47" spans="2:44" x14ac:dyDescent="0.2">
      <c r="B47" s="1" t="str">
        <f>_xlfn.XLOOKUP(Bash1[[#This Row],[Metodo]],TbSolver[Metodo],TbSolver[Solver])</f>
        <v>Adams Bashford</v>
      </c>
      <c r="C47" s="1" t="str">
        <f>_xlfn.XLOOKUP(Bash1[[#This Row],[Hebras]],TbTecnologia[Hebras],TbTecnologia[Tecnología])</f>
        <v>CUDA</v>
      </c>
      <c r="D47" s="1" t="str" cm="1">
        <f t="array" ref="D47">_xlfn.XLOOKUP(Bash1[[#This Row],[Tecnología]]&amp;Bash1[[#This Row],[Metodo]],TbTipos[Tecnología]&amp;TbTipos[Metodo],TbTipos[Tipo])</f>
        <v>CUDA sin graph</v>
      </c>
      <c r="E47" s="1" t="str" cm="1">
        <f t="array" ref="E47">_xlfn.XLOOKUP(Bash1[[#This Row],[Tecnología]]&amp;Bash1[[#This Row],[Problema]],TbNombres[Tecnología]&amp;TbNombres[Problema],TbNombres[Nombre])</f>
        <v>Simple Advdiff</v>
      </c>
      <c r="F47" s="1">
        <v>3</v>
      </c>
      <c r="G47" s="1">
        <v>1</v>
      </c>
      <c r="H47" s="1">
        <v>256</v>
      </c>
      <c r="I47" s="1">
        <v>2000</v>
      </c>
      <c r="J47" s="1">
        <v>2000</v>
      </c>
      <c r="K47" s="1">
        <v>4.21807</v>
      </c>
      <c r="M47" s="2" t="str">
        <f>_xlfn.XLOOKUP(Bash2[[#This Row],[Metodo]],TbSolver[Metodo],TbSolver[Solver])</f>
        <v>Adams Bashford</v>
      </c>
      <c r="N47" s="2" t="str">
        <f>_xlfn.XLOOKUP(Bash2[[#This Row],[Hebras]],TbTecnologia[Hebras],TbTecnologia[Tecnología])</f>
        <v>CUDA</v>
      </c>
      <c r="O47" s="6" t="str" cm="1">
        <f t="array" ref="O47">_xlfn.XLOOKUP(Bash2[[#This Row],[Tecnología]]&amp;Bash2[[#This Row],[Metodo]],TbTipos[Tecnología]&amp;TbTipos[Metodo],TbTipos[Tipo])</f>
        <v>CUDA sin graph</v>
      </c>
      <c r="P47" s="6" t="str" cm="1">
        <f t="array" ref="P47">_xlfn.XLOOKUP(Bash2[[#This Row],[Tecnología]]&amp;Bash2[[#This Row],[Problema]],TbNombres[Tecnología]&amp;TbNombres[Problema],TbNombres[Nombre])</f>
        <v>Advdiff1d</v>
      </c>
      <c r="Q47" s="2">
        <v>3</v>
      </c>
      <c r="R47" s="6">
        <v>3</v>
      </c>
      <c r="S47" s="6">
        <v>256</v>
      </c>
      <c r="T47" s="6">
        <v>2000</v>
      </c>
      <c r="U47" s="6">
        <v>2000</v>
      </c>
      <c r="V47" s="8">
        <v>7.9771400000000003</v>
      </c>
      <c r="X47" s="2" t="str">
        <f>_xlfn.XLOOKUP(Bash3[[#This Row],[Metodo]],TbSolver[Metodo],TbSolver[Solver])</f>
        <v>Adams Bashford</v>
      </c>
      <c r="Y47" s="2" t="str">
        <f>_xlfn.XLOOKUP(Bash3[[#This Row],[Hebras]],TbTecnologia[Hebras],TbTecnologia[Tecnología])</f>
        <v>CUDA</v>
      </c>
      <c r="Z47" s="2" t="str" cm="1">
        <f t="array" ref="Z47">_xlfn.XLOOKUP(Bash3[[#This Row],[Tecnología]]&amp;Bash3[[#This Row],[Metodo]],TbTipos[Tecnología]&amp;TbTipos[Metodo],TbTipos[Tipo])</f>
        <v>CUDA con graph</v>
      </c>
      <c r="AA47" s="2" t="str" cm="1">
        <f t="array" ref="AA47">_xlfn.XLOOKUP(Bash3[[#This Row],[Tecnología]]&amp;Bash3[[#This Row],[Problema]],TbNombres[Tecnología]&amp;TbNombres[Problema],TbNombres[Nombre])</f>
        <v>Brusselator1d shuffle</v>
      </c>
      <c r="AB47" s="2">
        <v>4</v>
      </c>
      <c r="AC47" s="2">
        <v>6</v>
      </c>
      <c r="AD47" s="2">
        <v>256</v>
      </c>
      <c r="AE47" s="2">
        <v>1000</v>
      </c>
      <c r="AF47" s="2">
        <v>2000</v>
      </c>
      <c r="AG47" s="2">
        <v>6.0970599999999999</v>
      </c>
      <c r="AI47" s="2" t="str">
        <f>_xlfn.XLOOKUP(Bash4[[#This Row],[Metodo]],TbSolver[Metodo],TbSolver[Solver])</f>
        <v>Adams Bashford</v>
      </c>
      <c r="AJ47" s="2" t="str">
        <f>_xlfn.XLOOKUP(Bash4[[#This Row],[Hebras]],TbTecnologia[Hebras],TbTecnologia[Tecnología])</f>
        <v>OMP</v>
      </c>
      <c r="AK47" s="2" t="str" cm="1">
        <f t="array" ref="AK47">_xlfn.XLOOKUP(Bash4[[#This Row],[Tecnología]]&amp;Bash4[[#This Row],[Metodo]],TbTipos[Tecnología]&amp;TbTipos[Metodo],TbTipos[Tipo])</f>
        <v>OMP Operaciones</v>
      </c>
      <c r="AL47" s="4" t="str" cm="1">
        <f t="array" ref="AL47">_xlfn.XLOOKUP(Bash4[[#This Row],[Tecnología]]&amp;Bash4[[#This Row],[Problema]],TbNombres[Tecnología]&amp;TbNombres[Problema],TbNombres[Nombre])</f>
        <v>Brusselator2d</v>
      </c>
      <c r="AM47" s="4">
        <v>3</v>
      </c>
      <c r="AN47" s="4">
        <v>4</v>
      </c>
      <c r="AO47" s="4">
        <v>4</v>
      </c>
      <c r="AP47" s="4">
        <v>125</v>
      </c>
      <c r="AQ47" s="4">
        <v>31250</v>
      </c>
      <c r="AR47" s="4">
        <v>61.58</v>
      </c>
    </row>
    <row r="48" spans="2:44" x14ac:dyDescent="0.2">
      <c r="B48" s="1" t="str">
        <f>_xlfn.XLOOKUP(Bash1[[#This Row],[Metodo]],TbSolver[Metodo],TbSolver[Solver])</f>
        <v>Adams Bashford</v>
      </c>
      <c r="C48" s="1" t="str">
        <f>_xlfn.XLOOKUP(Bash1[[#This Row],[Hebras]],TbTecnologia[Hebras],TbTecnologia[Tecnología])</f>
        <v>CUDA</v>
      </c>
      <c r="D48" s="1" t="str" cm="1">
        <f t="array" ref="D48">_xlfn.XLOOKUP(Bash1[[#This Row],[Tecnología]]&amp;Bash1[[#This Row],[Metodo]],TbTipos[Tecnología]&amp;TbTipos[Metodo],TbTipos[Tipo])</f>
        <v>CUDA sin graph</v>
      </c>
      <c r="E48" s="1" t="str" cm="1">
        <f t="array" ref="E48">_xlfn.XLOOKUP(Bash1[[#This Row],[Tecnología]]&amp;Bash1[[#This Row],[Problema]],TbNombres[Tecnología]&amp;TbNombres[Problema],TbNombres[Nombre])</f>
        <v>Simple Advdiff shuffle</v>
      </c>
      <c r="F48" s="1">
        <v>3</v>
      </c>
      <c r="G48" s="1">
        <v>2</v>
      </c>
      <c r="H48" s="1">
        <v>256</v>
      </c>
      <c r="I48" s="1">
        <v>2000</v>
      </c>
      <c r="J48" s="1">
        <v>2000</v>
      </c>
      <c r="K48" s="1">
        <v>4.2354700000000003</v>
      </c>
      <c r="M48" s="2" t="str">
        <f>_xlfn.XLOOKUP(Bash2[[#This Row],[Metodo]],TbSolver[Metodo],TbSolver[Solver])</f>
        <v>Adams Bashford</v>
      </c>
      <c r="N48" s="2" t="str">
        <f>_xlfn.XLOOKUP(Bash2[[#This Row],[Hebras]],TbTecnologia[Hebras],TbTecnologia[Tecnología])</f>
        <v>CUDA</v>
      </c>
      <c r="O48" s="6" t="str" cm="1">
        <f t="array" ref="O48">_xlfn.XLOOKUP(Bash2[[#This Row],[Tecnología]]&amp;Bash2[[#This Row],[Metodo]],TbTipos[Tecnología]&amp;TbTipos[Metodo],TbTipos[Tipo])</f>
        <v>CUDA sin graph</v>
      </c>
      <c r="P48" s="6" t="str" cm="1">
        <f t="array" ref="P48">_xlfn.XLOOKUP(Bash2[[#This Row],[Tecnología]]&amp;Bash2[[#This Row],[Problema]],TbNombres[Tecnología]&amp;TbNombres[Problema],TbNombres[Nombre])</f>
        <v>Advdiff1d shuffle</v>
      </c>
      <c r="Q48" s="2">
        <v>3</v>
      </c>
      <c r="R48" s="6">
        <v>4</v>
      </c>
      <c r="S48" s="6">
        <v>256</v>
      </c>
      <c r="T48" s="6">
        <v>2000</v>
      </c>
      <c r="U48" s="6">
        <v>2000</v>
      </c>
      <c r="V48" s="8">
        <v>8.2349999999999994</v>
      </c>
      <c r="X48" s="2" t="str">
        <f>_xlfn.XLOOKUP(Bash3[[#This Row],[Metodo]],TbSolver[Metodo],TbSolver[Solver])</f>
        <v>Adams Bashford</v>
      </c>
      <c r="Y48" s="2" t="str">
        <f>_xlfn.XLOOKUP(Bash3[[#This Row],[Hebras]],TbTecnologia[Hebras],TbTecnologia[Tecnología])</f>
        <v>CUDA</v>
      </c>
      <c r="Z48" s="2" t="str" cm="1">
        <f t="array" ref="Z48">_xlfn.XLOOKUP(Bash3[[#This Row],[Tecnología]]&amp;Bash3[[#This Row],[Metodo]],TbTipos[Tecnología]&amp;TbTipos[Metodo],TbTipos[Tipo])</f>
        <v>CUDA con graph</v>
      </c>
      <c r="AA48" s="2" t="str" cm="1">
        <f t="array" ref="AA48">_xlfn.XLOOKUP(Bash3[[#This Row],[Tecnología]]&amp;Bash3[[#This Row],[Problema]],TbNombres[Tecnología]&amp;TbNombres[Problema],TbNombres[Nombre])</f>
        <v>Brusselator1d grid</v>
      </c>
      <c r="AB48" s="2">
        <v>4</v>
      </c>
      <c r="AC48" s="2">
        <v>7</v>
      </c>
      <c r="AD48" s="2">
        <v>256</v>
      </c>
      <c r="AE48" s="2">
        <v>1000</v>
      </c>
      <c r="AF48" s="2">
        <v>2000</v>
      </c>
      <c r="AG48" s="2">
        <v>6.1217899999999998</v>
      </c>
      <c r="AI48" s="2" t="str">
        <f>_xlfn.XLOOKUP(Bash4[[#This Row],[Metodo]],TbSolver[Metodo],TbSolver[Solver])</f>
        <v>Adams Bashford</v>
      </c>
      <c r="AJ48" s="2" t="str">
        <f>_xlfn.XLOOKUP(Bash4[[#This Row],[Hebras]],TbTecnologia[Hebras],TbTecnologia[Tecnología])</f>
        <v>OMP</v>
      </c>
      <c r="AK48" s="2" t="str" cm="1">
        <f t="array" ref="AK48">_xlfn.XLOOKUP(Bash4[[#This Row],[Tecnología]]&amp;Bash4[[#This Row],[Metodo]],TbTipos[Tecnología]&amp;TbTipos[Metodo],TbTipos[Tipo])</f>
        <v>OMP Elementos</v>
      </c>
      <c r="AL48" s="4" t="str" cm="1">
        <f t="array" ref="AL48">_xlfn.XLOOKUP(Bash4[[#This Row],[Tecnología]]&amp;Bash4[[#This Row],[Problema]],TbNombres[Tecnología]&amp;TbNombres[Problema],TbNombres[Nombre])</f>
        <v>Brusselator2d</v>
      </c>
      <c r="AM48" s="4">
        <v>4</v>
      </c>
      <c r="AN48" s="4">
        <v>4</v>
      </c>
      <c r="AO48" s="4">
        <v>4</v>
      </c>
      <c r="AP48" s="4">
        <v>125</v>
      </c>
      <c r="AQ48" s="4">
        <v>31250</v>
      </c>
      <c r="AR48" s="4">
        <v>112.599</v>
      </c>
    </row>
    <row r="49" spans="2:44" x14ac:dyDescent="0.2">
      <c r="B49" s="1" t="str">
        <f>_xlfn.XLOOKUP(Bash1[[#This Row],[Metodo]],TbSolver[Metodo],TbSolver[Solver])</f>
        <v>Adams Bashford</v>
      </c>
      <c r="C49" s="1" t="str">
        <f>_xlfn.XLOOKUP(Bash1[[#This Row],[Hebras]],TbTecnologia[Hebras],TbTecnologia[Tecnología])</f>
        <v>OMP</v>
      </c>
      <c r="D49" s="1" t="str" cm="1">
        <f t="array" ref="D49">_xlfn.XLOOKUP(Bash1[[#This Row],[Tecnología]]&amp;Bash1[[#This Row],[Metodo]],TbTipos[Tecnología]&amp;TbTipos[Metodo],TbTipos[Tipo])</f>
        <v>OMP Operaciones</v>
      </c>
      <c r="E49" s="1" t="str" cm="1">
        <f t="array" ref="E49">_xlfn.XLOOKUP(Bash1[[#This Row],[Tecnología]]&amp;Bash1[[#This Row],[Problema]],TbNombres[Tecnología]&amp;TbNombres[Problema],TbNombres[Nombre])</f>
        <v>Simple Advdiff</v>
      </c>
      <c r="F49" s="17">
        <v>3</v>
      </c>
      <c r="G49" s="17">
        <v>1</v>
      </c>
      <c r="H49" s="17">
        <v>1</v>
      </c>
      <c r="I49" s="17">
        <v>2000</v>
      </c>
      <c r="J49" s="17">
        <v>2000</v>
      </c>
      <c r="K49" s="17">
        <v>5.1554000000000002</v>
      </c>
      <c r="M49" s="2" t="str">
        <f>_xlfn.XLOOKUP(Bash2[[#This Row],[Metodo]],TbSolver[Metodo],TbSolver[Solver])</f>
        <v>Adams Bashford</v>
      </c>
      <c r="N49" s="2" t="str">
        <f>_xlfn.XLOOKUP(Bash2[[#This Row],[Hebras]],TbTecnologia[Hebras],TbTecnologia[Tecnología])</f>
        <v>CUDA</v>
      </c>
      <c r="O49" s="6" t="str" cm="1">
        <f t="array" ref="O49">_xlfn.XLOOKUP(Bash2[[#This Row],[Tecnología]]&amp;Bash2[[#This Row],[Metodo]],TbTipos[Tecnología]&amp;TbTipos[Metodo],TbTipos[Tipo])</f>
        <v>CUDA con graph</v>
      </c>
      <c r="P49" s="6" t="str" cm="1">
        <f t="array" ref="P49">_xlfn.XLOOKUP(Bash2[[#This Row],[Tecnología]]&amp;Bash2[[#This Row],[Problema]],TbNombres[Tecnología]&amp;TbNombres[Problema],TbNombres[Nombre])</f>
        <v>Advdiff1d</v>
      </c>
      <c r="Q49" s="2">
        <v>4</v>
      </c>
      <c r="R49" s="6">
        <v>3</v>
      </c>
      <c r="S49" s="6">
        <v>256</v>
      </c>
      <c r="T49" s="6">
        <v>2000</v>
      </c>
      <c r="U49" s="6">
        <v>2000</v>
      </c>
      <c r="V49" s="8">
        <v>9.6757600000000004</v>
      </c>
      <c r="X49" s="2" t="str">
        <f>_xlfn.XLOOKUP(Bash3[[#This Row],[Metodo]],TbSolver[Metodo],TbSolver[Solver])</f>
        <v>Adams Bashford</v>
      </c>
      <c r="Y49" s="2" t="str">
        <f>_xlfn.XLOOKUP(Bash3[[#This Row],[Hebras]],TbTecnologia[Hebras],TbTecnologia[Tecnología])</f>
        <v>OMP</v>
      </c>
      <c r="Z49" s="2" t="str" cm="1">
        <f t="array" ref="Z49">_xlfn.XLOOKUP(Bash3[[#This Row],[Tecnología]]&amp;Bash3[[#This Row],[Metodo]],TbTipos[Tecnología]&amp;TbTipos[Metodo],TbTipos[Tipo])</f>
        <v>OMP Elementos</v>
      </c>
      <c r="AA49" s="2" t="str" cm="1">
        <f t="array" ref="AA49">_xlfn.XLOOKUP(Bash3[[#This Row],[Tecnología]]&amp;Bash3[[#This Row],[Problema]],TbNombres[Tecnología]&amp;TbNombres[Problema],TbNombres[Nombre])</f>
        <v>Brusselator1d</v>
      </c>
      <c r="AB49" s="2">
        <v>4</v>
      </c>
      <c r="AC49" s="2">
        <v>3</v>
      </c>
      <c r="AD49" s="2">
        <v>4</v>
      </c>
      <c r="AE49" s="2">
        <v>1000</v>
      </c>
      <c r="AF49" s="2">
        <v>2000</v>
      </c>
      <c r="AG49" s="2">
        <v>7.5404</v>
      </c>
      <c r="AI49" s="2" t="str">
        <f>_xlfn.XLOOKUP(Bash4[[#This Row],[Metodo]],TbSolver[Metodo],TbSolver[Solver])</f>
        <v>Adams Bashford</v>
      </c>
      <c r="AJ49" s="2" t="str">
        <f>_xlfn.XLOOKUP(Bash4[[#This Row],[Hebras]],TbTecnologia[Hebras],TbTecnologia[Tecnología])</f>
        <v>OMP</v>
      </c>
      <c r="AK49" s="2" t="str" cm="1">
        <f t="array" ref="AK49">_xlfn.XLOOKUP(Bash4[[#This Row],[Tecnología]]&amp;Bash4[[#This Row],[Metodo]],TbTipos[Tecnología]&amp;TbTipos[Metodo],TbTipos[Tipo])</f>
        <v>OMP Operaciones</v>
      </c>
      <c r="AL49" s="4" t="str" cm="1">
        <f t="array" ref="AL49">_xlfn.XLOOKUP(Bash4[[#This Row],[Tecnología]]&amp;Bash4[[#This Row],[Problema]],TbNombres[Tecnología]&amp;TbNombres[Problema],TbNombres[Nombre])</f>
        <v>Brusselator2d</v>
      </c>
      <c r="AM49" s="4">
        <v>3</v>
      </c>
      <c r="AN49" s="4">
        <v>4</v>
      </c>
      <c r="AO49" s="4">
        <v>1</v>
      </c>
      <c r="AP49" s="4">
        <v>125</v>
      </c>
      <c r="AQ49" s="4">
        <v>31250</v>
      </c>
      <c r="AR49" s="4">
        <v>207.45</v>
      </c>
    </row>
    <row r="50" spans="2:44" x14ac:dyDescent="0.2">
      <c r="B50" s="1" t="str">
        <f>_xlfn.XLOOKUP(Bash1[[#This Row],[Metodo]],TbSolver[Metodo],TbSolver[Solver])</f>
        <v>Adams Bashford</v>
      </c>
      <c r="C50" s="1" t="str">
        <f>_xlfn.XLOOKUP(Bash1[[#This Row],[Hebras]],TbTecnologia[Hebras],TbTecnologia[Tecnología])</f>
        <v>CUDA</v>
      </c>
      <c r="D50" s="1" t="str" cm="1">
        <f t="array" ref="D50">_xlfn.XLOOKUP(Bash1[[#This Row],[Tecnología]]&amp;Bash1[[#This Row],[Metodo]],TbTipos[Tecnología]&amp;TbTipos[Metodo],TbTipos[Tipo])</f>
        <v>CUDA con graph</v>
      </c>
      <c r="E50" s="1" t="str" cm="1">
        <f t="array" ref="E50">_xlfn.XLOOKUP(Bash1[[#This Row],[Tecnología]]&amp;Bash1[[#This Row],[Problema]],TbNombres[Tecnología]&amp;TbNombres[Problema],TbNombres[Nombre])</f>
        <v>Simple Advdiff</v>
      </c>
      <c r="F50" s="1">
        <v>4</v>
      </c>
      <c r="G50" s="1">
        <v>1</v>
      </c>
      <c r="H50" s="1">
        <v>256</v>
      </c>
      <c r="I50" s="1">
        <v>2000</v>
      </c>
      <c r="J50" s="1">
        <v>2000</v>
      </c>
      <c r="K50" s="1">
        <v>5.8491999999999997</v>
      </c>
      <c r="M50" s="2" t="str">
        <f>_xlfn.XLOOKUP(Bash2[[#This Row],[Metodo]],TbSolver[Metodo],TbSolver[Solver])</f>
        <v>Adams Bashford</v>
      </c>
      <c r="N50" s="2" t="str">
        <f>_xlfn.XLOOKUP(Bash2[[#This Row],[Hebras]],TbTecnologia[Hebras],TbTecnologia[Tecnología])</f>
        <v>CUDA</v>
      </c>
      <c r="O50" s="6" t="str" cm="1">
        <f t="array" ref="O50">_xlfn.XLOOKUP(Bash2[[#This Row],[Tecnología]]&amp;Bash2[[#This Row],[Metodo]],TbTipos[Tecnología]&amp;TbTipos[Metodo],TbTipos[Tipo])</f>
        <v>CUDA con graph</v>
      </c>
      <c r="P50" s="6" t="str" cm="1">
        <f t="array" ref="P50">_xlfn.XLOOKUP(Bash2[[#This Row],[Tecnología]]&amp;Bash2[[#This Row],[Problema]],TbNombres[Tecnología]&amp;TbNombres[Problema],TbNombres[Nombre])</f>
        <v>Advdiff1d shuffle</v>
      </c>
      <c r="Q50" s="2">
        <v>4</v>
      </c>
      <c r="R50" s="6">
        <v>4</v>
      </c>
      <c r="S50" s="6">
        <v>256</v>
      </c>
      <c r="T50" s="6">
        <v>2000</v>
      </c>
      <c r="U50" s="6">
        <v>2000</v>
      </c>
      <c r="V50" s="8">
        <v>9.9296900000000008</v>
      </c>
      <c r="X50" s="2" t="str">
        <f>_xlfn.XLOOKUP(Bash3[[#This Row],[Metodo]],TbSolver[Metodo],TbSolver[Solver])</f>
        <v>Adams Bashford</v>
      </c>
      <c r="Y50" s="2" t="str">
        <f>_xlfn.XLOOKUP(Bash3[[#This Row],[Hebras]],TbTecnologia[Hebras],TbTecnologia[Tecnología])</f>
        <v>OMP</v>
      </c>
      <c r="Z50" s="2" t="str" cm="1">
        <f t="array" ref="Z50">_xlfn.XLOOKUP(Bash3[[#This Row],[Tecnología]]&amp;Bash3[[#This Row],[Metodo]],TbTipos[Tecnología]&amp;TbTipos[Metodo],TbTipos[Tipo])</f>
        <v>OMP Operaciones</v>
      </c>
      <c r="AA50" s="2" t="str" cm="1">
        <f t="array" ref="AA50">_xlfn.XLOOKUP(Bash3[[#This Row],[Tecnología]]&amp;Bash3[[#This Row],[Problema]],TbNombres[Tecnología]&amp;TbNombres[Problema],TbNombres[Nombre])</f>
        <v>Brusselator1d</v>
      </c>
      <c r="AB50" s="2">
        <v>3</v>
      </c>
      <c r="AC50" s="2">
        <v>3</v>
      </c>
      <c r="AD50" s="2">
        <v>1</v>
      </c>
      <c r="AE50" s="2">
        <v>1000</v>
      </c>
      <c r="AF50" s="2">
        <v>2000</v>
      </c>
      <c r="AG50" s="2">
        <v>7.6295599999999997</v>
      </c>
      <c r="AI50" s="2" t="str">
        <f>_xlfn.XLOOKUP(Bash4[[#This Row],[Metodo]],TbSolver[Metodo],TbSolver[Solver])</f>
        <v>Adams Bashford</v>
      </c>
      <c r="AJ50" s="2" t="str">
        <f>_xlfn.XLOOKUP(Bash4[[#This Row],[Hebras]],TbTecnologia[Hebras],TbTecnologia[Tecnología])</f>
        <v>OMP</v>
      </c>
      <c r="AK50" s="2" t="str" cm="1">
        <f t="array" ref="AK50">_xlfn.XLOOKUP(Bash4[[#This Row],[Tecnología]]&amp;Bash4[[#This Row],[Metodo]],TbTipos[Tecnología]&amp;TbTipos[Metodo],TbTipos[Tipo])</f>
        <v>OMP Elementos</v>
      </c>
      <c r="AL50" s="4" t="str" cm="1">
        <f t="array" ref="AL50">_xlfn.XLOOKUP(Bash4[[#This Row],[Tecnología]]&amp;Bash4[[#This Row],[Problema]],TbNombres[Tecnología]&amp;TbNombres[Problema],TbNombres[Nombre])</f>
        <v>Brusselator2d</v>
      </c>
      <c r="AM50" s="4">
        <v>4</v>
      </c>
      <c r="AN50" s="4">
        <v>4</v>
      </c>
      <c r="AO50" s="4">
        <v>1</v>
      </c>
      <c r="AP50" s="4">
        <v>125</v>
      </c>
      <c r="AQ50" s="4">
        <v>31250</v>
      </c>
      <c r="AR50" s="4">
        <v>421.38200000000001</v>
      </c>
    </row>
    <row r="51" spans="2:44" x14ac:dyDescent="0.2">
      <c r="B51" s="1" t="str">
        <f>_xlfn.XLOOKUP(Bash1[[#This Row],[Metodo]],TbSolver[Metodo],TbSolver[Solver])</f>
        <v>Adams Bashford</v>
      </c>
      <c r="C51" s="1" t="str">
        <f>_xlfn.XLOOKUP(Bash1[[#This Row],[Hebras]],TbTecnologia[Hebras],TbTecnologia[Tecnología])</f>
        <v>CUDA</v>
      </c>
      <c r="D51" s="1" t="str" cm="1">
        <f t="array" ref="D51">_xlfn.XLOOKUP(Bash1[[#This Row],[Tecnología]]&amp;Bash1[[#This Row],[Metodo]],TbTipos[Tecnología]&amp;TbTipos[Metodo],TbTipos[Tipo])</f>
        <v>CUDA con graph</v>
      </c>
      <c r="E51" s="1" t="str" cm="1">
        <f t="array" ref="E51">_xlfn.XLOOKUP(Bash1[[#This Row],[Tecnología]]&amp;Bash1[[#This Row],[Problema]],TbNombres[Tecnología]&amp;TbNombres[Problema],TbNombres[Nombre])</f>
        <v>Simple Advdiff shuffle</v>
      </c>
      <c r="F51" s="1">
        <v>4</v>
      </c>
      <c r="G51" s="1">
        <v>2</v>
      </c>
      <c r="H51" s="1">
        <v>256</v>
      </c>
      <c r="I51" s="1">
        <v>2000</v>
      </c>
      <c r="J51" s="1">
        <v>2000</v>
      </c>
      <c r="K51" s="1">
        <v>5.8526600000000002</v>
      </c>
      <c r="M51" s="2" t="str">
        <f>_xlfn.XLOOKUP(Bash2[[#This Row],[Metodo]],TbSolver[Metodo],TbSolver[Solver])</f>
        <v>Adams Bashford</v>
      </c>
      <c r="N51" s="2" t="str">
        <f>_xlfn.XLOOKUP(Bash2[[#This Row],[Hebras]],TbTecnologia[Hebras],TbTecnologia[Tecnología])</f>
        <v>OMP</v>
      </c>
      <c r="O51" s="6" t="str" cm="1">
        <f t="array" ref="O51">_xlfn.XLOOKUP(Bash2[[#This Row],[Tecnología]]&amp;Bash2[[#This Row],[Metodo]],TbTipos[Tecnología]&amp;TbTipos[Metodo],TbTipos[Tipo])</f>
        <v>OMP Elementos</v>
      </c>
      <c r="P51" s="6" t="str" cm="1">
        <f t="array" ref="P51">_xlfn.XLOOKUP(Bash2[[#This Row],[Tecnología]]&amp;Bash2[[#This Row],[Problema]],TbNombres[Tecnología]&amp;TbNombres[Problema],TbNombres[Nombre])</f>
        <v>Advdiff1d</v>
      </c>
      <c r="Q51" s="4">
        <v>4</v>
      </c>
      <c r="R51" s="22">
        <v>2</v>
      </c>
      <c r="S51" s="22">
        <v>16</v>
      </c>
      <c r="T51" s="22">
        <v>2000</v>
      </c>
      <c r="U51" s="22">
        <v>2000</v>
      </c>
      <c r="V51" s="23">
        <v>13.8903</v>
      </c>
      <c r="X51" s="2" t="str">
        <f>_xlfn.XLOOKUP(Bash3[[#This Row],[Metodo]],TbSolver[Metodo],TbSolver[Solver])</f>
        <v>Adams Bashford</v>
      </c>
      <c r="Y51" s="2" t="str">
        <f>_xlfn.XLOOKUP(Bash3[[#This Row],[Hebras]],TbTecnologia[Hebras],TbTecnologia[Tecnología])</f>
        <v>OMP</v>
      </c>
      <c r="Z51" s="2" t="str" cm="1">
        <f t="array" ref="Z51">_xlfn.XLOOKUP(Bash3[[#This Row],[Tecnología]]&amp;Bash3[[#This Row],[Metodo]],TbTipos[Tecnología]&amp;TbTipos[Metodo],TbTipos[Tipo])</f>
        <v>OMP Elementos</v>
      </c>
      <c r="AA51" s="2" t="str" cm="1">
        <f t="array" ref="AA51">_xlfn.XLOOKUP(Bash3[[#This Row],[Tecnología]]&amp;Bash3[[#This Row],[Problema]],TbNombres[Tecnología]&amp;TbNombres[Problema],TbNombres[Nombre])</f>
        <v>Brusselator1d</v>
      </c>
      <c r="AB51" s="2">
        <v>4</v>
      </c>
      <c r="AC51" s="2">
        <v>3</v>
      </c>
      <c r="AD51" s="2">
        <v>1</v>
      </c>
      <c r="AE51" s="2">
        <v>1000</v>
      </c>
      <c r="AF51" s="2">
        <v>2000</v>
      </c>
      <c r="AG51" s="2">
        <v>12.600099999999999</v>
      </c>
      <c r="AI51" s="2" t="str">
        <f>_xlfn.XLOOKUP(Bash4[[#This Row],[Metodo]],TbSolver[Metodo],TbSolver[Solver])</f>
        <v>Adams Bashford</v>
      </c>
      <c r="AJ51" s="2" t="str">
        <f>_xlfn.XLOOKUP(Bash4[[#This Row],[Hebras]],TbTecnologia[Hebras],TbTecnologia[Tecnología])</f>
        <v>CUDA</v>
      </c>
      <c r="AK51" s="2" t="str" cm="1">
        <f t="array" ref="AK51">_xlfn.XLOOKUP(Bash4[[#This Row],[Tecnología]]&amp;Bash4[[#This Row],[Metodo]],TbTipos[Tecnología]&amp;TbTipos[Metodo],TbTipos[Tipo])</f>
        <v>CUDA sin graph</v>
      </c>
      <c r="AL51" s="4" t="str" cm="1">
        <f t="array" ref="AL51">_xlfn.XLOOKUP(Bash4[[#This Row],[Tecnología]]&amp;Bash4[[#This Row],[Problema]],TbNombres[Tecnología]&amp;TbNombres[Problema],TbNombres[Nombre])</f>
        <v>Brusselator2d</v>
      </c>
      <c r="AM51" s="4">
        <v>3</v>
      </c>
      <c r="AN51" s="21">
        <v>8</v>
      </c>
      <c r="AO51" s="21">
        <v>256</v>
      </c>
      <c r="AP51" s="21">
        <v>150</v>
      </c>
      <c r="AQ51" s="21">
        <v>45000</v>
      </c>
      <c r="AR51" s="21">
        <v>9.8013499999999993</v>
      </c>
    </row>
    <row r="52" spans="2:44" x14ac:dyDescent="0.2">
      <c r="B52" s="1" t="str">
        <f>_xlfn.XLOOKUP(Bash1[[#This Row],[Metodo]],TbSolver[Metodo],TbSolver[Solver])</f>
        <v>Adams Bashford</v>
      </c>
      <c r="C52" s="1" t="str">
        <f>_xlfn.XLOOKUP(Bash1[[#This Row],[Hebras]],TbTecnologia[Hebras],TbTecnologia[Tecnología])</f>
        <v>OMP</v>
      </c>
      <c r="D52" s="1" t="str" cm="1">
        <f t="array" ref="D52">_xlfn.XLOOKUP(Bash1[[#This Row],[Tecnología]]&amp;Bash1[[#This Row],[Metodo]],TbTipos[Tecnología]&amp;TbTipos[Metodo],TbTipos[Tipo])</f>
        <v>OMP Elementos</v>
      </c>
      <c r="E52" s="1" t="str" cm="1">
        <f t="array" ref="E52">_xlfn.XLOOKUP(Bash1[[#This Row],[Tecnología]]&amp;Bash1[[#This Row],[Problema]],TbNombres[Tecnología]&amp;TbNombres[Problema],TbNombres[Nombre])</f>
        <v>Simple Advdiff</v>
      </c>
      <c r="F52" s="17">
        <v>4</v>
      </c>
      <c r="G52" s="17">
        <v>1</v>
      </c>
      <c r="H52" s="17">
        <v>4</v>
      </c>
      <c r="I52" s="17">
        <v>2000</v>
      </c>
      <c r="J52" s="17">
        <v>2000</v>
      </c>
      <c r="K52" s="17">
        <v>7.3882399999999997</v>
      </c>
      <c r="M52" s="2" t="str">
        <f>_xlfn.XLOOKUP(Bash2[[#This Row],[Metodo]],TbSolver[Metodo],TbSolver[Solver])</f>
        <v>Adams Bashford</v>
      </c>
      <c r="N52" s="2" t="str">
        <f>_xlfn.XLOOKUP(Bash2[[#This Row],[Hebras]],TbTecnologia[Hebras],TbTecnologia[Tecnología])</f>
        <v>OMP</v>
      </c>
      <c r="O52" s="6" t="str" cm="1">
        <f t="array" ref="O52">_xlfn.XLOOKUP(Bash2[[#This Row],[Tecnología]]&amp;Bash2[[#This Row],[Metodo]],TbTipos[Tecnología]&amp;TbTipos[Metodo],TbTipos[Tipo])</f>
        <v>OMP Elementos</v>
      </c>
      <c r="P52" s="6" t="str" cm="1">
        <f t="array" ref="P52">_xlfn.XLOOKUP(Bash2[[#This Row],[Tecnología]]&amp;Bash2[[#This Row],[Problema]],TbNombres[Tecnología]&amp;TbNombres[Problema],TbNombres[Nombre])</f>
        <v>Advdiff1d</v>
      </c>
      <c r="Q52" s="4">
        <v>4</v>
      </c>
      <c r="R52" s="22">
        <v>2</v>
      </c>
      <c r="S52" s="22">
        <v>4</v>
      </c>
      <c r="T52" s="22">
        <v>2000</v>
      </c>
      <c r="U52" s="22">
        <v>2000</v>
      </c>
      <c r="V52" s="23">
        <v>18.937799999999999</v>
      </c>
      <c r="X52" s="2" t="str">
        <f>_xlfn.XLOOKUP(Bash3[[#This Row],[Metodo]],TbSolver[Metodo],TbSolver[Solver])</f>
        <v>Adams Bashford</v>
      </c>
      <c r="Y52" s="2" t="str">
        <f>_xlfn.XLOOKUP(Bash3[[#This Row],[Hebras]],TbTecnologia[Hebras],TbTecnologia[Tecnología])</f>
        <v>OMP</v>
      </c>
      <c r="Z52" s="2" t="str" cm="1">
        <f t="array" ref="Z52">_xlfn.XLOOKUP(Bash3[[#This Row],[Tecnología]]&amp;Bash3[[#This Row],[Metodo]],TbTipos[Tecnología]&amp;TbTipos[Metodo],TbTipos[Tipo])</f>
        <v>OMP Operaciones</v>
      </c>
      <c r="AA52" s="2" t="str" cm="1">
        <f t="array" ref="AA52">_xlfn.XLOOKUP(Bash3[[#This Row],[Tecnología]]&amp;Bash3[[#This Row],[Problema]],TbNombres[Tecnología]&amp;TbNombres[Problema],TbNombres[Nombre])</f>
        <v>Brusselator1d</v>
      </c>
      <c r="AB52" s="2">
        <v>3</v>
      </c>
      <c r="AC52" s="2">
        <v>3</v>
      </c>
      <c r="AD52" s="2">
        <v>4</v>
      </c>
      <c r="AE52" s="2">
        <v>1000</v>
      </c>
      <c r="AF52" s="2">
        <v>2000</v>
      </c>
      <c r="AG52" s="2">
        <v>15.4558</v>
      </c>
      <c r="AI52" s="2" t="str">
        <f>_xlfn.XLOOKUP(Bash4[[#This Row],[Metodo]],TbSolver[Metodo],TbSolver[Solver])</f>
        <v>Adams Bashford</v>
      </c>
      <c r="AJ52" s="2" t="str">
        <f>_xlfn.XLOOKUP(Bash4[[#This Row],[Hebras]],TbTecnologia[Hebras],TbTecnologia[Tecnología])</f>
        <v>CUDA</v>
      </c>
      <c r="AK52" s="2" t="str" cm="1">
        <f t="array" ref="AK52">_xlfn.XLOOKUP(Bash4[[#This Row],[Tecnología]]&amp;Bash4[[#This Row],[Metodo]],TbTipos[Tecnología]&amp;TbTipos[Metodo],TbTipos[Tipo])</f>
        <v>CUDA con graph</v>
      </c>
      <c r="AL52" s="4" t="str" cm="1">
        <f t="array" ref="AL52">_xlfn.XLOOKUP(Bash4[[#This Row],[Tecnología]]&amp;Bash4[[#This Row],[Problema]],TbNombres[Tecnología]&amp;TbNombres[Problema],TbNombres[Nombre])</f>
        <v>Brusselator2d</v>
      </c>
      <c r="AM52" s="4">
        <v>4</v>
      </c>
      <c r="AN52" s="21">
        <v>8</v>
      </c>
      <c r="AO52" s="21">
        <v>256</v>
      </c>
      <c r="AP52" s="21">
        <v>150</v>
      </c>
      <c r="AQ52" s="21">
        <v>45000</v>
      </c>
      <c r="AR52" s="21">
        <v>12.4617</v>
      </c>
    </row>
    <row r="53" spans="2:44" x14ac:dyDescent="0.2">
      <c r="B53" s="1" t="str">
        <f>_xlfn.XLOOKUP(Bash1[[#This Row],[Metodo]],TbSolver[Metodo],TbSolver[Solver])</f>
        <v>Adams Bashford</v>
      </c>
      <c r="C53" s="1" t="str">
        <f>_xlfn.XLOOKUP(Bash1[[#This Row],[Hebras]],TbTecnologia[Hebras],TbTecnologia[Tecnología])</f>
        <v>OMP</v>
      </c>
      <c r="D53" s="1" t="str" cm="1">
        <f t="array" ref="D53">_xlfn.XLOOKUP(Bash1[[#This Row],[Tecnología]]&amp;Bash1[[#This Row],[Metodo]],TbTipos[Tecnología]&amp;TbTipos[Metodo],TbTipos[Tipo])</f>
        <v>OMP Elementos</v>
      </c>
      <c r="E53" s="1" t="str" cm="1">
        <f t="array" ref="E53">_xlfn.XLOOKUP(Bash1[[#This Row],[Tecnología]]&amp;Bash1[[#This Row],[Problema]],TbNombres[Tecnología]&amp;TbNombres[Problema],TbNombres[Nombre])</f>
        <v>Simple Advdiff</v>
      </c>
      <c r="F53" s="17">
        <v>4</v>
      </c>
      <c r="G53" s="17">
        <v>1</v>
      </c>
      <c r="H53" s="17">
        <v>1</v>
      </c>
      <c r="I53" s="17">
        <v>2000</v>
      </c>
      <c r="J53" s="17">
        <v>2000</v>
      </c>
      <c r="K53" s="17">
        <v>10.3408</v>
      </c>
      <c r="M53" s="2" t="str">
        <f>_xlfn.XLOOKUP(Bash2[[#This Row],[Metodo]],TbSolver[Metodo],TbSolver[Solver])</f>
        <v>Adams Bashford</v>
      </c>
      <c r="N53" s="2" t="str">
        <f>_xlfn.XLOOKUP(Bash2[[#This Row],[Hebras]],TbTecnologia[Hebras],TbTecnologia[Tecnología])</f>
        <v>OMP</v>
      </c>
      <c r="O53" s="6" t="str" cm="1">
        <f t="array" ref="O53">_xlfn.XLOOKUP(Bash2[[#This Row],[Tecnología]]&amp;Bash2[[#This Row],[Metodo]],TbTipos[Tecnología]&amp;TbTipos[Metodo],TbTipos[Tipo])</f>
        <v>OMP Operaciones</v>
      </c>
      <c r="P53" s="6" t="str" cm="1">
        <f t="array" ref="P53">_xlfn.XLOOKUP(Bash2[[#This Row],[Tecnología]]&amp;Bash2[[#This Row],[Problema]],TbNombres[Tecnología]&amp;TbNombres[Problema],TbNombres[Nombre])</f>
        <v>Advdiff1d</v>
      </c>
      <c r="Q53" s="4">
        <v>3</v>
      </c>
      <c r="R53" s="22">
        <v>2</v>
      </c>
      <c r="S53" s="22">
        <v>4</v>
      </c>
      <c r="T53" s="22">
        <v>2000</v>
      </c>
      <c r="U53" s="22">
        <v>2000</v>
      </c>
      <c r="V53" s="23">
        <v>27.303599999999999</v>
      </c>
      <c r="X53" s="2" t="str">
        <f>_xlfn.XLOOKUP(Bash3[[#This Row],[Metodo]],TbSolver[Metodo],TbSolver[Solver])</f>
        <v>Adams Bashford</v>
      </c>
      <c r="Y53" s="2" t="str">
        <f>_xlfn.XLOOKUP(Bash3[[#This Row],[Hebras]],TbTecnologia[Hebras],TbTecnologia[Tecnología])</f>
        <v>OMP</v>
      </c>
      <c r="Z53" s="2" t="str" cm="1">
        <f t="array" ref="Z53">_xlfn.XLOOKUP(Bash3[[#This Row],[Tecnología]]&amp;Bash3[[#This Row],[Metodo]],TbTipos[Tecnología]&amp;TbTipos[Metodo],TbTipos[Tipo])</f>
        <v>OMP Elementos</v>
      </c>
      <c r="AA53" s="2" t="str" cm="1">
        <f t="array" ref="AA53">_xlfn.XLOOKUP(Bash3[[#This Row],[Tecnología]]&amp;Bash3[[#This Row],[Problema]],TbNombres[Tecnología]&amp;TbNombres[Problema],TbNombres[Nombre])</f>
        <v>Brusselator1d</v>
      </c>
      <c r="AB53" s="2">
        <v>4</v>
      </c>
      <c r="AC53" s="2">
        <v>3</v>
      </c>
      <c r="AD53" s="2">
        <v>16</v>
      </c>
      <c r="AE53" s="2">
        <v>1000</v>
      </c>
      <c r="AF53" s="2">
        <v>2000</v>
      </c>
      <c r="AG53" s="2">
        <v>16.010300000000001</v>
      </c>
      <c r="AI53" s="4" t="str">
        <f>_xlfn.XLOOKUP(Bash4[[#This Row],[Metodo]],TbSolver[Metodo],TbSolver[Solver])</f>
        <v>Adams Bashford</v>
      </c>
      <c r="AJ53" s="4" t="str">
        <f>_xlfn.XLOOKUP(Bash4[[#This Row],[Hebras]],TbTecnologia[Hebras],TbTecnologia[Tecnología])</f>
        <v>OMP</v>
      </c>
      <c r="AK53" s="4" t="str" cm="1">
        <f t="array" ref="AK53">_xlfn.XLOOKUP(Bash4[[#This Row],[Tecnología]]&amp;Bash4[[#This Row],[Metodo]],TbTipos[Tecnología]&amp;TbTipos[Metodo],TbTipos[Tipo])</f>
        <v>OMP Operaciones</v>
      </c>
      <c r="AL53" s="4" t="str" cm="1">
        <f t="array" ref="AL53">_xlfn.XLOOKUP(Bash4[[#This Row],[Tecnología]]&amp;Bash4[[#This Row],[Problema]],TbNombres[Tecnología]&amp;TbNombres[Problema],TbNombres[Nombre])</f>
        <v>Brusselator2d</v>
      </c>
      <c r="AM53" s="4">
        <v>3</v>
      </c>
      <c r="AN53" s="4">
        <v>4</v>
      </c>
      <c r="AO53" s="4">
        <v>16</v>
      </c>
      <c r="AP53" s="4">
        <v>150</v>
      </c>
      <c r="AQ53" s="4">
        <v>45000</v>
      </c>
      <c r="AR53" s="4">
        <v>47.894500000000001</v>
      </c>
    </row>
    <row r="54" spans="2:44" x14ac:dyDescent="0.2">
      <c r="B54" s="1" t="str">
        <f>_xlfn.XLOOKUP(Bash1[[#This Row],[Metodo]],TbSolver[Metodo],TbSolver[Solver])</f>
        <v>Adams Bashford</v>
      </c>
      <c r="C54" s="1" t="str">
        <f>_xlfn.XLOOKUP(Bash1[[#This Row],[Hebras]],TbTecnologia[Hebras],TbTecnologia[Tecnología])</f>
        <v>OMP</v>
      </c>
      <c r="D54" s="1" t="str" cm="1">
        <f t="array" ref="D54">_xlfn.XLOOKUP(Bash1[[#This Row],[Tecnología]]&amp;Bash1[[#This Row],[Metodo]],TbTipos[Tecnología]&amp;TbTipos[Metodo],TbTipos[Tipo])</f>
        <v>OMP Operaciones</v>
      </c>
      <c r="E54" s="1" t="str" cm="1">
        <f t="array" ref="E54">_xlfn.XLOOKUP(Bash1[[#This Row],[Tecnología]]&amp;Bash1[[#This Row],[Problema]],TbNombres[Tecnología]&amp;TbNombres[Problema],TbNombres[Nombre])</f>
        <v>Simple Advdiff</v>
      </c>
      <c r="F54" s="17">
        <v>3</v>
      </c>
      <c r="G54" s="17">
        <v>1</v>
      </c>
      <c r="H54" s="17">
        <v>4</v>
      </c>
      <c r="I54" s="17">
        <v>2000</v>
      </c>
      <c r="J54" s="17">
        <v>2000</v>
      </c>
      <c r="K54" s="17">
        <v>12.6073</v>
      </c>
      <c r="M54" s="2" t="str">
        <f>_xlfn.XLOOKUP(Bash2[[#This Row],[Metodo]],TbSolver[Metodo],TbSolver[Solver])</f>
        <v>Adams Bashford</v>
      </c>
      <c r="N54" s="2" t="str">
        <f>_xlfn.XLOOKUP(Bash2[[#This Row],[Hebras]],TbTecnologia[Hebras],TbTecnologia[Tecnología])</f>
        <v>OMP</v>
      </c>
      <c r="O54" s="6" t="str" cm="1">
        <f t="array" ref="O54">_xlfn.XLOOKUP(Bash2[[#This Row],[Tecnología]]&amp;Bash2[[#This Row],[Metodo]],TbTipos[Tecnología]&amp;TbTipos[Metodo],TbTipos[Tipo])</f>
        <v>OMP Operaciones</v>
      </c>
      <c r="P54" s="6" t="str" cm="1">
        <f t="array" ref="P54">_xlfn.XLOOKUP(Bash2[[#This Row],[Tecnología]]&amp;Bash2[[#This Row],[Problema]],TbNombres[Tecnología]&amp;TbNombres[Problema],TbNombres[Nombre])</f>
        <v>Advdiff1d</v>
      </c>
      <c r="Q54" s="4">
        <v>3</v>
      </c>
      <c r="R54" s="22">
        <v>2</v>
      </c>
      <c r="S54" s="22">
        <v>16</v>
      </c>
      <c r="T54" s="22">
        <v>2000</v>
      </c>
      <c r="U54" s="22">
        <v>2000</v>
      </c>
      <c r="V54" s="23">
        <v>35.413400000000003</v>
      </c>
      <c r="X54" s="2" t="str">
        <f>_xlfn.XLOOKUP(Bash3[[#This Row],[Metodo]],TbSolver[Metodo],TbSolver[Solver])</f>
        <v>Adams Bashford</v>
      </c>
      <c r="Y54" s="2" t="str">
        <f>_xlfn.XLOOKUP(Bash3[[#This Row],[Hebras]],TbTecnologia[Hebras],TbTecnologia[Tecnología])</f>
        <v>OMP</v>
      </c>
      <c r="Z54" s="2" t="str" cm="1">
        <f t="array" ref="Z54">_xlfn.XLOOKUP(Bash3[[#This Row],[Tecnología]]&amp;Bash3[[#This Row],[Metodo]],TbTipos[Tecnología]&amp;TbTipos[Metodo],TbTipos[Tipo])</f>
        <v>OMP Operaciones</v>
      </c>
      <c r="AA54" s="2" t="str" cm="1">
        <f t="array" ref="AA54">_xlfn.XLOOKUP(Bash3[[#This Row],[Tecnología]]&amp;Bash3[[#This Row],[Problema]],TbNombres[Tecnología]&amp;TbNombres[Problema],TbNombres[Nombre])</f>
        <v>Brusselator1d</v>
      </c>
      <c r="AB54" s="2">
        <v>3</v>
      </c>
      <c r="AC54" s="2">
        <v>3</v>
      </c>
      <c r="AD54" s="2">
        <v>16</v>
      </c>
      <c r="AE54" s="2">
        <v>1000</v>
      </c>
      <c r="AF54" s="2">
        <v>2000</v>
      </c>
      <c r="AG54" s="2">
        <v>31.922799999999999</v>
      </c>
      <c r="AI54" s="4" t="str">
        <f>_xlfn.XLOOKUP(Bash4[[#This Row],[Metodo]],TbSolver[Metodo],TbSolver[Solver])</f>
        <v>Adams Bashford</v>
      </c>
      <c r="AJ54" s="4" t="str">
        <f>_xlfn.XLOOKUP(Bash4[[#This Row],[Hebras]],TbTecnologia[Hebras],TbTecnologia[Tecnología])</f>
        <v>OMP</v>
      </c>
      <c r="AK54" s="4" t="str" cm="1">
        <f t="array" ref="AK54">_xlfn.XLOOKUP(Bash4[[#This Row],[Tecnología]]&amp;Bash4[[#This Row],[Metodo]],TbTipos[Tecnología]&amp;TbTipos[Metodo],TbTipos[Tipo])</f>
        <v>OMP Elementos</v>
      </c>
      <c r="AL54" s="4" t="str" cm="1">
        <f t="array" ref="AL54">_xlfn.XLOOKUP(Bash4[[#This Row],[Tecnología]]&amp;Bash4[[#This Row],[Problema]],TbNombres[Tecnología]&amp;TbNombres[Problema],TbNombres[Nombre])</f>
        <v>Brusselator2d</v>
      </c>
      <c r="AM54" s="4">
        <v>4</v>
      </c>
      <c r="AN54" s="4">
        <v>4</v>
      </c>
      <c r="AO54" s="4">
        <v>16</v>
      </c>
      <c r="AP54" s="4">
        <v>150</v>
      </c>
      <c r="AQ54" s="4">
        <v>45000</v>
      </c>
      <c r="AR54" s="4">
        <v>56.496699999999997</v>
      </c>
    </row>
    <row r="55" spans="2:44" x14ac:dyDescent="0.2">
      <c r="B55" s="1" t="str">
        <f>_xlfn.XLOOKUP(Bash1[[#This Row],[Metodo]],TbSolver[Metodo],TbSolver[Solver])</f>
        <v>Adams Bashford</v>
      </c>
      <c r="C55" s="1" t="str">
        <f>_xlfn.XLOOKUP(Bash1[[#This Row],[Hebras]],TbTecnologia[Hebras],TbTecnologia[Tecnología])</f>
        <v>OMP</v>
      </c>
      <c r="D55" s="1" t="str" cm="1">
        <f t="array" ref="D55">_xlfn.XLOOKUP(Bash1[[#This Row],[Tecnología]]&amp;Bash1[[#This Row],[Metodo]],TbTipos[Tecnología]&amp;TbTipos[Metodo],TbTipos[Tipo])</f>
        <v>OMP Operaciones</v>
      </c>
      <c r="E55" s="1" t="str" cm="1">
        <f t="array" ref="E55">_xlfn.XLOOKUP(Bash1[[#This Row],[Tecnología]]&amp;Bash1[[#This Row],[Problema]],TbNombres[Tecnología]&amp;TbNombres[Problema],TbNombres[Nombre])</f>
        <v>Simple Advdiff</v>
      </c>
      <c r="F55" s="17">
        <v>3</v>
      </c>
      <c r="G55" s="17">
        <v>1</v>
      </c>
      <c r="H55" s="17">
        <v>16</v>
      </c>
      <c r="I55" s="17">
        <v>2000</v>
      </c>
      <c r="J55" s="17">
        <v>2000</v>
      </c>
      <c r="K55" s="17">
        <v>26.570699999999999</v>
      </c>
      <c r="M55" s="2" t="str">
        <f>_xlfn.XLOOKUP(Bash2[[#This Row],[Metodo]],TbSolver[Metodo],TbSolver[Solver])</f>
        <v>Adams Bashford</v>
      </c>
      <c r="N55" s="2" t="str">
        <f>_xlfn.XLOOKUP(Bash2[[#This Row],[Hebras]],TbTecnologia[Hebras],TbTecnologia[Tecnología])</f>
        <v>OMP</v>
      </c>
      <c r="O55" s="6" t="str" cm="1">
        <f t="array" ref="O55">_xlfn.XLOOKUP(Bash2[[#This Row],[Tecnología]]&amp;Bash2[[#This Row],[Metodo]],TbTipos[Tecnología]&amp;TbTipos[Metodo],TbTipos[Tipo])</f>
        <v>OMP Operaciones</v>
      </c>
      <c r="P55" s="6" t="str" cm="1">
        <f t="array" ref="P55">_xlfn.XLOOKUP(Bash2[[#This Row],[Tecnología]]&amp;Bash2[[#This Row],[Problema]],TbNombres[Tecnología]&amp;TbNombres[Problema],TbNombres[Nombre])</f>
        <v>Advdiff1d</v>
      </c>
      <c r="Q55" s="4">
        <v>3</v>
      </c>
      <c r="R55" s="22">
        <v>2</v>
      </c>
      <c r="S55" s="22">
        <v>1</v>
      </c>
      <c r="T55" s="22">
        <v>2000</v>
      </c>
      <c r="U55" s="22">
        <v>2000</v>
      </c>
      <c r="V55" s="23">
        <v>46.719000000000001</v>
      </c>
      <c r="X55" s="2" t="str">
        <f>_xlfn.XLOOKUP(Bash3[[#This Row],[Metodo]],TbSolver[Metodo],TbSolver[Solver])</f>
        <v>Adams Bashford</v>
      </c>
      <c r="Y55" s="2" t="str">
        <f>_xlfn.XLOOKUP(Bash3[[#This Row],[Hebras]],TbTecnologia[Hebras],TbTecnologia[Tecnología])</f>
        <v>CUDA</v>
      </c>
      <c r="Z55" s="2" t="str" cm="1">
        <f t="array" ref="Z55">_xlfn.XLOOKUP(Bash3[[#This Row],[Tecnología]]&amp;Bash3[[#This Row],[Metodo]],TbTipos[Tecnología]&amp;TbTipos[Metodo],TbTipos[Tipo])</f>
        <v>CUDA sin graph</v>
      </c>
      <c r="AA55" s="2" t="str" cm="1">
        <f t="array" ref="AA55">_xlfn.XLOOKUP(Bash3[[#This Row],[Tecnología]]&amp;Bash3[[#This Row],[Problema]],TbNombres[Tecnología]&amp;TbNombres[Problema],TbNombres[Nombre])</f>
        <v>Brusselator1d</v>
      </c>
      <c r="AB55" s="2">
        <v>3</v>
      </c>
      <c r="AC55" s="2">
        <v>5</v>
      </c>
      <c r="AD55" s="2">
        <v>256</v>
      </c>
      <c r="AE55" s="2">
        <v>2000</v>
      </c>
      <c r="AF55" s="2">
        <v>4000</v>
      </c>
      <c r="AG55" s="2">
        <v>4.5078199999999997</v>
      </c>
      <c r="AI55" s="4" t="str">
        <f>_xlfn.XLOOKUP(Bash4[[#This Row],[Metodo]],TbSolver[Metodo],TbSolver[Solver])</f>
        <v>Adams Bashford</v>
      </c>
      <c r="AJ55" s="4" t="str">
        <f>_xlfn.XLOOKUP(Bash4[[#This Row],[Hebras]],TbTecnologia[Hebras],TbTecnologia[Tecnología])</f>
        <v>OMP</v>
      </c>
      <c r="AK55" s="4" t="str" cm="1">
        <f t="array" ref="AK55">_xlfn.XLOOKUP(Bash4[[#This Row],[Tecnología]]&amp;Bash4[[#This Row],[Metodo]],TbTipos[Tecnología]&amp;TbTipos[Metodo],TbTipos[Tipo])</f>
        <v>OMP Operaciones</v>
      </c>
      <c r="AL55" s="4" t="str" cm="1">
        <f t="array" ref="AL55">_xlfn.XLOOKUP(Bash4[[#This Row],[Tecnología]]&amp;Bash4[[#This Row],[Problema]],TbNombres[Tecnología]&amp;TbNombres[Problema],TbNombres[Nombre])</f>
        <v>Brusselator2d</v>
      </c>
      <c r="AM55" s="4">
        <v>3</v>
      </c>
      <c r="AN55" s="4">
        <v>4</v>
      </c>
      <c r="AO55" s="4">
        <v>4</v>
      </c>
      <c r="AP55" s="4">
        <v>150</v>
      </c>
      <c r="AQ55" s="4">
        <v>45000</v>
      </c>
      <c r="AR55" s="4">
        <v>83.186300000000003</v>
      </c>
    </row>
    <row r="56" spans="2:44" x14ac:dyDescent="0.2">
      <c r="B56" s="1" t="str">
        <f>_xlfn.XLOOKUP(Bash1[[#This Row],[Metodo]],TbSolver[Metodo],TbSolver[Solver])</f>
        <v>Adams Bashford</v>
      </c>
      <c r="C56" s="1" t="str">
        <f>_xlfn.XLOOKUP(Bash1[[#This Row],[Hebras]],TbTecnologia[Hebras],TbTecnologia[Tecnología])</f>
        <v>OMP</v>
      </c>
      <c r="D56" s="1" t="str" cm="1">
        <f t="array" ref="D56">_xlfn.XLOOKUP(Bash1[[#This Row],[Tecnología]]&amp;Bash1[[#This Row],[Metodo]],TbTipos[Tecnología]&amp;TbTipos[Metodo],TbTipos[Tipo])</f>
        <v>OMP Elementos</v>
      </c>
      <c r="E56" s="1" t="str" cm="1">
        <f t="array" ref="E56">_xlfn.XLOOKUP(Bash1[[#This Row],[Tecnología]]&amp;Bash1[[#This Row],[Problema]],TbNombres[Tecnología]&amp;TbNombres[Problema],TbNombres[Nombre])</f>
        <v>Simple Advdiff</v>
      </c>
      <c r="F56" s="17">
        <v>4</v>
      </c>
      <c r="G56" s="17">
        <v>1</v>
      </c>
      <c r="H56" s="17">
        <v>16</v>
      </c>
      <c r="I56" s="17">
        <v>2000</v>
      </c>
      <c r="J56" s="17">
        <v>2000</v>
      </c>
      <c r="K56" s="17">
        <v>33.106900000000003</v>
      </c>
      <c r="M56" s="2" t="str">
        <f>_xlfn.XLOOKUP(Bash2[[#This Row],[Metodo]],TbSolver[Metodo],TbSolver[Solver])</f>
        <v>Adams Bashford</v>
      </c>
      <c r="N56" s="2" t="str">
        <f>_xlfn.XLOOKUP(Bash2[[#This Row],[Hebras]],TbTecnologia[Hebras],TbTecnologia[Tecnología])</f>
        <v>OMP</v>
      </c>
      <c r="O56" s="6" t="str" cm="1">
        <f t="array" ref="O56">_xlfn.XLOOKUP(Bash2[[#This Row],[Tecnología]]&amp;Bash2[[#This Row],[Metodo]],TbTipos[Tecnología]&amp;TbTipos[Metodo],TbTipos[Tipo])</f>
        <v>OMP Elementos</v>
      </c>
      <c r="P56" s="6" t="str" cm="1">
        <f t="array" ref="P56">_xlfn.XLOOKUP(Bash2[[#This Row],[Tecnología]]&amp;Bash2[[#This Row],[Problema]],TbNombres[Tecnología]&amp;TbNombres[Problema],TbNombres[Nombre])</f>
        <v>Advdiff1d</v>
      </c>
      <c r="Q56" s="4">
        <v>4</v>
      </c>
      <c r="R56" s="22">
        <v>2</v>
      </c>
      <c r="S56" s="22">
        <v>1</v>
      </c>
      <c r="T56" s="22">
        <v>2000</v>
      </c>
      <c r="U56" s="22">
        <v>2000</v>
      </c>
      <c r="V56" s="23">
        <v>53.302</v>
      </c>
      <c r="X56" s="2" t="str">
        <f>_xlfn.XLOOKUP(Bash3[[#This Row],[Metodo]],TbSolver[Metodo],TbSolver[Solver])</f>
        <v>Adams Bashford</v>
      </c>
      <c r="Y56" s="2" t="str">
        <f>_xlfn.XLOOKUP(Bash3[[#This Row],[Hebras]],TbTecnologia[Hebras],TbTecnologia[Tecnología])</f>
        <v>CUDA</v>
      </c>
      <c r="Z56" s="2" t="str" cm="1">
        <f t="array" ref="Z56">_xlfn.XLOOKUP(Bash3[[#This Row],[Tecnología]]&amp;Bash3[[#This Row],[Metodo]],TbTipos[Tecnología]&amp;TbTipos[Metodo],TbTipos[Tipo])</f>
        <v>CUDA sin graph</v>
      </c>
      <c r="AA56" s="2" t="str" cm="1">
        <f t="array" ref="AA56">_xlfn.XLOOKUP(Bash3[[#This Row],[Tecnología]]&amp;Bash3[[#This Row],[Problema]],TbNombres[Tecnología]&amp;TbNombres[Problema],TbNombres[Nombre])</f>
        <v>Brusselator1d grid</v>
      </c>
      <c r="AB56" s="2">
        <v>3</v>
      </c>
      <c r="AC56" s="2">
        <v>7</v>
      </c>
      <c r="AD56" s="2">
        <v>256</v>
      </c>
      <c r="AE56" s="2">
        <v>2000</v>
      </c>
      <c r="AF56" s="2">
        <v>4000</v>
      </c>
      <c r="AG56" s="2">
        <v>4.5202</v>
      </c>
      <c r="AI56" s="4" t="str">
        <f>_xlfn.XLOOKUP(Bash4[[#This Row],[Metodo]],TbSolver[Metodo],TbSolver[Solver])</f>
        <v>Adams Bashford</v>
      </c>
      <c r="AJ56" s="4" t="str">
        <f>_xlfn.XLOOKUP(Bash4[[#This Row],[Hebras]],TbTecnologia[Hebras],TbTecnologia[Tecnología])</f>
        <v>OMP</v>
      </c>
      <c r="AK56" s="4" t="str" cm="1">
        <f t="array" ref="AK56">_xlfn.XLOOKUP(Bash4[[#This Row],[Tecnología]]&amp;Bash4[[#This Row],[Metodo]],TbTipos[Tecnología]&amp;TbTipos[Metodo],TbTipos[Tipo])</f>
        <v>OMP Elementos</v>
      </c>
      <c r="AL56" s="4" t="str" cm="1">
        <f t="array" ref="AL56">_xlfn.XLOOKUP(Bash4[[#This Row],[Tecnología]]&amp;Bash4[[#This Row],[Problema]],TbNombres[Tecnología]&amp;TbNombres[Problema],TbNombres[Nombre])</f>
        <v>Brusselator2d</v>
      </c>
      <c r="AM56" s="4">
        <v>4</v>
      </c>
      <c r="AN56" s="4">
        <v>4</v>
      </c>
      <c r="AO56" s="4">
        <v>4</v>
      </c>
      <c r="AP56" s="4">
        <v>150</v>
      </c>
      <c r="AQ56" s="4">
        <v>45000</v>
      </c>
      <c r="AR56" s="4">
        <v>158.96299999999999</v>
      </c>
    </row>
    <row r="57" spans="2:44" x14ac:dyDescent="0.2">
      <c r="B57" s="1" t="str">
        <f>_xlfn.XLOOKUP(Bash1[[#This Row],[Metodo]],TbSolver[Metodo],TbSolver[Solver])</f>
        <v>Adams Bashford</v>
      </c>
      <c r="C57" s="1" t="str">
        <f>_xlfn.XLOOKUP(Bash1[[#This Row],[Hebras]],TbTecnologia[Hebras],TbTecnologia[Tecnología])</f>
        <v>CUDA</v>
      </c>
      <c r="D57" s="1" t="str" cm="1">
        <f t="array" ref="D57">_xlfn.XLOOKUP(Bash1[[#This Row],[Tecnología]]&amp;Bash1[[#This Row],[Metodo]],TbTipos[Tecnología]&amp;TbTipos[Metodo],TbTipos[Tipo])</f>
        <v>CUDA sin graph</v>
      </c>
      <c r="E57" s="1" t="str" cm="1">
        <f t="array" ref="E57">_xlfn.XLOOKUP(Bash1[[#This Row],[Tecnología]]&amp;Bash1[[#This Row],[Problema]],TbNombres[Tecnología]&amp;TbNombres[Problema],TbNombres[Nombre])</f>
        <v>Simple Advdiff shuffle</v>
      </c>
      <c r="F57" s="1">
        <v>3</v>
      </c>
      <c r="G57" s="1">
        <v>2</v>
      </c>
      <c r="H57" s="1">
        <v>256</v>
      </c>
      <c r="I57" s="1">
        <v>5000</v>
      </c>
      <c r="J57" s="1">
        <v>5000</v>
      </c>
      <c r="K57" s="1">
        <v>4.3283699999999996</v>
      </c>
      <c r="M57" s="2" t="str">
        <f>_xlfn.XLOOKUP(Bash2[[#This Row],[Metodo]],TbSolver[Metodo],TbSolver[Solver])</f>
        <v>Adams Bashford</v>
      </c>
      <c r="N57" s="2" t="str">
        <f>_xlfn.XLOOKUP(Bash2[[#This Row],[Hebras]],TbTecnologia[Hebras],TbTecnologia[Tecnología])</f>
        <v>CUDA</v>
      </c>
      <c r="O57" s="6" t="str" cm="1">
        <f t="array" ref="O57">_xlfn.XLOOKUP(Bash2[[#This Row],[Tecnología]]&amp;Bash2[[#This Row],[Metodo]],TbTipos[Tecnología]&amp;TbTipos[Metodo],TbTipos[Tipo])</f>
        <v>CUDA sin graph</v>
      </c>
      <c r="P57" s="6" t="str" cm="1">
        <f t="array" ref="P57">_xlfn.XLOOKUP(Bash2[[#This Row],[Tecnología]]&amp;Bash2[[#This Row],[Problema]],TbNombres[Tecnología]&amp;TbNombres[Problema],TbNombres[Nombre])</f>
        <v>Advdiff1d</v>
      </c>
      <c r="Q57" s="2">
        <v>3</v>
      </c>
      <c r="R57" s="6">
        <v>3</v>
      </c>
      <c r="S57" s="6">
        <v>256</v>
      </c>
      <c r="T57" s="6">
        <v>5000</v>
      </c>
      <c r="U57" s="6">
        <v>5000</v>
      </c>
      <c r="V57" s="8">
        <v>8.0784800000000008</v>
      </c>
      <c r="X57" s="2" t="str">
        <f>_xlfn.XLOOKUP(Bash3[[#This Row],[Metodo]],TbSolver[Metodo],TbSolver[Solver])</f>
        <v>Adams Bashford</v>
      </c>
      <c r="Y57" s="2" t="str">
        <f>_xlfn.XLOOKUP(Bash3[[#This Row],[Hebras]],TbTecnologia[Hebras],TbTecnologia[Tecnología])</f>
        <v>CUDA</v>
      </c>
      <c r="Z57" s="2" t="str" cm="1">
        <f t="array" ref="Z57">_xlfn.XLOOKUP(Bash3[[#This Row],[Tecnología]]&amp;Bash3[[#This Row],[Metodo]],TbTipos[Tecnología]&amp;TbTipos[Metodo],TbTipos[Tipo])</f>
        <v>CUDA sin graph</v>
      </c>
      <c r="AA57" s="2" t="str" cm="1">
        <f t="array" ref="AA57">_xlfn.XLOOKUP(Bash3[[#This Row],[Tecnología]]&amp;Bash3[[#This Row],[Problema]],TbNombres[Tecnología]&amp;TbNombres[Problema],TbNombres[Nombre])</f>
        <v>Brusselator1d shuffle</v>
      </c>
      <c r="AB57" s="2">
        <v>3</v>
      </c>
      <c r="AC57" s="2">
        <v>6</v>
      </c>
      <c r="AD57" s="2">
        <v>256</v>
      </c>
      <c r="AE57" s="2">
        <v>2000</v>
      </c>
      <c r="AF57" s="2">
        <v>4000</v>
      </c>
      <c r="AG57" s="2">
        <v>4.5514799999999997</v>
      </c>
      <c r="AI57" s="4" t="str">
        <f>_xlfn.XLOOKUP(Bash4[[#This Row],[Metodo]],TbSolver[Metodo],TbSolver[Solver])</f>
        <v>Adams Bashford</v>
      </c>
      <c r="AJ57" s="4" t="str">
        <f>_xlfn.XLOOKUP(Bash4[[#This Row],[Hebras]],TbTecnologia[Hebras],TbTecnologia[Tecnología])</f>
        <v>OMP</v>
      </c>
      <c r="AK57" s="4" t="str" cm="1">
        <f t="array" ref="AK57">_xlfn.XLOOKUP(Bash4[[#This Row],[Tecnología]]&amp;Bash4[[#This Row],[Metodo]],TbTipos[Tecnología]&amp;TbTipos[Metodo],TbTipos[Tipo])</f>
        <v>OMP Operaciones</v>
      </c>
      <c r="AL57" s="4" t="str" cm="1">
        <f t="array" ref="AL57">_xlfn.XLOOKUP(Bash4[[#This Row],[Tecnología]]&amp;Bash4[[#This Row],[Problema]],TbNombres[Tecnología]&amp;TbNombres[Problema],TbNombres[Nombre])</f>
        <v>Brusselator2d</v>
      </c>
      <c r="AM57" s="4">
        <v>3</v>
      </c>
      <c r="AN57" s="4">
        <v>4</v>
      </c>
      <c r="AO57" s="4">
        <v>1</v>
      </c>
      <c r="AP57" s="4">
        <v>150</v>
      </c>
      <c r="AQ57" s="4">
        <v>45000</v>
      </c>
      <c r="AR57" s="4">
        <v>315.30200000000002</v>
      </c>
    </row>
    <row r="58" spans="2:44" x14ac:dyDescent="0.2">
      <c r="B58" s="1" t="str">
        <f>_xlfn.XLOOKUP(Bash1[[#This Row],[Metodo]],TbSolver[Metodo],TbSolver[Solver])</f>
        <v>Adams Bashford</v>
      </c>
      <c r="C58" s="1" t="str">
        <f>_xlfn.XLOOKUP(Bash1[[#This Row],[Hebras]],TbTecnologia[Hebras],TbTecnologia[Tecnología])</f>
        <v>CUDA</v>
      </c>
      <c r="D58" s="1" t="str" cm="1">
        <f t="array" ref="D58">_xlfn.XLOOKUP(Bash1[[#This Row],[Tecnología]]&amp;Bash1[[#This Row],[Metodo]],TbTipos[Tecnología]&amp;TbTipos[Metodo],TbTipos[Tipo])</f>
        <v>CUDA sin graph</v>
      </c>
      <c r="E58" s="1" t="str" cm="1">
        <f t="array" ref="E58">_xlfn.XLOOKUP(Bash1[[#This Row],[Tecnología]]&amp;Bash1[[#This Row],[Problema]],TbNombres[Tecnología]&amp;TbNombres[Problema],TbNombres[Nombre])</f>
        <v>Simple Advdiff</v>
      </c>
      <c r="F58" s="1">
        <v>3</v>
      </c>
      <c r="G58" s="1">
        <v>1</v>
      </c>
      <c r="H58" s="1">
        <v>256</v>
      </c>
      <c r="I58" s="1">
        <v>5000</v>
      </c>
      <c r="J58" s="1">
        <v>5000</v>
      </c>
      <c r="K58" s="1">
        <v>4.3452799999999998</v>
      </c>
      <c r="M58" s="2" t="str">
        <f>_xlfn.XLOOKUP(Bash2[[#This Row],[Metodo]],TbSolver[Metodo],TbSolver[Solver])</f>
        <v>Adams Bashford</v>
      </c>
      <c r="N58" s="2" t="str">
        <f>_xlfn.XLOOKUP(Bash2[[#This Row],[Hebras]],TbTecnologia[Hebras],TbTecnologia[Tecnología])</f>
        <v>CUDA</v>
      </c>
      <c r="O58" s="6" t="str" cm="1">
        <f t="array" ref="O58">_xlfn.XLOOKUP(Bash2[[#This Row],[Tecnología]]&amp;Bash2[[#This Row],[Metodo]],TbTipos[Tecnología]&amp;TbTipos[Metodo],TbTipos[Tipo])</f>
        <v>CUDA sin graph</v>
      </c>
      <c r="P58" s="6" t="str" cm="1">
        <f t="array" ref="P58">_xlfn.XLOOKUP(Bash2[[#This Row],[Tecnología]]&amp;Bash2[[#This Row],[Problema]],TbNombres[Tecnología]&amp;TbNombres[Problema],TbNombres[Nombre])</f>
        <v>Advdiff1d shuffle</v>
      </c>
      <c r="Q58" s="2">
        <v>3</v>
      </c>
      <c r="R58" s="6">
        <v>4</v>
      </c>
      <c r="S58" s="6">
        <v>256</v>
      </c>
      <c r="T58" s="6">
        <v>5000</v>
      </c>
      <c r="U58" s="6">
        <v>5000</v>
      </c>
      <c r="V58" s="8">
        <v>8.4013799999999996</v>
      </c>
      <c r="X58" s="2" t="str">
        <f>_xlfn.XLOOKUP(Bash3[[#This Row],[Metodo]],TbSolver[Metodo],TbSolver[Solver])</f>
        <v>Adams Bashford</v>
      </c>
      <c r="Y58" s="2" t="str">
        <f>_xlfn.XLOOKUP(Bash3[[#This Row],[Hebras]],TbTecnologia[Hebras],TbTecnologia[Tecnología])</f>
        <v>CUDA</v>
      </c>
      <c r="Z58" s="2" t="str" cm="1">
        <f t="array" ref="Z58">_xlfn.XLOOKUP(Bash3[[#This Row],[Tecnología]]&amp;Bash3[[#This Row],[Metodo]],TbTipos[Tecnología]&amp;TbTipos[Metodo],TbTipos[Tipo])</f>
        <v>CUDA con graph</v>
      </c>
      <c r="AA58" s="2" t="str" cm="1">
        <f t="array" ref="AA58">_xlfn.XLOOKUP(Bash3[[#This Row],[Tecnología]]&amp;Bash3[[#This Row],[Problema]],TbNombres[Tecnología]&amp;TbNombres[Problema],TbNombres[Nombre])</f>
        <v>Brusselator1d</v>
      </c>
      <c r="AB58" s="2">
        <v>4</v>
      </c>
      <c r="AC58" s="2">
        <v>5</v>
      </c>
      <c r="AD58" s="2">
        <v>256</v>
      </c>
      <c r="AE58" s="2">
        <v>2000</v>
      </c>
      <c r="AF58" s="2">
        <v>4000</v>
      </c>
      <c r="AG58" s="2">
        <v>6.1092500000000003</v>
      </c>
      <c r="AI58" s="4" t="str">
        <f>_xlfn.XLOOKUP(Bash4[[#This Row],[Metodo]],TbSolver[Metodo],TbSolver[Solver])</f>
        <v>Adams Bashford</v>
      </c>
      <c r="AJ58" s="4" t="str">
        <f>_xlfn.XLOOKUP(Bash4[[#This Row],[Hebras]],TbTecnologia[Hebras],TbTecnologia[Tecnología])</f>
        <v>OMP</v>
      </c>
      <c r="AK58" s="4" t="str" cm="1">
        <f t="array" ref="AK58">_xlfn.XLOOKUP(Bash4[[#This Row],[Tecnología]]&amp;Bash4[[#This Row],[Metodo]],TbTipos[Tecnología]&amp;TbTipos[Metodo],TbTipos[Tipo])</f>
        <v>OMP Elementos</v>
      </c>
      <c r="AL58" s="4" t="str" cm="1">
        <f t="array" ref="AL58">_xlfn.XLOOKUP(Bash4[[#This Row],[Tecnología]]&amp;Bash4[[#This Row],[Problema]],TbNombres[Tecnología]&amp;TbNombres[Problema],TbNombres[Nombre])</f>
        <v>Brusselator2d</v>
      </c>
      <c r="AM58" s="4">
        <v>4</v>
      </c>
      <c r="AN58" s="4">
        <v>4</v>
      </c>
      <c r="AO58" s="4">
        <v>1</v>
      </c>
      <c r="AP58" s="4">
        <v>150</v>
      </c>
      <c r="AQ58" s="4">
        <v>45000</v>
      </c>
      <c r="AR58" s="4">
        <v>616.67200000000003</v>
      </c>
    </row>
    <row r="59" spans="2:44" x14ac:dyDescent="0.2">
      <c r="B59" s="1" t="str">
        <f>_xlfn.XLOOKUP(Bash1[[#This Row],[Metodo]],TbSolver[Metodo],TbSolver[Solver])</f>
        <v>Adams Bashford</v>
      </c>
      <c r="C59" s="1" t="str">
        <f>_xlfn.XLOOKUP(Bash1[[#This Row],[Hebras]],TbTecnologia[Hebras],TbTecnologia[Tecnología])</f>
        <v>CUDA</v>
      </c>
      <c r="D59" s="1" t="str" cm="1">
        <f t="array" ref="D59">_xlfn.XLOOKUP(Bash1[[#This Row],[Tecnología]]&amp;Bash1[[#This Row],[Metodo]],TbTipos[Tecnología]&amp;TbTipos[Metodo],TbTipos[Tipo])</f>
        <v>CUDA con graph</v>
      </c>
      <c r="E59" s="1" t="str" cm="1">
        <f t="array" ref="E59">_xlfn.XLOOKUP(Bash1[[#This Row],[Tecnología]]&amp;Bash1[[#This Row],[Problema]],TbNombres[Tecnología]&amp;TbNombres[Problema],TbNombres[Nombre])</f>
        <v>Simple Advdiff</v>
      </c>
      <c r="F59" s="1">
        <v>4</v>
      </c>
      <c r="G59" s="1">
        <v>1</v>
      </c>
      <c r="H59" s="1">
        <v>256</v>
      </c>
      <c r="I59" s="1">
        <v>5000</v>
      </c>
      <c r="J59" s="1">
        <v>5000</v>
      </c>
      <c r="K59" s="1">
        <v>5.8786300000000002</v>
      </c>
      <c r="M59" s="2" t="str">
        <f>_xlfn.XLOOKUP(Bash2[[#This Row],[Metodo]],TbSolver[Metodo],TbSolver[Solver])</f>
        <v>Adams Bashford</v>
      </c>
      <c r="N59" s="2" t="str">
        <f>_xlfn.XLOOKUP(Bash2[[#This Row],[Hebras]],TbTecnologia[Hebras],TbTecnologia[Tecnología])</f>
        <v>CUDA</v>
      </c>
      <c r="O59" s="6" t="str" cm="1">
        <f t="array" ref="O59">_xlfn.XLOOKUP(Bash2[[#This Row],[Tecnología]]&amp;Bash2[[#This Row],[Metodo]],TbTipos[Tecnología]&amp;TbTipos[Metodo],TbTipos[Tipo])</f>
        <v>CUDA con graph</v>
      </c>
      <c r="P59" s="6" t="str" cm="1">
        <f t="array" ref="P59">_xlfn.XLOOKUP(Bash2[[#This Row],[Tecnología]]&amp;Bash2[[#This Row],[Problema]],TbNombres[Tecnología]&amp;TbNombres[Problema],TbNombres[Nombre])</f>
        <v>Advdiff1d</v>
      </c>
      <c r="Q59" s="2">
        <v>4</v>
      </c>
      <c r="R59" s="6">
        <v>3</v>
      </c>
      <c r="S59" s="6">
        <v>256</v>
      </c>
      <c r="T59" s="6">
        <v>5000</v>
      </c>
      <c r="U59" s="6">
        <v>5000</v>
      </c>
      <c r="V59" s="8">
        <v>9.8192599999999999</v>
      </c>
      <c r="X59" s="2" t="str">
        <f>_xlfn.XLOOKUP(Bash3[[#This Row],[Metodo]],TbSolver[Metodo],TbSolver[Solver])</f>
        <v>Adams Bashford</v>
      </c>
      <c r="Y59" s="2" t="str">
        <f>_xlfn.XLOOKUP(Bash3[[#This Row],[Hebras]],TbTecnologia[Hebras],TbTecnologia[Tecnología])</f>
        <v>CUDA</v>
      </c>
      <c r="Z59" s="2" t="str" cm="1">
        <f t="array" ref="Z59">_xlfn.XLOOKUP(Bash3[[#This Row],[Tecnología]]&amp;Bash3[[#This Row],[Metodo]],TbTipos[Tecnología]&amp;TbTipos[Metodo],TbTipos[Tipo])</f>
        <v>CUDA con graph</v>
      </c>
      <c r="AA59" s="2" t="str" cm="1">
        <f t="array" ref="AA59">_xlfn.XLOOKUP(Bash3[[#This Row],[Tecnología]]&amp;Bash3[[#This Row],[Problema]],TbNombres[Tecnología]&amp;TbNombres[Problema],TbNombres[Nombre])</f>
        <v>Brusselator1d grid</v>
      </c>
      <c r="AB59" s="2">
        <v>4</v>
      </c>
      <c r="AC59" s="2">
        <v>7</v>
      </c>
      <c r="AD59" s="2">
        <v>256</v>
      </c>
      <c r="AE59" s="2">
        <v>2000</v>
      </c>
      <c r="AF59" s="2">
        <v>4000</v>
      </c>
      <c r="AG59" s="2">
        <v>6.1276999999999999</v>
      </c>
      <c r="AI59" s="2" t="str">
        <f>_xlfn.XLOOKUP(Bash4[[#This Row],[Metodo]],TbSolver[Metodo],TbSolver[Solver])</f>
        <v>Adams Bashford</v>
      </c>
      <c r="AJ59" s="2" t="str">
        <f>_xlfn.XLOOKUP(Bash4[[#This Row],[Hebras]],TbTecnologia[Hebras],TbTecnologia[Tecnología])</f>
        <v>CUDA</v>
      </c>
      <c r="AK59" s="2" t="str" cm="1">
        <f t="array" ref="AK59">_xlfn.XLOOKUP(Bash4[[#This Row],[Tecnología]]&amp;Bash4[[#This Row],[Metodo]],TbTipos[Tecnología]&amp;TbTipos[Metodo],TbTipos[Tipo])</f>
        <v>CUDA sin graph</v>
      </c>
      <c r="AL59" s="4" t="str" cm="1">
        <f t="array" ref="AL59">_xlfn.XLOOKUP(Bash4[[#This Row],[Tecnología]]&amp;Bash4[[#This Row],[Problema]],TbNombres[Tecnología]&amp;TbNombres[Problema],TbNombres[Nombre])</f>
        <v>Brusselator2d</v>
      </c>
      <c r="AM59" s="4">
        <v>3</v>
      </c>
      <c r="AN59" s="21">
        <v>8</v>
      </c>
      <c r="AO59" s="21">
        <v>256</v>
      </c>
      <c r="AP59" s="21">
        <v>175</v>
      </c>
      <c r="AQ59" s="21">
        <v>61250</v>
      </c>
      <c r="AR59" s="21">
        <v>12.1713</v>
      </c>
    </row>
    <row r="60" spans="2:44" x14ac:dyDescent="0.2">
      <c r="B60" s="1" t="str">
        <f>_xlfn.XLOOKUP(Bash1[[#This Row],[Metodo]],TbSolver[Metodo],TbSolver[Solver])</f>
        <v>Adams Bashford</v>
      </c>
      <c r="C60" s="1" t="str">
        <f>_xlfn.XLOOKUP(Bash1[[#This Row],[Hebras]],TbTecnologia[Hebras],TbTecnologia[Tecnología])</f>
        <v>CUDA</v>
      </c>
      <c r="D60" s="1" t="str" cm="1">
        <f t="array" ref="D60">_xlfn.XLOOKUP(Bash1[[#This Row],[Tecnología]]&amp;Bash1[[#This Row],[Metodo]],TbTipos[Tecnología]&amp;TbTipos[Metodo],TbTipos[Tipo])</f>
        <v>CUDA con graph</v>
      </c>
      <c r="E60" s="1" t="str" cm="1">
        <f t="array" ref="E60">_xlfn.XLOOKUP(Bash1[[#This Row],[Tecnología]]&amp;Bash1[[#This Row],[Problema]],TbNombres[Tecnología]&amp;TbNombres[Problema],TbNombres[Nombre])</f>
        <v>Simple Advdiff shuffle</v>
      </c>
      <c r="F60" s="1">
        <v>4</v>
      </c>
      <c r="G60" s="1">
        <v>2</v>
      </c>
      <c r="H60" s="1">
        <v>256</v>
      </c>
      <c r="I60" s="1">
        <v>5000</v>
      </c>
      <c r="J60" s="1">
        <v>5000</v>
      </c>
      <c r="K60" s="1">
        <v>5.9353400000000001</v>
      </c>
      <c r="M60" s="2" t="str">
        <f>_xlfn.XLOOKUP(Bash2[[#This Row],[Metodo]],TbSolver[Metodo],TbSolver[Solver])</f>
        <v>Adams Bashford</v>
      </c>
      <c r="N60" s="2" t="str">
        <f>_xlfn.XLOOKUP(Bash2[[#This Row],[Hebras]],TbTecnologia[Hebras],TbTecnologia[Tecnología])</f>
        <v>CUDA</v>
      </c>
      <c r="O60" s="6" t="str" cm="1">
        <f t="array" ref="O60">_xlfn.XLOOKUP(Bash2[[#This Row],[Tecnología]]&amp;Bash2[[#This Row],[Metodo]],TbTipos[Tecnología]&amp;TbTipos[Metodo],TbTipos[Tipo])</f>
        <v>CUDA con graph</v>
      </c>
      <c r="P60" s="6" t="str" cm="1">
        <f t="array" ref="P60">_xlfn.XLOOKUP(Bash2[[#This Row],[Tecnología]]&amp;Bash2[[#This Row],[Problema]],TbNombres[Tecnología]&amp;TbNombres[Problema],TbNombres[Nombre])</f>
        <v>Advdiff1d shuffle</v>
      </c>
      <c r="Q60" s="2">
        <v>4</v>
      </c>
      <c r="R60" s="6">
        <v>4</v>
      </c>
      <c r="S60" s="6">
        <v>256</v>
      </c>
      <c r="T60" s="6">
        <v>5000</v>
      </c>
      <c r="U60" s="6">
        <v>5000</v>
      </c>
      <c r="V60" s="8">
        <v>10.040900000000001</v>
      </c>
      <c r="X60" s="2" t="str">
        <f>_xlfn.XLOOKUP(Bash3[[#This Row],[Metodo]],TbSolver[Metodo],TbSolver[Solver])</f>
        <v>Adams Bashford</v>
      </c>
      <c r="Y60" s="2" t="str">
        <f>_xlfn.XLOOKUP(Bash3[[#This Row],[Hebras]],TbTecnologia[Hebras],TbTecnologia[Tecnología])</f>
        <v>CUDA</v>
      </c>
      <c r="Z60" s="2" t="str" cm="1">
        <f t="array" ref="Z60">_xlfn.XLOOKUP(Bash3[[#This Row],[Tecnología]]&amp;Bash3[[#This Row],[Metodo]],TbTipos[Tecnología]&amp;TbTipos[Metodo],TbTipos[Tipo])</f>
        <v>CUDA con graph</v>
      </c>
      <c r="AA60" s="2" t="str" cm="1">
        <f t="array" ref="AA60">_xlfn.XLOOKUP(Bash3[[#This Row],[Tecnología]]&amp;Bash3[[#This Row],[Problema]],TbNombres[Tecnología]&amp;TbNombres[Problema],TbNombres[Nombre])</f>
        <v>Brusselator1d shuffle</v>
      </c>
      <c r="AB60" s="2">
        <v>4</v>
      </c>
      <c r="AC60" s="2">
        <v>6</v>
      </c>
      <c r="AD60" s="2">
        <v>256</v>
      </c>
      <c r="AE60" s="2">
        <v>2000</v>
      </c>
      <c r="AF60" s="2">
        <v>4000</v>
      </c>
      <c r="AG60" s="2">
        <v>6.1341099999999997</v>
      </c>
      <c r="AI60" s="2" t="str">
        <f>_xlfn.XLOOKUP(Bash4[[#This Row],[Metodo]],TbSolver[Metodo],TbSolver[Solver])</f>
        <v>Adams Bashford</v>
      </c>
      <c r="AJ60" s="2" t="str">
        <f>_xlfn.XLOOKUP(Bash4[[#This Row],[Hebras]],TbTecnologia[Hebras],TbTecnologia[Tecnología])</f>
        <v>CUDA</v>
      </c>
      <c r="AK60" s="2" t="str" cm="1">
        <f t="array" ref="AK60">_xlfn.XLOOKUP(Bash4[[#This Row],[Tecnología]]&amp;Bash4[[#This Row],[Metodo]],TbTipos[Tecnología]&amp;TbTipos[Metodo],TbTipos[Tipo])</f>
        <v>CUDA con graph</v>
      </c>
      <c r="AL60" s="4" t="str" cm="1">
        <f t="array" ref="AL60">_xlfn.XLOOKUP(Bash4[[#This Row],[Tecnología]]&amp;Bash4[[#This Row],[Problema]],TbNombres[Tecnología]&amp;TbNombres[Problema],TbNombres[Nombre])</f>
        <v>Brusselator2d</v>
      </c>
      <c r="AM60" s="4">
        <v>4</v>
      </c>
      <c r="AN60" s="21">
        <v>8</v>
      </c>
      <c r="AO60" s="21">
        <v>256</v>
      </c>
      <c r="AP60" s="21">
        <v>175</v>
      </c>
      <c r="AQ60" s="21">
        <v>61250</v>
      </c>
      <c r="AR60" s="21">
        <v>15.8169</v>
      </c>
    </row>
    <row r="61" spans="2:44" x14ac:dyDescent="0.2">
      <c r="B61" s="1" t="str">
        <f>_xlfn.XLOOKUP(Bash1[[#This Row],[Metodo]],TbSolver[Metodo],TbSolver[Solver])</f>
        <v>Adams Bashford</v>
      </c>
      <c r="C61" s="1" t="str">
        <f>_xlfn.XLOOKUP(Bash1[[#This Row],[Hebras]],TbTecnologia[Hebras],TbTecnologia[Tecnología])</f>
        <v>OMP</v>
      </c>
      <c r="D61" s="1" t="str" cm="1">
        <f t="array" ref="D61">_xlfn.XLOOKUP(Bash1[[#This Row],[Tecnología]]&amp;Bash1[[#This Row],[Metodo]],TbTipos[Tecnología]&amp;TbTipos[Metodo],TbTipos[Tipo])</f>
        <v>OMP Operaciones</v>
      </c>
      <c r="E61" s="1" t="str" cm="1">
        <f t="array" ref="E61">_xlfn.XLOOKUP(Bash1[[#This Row],[Tecnología]]&amp;Bash1[[#This Row],[Problema]],TbNombres[Tecnología]&amp;TbNombres[Problema],TbNombres[Nombre])</f>
        <v>Simple Advdiff</v>
      </c>
      <c r="F61" s="17">
        <v>3</v>
      </c>
      <c r="G61" s="17">
        <v>1</v>
      </c>
      <c r="H61" s="17">
        <v>1</v>
      </c>
      <c r="I61" s="17">
        <v>5000</v>
      </c>
      <c r="J61" s="17">
        <v>5000</v>
      </c>
      <c r="K61" s="17">
        <v>11.027799999999999</v>
      </c>
      <c r="M61" s="2" t="str">
        <f>_xlfn.XLOOKUP(Bash2[[#This Row],[Metodo]],TbSolver[Metodo],TbSolver[Solver])</f>
        <v>Adams Bashford</v>
      </c>
      <c r="N61" s="2" t="str">
        <f>_xlfn.XLOOKUP(Bash2[[#This Row],[Hebras]],TbTecnologia[Hebras],TbTecnologia[Tecnología])</f>
        <v>OMP</v>
      </c>
      <c r="O61" s="6" t="str" cm="1">
        <f t="array" ref="O61">_xlfn.XLOOKUP(Bash2[[#This Row],[Tecnología]]&amp;Bash2[[#This Row],[Metodo]],TbTipos[Tecnología]&amp;TbTipos[Metodo],TbTipos[Tipo])</f>
        <v>OMP Elementos</v>
      </c>
      <c r="P61" s="6" t="str" cm="1">
        <f t="array" ref="P61">_xlfn.XLOOKUP(Bash2[[#This Row],[Tecnología]]&amp;Bash2[[#This Row],[Problema]],TbNombres[Tecnología]&amp;TbNombres[Problema],TbNombres[Nombre])</f>
        <v>Advdiff1d</v>
      </c>
      <c r="Q61" s="4">
        <v>4</v>
      </c>
      <c r="R61" s="22">
        <v>2</v>
      </c>
      <c r="S61" s="22">
        <v>16</v>
      </c>
      <c r="T61" s="22">
        <v>5000</v>
      </c>
      <c r="U61" s="22">
        <v>5000</v>
      </c>
      <c r="V61" s="23">
        <v>18.995799999999999</v>
      </c>
      <c r="X61" s="2" t="str">
        <f>_xlfn.XLOOKUP(Bash3[[#This Row],[Metodo]],TbSolver[Metodo],TbSolver[Solver])</f>
        <v>Adams Bashford</v>
      </c>
      <c r="Y61" s="2" t="str">
        <f>_xlfn.XLOOKUP(Bash3[[#This Row],[Hebras]],TbTecnologia[Hebras],TbTecnologia[Tecnología])</f>
        <v>OMP</v>
      </c>
      <c r="Z61" s="2" t="str" cm="1">
        <f t="array" ref="Z61">_xlfn.XLOOKUP(Bash3[[#This Row],[Tecnología]]&amp;Bash3[[#This Row],[Metodo]],TbTipos[Tecnología]&amp;TbTipos[Metodo],TbTipos[Tipo])</f>
        <v>OMP Elementos</v>
      </c>
      <c r="AA61" s="2" t="str" cm="1">
        <f t="array" ref="AA61">_xlfn.XLOOKUP(Bash3[[#This Row],[Tecnología]]&amp;Bash3[[#This Row],[Problema]],TbNombres[Tecnología]&amp;TbNombres[Problema],TbNombres[Nombre])</f>
        <v>Brusselator1d</v>
      </c>
      <c r="AB61" s="4">
        <v>4</v>
      </c>
      <c r="AC61" s="4">
        <v>3</v>
      </c>
      <c r="AD61" s="4">
        <v>4</v>
      </c>
      <c r="AE61" s="4">
        <v>2000</v>
      </c>
      <c r="AF61" s="4">
        <v>4000</v>
      </c>
      <c r="AG61" s="4">
        <v>11.337300000000001</v>
      </c>
      <c r="AI61" s="2" t="str">
        <f>_xlfn.XLOOKUP(Bash4[[#This Row],[Metodo]],TbSolver[Metodo],TbSolver[Solver])</f>
        <v>Adams Bashford</v>
      </c>
      <c r="AJ61" s="2" t="str">
        <f>_xlfn.XLOOKUP(Bash4[[#This Row],[Hebras]],TbTecnologia[Hebras],TbTecnologia[Tecnología])</f>
        <v>OMP</v>
      </c>
      <c r="AK61" s="2" t="str" cm="1">
        <f t="array" ref="AK61">_xlfn.XLOOKUP(Bash4[[#This Row],[Tecnología]]&amp;Bash4[[#This Row],[Metodo]],TbTipos[Tecnología]&amp;TbTipos[Metodo],TbTipos[Tipo])</f>
        <v>OMP Operaciones</v>
      </c>
      <c r="AL61" s="4" t="str" cm="1">
        <f t="array" ref="AL61">_xlfn.XLOOKUP(Bash4[[#This Row],[Tecnología]]&amp;Bash4[[#This Row],[Problema]],TbNombres[Tecnología]&amp;TbNombres[Problema],TbNombres[Nombre])</f>
        <v>Brusselator2d</v>
      </c>
      <c r="AM61" s="4">
        <v>3</v>
      </c>
      <c r="AN61" s="4">
        <v>4</v>
      </c>
      <c r="AO61" s="4">
        <v>16</v>
      </c>
      <c r="AP61" s="4">
        <v>175</v>
      </c>
      <c r="AQ61" s="4">
        <v>61250</v>
      </c>
      <c r="AR61" s="4">
        <v>59.0122</v>
      </c>
    </row>
    <row r="62" spans="2:44" x14ac:dyDescent="0.2">
      <c r="B62" s="1" t="str">
        <f>_xlfn.XLOOKUP(Bash1[[#This Row],[Metodo]],TbSolver[Metodo],TbSolver[Solver])</f>
        <v>Adams Bashford</v>
      </c>
      <c r="C62" s="1" t="str">
        <f>_xlfn.XLOOKUP(Bash1[[#This Row],[Hebras]],TbTecnologia[Hebras],TbTecnologia[Tecnología])</f>
        <v>OMP</v>
      </c>
      <c r="D62" s="1" t="str" cm="1">
        <f t="array" ref="D62">_xlfn.XLOOKUP(Bash1[[#This Row],[Tecnología]]&amp;Bash1[[#This Row],[Metodo]],TbTipos[Tecnología]&amp;TbTipos[Metodo],TbTipos[Tipo])</f>
        <v>OMP Elementos</v>
      </c>
      <c r="E62" s="1" t="str" cm="1">
        <f t="array" ref="E62">_xlfn.XLOOKUP(Bash1[[#This Row],[Tecnología]]&amp;Bash1[[#This Row],[Problema]],TbNombres[Tecnología]&amp;TbNombres[Problema],TbNombres[Nombre])</f>
        <v>Simple Advdiff</v>
      </c>
      <c r="F62" s="17">
        <v>4</v>
      </c>
      <c r="G62" s="17">
        <v>1</v>
      </c>
      <c r="H62" s="17">
        <v>4</v>
      </c>
      <c r="I62" s="17">
        <v>5000</v>
      </c>
      <c r="J62" s="17">
        <v>5000</v>
      </c>
      <c r="K62" s="17">
        <v>11.039199999999999</v>
      </c>
      <c r="M62" s="2" t="str">
        <f>_xlfn.XLOOKUP(Bash2[[#This Row],[Metodo]],TbSolver[Metodo],TbSolver[Solver])</f>
        <v>Adams Bashford</v>
      </c>
      <c r="N62" s="2" t="str">
        <f>_xlfn.XLOOKUP(Bash2[[#This Row],[Hebras]],TbTecnologia[Hebras],TbTecnologia[Tecnología])</f>
        <v>OMP</v>
      </c>
      <c r="O62" s="6" t="str" cm="1">
        <f t="array" ref="O62">_xlfn.XLOOKUP(Bash2[[#This Row],[Tecnología]]&amp;Bash2[[#This Row],[Metodo]],TbTipos[Tecnología]&amp;TbTipos[Metodo],TbTipos[Tipo])</f>
        <v>OMP Elementos</v>
      </c>
      <c r="P62" s="6" t="str" cm="1">
        <f t="array" ref="P62">_xlfn.XLOOKUP(Bash2[[#This Row],[Tecnología]]&amp;Bash2[[#This Row],[Problema]],TbNombres[Tecnología]&amp;TbNombres[Problema],TbNombres[Nombre])</f>
        <v>Advdiff1d</v>
      </c>
      <c r="Q62" s="4">
        <v>4</v>
      </c>
      <c r="R62" s="22">
        <v>2</v>
      </c>
      <c r="S62" s="22">
        <v>4</v>
      </c>
      <c r="T62" s="22">
        <v>5000</v>
      </c>
      <c r="U62" s="22">
        <v>5000</v>
      </c>
      <c r="V62" s="23">
        <v>41.459099999999999</v>
      </c>
      <c r="X62" s="2" t="str">
        <f>_xlfn.XLOOKUP(Bash3[[#This Row],[Metodo]],TbSolver[Metodo],TbSolver[Solver])</f>
        <v>Adams Bashford</v>
      </c>
      <c r="Y62" s="2" t="str">
        <f>_xlfn.XLOOKUP(Bash3[[#This Row],[Hebras]],TbTecnologia[Hebras],TbTecnologia[Tecnología])</f>
        <v>OMP</v>
      </c>
      <c r="Z62" s="2" t="str" cm="1">
        <f t="array" ref="Z62">_xlfn.XLOOKUP(Bash3[[#This Row],[Tecnología]]&amp;Bash3[[#This Row],[Metodo]],TbTipos[Tecnología]&amp;TbTipos[Metodo],TbTipos[Tipo])</f>
        <v>OMP Elementos</v>
      </c>
      <c r="AA62" s="2" t="str" cm="1">
        <f t="array" ref="AA62">_xlfn.XLOOKUP(Bash3[[#This Row],[Tecnología]]&amp;Bash3[[#This Row],[Problema]],TbNombres[Tecnología]&amp;TbNombres[Problema],TbNombres[Nombre])</f>
        <v>Brusselator1d</v>
      </c>
      <c r="AB62" s="4">
        <v>4</v>
      </c>
      <c r="AC62" s="4">
        <v>3</v>
      </c>
      <c r="AD62" s="4">
        <v>16</v>
      </c>
      <c r="AE62" s="4">
        <v>2000</v>
      </c>
      <c r="AF62" s="4">
        <v>4000</v>
      </c>
      <c r="AG62" s="4">
        <v>11.338800000000001</v>
      </c>
      <c r="AI62" s="2" t="str">
        <f>_xlfn.XLOOKUP(Bash4[[#This Row],[Metodo]],TbSolver[Metodo],TbSolver[Solver])</f>
        <v>Adams Bashford</v>
      </c>
      <c r="AJ62" s="2" t="str">
        <f>_xlfn.XLOOKUP(Bash4[[#This Row],[Hebras]],TbTecnologia[Hebras],TbTecnologia[Tecnología])</f>
        <v>OMP</v>
      </c>
      <c r="AK62" s="2" t="str" cm="1">
        <f t="array" ref="AK62">_xlfn.XLOOKUP(Bash4[[#This Row],[Tecnología]]&amp;Bash4[[#This Row],[Metodo]],TbTipos[Tecnología]&amp;TbTipos[Metodo],TbTipos[Tipo])</f>
        <v>OMP Elementos</v>
      </c>
      <c r="AL62" s="4" t="str" cm="1">
        <f t="array" ref="AL62">_xlfn.XLOOKUP(Bash4[[#This Row],[Tecnología]]&amp;Bash4[[#This Row],[Problema]],TbNombres[Tecnología]&amp;TbNombres[Problema],TbNombres[Nombre])</f>
        <v>Brusselator2d</v>
      </c>
      <c r="AM62" s="4">
        <v>4</v>
      </c>
      <c r="AN62" s="4">
        <v>4</v>
      </c>
      <c r="AO62" s="4">
        <v>16</v>
      </c>
      <c r="AP62" s="4">
        <v>175</v>
      </c>
      <c r="AQ62" s="4">
        <v>61250</v>
      </c>
      <c r="AR62" s="4">
        <v>72.548900000000003</v>
      </c>
    </row>
    <row r="63" spans="2:44" x14ac:dyDescent="0.2">
      <c r="B63" s="1" t="str">
        <f>_xlfn.XLOOKUP(Bash1[[#This Row],[Metodo]],TbSolver[Metodo],TbSolver[Solver])</f>
        <v>Adams Bashford</v>
      </c>
      <c r="C63" s="1" t="str">
        <f>_xlfn.XLOOKUP(Bash1[[#This Row],[Hebras]],TbTecnologia[Hebras],TbTecnologia[Tecnología])</f>
        <v>OMP</v>
      </c>
      <c r="D63" s="1" t="str" cm="1">
        <f t="array" ref="D63">_xlfn.XLOOKUP(Bash1[[#This Row],[Tecnología]]&amp;Bash1[[#This Row],[Metodo]],TbTipos[Tecnología]&amp;TbTipos[Metodo],TbTipos[Tipo])</f>
        <v>OMP Operaciones</v>
      </c>
      <c r="E63" s="1" t="str" cm="1">
        <f t="array" ref="E63">_xlfn.XLOOKUP(Bash1[[#This Row],[Tecnología]]&amp;Bash1[[#This Row],[Problema]],TbNombres[Tecnología]&amp;TbNombres[Problema],TbNombres[Nombre])</f>
        <v>Simple Advdiff</v>
      </c>
      <c r="F63" s="17">
        <v>3</v>
      </c>
      <c r="G63" s="17">
        <v>1</v>
      </c>
      <c r="H63" s="17">
        <v>4</v>
      </c>
      <c r="I63" s="17">
        <v>5000</v>
      </c>
      <c r="J63" s="17">
        <v>5000</v>
      </c>
      <c r="K63" s="17">
        <v>14.8263</v>
      </c>
      <c r="M63" s="2" t="str">
        <f>_xlfn.XLOOKUP(Bash2[[#This Row],[Metodo]],TbSolver[Metodo],TbSolver[Solver])</f>
        <v>Adams Bashford</v>
      </c>
      <c r="N63" s="2" t="str">
        <f>_xlfn.XLOOKUP(Bash2[[#This Row],[Hebras]],TbTecnologia[Hebras],TbTecnologia[Tecnología])</f>
        <v>OMP</v>
      </c>
      <c r="O63" s="6" t="str" cm="1">
        <f t="array" ref="O63">_xlfn.XLOOKUP(Bash2[[#This Row],[Tecnología]]&amp;Bash2[[#This Row],[Metodo]],TbTipos[Tecnología]&amp;TbTipos[Metodo],TbTipos[Tipo])</f>
        <v>OMP Operaciones</v>
      </c>
      <c r="P63" s="6" t="str" cm="1">
        <f t="array" ref="P63">_xlfn.XLOOKUP(Bash2[[#This Row],[Tecnología]]&amp;Bash2[[#This Row],[Problema]],TbNombres[Tecnología]&amp;TbNombres[Problema],TbNombres[Nombre])</f>
        <v>Advdiff1d</v>
      </c>
      <c r="Q63" s="4">
        <v>3</v>
      </c>
      <c r="R63" s="22">
        <v>2</v>
      </c>
      <c r="S63" s="22">
        <v>16</v>
      </c>
      <c r="T63" s="22">
        <v>5000</v>
      </c>
      <c r="U63" s="22">
        <v>5000</v>
      </c>
      <c r="V63" s="23">
        <v>43.494</v>
      </c>
      <c r="X63" s="2" t="str">
        <f>_xlfn.XLOOKUP(Bash3[[#This Row],[Metodo]],TbSolver[Metodo],TbSolver[Solver])</f>
        <v>Adams Bashford</v>
      </c>
      <c r="Y63" s="2" t="str">
        <f>_xlfn.XLOOKUP(Bash3[[#This Row],[Hebras]],TbTecnologia[Hebras],TbTecnologia[Tecnología])</f>
        <v>OMP</v>
      </c>
      <c r="Z63" s="2" t="str" cm="1">
        <f t="array" ref="Z63">_xlfn.XLOOKUP(Bash3[[#This Row],[Tecnología]]&amp;Bash3[[#This Row],[Metodo]],TbTipos[Tecnología]&amp;TbTipos[Metodo],TbTipos[Tipo])</f>
        <v>OMP Operaciones</v>
      </c>
      <c r="AA63" s="2" t="str" cm="1">
        <f t="array" ref="AA63">_xlfn.XLOOKUP(Bash3[[#This Row],[Tecnología]]&amp;Bash3[[#This Row],[Problema]],TbNombres[Tecnología]&amp;TbNombres[Problema],TbNombres[Nombre])</f>
        <v>Brusselator1d</v>
      </c>
      <c r="AB63" s="4">
        <v>3</v>
      </c>
      <c r="AC63" s="4">
        <v>3</v>
      </c>
      <c r="AD63" s="4">
        <v>1</v>
      </c>
      <c r="AE63" s="4">
        <v>2000</v>
      </c>
      <c r="AF63" s="4">
        <v>4000</v>
      </c>
      <c r="AG63" s="4">
        <v>13.679</v>
      </c>
      <c r="AI63" s="2" t="str">
        <f>_xlfn.XLOOKUP(Bash4[[#This Row],[Metodo]],TbSolver[Metodo],TbSolver[Solver])</f>
        <v>Adams Bashford</v>
      </c>
      <c r="AJ63" s="2" t="str">
        <f>_xlfn.XLOOKUP(Bash4[[#This Row],[Hebras]],TbTecnologia[Hebras],TbTecnologia[Tecnología])</f>
        <v>OMP</v>
      </c>
      <c r="AK63" s="2" t="str" cm="1">
        <f t="array" ref="AK63">_xlfn.XLOOKUP(Bash4[[#This Row],[Tecnología]]&amp;Bash4[[#This Row],[Metodo]],TbTipos[Tecnología]&amp;TbTipos[Metodo],TbTipos[Tipo])</f>
        <v>OMP Operaciones</v>
      </c>
      <c r="AL63" s="4" t="str" cm="1">
        <f t="array" ref="AL63">_xlfn.XLOOKUP(Bash4[[#This Row],[Tecnología]]&amp;Bash4[[#This Row],[Problema]],TbNombres[Tecnología]&amp;TbNombres[Problema],TbNombres[Nombre])</f>
        <v>Brusselator2d</v>
      </c>
      <c r="AM63" s="4">
        <v>3</v>
      </c>
      <c r="AN63" s="4">
        <v>4</v>
      </c>
      <c r="AO63" s="4">
        <v>4</v>
      </c>
      <c r="AP63" s="4">
        <v>175</v>
      </c>
      <c r="AQ63" s="4">
        <v>61250</v>
      </c>
      <c r="AR63" s="4">
        <v>112.057</v>
      </c>
    </row>
    <row r="64" spans="2:44" x14ac:dyDescent="0.2">
      <c r="B64" s="1" t="str">
        <f>_xlfn.XLOOKUP(Bash1[[#This Row],[Metodo]],TbSolver[Metodo],TbSolver[Solver])</f>
        <v>Adams Bashford</v>
      </c>
      <c r="C64" s="1" t="str">
        <f>_xlfn.XLOOKUP(Bash1[[#This Row],[Hebras]],TbTecnologia[Hebras],TbTecnologia[Tecnología])</f>
        <v>OMP</v>
      </c>
      <c r="D64" s="1" t="str" cm="1">
        <f t="array" ref="D64">_xlfn.XLOOKUP(Bash1[[#This Row],[Tecnología]]&amp;Bash1[[#This Row],[Metodo]],TbTipos[Tecnología]&amp;TbTipos[Metodo],TbTipos[Tipo])</f>
        <v>OMP Elementos</v>
      </c>
      <c r="E64" s="1" t="str" cm="1">
        <f t="array" ref="E64">_xlfn.XLOOKUP(Bash1[[#This Row],[Tecnología]]&amp;Bash1[[#This Row],[Problema]],TbNombres[Tecnología]&amp;TbNombres[Problema],TbNombres[Nombre])</f>
        <v>Simple Advdiff</v>
      </c>
      <c r="F64" s="17">
        <v>4</v>
      </c>
      <c r="G64" s="17">
        <v>1</v>
      </c>
      <c r="H64" s="17">
        <v>1</v>
      </c>
      <c r="I64" s="17">
        <v>5000</v>
      </c>
      <c r="J64" s="17">
        <v>5000</v>
      </c>
      <c r="K64" s="17">
        <v>25.091699999999999</v>
      </c>
      <c r="M64" s="2" t="str">
        <f>_xlfn.XLOOKUP(Bash2[[#This Row],[Metodo]],TbSolver[Metodo],TbSolver[Solver])</f>
        <v>Adams Bashford</v>
      </c>
      <c r="N64" s="2" t="str">
        <f>_xlfn.XLOOKUP(Bash2[[#This Row],[Hebras]],TbTecnologia[Hebras],TbTecnologia[Tecnología])</f>
        <v>OMP</v>
      </c>
      <c r="O64" s="6" t="str" cm="1">
        <f t="array" ref="O64">_xlfn.XLOOKUP(Bash2[[#This Row],[Tecnología]]&amp;Bash2[[#This Row],[Metodo]],TbTipos[Tecnología]&amp;TbTipos[Metodo],TbTipos[Tipo])</f>
        <v>OMP Operaciones</v>
      </c>
      <c r="P64" s="6" t="str" cm="1">
        <f t="array" ref="P64">_xlfn.XLOOKUP(Bash2[[#This Row],[Tecnología]]&amp;Bash2[[#This Row],[Problema]],TbNombres[Tecnología]&amp;TbNombres[Problema],TbNombres[Nombre])</f>
        <v>Advdiff1d</v>
      </c>
      <c r="Q64" s="4">
        <v>3</v>
      </c>
      <c r="R64" s="22">
        <v>2</v>
      </c>
      <c r="S64" s="22">
        <v>4</v>
      </c>
      <c r="T64" s="22">
        <v>5000</v>
      </c>
      <c r="U64" s="22">
        <v>5000</v>
      </c>
      <c r="V64" s="23">
        <v>47.592599999999997</v>
      </c>
      <c r="X64" s="2" t="str">
        <f>_xlfn.XLOOKUP(Bash3[[#This Row],[Metodo]],TbSolver[Metodo],TbSolver[Solver])</f>
        <v>Adams Bashford</v>
      </c>
      <c r="Y64" s="2" t="str">
        <f>_xlfn.XLOOKUP(Bash3[[#This Row],[Hebras]],TbTecnologia[Hebras],TbTecnologia[Tecnología])</f>
        <v>OMP</v>
      </c>
      <c r="Z64" s="2" t="str" cm="1">
        <f t="array" ref="Z64">_xlfn.XLOOKUP(Bash3[[#This Row],[Tecnología]]&amp;Bash3[[#This Row],[Metodo]],TbTipos[Tecnología]&amp;TbTipos[Metodo],TbTipos[Tipo])</f>
        <v>OMP Operaciones</v>
      </c>
      <c r="AA64" s="2" t="str" cm="1">
        <f t="array" ref="AA64">_xlfn.XLOOKUP(Bash3[[#This Row],[Tecnología]]&amp;Bash3[[#This Row],[Problema]],TbNombres[Tecnología]&amp;TbNombres[Problema],TbNombres[Nombre])</f>
        <v>Brusselator1d</v>
      </c>
      <c r="AB64" s="4">
        <v>3</v>
      </c>
      <c r="AC64" s="4">
        <v>3</v>
      </c>
      <c r="AD64" s="4">
        <v>4</v>
      </c>
      <c r="AE64" s="4">
        <v>2000</v>
      </c>
      <c r="AF64" s="4">
        <v>4000</v>
      </c>
      <c r="AG64" s="4">
        <v>17.4968</v>
      </c>
      <c r="AI64" s="2" t="str">
        <f>_xlfn.XLOOKUP(Bash4[[#This Row],[Metodo]],TbSolver[Metodo],TbSolver[Solver])</f>
        <v>Adams Bashford</v>
      </c>
      <c r="AJ64" s="2" t="str">
        <f>_xlfn.XLOOKUP(Bash4[[#This Row],[Hebras]],TbTecnologia[Hebras],TbTecnologia[Tecnología])</f>
        <v>OMP</v>
      </c>
      <c r="AK64" s="2" t="str" cm="1">
        <f t="array" ref="AK64">_xlfn.XLOOKUP(Bash4[[#This Row],[Tecnología]]&amp;Bash4[[#This Row],[Metodo]],TbTipos[Tecnología]&amp;TbTipos[Metodo],TbTipos[Tipo])</f>
        <v>OMP Elementos</v>
      </c>
      <c r="AL64" s="4" t="str" cm="1">
        <f t="array" ref="AL64">_xlfn.XLOOKUP(Bash4[[#This Row],[Tecnología]]&amp;Bash4[[#This Row],[Problema]],TbNombres[Tecnología]&amp;TbNombres[Problema],TbNombres[Nombre])</f>
        <v>Brusselator2d</v>
      </c>
      <c r="AM64" s="4">
        <v>4</v>
      </c>
      <c r="AN64" s="4">
        <v>4</v>
      </c>
      <c r="AO64" s="4">
        <v>4</v>
      </c>
      <c r="AP64" s="4">
        <v>175</v>
      </c>
      <c r="AQ64" s="4">
        <v>61250</v>
      </c>
      <c r="AR64" s="4">
        <v>216.34399999999999</v>
      </c>
    </row>
    <row r="65" spans="2:44" x14ac:dyDescent="0.2">
      <c r="B65" s="1" t="str">
        <f>_xlfn.XLOOKUP(Bash1[[#This Row],[Metodo]],TbSolver[Metodo],TbSolver[Solver])</f>
        <v>Adams Bashford</v>
      </c>
      <c r="C65" s="1" t="str">
        <f>_xlfn.XLOOKUP(Bash1[[#This Row],[Hebras]],TbTecnologia[Hebras],TbTecnologia[Tecnología])</f>
        <v>OMP</v>
      </c>
      <c r="D65" s="1" t="str" cm="1">
        <f t="array" ref="D65">_xlfn.XLOOKUP(Bash1[[#This Row],[Tecnología]]&amp;Bash1[[#This Row],[Metodo]],TbTipos[Tecnología]&amp;TbTipos[Metodo],TbTipos[Tipo])</f>
        <v>OMP Operaciones</v>
      </c>
      <c r="E65" s="1" t="str" cm="1">
        <f t="array" ref="E65">_xlfn.XLOOKUP(Bash1[[#This Row],[Tecnología]]&amp;Bash1[[#This Row],[Problema]],TbNombres[Tecnología]&amp;TbNombres[Problema],TbNombres[Nombre])</f>
        <v>Simple Advdiff</v>
      </c>
      <c r="F65" s="17">
        <v>3</v>
      </c>
      <c r="G65" s="17">
        <v>1</v>
      </c>
      <c r="H65" s="17">
        <v>16</v>
      </c>
      <c r="I65" s="17">
        <v>5000</v>
      </c>
      <c r="J65" s="17">
        <v>5000</v>
      </c>
      <c r="K65" s="17">
        <v>28.435400000000001</v>
      </c>
      <c r="M65" s="2" t="str">
        <f>_xlfn.XLOOKUP(Bash2[[#This Row],[Metodo]],TbSolver[Metodo],TbSolver[Solver])</f>
        <v>Adams Bashford</v>
      </c>
      <c r="N65" s="2" t="str">
        <f>_xlfn.XLOOKUP(Bash2[[#This Row],[Hebras]],TbTecnologia[Hebras],TbTecnologia[Tecnología])</f>
        <v>OMP</v>
      </c>
      <c r="O65" s="6" t="str" cm="1">
        <f t="array" ref="O65">_xlfn.XLOOKUP(Bash2[[#This Row],[Tecnología]]&amp;Bash2[[#This Row],[Metodo]],TbTipos[Tecnología]&amp;TbTipos[Metodo],TbTipos[Tipo])</f>
        <v>OMP Operaciones</v>
      </c>
      <c r="P65" s="6" t="str" cm="1">
        <f t="array" ref="P65">_xlfn.XLOOKUP(Bash2[[#This Row],[Tecnología]]&amp;Bash2[[#This Row],[Problema]],TbNombres[Tecnología]&amp;TbNombres[Problema],TbNombres[Nombre])</f>
        <v>Advdiff1d</v>
      </c>
      <c r="Q65" s="4">
        <v>3</v>
      </c>
      <c r="R65" s="22">
        <v>2</v>
      </c>
      <c r="S65" s="22">
        <v>1</v>
      </c>
      <c r="T65" s="22">
        <v>5000</v>
      </c>
      <c r="U65" s="22">
        <v>5000</v>
      </c>
      <c r="V65" s="23">
        <v>114.218</v>
      </c>
      <c r="X65" s="2" t="str">
        <f>_xlfn.XLOOKUP(Bash3[[#This Row],[Metodo]],TbSolver[Metodo],TbSolver[Solver])</f>
        <v>Adams Bashford</v>
      </c>
      <c r="Y65" s="2" t="str">
        <f>_xlfn.XLOOKUP(Bash3[[#This Row],[Hebras]],TbTecnologia[Hebras],TbTecnologia[Tecnología])</f>
        <v>OMP</v>
      </c>
      <c r="Z65" s="2" t="str" cm="1">
        <f t="array" ref="Z65">_xlfn.XLOOKUP(Bash3[[#This Row],[Tecnología]]&amp;Bash3[[#This Row],[Metodo]],TbTipos[Tecnología]&amp;TbTipos[Metodo],TbTipos[Tipo])</f>
        <v>OMP Elementos</v>
      </c>
      <c r="AA65" s="2" t="str" cm="1">
        <f t="array" ref="AA65">_xlfn.XLOOKUP(Bash3[[#This Row],[Tecnología]]&amp;Bash3[[#This Row],[Problema]],TbNombres[Tecnología]&amp;TbNombres[Problema],TbNombres[Nombre])</f>
        <v>Brusselator1d</v>
      </c>
      <c r="AB65" s="4">
        <v>4</v>
      </c>
      <c r="AC65" s="4">
        <v>3</v>
      </c>
      <c r="AD65" s="4">
        <v>1</v>
      </c>
      <c r="AE65" s="4">
        <v>2000</v>
      </c>
      <c r="AF65" s="4">
        <v>4000</v>
      </c>
      <c r="AG65" s="4">
        <v>24.721399999999999</v>
      </c>
      <c r="AI65" s="2" t="str">
        <f>_xlfn.XLOOKUP(Bash4[[#This Row],[Metodo]],TbSolver[Metodo],TbSolver[Solver])</f>
        <v>Adams Bashford</v>
      </c>
      <c r="AJ65" s="2" t="str">
        <f>_xlfn.XLOOKUP(Bash4[[#This Row],[Hebras]],TbTecnologia[Hebras],TbTecnologia[Tecnología])</f>
        <v>OMP</v>
      </c>
      <c r="AK65" s="2" t="str" cm="1">
        <f t="array" ref="AK65">_xlfn.XLOOKUP(Bash4[[#This Row],[Tecnología]]&amp;Bash4[[#This Row],[Metodo]],TbTipos[Tecnología]&amp;TbTipos[Metodo],TbTipos[Tipo])</f>
        <v>OMP Operaciones</v>
      </c>
      <c r="AL65" s="4" t="str" cm="1">
        <f t="array" ref="AL65">_xlfn.XLOOKUP(Bash4[[#This Row],[Tecnología]]&amp;Bash4[[#This Row],[Problema]],TbNombres[Tecnología]&amp;TbNombres[Problema],TbNombres[Nombre])</f>
        <v>Brusselator2d</v>
      </c>
      <c r="AM65" s="4">
        <v>3</v>
      </c>
      <c r="AN65" s="4">
        <v>4</v>
      </c>
      <c r="AO65" s="4">
        <v>1</v>
      </c>
      <c r="AP65" s="4">
        <v>175</v>
      </c>
      <c r="AQ65" s="4">
        <v>61250</v>
      </c>
      <c r="AR65" s="4">
        <v>441.46800000000002</v>
      </c>
    </row>
    <row r="66" spans="2:44" x14ac:dyDescent="0.2">
      <c r="B66" s="1" t="str">
        <f>_xlfn.XLOOKUP(Bash1[[#This Row],[Metodo]],TbSolver[Metodo],TbSolver[Solver])</f>
        <v>Adams Bashford</v>
      </c>
      <c r="C66" s="1" t="str">
        <f>_xlfn.XLOOKUP(Bash1[[#This Row],[Hebras]],TbTecnologia[Hebras],TbTecnologia[Tecnología])</f>
        <v>OMP</v>
      </c>
      <c r="D66" s="1" t="str" cm="1">
        <f t="array" ref="D66">_xlfn.XLOOKUP(Bash1[[#This Row],[Tecnología]]&amp;Bash1[[#This Row],[Metodo]],TbTipos[Tecnología]&amp;TbTipos[Metodo],TbTipos[Tipo])</f>
        <v>OMP Elementos</v>
      </c>
      <c r="E66" s="1" t="str" cm="1">
        <f t="array" ref="E66">_xlfn.XLOOKUP(Bash1[[#This Row],[Tecnología]]&amp;Bash1[[#This Row],[Problema]],TbNombres[Tecnología]&amp;TbNombres[Problema],TbNombres[Nombre])</f>
        <v>Simple Advdiff</v>
      </c>
      <c r="F66" s="17">
        <v>4</v>
      </c>
      <c r="G66" s="17">
        <v>1</v>
      </c>
      <c r="H66" s="17">
        <v>16</v>
      </c>
      <c r="I66" s="17">
        <v>5000</v>
      </c>
      <c r="J66" s="17">
        <v>5000</v>
      </c>
      <c r="K66" s="17">
        <v>78.954599999999999</v>
      </c>
      <c r="M66" s="2" t="str">
        <f>_xlfn.XLOOKUP(Bash2[[#This Row],[Metodo]],TbSolver[Metodo],TbSolver[Solver])</f>
        <v>Adams Bashford</v>
      </c>
      <c r="N66" s="2" t="str">
        <f>_xlfn.XLOOKUP(Bash2[[#This Row],[Hebras]],TbTecnologia[Hebras],TbTecnologia[Tecnología])</f>
        <v>OMP</v>
      </c>
      <c r="O66" s="6" t="str" cm="1">
        <f t="array" ref="O66">_xlfn.XLOOKUP(Bash2[[#This Row],[Tecnología]]&amp;Bash2[[#This Row],[Metodo]],TbTipos[Tecnología]&amp;TbTipos[Metodo],TbTipos[Tipo])</f>
        <v>OMP Elementos</v>
      </c>
      <c r="P66" s="6" t="str" cm="1">
        <f t="array" ref="P66">_xlfn.XLOOKUP(Bash2[[#This Row],[Tecnología]]&amp;Bash2[[#This Row],[Problema]],TbNombres[Tecnología]&amp;TbNombres[Problema],TbNombres[Nombre])</f>
        <v>Advdiff1d</v>
      </c>
      <c r="Q66" s="4">
        <v>4</v>
      </c>
      <c r="R66" s="22">
        <v>2</v>
      </c>
      <c r="S66" s="22">
        <v>1</v>
      </c>
      <c r="T66" s="22">
        <v>5000</v>
      </c>
      <c r="U66" s="22">
        <v>5000</v>
      </c>
      <c r="V66" s="23">
        <v>133.65799999999999</v>
      </c>
      <c r="X66" s="2" t="str">
        <f>_xlfn.XLOOKUP(Bash3[[#This Row],[Metodo]],TbSolver[Metodo],TbSolver[Solver])</f>
        <v>Adams Bashford</v>
      </c>
      <c r="Y66" s="2" t="str">
        <f>_xlfn.XLOOKUP(Bash3[[#This Row],[Hebras]],TbTecnologia[Hebras],TbTecnologia[Tecnología])</f>
        <v>OMP</v>
      </c>
      <c r="Z66" s="2" t="str" cm="1">
        <f t="array" ref="Z66">_xlfn.XLOOKUP(Bash3[[#This Row],[Tecnología]]&amp;Bash3[[#This Row],[Metodo]],TbTipos[Tecnología]&amp;TbTipos[Metodo],TbTipos[Tipo])</f>
        <v>OMP Operaciones</v>
      </c>
      <c r="AA66" s="2" t="str" cm="1">
        <f t="array" ref="AA66">_xlfn.XLOOKUP(Bash3[[#This Row],[Tecnología]]&amp;Bash3[[#This Row],[Problema]],TbNombres[Tecnología]&amp;TbNombres[Problema],TbNombres[Nombre])</f>
        <v>Brusselator1d</v>
      </c>
      <c r="AB66" s="4">
        <v>3</v>
      </c>
      <c r="AC66" s="4">
        <v>3</v>
      </c>
      <c r="AD66" s="4">
        <v>16</v>
      </c>
      <c r="AE66" s="4">
        <v>2000</v>
      </c>
      <c r="AF66" s="4">
        <v>4000</v>
      </c>
      <c r="AG66" s="4">
        <v>30.224</v>
      </c>
      <c r="AI66" s="2" t="str">
        <f>_xlfn.XLOOKUP(Bash4[[#This Row],[Metodo]],TbSolver[Metodo],TbSolver[Solver])</f>
        <v>Adams Bashford</v>
      </c>
      <c r="AJ66" s="2" t="str">
        <f>_xlfn.XLOOKUP(Bash4[[#This Row],[Hebras]],TbTecnologia[Hebras],TbTecnologia[Tecnología])</f>
        <v>OMP</v>
      </c>
      <c r="AK66" s="2" t="str" cm="1">
        <f t="array" ref="AK66">_xlfn.XLOOKUP(Bash4[[#This Row],[Tecnología]]&amp;Bash4[[#This Row],[Metodo]],TbTipos[Tecnología]&amp;TbTipos[Metodo],TbTipos[Tipo])</f>
        <v>OMP Elementos</v>
      </c>
      <c r="AL66" s="4" t="str" cm="1">
        <f t="array" ref="AL66">_xlfn.XLOOKUP(Bash4[[#This Row],[Tecnología]]&amp;Bash4[[#This Row],[Problema]],TbNombres[Tecnología]&amp;TbNombres[Problema],TbNombres[Nombre])</f>
        <v>Brusselator2d</v>
      </c>
      <c r="AM66" s="4">
        <v>4</v>
      </c>
      <c r="AN66" s="4">
        <v>4</v>
      </c>
      <c r="AO66" s="4">
        <v>1</v>
      </c>
      <c r="AP66" s="4">
        <v>175</v>
      </c>
      <c r="AQ66" s="4">
        <v>61250</v>
      </c>
      <c r="AR66" s="4">
        <v>842.77800000000002</v>
      </c>
    </row>
    <row r="67" spans="2:44" x14ac:dyDescent="0.2">
      <c r="B67" s="1" t="str">
        <f>_xlfn.XLOOKUP(Bash1[[#This Row],[Metodo]],TbSolver[Metodo],TbSolver[Solver])</f>
        <v>Adams Bashford</v>
      </c>
      <c r="C67" s="1" t="str">
        <f>_xlfn.XLOOKUP(Bash1[[#This Row],[Hebras]],TbTecnologia[Hebras],TbTecnologia[Tecnología])</f>
        <v>OMP</v>
      </c>
      <c r="D67" s="1" t="str" cm="1">
        <f t="array" ref="D67">_xlfn.XLOOKUP(Bash1[[#This Row],[Tecnología]]&amp;Bash1[[#This Row],[Metodo]],TbTipos[Tecnología]&amp;TbTipos[Metodo],TbTipos[Tipo])</f>
        <v>OMP Elementos</v>
      </c>
      <c r="E67" s="1" t="str" cm="1">
        <f t="array" ref="E67">_xlfn.XLOOKUP(Bash1[[#This Row],[Tecnología]]&amp;Bash1[[#This Row],[Problema]],TbNombres[Tecnología]&amp;TbNombres[Problema],TbNombres[Nombre])</f>
        <v>Simple Advdiff</v>
      </c>
      <c r="F67" s="17">
        <v>4</v>
      </c>
      <c r="G67" s="17">
        <v>1</v>
      </c>
      <c r="H67" s="17">
        <v>16</v>
      </c>
      <c r="I67" s="17">
        <v>7500</v>
      </c>
      <c r="J67" s="17">
        <v>7500</v>
      </c>
      <c r="K67" s="17">
        <v>12.577299999999999</v>
      </c>
      <c r="M67" s="2" t="str">
        <f>_xlfn.XLOOKUP(Bash2[[#This Row],[Metodo]],TbSolver[Metodo],TbSolver[Solver])</f>
        <v>Adams Bashford</v>
      </c>
      <c r="N67" s="2" t="str">
        <f>_xlfn.XLOOKUP(Bash2[[#This Row],[Hebras]],TbTecnologia[Hebras],TbTecnologia[Tecnología])</f>
        <v>OMP</v>
      </c>
      <c r="O67" s="6" t="str" cm="1">
        <f t="array" ref="O67">_xlfn.XLOOKUP(Bash2[[#This Row],[Tecnología]]&amp;Bash2[[#This Row],[Metodo]],TbTipos[Tecnología]&amp;TbTipos[Metodo],TbTipos[Tipo])</f>
        <v>OMP Elementos</v>
      </c>
      <c r="P67" s="6" t="str" cm="1">
        <f t="array" ref="P67">_xlfn.XLOOKUP(Bash2[[#This Row],[Tecnología]]&amp;Bash2[[#This Row],[Problema]],TbNombres[Tecnología]&amp;TbNombres[Problema],TbNombres[Nombre])</f>
        <v>Advdiff1d</v>
      </c>
      <c r="Q67" s="4">
        <v>4</v>
      </c>
      <c r="R67" s="22">
        <v>2</v>
      </c>
      <c r="S67" s="22">
        <v>16</v>
      </c>
      <c r="T67" s="22">
        <v>7500</v>
      </c>
      <c r="U67" s="22">
        <v>7500</v>
      </c>
      <c r="V67" s="23">
        <v>45.283499999999997</v>
      </c>
      <c r="X67" s="2" t="str">
        <f>_xlfn.XLOOKUP(Bash3[[#This Row],[Metodo]],TbSolver[Metodo],TbSolver[Solver])</f>
        <v>Adams Bashford</v>
      </c>
      <c r="Y67" s="2" t="str">
        <f>_xlfn.XLOOKUP(Bash3[[#This Row],[Hebras]],TbTecnologia[Hebras],TbTecnologia[Tecnología])</f>
        <v>CUDA</v>
      </c>
      <c r="Z67" s="2" t="str" cm="1">
        <f t="array" ref="Z67">_xlfn.XLOOKUP(Bash3[[#This Row],[Tecnología]]&amp;Bash3[[#This Row],[Metodo]],TbTipos[Tecnología]&amp;TbTipos[Metodo],TbTipos[Tipo])</f>
        <v>CUDA sin graph</v>
      </c>
      <c r="AA67" s="2" t="str" cm="1">
        <f t="array" ref="AA67">_xlfn.XLOOKUP(Bash3[[#This Row],[Tecnología]]&amp;Bash3[[#This Row],[Problema]],TbNombres[Tecnología]&amp;TbNombres[Problema],TbNombres[Nombre])</f>
        <v>Brusselator1d</v>
      </c>
      <c r="AB67" s="2">
        <v>3</v>
      </c>
      <c r="AC67" s="2">
        <v>5</v>
      </c>
      <c r="AD67" s="2">
        <v>256</v>
      </c>
      <c r="AE67" s="2">
        <v>5000</v>
      </c>
      <c r="AF67" s="2">
        <v>10000</v>
      </c>
      <c r="AG67" s="2">
        <v>4.64262</v>
      </c>
      <c r="AI67" s="2" t="str">
        <f>_xlfn.XLOOKUP(Bash4[[#This Row],[Metodo]],TbSolver[Metodo],TbSolver[Solver])</f>
        <v>Adams Bashford</v>
      </c>
      <c r="AJ67" s="2" t="str">
        <f>_xlfn.XLOOKUP(Bash4[[#This Row],[Hebras]],TbTecnologia[Hebras],TbTecnologia[Tecnología])</f>
        <v>CUDA</v>
      </c>
      <c r="AK67" s="2" t="str" cm="1">
        <f t="array" ref="AK67">_xlfn.XLOOKUP(Bash4[[#This Row],[Tecnología]]&amp;Bash4[[#This Row],[Metodo]],TbTipos[Tecnología]&amp;TbTipos[Metodo],TbTipos[Tipo])</f>
        <v>CUDA sin graph</v>
      </c>
      <c r="AL67" s="2" t="str" cm="1">
        <f t="array" ref="AL67">_xlfn.XLOOKUP(Bash4[[#This Row],[Tecnología]]&amp;Bash4[[#This Row],[Problema]],TbNombres[Tecnología]&amp;TbNombres[Problema],TbNombres[Nombre])</f>
        <v>Brusselator2d shuffle</v>
      </c>
      <c r="AM67" s="2">
        <v>3</v>
      </c>
      <c r="AN67" s="2">
        <v>9</v>
      </c>
      <c r="AO67" s="2">
        <v>256</v>
      </c>
      <c r="AP67" s="2">
        <v>200</v>
      </c>
      <c r="AQ67" s="2">
        <v>80000</v>
      </c>
      <c r="AR67" s="2">
        <v>13.7272</v>
      </c>
    </row>
    <row r="68" spans="2:44" x14ac:dyDescent="0.2">
      <c r="B68" s="1" t="str">
        <f>_xlfn.XLOOKUP(Bash1[[#This Row],[Metodo]],TbSolver[Metodo],TbSolver[Solver])</f>
        <v>Adams Bashford</v>
      </c>
      <c r="C68" s="1" t="str">
        <f>_xlfn.XLOOKUP(Bash1[[#This Row],[Hebras]],TbTecnologia[Hebras],TbTecnologia[Tecnología])</f>
        <v>OMP</v>
      </c>
      <c r="D68" s="1" t="str" cm="1">
        <f t="array" ref="D68">_xlfn.XLOOKUP(Bash1[[#This Row],[Tecnología]]&amp;Bash1[[#This Row],[Metodo]],TbTipos[Tecnología]&amp;TbTipos[Metodo],TbTipos[Tipo])</f>
        <v>OMP Elementos</v>
      </c>
      <c r="E68" s="1" t="str" cm="1">
        <f t="array" ref="E68">_xlfn.XLOOKUP(Bash1[[#This Row],[Tecnología]]&amp;Bash1[[#This Row],[Problema]],TbNombres[Tecnología]&amp;TbNombres[Problema],TbNombres[Nombre])</f>
        <v>Simple Advdiff</v>
      </c>
      <c r="F68" s="17">
        <v>4</v>
      </c>
      <c r="G68" s="17">
        <v>1</v>
      </c>
      <c r="H68" s="17">
        <v>4</v>
      </c>
      <c r="I68" s="17">
        <v>7500</v>
      </c>
      <c r="J68" s="17">
        <v>7500</v>
      </c>
      <c r="K68" s="17">
        <v>14.3773</v>
      </c>
      <c r="M68" s="2" t="str">
        <f>_xlfn.XLOOKUP(Bash2[[#This Row],[Metodo]],TbSolver[Metodo],TbSolver[Solver])</f>
        <v>Adams Bashford</v>
      </c>
      <c r="N68" s="2" t="str">
        <f>_xlfn.XLOOKUP(Bash2[[#This Row],[Hebras]],TbTecnologia[Hebras],TbTecnologia[Tecnología])</f>
        <v>OMP</v>
      </c>
      <c r="O68" s="6" t="str" cm="1">
        <f t="array" ref="O68">_xlfn.XLOOKUP(Bash2[[#This Row],[Tecnología]]&amp;Bash2[[#This Row],[Metodo]],TbTipos[Tecnología]&amp;TbTipos[Metodo],TbTipos[Tipo])</f>
        <v>OMP Operaciones</v>
      </c>
      <c r="P68" s="6" t="str" cm="1">
        <f t="array" ref="P68">_xlfn.XLOOKUP(Bash2[[#This Row],[Tecnología]]&amp;Bash2[[#This Row],[Problema]],TbNombres[Tecnología]&amp;TbNombres[Problema],TbNombres[Nombre])</f>
        <v>Advdiff1d</v>
      </c>
      <c r="Q68" s="4">
        <v>3</v>
      </c>
      <c r="R68" s="22">
        <v>2</v>
      </c>
      <c r="S68" s="22">
        <v>16</v>
      </c>
      <c r="T68" s="22">
        <v>7500</v>
      </c>
      <c r="U68" s="22">
        <v>7500</v>
      </c>
      <c r="V68" s="23">
        <v>46.950299999999999</v>
      </c>
      <c r="X68" s="2" t="str">
        <f>_xlfn.XLOOKUP(Bash3[[#This Row],[Metodo]],TbSolver[Metodo],TbSolver[Solver])</f>
        <v>Adams Bashford</v>
      </c>
      <c r="Y68" s="2" t="str">
        <f>_xlfn.XLOOKUP(Bash3[[#This Row],[Hebras]],TbTecnologia[Hebras],TbTecnologia[Tecnología])</f>
        <v>CUDA</v>
      </c>
      <c r="Z68" s="2" t="str" cm="1">
        <f t="array" ref="Z68">_xlfn.XLOOKUP(Bash3[[#This Row],[Tecnología]]&amp;Bash3[[#This Row],[Metodo]],TbTipos[Tecnología]&amp;TbTipos[Metodo],TbTipos[Tipo])</f>
        <v>CUDA sin graph</v>
      </c>
      <c r="AA68" s="2" t="str" cm="1">
        <f t="array" ref="AA68">_xlfn.XLOOKUP(Bash3[[#This Row],[Tecnología]]&amp;Bash3[[#This Row],[Problema]],TbNombres[Tecnología]&amp;TbNombres[Problema],TbNombres[Nombre])</f>
        <v>Brusselator1d grid</v>
      </c>
      <c r="AB68" s="2">
        <v>3</v>
      </c>
      <c r="AC68" s="2">
        <v>7</v>
      </c>
      <c r="AD68" s="2">
        <v>256</v>
      </c>
      <c r="AE68" s="2">
        <v>5000</v>
      </c>
      <c r="AF68" s="2">
        <v>10000</v>
      </c>
      <c r="AG68" s="2">
        <v>4.6811100000000003</v>
      </c>
      <c r="AI68" s="2" t="str">
        <f>_xlfn.XLOOKUP(Bash4[[#This Row],[Metodo]],TbSolver[Metodo],TbSolver[Solver])</f>
        <v>Adams Bashford</v>
      </c>
      <c r="AJ68" s="2" t="str">
        <f>_xlfn.XLOOKUP(Bash4[[#This Row],[Hebras]],TbTecnologia[Hebras],TbTecnologia[Tecnología])</f>
        <v>CUDA</v>
      </c>
      <c r="AK68" s="2" t="str" cm="1">
        <f t="array" ref="AK68">_xlfn.XLOOKUP(Bash4[[#This Row],[Tecnología]]&amp;Bash4[[#This Row],[Metodo]],TbTipos[Tecnología]&amp;TbTipos[Metodo],TbTipos[Tipo])</f>
        <v>CUDA sin graph</v>
      </c>
      <c r="AL68" s="2" t="str" cm="1">
        <f t="array" ref="AL68">_xlfn.XLOOKUP(Bash4[[#This Row],[Tecnología]]&amp;Bash4[[#This Row],[Problema]],TbNombres[Tecnología]&amp;TbNombres[Problema],TbNombres[Nombre])</f>
        <v>Brusselator2d</v>
      </c>
      <c r="AM68" s="2">
        <v>3</v>
      </c>
      <c r="AN68" s="2">
        <v>8</v>
      </c>
      <c r="AO68" s="2">
        <v>256</v>
      </c>
      <c r="AP68" s="2">
        <v>200</v>
      </c>
      <c r="AQ68" s="2">
        <v>80000</v>
      </c>
      <c r="AR68" s="2">
        <v>13.9071</v>
      </c>
    </row>
    <row r="69" spans="2:44" x14ac:dyDescent="0.2">
      <c r="B69" s="1" t="str">
        <f>_xlfn.XLOOKUP(Bash1[[#This Row],[Metodo]],TbSolver[Metodo],TbSolver[Solver])</f>
        <v>Adams Bashford</v>
      </c>
      <c r="C69" s="1" t="str">
        <f>_xlfn.XLOOKUP(Bash1[[#This Row],[Hebras]],TbTecnologia[Hebras],TbTecnologia[Tecnología])</f>
        <v>OMP</v>
      </c>
      <c r="D69" s="1" t="str" cm="1">
        <f t="array" ref="D69">_xlfn.XLOOKUP(Bash1[[#This Row],[Tecnología]]&amp;Bash1[[#This Row],[Metodo]],TbTipos[Tecnología]&amp;TbTipos[Metodo],TbTipos[Tipo])</f>
        <v>OMP Operaciones</v>
      </c>
      <c r="E69" s="1" t="str" cm="1">
        <f t="array" ref="E69">_xlfn.XLOOKUP(Bash1[[#This Row],[Tecnología]]&amp;Bash1[[#This Row],[Problema]],TbNombres[Tecnología]&amp;TbNombres[Problema],TbNombres[Nombre])</f>
        <v>Simple Advdiff</v>
      </c>
      <c r="F69" s="17">
        <v>3</v>
      </c>
      <c r="G69" s="17">
        <v>1</v>
      </c>
      <c r="H69" s="17">
        <v>1</v>
      </c>
      <c r="I69" s="17">
        <v>7500</v>
      </c>
      <c r="J69" s="17">
        <v>7500</v>
      </c>
      <c r="K69" s="17">
        <v>15.9071</v>
      </c>
      <c r="M69" s="2" t="str">
        <f>_xlfn.XLOOKUP(Bash2[[#This Row],[Metodo]],TbSolver[Metodo],TbSolver[Solver])</f>
        <v>Adams Bashford</v>
      </c>
      <c r="N69" s="2" t="str">
        <f>_xlfn.XLOOKUP(Bash2[[#This Row],[Hebras]],TbTecnologia[Hebras],TbTecnologia[Tecnología])</f>
        <v>OMP</v>
      </c>
      <c r="O69" s="9" t="str" cm="1">
        <f t="array" ref="O69">_xlfn.XLOOKUP(Bash2[[#This Row],[Tecnología]]&amp;Bash2[[#This Row],[Metodo]],TbTipos[Tecnología]&amp;TbTipos[Metodo],TbTipos[Tipo])</f>
        <v>OMP Elementos</v>
      </c>
      <c r="P69" s="9" t="str" cm="1">
        <f t="array" ref="P69">_xlfn.XLOOKUP(Bash2[[#This Row],[Tecnología]]&amp;Bash2[[#This Row],[Problema]],TbNombres[Tecnología]&amp;TbNombres[Problema],TbNombres[Nombre])</f>
        <v>Advdiff1d</v>
      </c>
      <c r="Q69" s="4">
        <v>4</v>
      </c>
      <c r="R69" s="24">
        <v>2</v>
      </c>
      <c r="S69" s="24">
        <v>4</v>
      </c>
      <c r="T69" s="24">
        <v>7500</v>
      </c>
      <c r="U69" s="24">
        <v>7500</v>
      </c>
      <c r="V69" s="25">
        <v>60.146700000000003</v>
      </c>
      <c r="X69" s="2" t="str">
        <f>_xlfn.XLOOKUP(Bash3[[#This Row],[Metodo]],TbSolver[Metodo],TbSolver[Solver])</f>
        <v>Adams Bashford</v>
      </c>
      <c r="Y69" s="2" t="str">
        <f>_xlfn.XLOOKUP(Bash3[[#This Row],[Hebras]],TbTecnologia[Hebras],TbTecnologia[Tecnología])</f>
        <v>CUDA</v>
      </c>
      <c r="Z69" s="2" t="str" cm="1">
        <f t="array" ref="Z69">_xlfn.XLOOKUP(Bash3[[#This Row],[Tecnología]]&amp;Bash3[[#This Row],[Metodo]],TbTipos[Tecnología]&amp;TbTipos[Metodo],TbTipos[Tipo])</f>
        <v>CUDA sin graph</v>
      </c>
      <c r="AA69" s="2" t="str" cm="1">
        <f t="array" ref="AA69">_xlfn.XLOOKUP(Bash3[[#This Row],[Tecnología]]&amp;Bash3[[#This Row],[Problema]],TbNombres[Tecnología]&amp;TbNombres[Problema],TbNombres[Nombre])</f>
        <v>Brusselator1d shuffle</v>
      </c>
      <c r="AB69" s="2">
        <v>3</v>
      </c>
      <c r="AC69" s="2">
        <v>6</v>
      </c>
      <c r="AD69" s="2">
        <v>256</v>
      </c>
      <c r="AE69" s="2">
        <v>5000</v>
      </c>
      <c r="AF69" s="2">
        <v>10000</v>
      </c>
      <c r="AG69" s="2">
        <v>4.7199299999999997</v>
      </c>
      <c r="AI69" s="2" t="str">
        <f>_xlfn.XLOOKUP(Bash4[[#This Row],[Metodo]],TbSolver[Metodo],TbSolver[Solver])</f>
        <v>Adams Bashford</v>
      </c>
      <c r="AJ69" s="2" t="str">
        <f>_xlfn.XLOOKUP(Bash4[[#This Row],[Hebras]],TbTecnologia[Hebras],TbTecnologia[Tecnología])</f>
        <v>CUDA</v>
      </c>
      <c r="AK69" s="2" t="str" cm="1">
        <f t="array" ref="AK69">_xlfn.XLOOKUP(Bash4[[#This Row],[Tecnología]]&amp;Bash4[[#This Row],[Metodo]],TbTipos[Tecnología]&amp;TbTipos[Metodo],TbTipos[Tipo])</f>
        <v>CUDA con graph</v>
      </c>
      <c r="AL69" s="2" t="str" cm="1">
        <f t="array" ref="AL69">_xlfn.XLOOKUP(Bash4[[#This Row],[Tecnología]]&amp;Bash4[[#This Row],[Problema]],TbNombres[Tecnología]&amp;TbNombres[Problema],TbNombres[Nombre])</f>
        <v>Brusselator2d</v>
      </c>
      <c r="AM69" s="2">
        <v>4</v>
      </c>
      <c r="AN69" s="2">
        <v>8</v>
      </c>
      <c r="AO69" s="2">
        <v>256</v>
      </c>
      <c r="AP69" s="2">
        <v>200</v>
      </c>
      <c r="AQ69" s="2">
        <v>80000</v>
      </c>
      <c r="AR69" s="2">
        <v>18.820699999999999</v>
      </c>
    </row>
    <row r="70" spans="2:44" x14ac:dyDescent="0.2">
      <c r="B70" s="1" t="str">
        <f>_xlfn.XLOOKUP(Bash1[[#This Row],[Metodo]],TbSolver[Metodo],TbSolver[Solver])</f>
        <v>Adams Bashford</v>
      </c>
      <c r="C70" s="1" t="str">
        <f>_xlfn.XLOOKUP(Bash1[[#This Row],[Hebras]],TbTecnologia[Hebras],TbTecnologia[Tecnología])</f>
        <v>OMP</v>
      </c>
      <c r="D70" s="1" t="str" cm="1">
        <f t="array" ref="D70">_xlfn.XLOOKUP(Bash1[[#This Row],[Tecnología]]&amp;Bash1[[#This Row],[Metodo]],TbTipos[Tecnología]&amp;TbTipos[Metodo],TbTipos[Tipo])</f>
        <v>OMP Operaciones</v>
      </c>
      <c r="E70" s="1" t="str" cm="1">
        <f t="array" ref="E70">_xlfn.XLOOKUP(Bash1[[#This Row],[Tecnología]]&amp;Bash1[[#This Row],[Problema]],TbNombres[Tecnología]&amp;TbNombres[Problema],TbNombres[Nombre])</f>
        <v>Simple Advdiff</v>
      </c>
      <c r="F70" s="17">
        <v>3</v>
      </c>
      <c r="G70" s="17">
        <v>1</v>
      </c>
      <c r="H70" s="17">
        <v>4</v>
      </c>
      <c r="I70" s="17">
        <v>7500</v>
      </c>
      <c r="J70" s="17">
        <v>7500</v>
      </c>
      <c r="K70" s="17">
        <v>16.9971</v>
      </c>
      <c r="M70" s="2" t="str">
        <f>_xlfn.XLOOKUP(Bash2[[#This Row],[Metodo]],TbSolver[Metodo],TbSolver[Solver])</f>
        <v>Adams Bashford</v>
      </c>
      <c r="N70" s="2" t="str">
        <f>_xlfn.XLOOKUP(Bash2[[#This Row],[Hebras]],TbTecnologia[Hebras],TbTecnologia[Tecnología])</f>
        <v>OMP</v>
      </c>
      <c r="O70" s="6" t="str" cm="1">
        <f t="array" ref="O70">_xlfn.XLOOKUP(Bash2[[#This Row],[Tecnología]]&amp;Bash2[[#This Row],[Metodo]],TbTipos[Tecnología]&amp;TbTipos[Metodo],TbTipos[Tipo])</f>
        <v>OMP Operaciones</v>
      </c>
      <c r="P70" s="6" t="str" cm="1">
        <f t="array" ref="P70">_xlfn.XLOOKUP(Bash2[[#This Row],[Tecnología]]&amp;Bash2[[#This Row],[Problema]],TbNombres[Tecnología]&amp;TbNombres[Problema],TbNombres[Nombre])</f>
        <v>Advdiff1d</v>
      </c>
      <c r="Q70" s="4">
        <v>3</v>
      </c>
      <c r="R70" s="4">
        <v>2</v>
      </c>
      <c r="S70" s="4">
        <v>4</v>
      </c>
      <c r="T70" s="4">
        <v>7500</v>
      </c>
      <c r="U70" s="4">
        <v>7500</v>
      </c>
      <c r="V70" s="4">
        <v>64.175399999999996</v>
      </c>
      <c r="X70" s="2" t="str">
        <f>_xlfn.XLOOKUP(Bash3[[#This Row],[Metodo]],TbSolver[Metodo],TbSolver[Solver])</f>
        <v>Adams Bashford</v>
      </c>
      <c r="Y70" s="2" t="str">
        <f>_xlfn.XLOOKUP(Bash3[[#This Row],[Hebras]],TbTecnologia[Hebras],TbTecnologia[Tecnología])</f>
        <v>CUDA</v>
      </c>
      <c r="Z70" s="2" t="str" cm="1">
        <f t="array" ref="Z70">_xlfn.XLOOKUP(Bash3[[#This Row],[Tecnología]]&amp;Bash3[[#This Row],[Metodo]],TbTipos[Tecnología]&amp;TbTipos[Metodo],TbTipos[Tipo])</f>
        <v>CUDA con graph</v>
      </c>
      <c r="AA70" s="2" t="str" cm="1">
        <f t="array" ref="AA70">_xlfn.XLOOKUP(Bash3[[#This Row],[Tecnología]]&amp;Bash3[[#This Row],[Problema]],TbNombres[Tecnología]&amp;TbNombres[Problema],TbNombres[Nombre])</f>
        <v>Brusselator1d</v>
      </c>
      <c r="AB70" s="2">
        <v>4</v>
      </c>
      <c r="AC70" s="2">
        <v>5</v>
      </c>
      <c r="AD70" s="2">
        <v>256</v>
      </c>
      <c r="AE70" s="2">
        <v>5000</v>
      </c>
      <c r="AF70" s="2">
        <v>10000</v>
      </c>
      <c r="AG70" s="2">
        <v>6.3339499999999997</v>
      </c>
      <c r="AI70" s="2" t="str">
        <f>_xlfn.XLOOKUP(Bash4[[#This Row],[Metodo]],TbSolver[Metodo],TbSolver[Solver])</f>
        <v>Adams Bashford</v>
      </c>
      <c r="AJ70" s="2" t="str">
        <f>_xlfn.XLOOKUP(Bash4[[#This Row],[Hebras]],TbTecnologia[Hebras],TbTecnologia[Tecnología])</f>
        <v>CUDA</v>
      </c>
      <c r="AK70" s="2" t="str" cm="1">
        <f t="array" ref="AK70">_xlfn.XLOOKUP(Bash4[[#This Row],[Tecnología]]&amp;Bash4[[#This Row],[Metodo]],TbTipos[Tecnología]&amp;TbTipos[Metodo],TbTipos[Tipo])</f>
        <v>CUDA con graph</v>
      </c>
      <c r="AL70" s="2" t="str" cm="1">
        <f t="array" ref="AL70">_xlfn.XLOOKUP(Bash4[[#This Row],[Tecnología]]&amp;Bash4[[#This Row],[Problema]],TbNombres[Tecnología]&amp;TbNombres[Problema],TbNombres[Nombre])</f>
        <v>Brusselator2d shuffle</v>
      </c>
      <c r="AM70" s="2">
        <v>4</v>
      </c>
      <c r="AN70" s="2">
        <v>9</v>
      </c>
      <c r="AO70" s="2">
        <v>256</v>
      </c>
      <c r="AP70" s="2">
        <v>200</v>
      </c>
      <c r="AQ70" s="2">
        <v>80000</v>
      </c>
      <c r="AR70" s="2">
        <v>19.009899999999998</v>
      </c>
    </row>
    <row r="71" spans="2:44" x14ac:dyDescent="0.2">
      <c r="B71" s="1" t="str">
        <f>_xlfn.XLOOKUP(Bash1[[#This Row],[Metodo]],TbSolver[Metodo],TbSolver[Solver])</f>
        <v>Adams Bashford</v>
      </c>
      <c r="C71" s="1" t="str">
        <f>_xlfn.XLOOKUP(Bash1[[#This Row],[Hebras]],TbTecnologia[Hebras],TbTecnologia[Tecnología])</f>
        <v>OMP</v>
      </c>
      <c r="D71" s="1" t="str" cm="1">
        <f t="array" ref="D71">_xlfn.XLOOKUP(Bash1[[#This Row],[Tecnología]]&amp;Bash1[[#This Row],[Metodo]],TbTipos[Tecnología]&amp;TbTipos[Metodo],TbTipos[Tipo])</f>
        <v>OMP Operaciones</v>
      </c>
      <c r="E71" s="1" t="str" cm="1">
        <f t="array" ref="E71">_xlfn.XLOOKUP(Bash1[[#This Row],[Tecnología]]&amp;Bash1[[#This Row],[Problema]],TbNombres[Tecnología]&amp;TbNombres[Problema],TbNombres[Nombre])</f>
        <v>Simple Advdiff</v>
      </c>
      <c r="F71" s="17">
        <v>3</v>
      </c>
      <c r="G71" s="17">
        <v>1</v>
      </c>
      <c r="H71" s="17">
        <v>16</v>
      </c>
      <c r="I71" s="17">
        <v>7500</v>
      </c>
      <c r="J71" s="17">
        <v>7500</v>
      </c>
      <c r="K71" s="17">
        <v>30.6571</v>
      </c>
      <c r="M71" s="2" t="str">
        <f>_xlfn.XLOOKUP(Bash2[[#This Row],[Metodo]],TbSolver[Metodo],TbSolver[Solver])</f>
        <v>Adams Bashford</v>
      </c>
      <c r="N71" s="2" t="str">
        <f>_xlfn.XLOOKUP(Bash2[[#This Row],[Hebras]],TbTecnologia[Hebras],TbTecnologia[Tecnología])</f>
        <v>OMP</v>
      </c>
      <c r="O71" s="6" t="str" cm="1">
        <f t="array" ref="O71">_xlfn.XLOOKUP(Bash2[[#This Row],[Tecnología]]&amp;Bash2[[#This Row],[Metodo]],TbTipos[Tecnología]&amp;TbTipos[Metodo],TbTipos[Tipo])</f>
        <v>OMP Operaciones</v>
      </c>
      <c r="P71" s="6" t="str" cm="1">
        <f t="array" ref="P71">_xlfn.XLOOKUP(Bash2[[#This Row],[Tecnología]]&amp;Bash2[[#This Row],[Problema]],TbNombres[Tecnología]&amp;TbNombres[Problema],TbNombres[Nombre])</f>
        <v>Advdiff1d</v>
      </c>
      <c r="Q71" s="4">
        <v>3</v>
      </c>
      <c r="R71" s="4">
        <v>2</v>
      </c>
      <c r="S71" s="4">
        <v>1</v>
      </c>
      <c r="T71" s="4">
        <v>7500</v>
      </c>
      <c r="U71" s="4">
        <v>7500</v>
      </c>
      <c r="V71" s="4">
        <v>170.4</v>
      </c>
      <c r="X71" s="2" t="str">
        <f>_xlfn.XLOOKUP(Bash3[[#This Row],[Metodo]],TbSolver[Metodo],TbSolver[Solver])</f>
        <v>Adams Bashford</v>
      </c>
      <c r="Y71" s="2" t="str">
        <f>_xlfn.XLOOKUP(Bash3[[#This Row],[Hebras]],TbTecnologia[Hebras],TbTecnologia[Tecnología])</f>
        <v>CUDA</v>
      </c>
      <c r="Z71" s="2" t="str" cm="1">
        <f t="array" ref="Z71">_xlfn.XLOOKUP(Bash3[[#This Row],[Tecnología]]&amp;Bash3[[#This Row],[Metodo]],TbTipos[Tecnología]&amp;TbTipos[Metodo],TbTipos[Tipo])</f>
        <v>CUDA con graph</v>
      </c>
      <c r="AA71" s="2" t="str" cm="1">
        <f t="array" ref="AA71">_xlfn.XLOOKUP(Bash3[[#This Row],[Tecnología]]&amp;Bash3[[#This Row],[Problema]],TbNombres[Tecnología]&amp;TbNombres[Problema],TbNombres[Nombre])</f>
        <v>Brusselator1d shuffle</v>
      </c>
      <c r="AB71" s="2">
        <v>4</v>
      </c>
      <c r="AC71" s="2">
        <v>6</v>
      </c>
      <c r="AD71" s="2">
        <v>256</v>
      </c>
      <c r="AE71" s="2">
        <v>5000</v>
      </c>
      <c r="AF71" s="2">
        <v>10000</v>
      </c>
      <c r="AG71" s="2">
        <v>6.35222</v>
      </c>
      <c r="AI71" s="4" t="str">
        <f>_xlfn.XLOOKUP(Bash4[[#This Row],[Metodo]],TbSolver[Metodo],TbSolver[Solver])</f>
        <v>Adams Bashford</v>
      </c>
      <c r="AJ71" s="4" t="str">
        <f>_xlfn.XLOOKUP(Bash4[[#This Row],[Hebras]],TbTecnologia[Hebras],TbTecnologia[Tecnología])</f>
        <v>OMP</v>
      </c>
      <c r="AK71" s="4" t="str" cm="1">
        <f t="array" ref="AK71">_xlfn.XLOOKUP(Bash4[[#This Row],[Tecnología]]&amp;Bash4[[#This Row],[Metodo]],TbTipos[Tecnología]&amp;TbTipos[Metodo],TbTipos[Tipo])</f>
        <v>OMP Operaciones</v>
      </c>
      <c r="AL71" s="4" t="str" cm="1">
        <f t="array" ref="AL71">_xlfn.XLOOKUP(Bash4[[#This Row],[Tecnología]]&amp;Bash4[[#This Row],[Problema]],TbNombres[Tecnología]&amp;TbNombres[Problema],TbNombres[Nombre])</f>
        <v>Brusselator2d</v>
      </c>
      <c r="AM71" s="4">
        <v>3</v>
      </c>
      <c r="AN71" s="4">
        <v>4</v>
      </c>
      <c r="AO71" s="4">
        <v>16</v>
      </c>
      <c r="AP71" s="4">
        <v>200</v>
      </c>
      <c r="AQ71" s="4">
        <v>80000</v>
      </c>
      <c r="AR71" s="4">
        <v>66.903000000000006</v>
      </c>
    </row>
    <row r="72" spans="2:44" x14ac:dyDescent="0.2">
      <c r="B72" s="1" t="str">
        <f>_xlfn.XLOOKUP(Bash1[[#This Row],[Metodo]],TbSolver[Metodo],TbSolver[Solver])</f>
        <v>Adams Bashford</v>
      </c>
      <c r="C72" s="1" t="str">
        <f>_xlfn.XLOOKUP(Bash1[[#This Row],[Hebras]],TbTecnologia[Hebras],TbTecnologia[Tecnología])</f>
        <v>OMP</v>
      </c>
      <c r="D72" s="1" t="str" cm="1">
        <f t="array" ref="D72">_xlfn.XLOOKUP(Bash1[[#This Row],[Tecnología]]&amp;Bash1[[#This Row],[Metodo]],TbTipos[Tecnología]&amp;TbTipos[Metodo],TbTipos[Tipo])</f>
        <v>OMP Elementos</v>
      </c>
      <c r="E72" s="1" t="str" cm="1">
        <f t="array" ref="E72">_xlfn.XLOOKUP(Bash1[[#This Row],[Tecnología]]&amp;Bash1[[#This Row],[Problema]],TbNombres[Tecnología]&amp;TbNombres[Problema],TbNombres[Nombre])</f>
        <v>Simple Advdiff</v>
      </c>
      <c r="F72" s="17">
        <v>4</v>
      </c>
      <c r="G72" s="17">
        <v>1</v>
      </c>
      <c r="H72" s="17">
        <v>1</v>
      </c>
      <c r="I72" s="17">
        <v>7500</v>
      </c>
      <c r="J72" s="17">
        <v>7500</v>
      </c>
      <c r="K72" s="17">
        <v>37.374400000000001</v>
      </c>
      <c r="M72" s="2" t="str">
        <f>_xlfn.XLOOKUP(Bash2[[#This Row],[Metodo]],TbSolver[Metodo],TbSolver[Solver])</f>
        <v>Adams Bashford</v>
      </c>
      <c r="N72" s="2" t="str">
        <f>_xlfn.XLOOKUP(Bash2[[#This Row],[Hebras]],TbTecnologia[Hebras],TbTecnologia[Tecnología])</f>
        <v>OMP</v>
      </c>
      <c r="O72" s="6" t="str" cm="1">
        <f t="array" ref="O72">_xlfn.XLOOKUP(Bash2[[#This Row],[Tecnología]]&amp;Bash2[[#This Row],[Metodo]],TbTipos[Tecnología]&amp;TbTipos[Metodo],TbTipos[Tipo])</f>
        <v>OMP Elementos</v>
      </c>
      <c r="P72" s="6" t="str" cm="1">
        <f t="array" ref="P72">_xlfn.XLOOKUP(Bash2[[#This Row],[Tecnología]]&amp;Bash2[[#This Row],[Problema]],TbNombres[Tecnología]&amp;TbNombres[Problema],TbNombres[Nombre])</f>
        <v>Advdiff1d</v>
      </c>
      <c r="Q72" s="4">
        <v>4</v>
      </c>
      <c r="R72" s="4">
        <v>2</v>
      </c>
      <c r="S72" s="4">
        <v>1</v>
      </c>
      <c r="T72" s="4">
        <v>7500</v>
      </c>
      <c r="U72" s="4">
        <v>7500</v>
      </c>
      <c r="V72" s="4">
        <v>198.01499999999999</v>
      </c>
      <c r="X72" s="2" t="str">
        <f>_xlfn.XLOOKUP(Bash3[[#This Row],[Metodo]],TbSolver[Metodo],TbSolver[Solver])</f>
        <v>Adams Bashford</v>
      </c>
      <c r="Y72" s="2" t="str">
        <f>_xlfn.XLOOKUP(Bash3[[#This Row],[Hebras]],TbTecnologia[Hebras],TbTecnologia[Tecnología])</f>
        <v>CUDA</v>
      </c>
      <c r="Z72" s="2" t="str" cm="1">
        <f t="array" ref="Z72">_xlfn.XLOOKUP(Bash3[[#This Row],[Tecnología]]&amp;Bash3[[#This Row],[Metodo]],TbTipos[Tecnología]&amp;TbTipos[Metodo],TbTipos[Tipo])</f>
        <v>CUDA con graph</v>
      </c>
      <c r="AA72" s="2" t="str" cm="1">
        <f t="array" ref="AA72">_xlfn.XLOOKUP(Bash3[[#This Row],[Tecnología]]&amp;Bash3[[#This Row],[Problema]],TbNombres[Tecnología]&amp;TbNombres[Problema],TbNombres[Nombre])</f>
        <v>Brusselator1d grid</v>
      </c>
      <c r="AB72" s="2">
        <v>4</v>
      </c>
      <c r="AC72" s="2">
        <v>7</v>
      </c>
      <c r="AD72" s="2">
        <v>256</v>
      </c>
      <c r="AE72" s="2">
        <v>5000</v>
      </c>
      <c r="AF72" s="2">
        <v>10000</v>
      </c>
      <c r="AG72" s="2">
        <v>6.3566900000000004</v>
      </c>
      <c r="AI72" s="4" t="str">
        <f>_xlfn.XLOOKUP(Bash4[[#This Row],[Metodo]],TbSolver[Metodo],TbSolver[Solver])</f>
        <v>Adams Bashford</v>
      </c>
      <c r="AJ72" s="4" t="str">
        <f>_xlfn.XLOOKUP(Bash4[[#This Row],[Hebras]],TbTecnologia[Hebras],TbTecnologia[Tecnología])</f>
        <v>OMP</v>
      </c>
      <c r="AK72" s="4" t="str" cm="1">
        <f t="array" ref="AK72">_xlfn.XLOOKUP(Bash4[[#This Row],[Tecnología]]&amp;Bash4[[#This Row],[Metodo]],TbTipos[Tecnología]&amp;TbTipos[Metodo],TbTipos[Tipo])</f>
        <v>OMP Elementos</v>
      </c>
      <c r="AL72" s="4" t="str" cm="1">
        <f t="array" ref="AL72">_xlfn.XLOOKUP(Bash4[[#This Row],[Tecnología]]&amp;Bash4[[#This Row],[Problema]],TbNombres[Tecnología]&amp;TbNombres[Problema],TbNombres[Nombre])</f>
        <v>Brusselator2d</v>
      </c>
      <c r="AM72" s="4">
        <v>4</v>
      </c>
      <c r="AN72" s="4">
        <v>4</v>
      </c>
      <c r="AO72" s="4">
        <v>16</v>
      </c>
      <c r="AP72" s="4">
        <v>200</v>
      </c>
      <c r="AQ72" s="4">
        <v>80000</v>
      </c>
      <c r="AR72" s="4">
        <v>90.070800000000006</v>
      </c>
    </row>
    <row r="73" spans="2:44" x14ac:dyDescent="0.2">
      <c r="B73" s="1" t="str">
        <f>_xlfn.XLOOKUP(Bash1[[#This Row],[Metodo]],TbSolver[Metodo],TbSolver[Solver])</f>
        <v>Adams Bashford</v>
      </c>
      <c r="C73" s="1" t="str">
        <f>_xlfn.XLOOKUP(Bash1[[#This Row],[Hebras]],TbTecnologia[Hebras],TbTecnologia[Tecnología])</f>
        <v>CUDA</v>
      </c>
      <c r="D73" s="1" t="str" cm="1">
        <f t="array" ref="D73">_xlfn.XLOOKUP(Bash1[[#This Row],[Tecnología]]&amp;Bash1[[#This Row],[Metodo]],TbTipos[Tecnología]&amp;TbTipos[Metodo],TbTipos[Tipo])</f>
        <v>CUDA sin graph</v>
      </c>
      <c r="E73" s="1" t="str" cm="1">
        <f t="array" ref="E73">_xlfn.XLOOKUP(Bash1[[#This Row],[Tecnología]]&amp;Bash1[[#This Row],[Problema]],TbNombres[Tecnología]&amp;TbNombres[Problema],TbNombres[Nombre])</f>
        <v>Simple Advdiff shuffle</v>
      </c>
      <c r="F73" s="1">
        <v>3</v>
      </c>
      <c r="G73" s="1">
        <v>2</v>
      </c>
      <c r="H73" s="1">
        <v>256</v>
      </c>
      <c r="I73" s="1">
        <v>10000</v>
      </c>
      <c r="J73" s="1">
        <v>10000</v>
      </c>
      <c r="K73" s="1">
        <v>4.3619700000000003</v>
      </c>
      <c r="M73" s="2" t="str">
        <f>_xlfn.XLOOKUP(Bash2[[#This Row],[Metodo]],TbSolver[Metodo],TbSolver[Solver])</f>
        <v>Adams Bashford</v>
      </c>
      <c r="N73" s="2" t="str">
        <f>_xlfn.XLOOKUP(Bash2[[#This Row],[Hebras]],TbTecnologia[Hebras],TbTecnologia[Tecnología])</f>
        <v>CUDA</v>
      </c>
      <c r="O73" s="6" t="str" cm="1">
        <f t="array" ref="O73">_xlfn.XLOOKUP(Bash2[[#This Row],[Tecnología]]&amp;Bash2[[#This Row],[Metodo]],TbTipos[Tecnología]&amp;TbTipos[Metodo],TbTipos[Tipo])</f>
        <v>CUDA sin graph</v>
      </c>
      <c r="P73" s="6" t="str" cm="1">
        <f t="array" ref="P73">_xlfn.XLOOKUP(Bash2[[#This Row],[Tecnología]]&amp;Bash2[[#This Row],[Problema]],TbNombres[Tecnología]&amp;TbNombres[Problema],TbNombres[Nombre])</f>
        <v>Advdiff1d</v>
      </c>
      <c r="Q73" s="2">
        <v>3</v>
      </c>
      <c r="R73" s="2">
        <v>3</v>
      </c>
      <c r="S73" s="2">
        <v>256</v>
      </c>
      <c r="T73" s="2">
        <v>10000</v>
      </c>
      <c r="U73" s="2">
        <v>10000</v>
      </c>
      <c r="V73" s="2">
        <v>8.1387099999999997</v>
      </c>
      <c r="X73" s="2" t="str">
        <f>_xlfn.XLOOKUP(Bash3[[#This Row],[Metodo]],TbSolver[Metodo],TbSolver[Solver])</f>
        <v>Adams Bashford</v>
      </c>
      <c r="Y73" s="2" t="str">
        <f>_xlfn.XLOOKUP(Bash3[[#This Row],[Hebras]],TbTecnologia[Hebras],TbTecnologia[Tecnología])</f>
        <v>OMP</v>
      </c>
      <c r="Z73" s="2" t="str" cm="1">
        <f t="array" ref="Z73">_xlfn.XLOOKUP(Bash3[[#This Row],[Tecnología]]&amp;Bash3[[#This Row],[Metodo]],TbTipos[Tecnología]&amp;TbTipos[Metodo],TbTipos[Tipo])</f>
        <v>OMP Elementos</v>
      </c>
      <c r="AA73" s="2" t="str" cm="1">
        <f t="array" ref="AA73">_xlfn.XLOOKUP(Bash3[[#This Row],[Tecnología]]&amp;Bash3[[#This Row],[Problema]],TbNombres[Tecnología]&amp;TbNombres[Problema],TbNombres[Nombre])</f>
        <v>Brusselator1d</v>
      </c>
      <c r="AB73" s="4">
        <v>4</v>
      </c>
      <c r="AC73" s="4">
        <v>3</v>
      </c>
      <c r="AD73" s="4">
        <v>4</v>
      </c>
      <c r="AE73" s="4">
        <v>5000</v>
      </c>
      <c r="AF73" s="4">
        <v>10000</v>
      </c>
      <c r="AG73" s="4">
        <v>20.242799999999999</v>
      </c>
      <c r="AI73" s="4" t="str">
        <f>_xlfn.XLOOKUP(Bash4[[#This Row],[Metodo]],TbSolver[Metodo],TbSolver[Solver])</f>
        <v>Adams Bashford</v>
      </c>
      <c r="AJ73" s="4" t="str">
        <f>_xlfn.XLOOKUP(Bash4[[#This Row],[Hebras]],TbTecnologia[Hebras],TbTecnologia[Tecnología])</f>
        <v>OMP</v>
      </c>
      <c r="AK73" s="4" t="str" cm="1">
        <f t="array" ref="AK73">_xlfn.XLOOKUP(Bash4[[#This Row],[Tecnología]]&amp;Bash4[[#This Row],[Metodo]],TbTipos[Tecnología]&amp;TbTipos[Metodo],TbTipos[Tipo])</f>
        <v>OMP Operaciones</v>
      </c>
      <c r="AL73" s="4" t="str" cm="1">
        <f t="array" ref="AL73">_xlfn.XLOOKUP(Bash4[[#This Row],[Tecnología]]&amp;Bash4[[#This Row],[Problema]],TbNombres[Tecnología]&amp;TbNombres[Problema],TbNombres[Nombre])</f>
        <v>Brusselator2d</v>
      </c>
      <c r="AM73" s="4">
        <v>3</v>
      </c>
      <c r="AN73" s="4">
        <v>4</v>
      </c>
      <c r="AO73" s="4">
        <v>4</v>
      </c>
      <c r="AP73" s="4">
        <v>200</v>
      </c>
      <c r="AQ73" s="4">
        <v>80000</v>
      </c>
      <c r="AR73" s="4">
        <v>143.374</v>
      </c>
    </row>
    <row r="74" spans="2:44" x14ac:dyDescent="0.2">
      <c r="B74" s="1" t="str">
        <f>_xlfn.XLOOKUP(Bash1[[#This Row],[Metodo]],TbSolver[Metodo],TbSolver[Solver])</f>
        <v>Adams Bashford</v>
      </c>
      <c r="C74" s="1" t="str">
        <f>_xlfn.XLOOKUP(Bash1[[#This Row],[Hebras]],TbTecnologia[Hebras],TbTecnologia[Tecnología])</f>
        <v>CUDA</v>
      </c>
      <c r="D74" s="1" t="str" cm="1">
        <f t="array" ref="D74">_xlfn.XLOOKUP(Bash1[[#This Row],[Tecnología]]&amp;Bash1[[#This Row],[Metodo]],TbTipos[Tecnología]&amp;TbTipos[Metodo],TbTipos[Tipo])</f>
        <v>CUDA sin graph</v>
      </c>
      <c r="E74" s="1" t="str" cm="1">
        <f t="array" ref="E74">_xlfn.XLOOKUP(Bash1[[#This Row],[Tecnología]]&amp;Bash1[[#This Row],[Problema]],TbNombres[Tecnología]&amp;TbNombres[Problema],TbNombres[Nombre])</f>
        <v>Simple Advdiff</v>
      </c>
      <c r="F74" s="1">
        <v>3</v>
      </c>
      <c r="G74" s="1">
        <v>1</v>
      </c>
      <c r="H74" s="1">
        <v>256</v>
      </c>
      <c r="I74" s="1">
        <v>10000</v>
      </c>
      <c r="J74" s="1">
        <v>10000</v>
      </c>
      <c r="K74" s="1">
        <v>4.3674200000000001</v>
      </c>
      <c r="M74" s="2" t="str">
        <f>_xlfn.XLOOKUP(Bash2[[#This Row],[Metodo]],TbSolver[Metodo],TbSolver[Solver])</f>
        <v>Adams Bashford</v>
      </c>
      <c r="N74" s="2" t="str">
        <f>_xlfn.XLOOKUP(Bash2[[#This Row],[Hebras]],TbTecnologia[Hebras],TbTecnologia[Tecnología])</f>
        <v>CUDA</v>
      </c>
      <c r="O74" s="6" t="str" cm="1">
        <f t="array" ref="O74">_xlfn.XLOOKUP(Bash2[[#This Row],[Tecnología]]&amp;Bash2[[#This Row],[Metodo]],TbTipos[Tecnología]&amp;TbTipos[Metodo],TbTipos[Tipo])</f>
        <v>CUDA sin graph</v>
      </c>
      <c r="P74" s="6" t="str" cm="1">
        <f t="array" ref="P74">_xlfn.XLOOKUP(Bash2[[#This Row],[Tecnología]]&amp;Bash2[[#This Row],[Problema]],TbNombres[Tecnología]&amp;TbNombres[Problema],TbNombres[Nombre])</f>
        <v>Advdiff1d</v>
      </c>
      <c r="Q74" s="2">
        <v>3</v>
      </c>
      <c r="R74" s="2">
        <v>3</v>
      </c>
      <c r="S74" s="2">
        <v>256</v>
      </c>
      <c r="T74" s="2">
        <v>10000</v>
      </c>
      <c r="U74" s="2">
        <v>10000</v>
      </c>
      <c r="V74" s="2">
        <v>8.2031299999999998</v>
      </c>
      <c r="X74" s="2" t="str">
        <f>_xlfn.XLOOKUP(Bash3[[#This Row],[Metodo]],TbSolver[Metodo],TbSolver[Solver])</f>
        <v>Adams Bashford</v>
      </c>
      <c r="Y74" s="2" t="str">
        <f>_xlfn.XLOOKUP(Bash3[[#This Row],[Hebras]],TbTecnologia[Hebras],TbTecnologia[Tecnología])</f>
        <v>OMP</v>
      </c>
      <c r="Z74" s="2" t="str" cm="1">
        <f t="array" ref="Z74">_xlfn.XLOOKUP(Bash3[[#This Row],[Tecnología]]&amp;Bash3[[#This Row],[Metodo]],TbTipos[Tecnología]&amp;TbTipos[Metodo],TbTipos[Tipo])</f>
        <v>OMP Operaciones</v>
      </c>
      <c r="AA74" s="2" t="str" cm="1">
        <f t="array" ref="AA74">_xlfn.XLOOKUP(Bash3[[#This Row],[Tecnología]]&amp;Bash3[[#This Row],[Problema]],TbNombres[Tecnología]&amp;TbNombres[Problema],TbNombres[Nombre])</f>
        <v>Brusselator1d</v>
      </c>
      <c r="AB74" s="4">
        <v>3</v>
      </c>
      <c r="AC74" s="4">
        <v>3</v>
      </c>
      <c r="AD74" s="4">
        <v>4</v>
      </c>
      <c r="AE74" s="4">
        <v>5000</v>
      </c>
      <c r="AF74" s="4">
        <v>10000</v>
      </c>
      <c r="AG74" s="4">
        <v>22.780799999999999</v>
      </c>
      <c r="AI74" s="4" t="str">
        <f>_xlfn.XLOOKUP(Bash4[[#This Row],[Metodo]],TbSolver[Metodo],TbSolver[Solver])</f>
        <v>Adams Bashford</v>
      </c>
      <c r="AJ74" s="4" t="str">
        <f>_xlfn.XLOOKUP(Bash4[[#This Row],[Hebras]],TbTecnologia[Hebras],TbTecnologia[Tecnología])</f>
        <v>OMP</v>
      </c>
      <c r="AK74" s="4" t="str" cm="1">
        <f t="array" ref="AK74">_xlfn.XLOOKUP(Bash4[[#This Row],[Tecnología]]&amp;Bash4[[#This Row],[Metodo]],TbTipos[Tecnología]&amp;TbTipos[Metodo],TbTipos[Tipo])</f>
        <v>OMP Elementos</v>
      </c>
      <c r="AL74" s="4" t="str" cm="1">
        <f t="array" ref="AL74">_xlfn.XLOOKUP(Bash4[[#This Row],[Tecnología]]&amp;Bash4[[#This Row],[Problema]],TbNombres[Tecnología]&amp;TbNombres[Problema],TbNombres[Nombre])</f>
        <v>Brusselator2d</v>
      </c>
      <c r="AM74" s="4">
        <v>4</v>
      </c>
      <c r="AN74" s="4">
        <v>4</v>
      </c>
      <c r="AO74" s="4">
        <v>4</v>
      </c>
      <c r="AP74" s="4">
        <v>200</v>
      </c>
      <c r="AQ74" s="4">
        <v>80000</v>
      </c>
      <c r="AR74" s="4">
        <v>281.49200000000002</v>
      </c>
    </row>
    <row r="75" spans="2:44" x14ac:dyDescent="0.2">
      <c r="B75" s="1" t="str">
        <f>_xlfn.XLOOKUP(Bash1[[#This Row],[Metodo]],TbSolver[Metodo],TbSolver[Solver])</f>
        <v>Adams Bashford</v>
      </c>
      <c r="C75" s="1" t="str">
        <f>_xlfn.XLOOKUP(Bash1[[#This Row],[Hebras]],TbTecnologia[Hebras],TbTecnologia[Tecnología])</f>
        <v>CUDA</v>
      </c>
      <c r="D75" s="1" t="str" cm="1">
        <f t="array" ref="D75">_xlfn.XLOOKUP(Bash1[[#This Row],[Tecnología]]&amp;Bash1[[#This Row],[Metodo]],TbTipos[Tecnología]&amp;TbTipos[Metodo],TbTipos[Tipo])</f>
        <v>CUDA sin graph</v>
      </c>
      <c r="E75" s="1" t="str" cm="1">
        <f t="array" ref="E75">_xlfn.XLOOKUP(Bash1[[#This Row],[Tecnología]]&amp;Bash1[[#This Row],[Problema]],TbNombres[Tecnología]&amp;TbNombres[Problema],TbNombres[Nombre])</f>
        <v>Simple Advdiff</v>
      </c>
      <c r="F75" s="1">
        <v>3</v>
      </c>
      <c r="G75" s="1">
        <v>1</v>
      </c>
      <c r="H75" s="1">
        <v>256</v>
      </c>
      <c r="I75" s="1">
        <v>10000</v>
      </c>
      <c r="J75" s="1">
        <v>10000</v>
      </c>
      <c r="K75" s="1">
        <v>4.3695899999999996</v>
      </c>
      <c r="M75" s="2" t="str">
        <f>_xlfn.XLOOKUP(Bash2[[#This Row],[Metodo]],TbSolver[Metodo],TbSolver[Solver])</f>
        <v>Adams Bashford</v>
      </c>
      <c r="N75" s="2" t="str">
        <f>_xlfn.XLOOKUP(Bash2[[#This Row],[Hebras]],TbTecnologia[Hebras],TbTecnologia[Tecnología])</f>
        <v>CUDA</v>
      </c>
      <c r="O75" s="6" t="str" cm="1">
        <f t="array" ref="O75">_xlfn.XLOOKUP(Bash2[[#This Row],[Tecnología]]&amp;Bash2[[#This Row],[Metodo]],TbTipos[Tecnología]&amp;TbTipos[Metodo],TbTipos[Tipo])</f>
        <v>CUDA sin graph</v>
      </c>
      <c r="P75" s="6" t="str" cm="1">
        <f t="array" ref="P75">_xlfn.XLOOKUP(Bash2[[#This Row],[Tecnología]]&amp;Bash2[[#This Row],[Problema]],TbNombres[Tecnología]&amp;TbNombres[Problema],TbNombres[Nombre])</f>
        <v>Advdiff1d shuffle</v>
      </c>
      <c r="Q75" s="2">
        <v>3</v>
      </c>
      <c r="R75" s="2">
        <v>4</v>
      </c>
      <c r="S75" s="2">
        <v>256</v>
      </c>
      <c r="T75" s="2">
        <v>10000</v>
      </c>
      <c r="U75" s="2">
        <v>10000</v>
      </c>
      <c r="V75" s="2">
        <v>8.5543399999999998</v>
      </c>
      <c r="X75" s="2" t="str">
        <f>_xlfn.XLOOKUP(Bash3[[#This Row],[Metodo]],TbSolver[Metodo],TbSolver[Solver])</f>
        <v>Adams Bashford</v>
      </c>
      <c r="Y75" s="2" t="str">
        <f>_xlfn.XLOOKUP(Bash3[[#This Row],[Hebras]],TbTecnologia[Hebras],TbTecnologia[Tecnología])</f>
        <v>OMP</v>
      </c>
      <c r="Z75" s="2" t="str" cm="1">
        <f t="array" ref="Z75">_xlfn.XLOOKUP(Bash3[[#This Row],[Tecnología]]&amp;Bash3[[#This Row],[Metodo]],TbTipos[Tecnología]&amp;TbTipos[Metodo],TbTipos[Tipo])</f>
        <v>OMP Operaciones</v>
      </c>
      <c r="AA75" s="2" t="str" cm="1">
        <f t="array" ref="AA75">_xlfn.XLOOKUP(Bash3[[#This Row],[Tecnología]]&amp;Bash3[[#This Row],[Problema]],TbNombres[Tecnología]&amp;TbNombres[Problema],TbNombres[Nombre])</f>
        <v>Brusselator1d</v>
      </c>
      <c r="AB75" s="4">
        <v>3</v>
      </c>
      <c r="AC75" s="4">
        <v>3</v>
      </c>
      <c r="AD75" s="4">
        <v>1</v>
      </c>
      <c r="AE75" s="4">
        <v>5000</v>
      </c>
      <c r="AF75" s="4">
        <v>10000</v>
      </c>
      <c r="AG75" s="4">
        <v>31.919899999999998</v>
      </c>
      <c r="AI75" s="4" t="str">
        <f>_xlfn.XLOOKUP(Bash4[[#This Row],[Metodo]],TbSolver[Metodo],TbSolver[Solver])</f>
        <v>Adams Bashford</v>
      </c>
      <c r="AJ75" s="4" t="str">
        <f>_xlfn.XLOOKUP(Bash4[[#This Row],[Hebras]],TbTecnologia[Hebras],TbTecnologia[Tecnología])</f>
        <v>OMP</v>
      </c>
      <c r="AK75" s="4" t="str" cm="1">
        <f t="array" ref="AK75">_xlfn.XLOOKUP(Bash4[[#This Row],[Tecnología]]&amp;Bash4[[#This Row],[Metodo]],TbTipos[Tecnología]&amp;TbTipos[Metodo],TbTipos[Tipo])</f>
        <v>OMP Operaciones</v>
      </c>
      <c r="AL75" s="4" t="str" cm="1">
        <f t="array" ref="AL75">_xlfn.XLOOKUP(Bash4[[#This Row],[Tecnología]]&amp;Bash4[[#This Row],[Problema]],TbNombres[Tecnología]&amp;TbNombres[Problema],TbNombres[Nombre])</f>
        <v>Brusselator2d</v>
      </c>
      <c r="AM75" s="4">
        <v>3</v>
      </c>
      <c r="AN75" s="4">
        <v>4</v>
      </c>
      <c r="AO75" s="4">
        <v>1</v>
      </c>
      <c r="AP75" s="4">
        <v>200</v>
      </c>
      <c r="AQ75" s="4">
        <v>80000</v>
      </c>
      <c r="AR75" s="4">
        <v>578.274</v>
      </c>
    </row>
    <row r="76" spans="2:44" x14ac:dyDescent="0.2">
      <c r="B76" s="1" t="str">
        <f>_xlfn.XLOOKUP(Bash1[[#This Row],[Metodo]],TbSolver[Metodo],TbSolver[Solver])</f>
        <v>Adams Bashford</v>
      </c>
      <c r="C76" s="1" t="str">
        <f>_xlfn.XLOOKUP(Bash1[[#This Row],[Hebras]],TbTecnologia[Hebras],TbTecnologia[Tecnología])</f>
        <v>OMP</v>
      </c>
      <c r="D76" s="1" t="str" cm="1">
        <f t="array" ref="D76">_xlfn.XLOOKUP(Bash1[[#This Row],[Tecnología]]&amp;Bash1[[#This Row],[Metodo]],TbTipos[Tecnología]&amp;TbTipos[Metodo],TbTipos[Tipo])</f>
        <v>OMP Elementos</v>
      </c>
      <c r="E76" s="1" t="str" cm="1">
        <f t="array" ref="E76">_xlfn.XLOOKUP(Bash1[[#This Row],[Tecnología]]&amp;Bash1[[#This Row],[Problema]],TbNombres[Tecnología]&amp;TbNombres[Problema],TbNombres[Nombre])</f>
        <v>Simple Advdiff</v>
      </c>
      <c r="F76" s="17">
        <v>4</v>
      </c>
      <c r="G76" s="17">
        <v>1</v>
      </c>
      <c r="H76" s="17">
        <v>4</v>
      </c>
      <c r="I76" s="17">
        <v>10000</v>
      </c>
      <c r="J76" s="17">
        <v>10000</v>
      </c>
      <c r="K76" s="17">
        <v>17.272099999999998</v>
      </c>
      <c r="M76" s="2" t="str">
        <f>_xlfn.XLOOKUP(Bash2[[#This Row],[Metodo]],TbSolver[Metodo],TbSolver[Solver])</f>
        <v>Adams Bashford</v>
      </c>
      <c r="N76" s="2" t="str">
        <f>_xlfn.XLOOKUP(Bash2[[#This Row],[Hebras]],TbTecnologia[Hebras],TbTecnologia[Tecnología])</f>
        <v>OMP</v>
      </c>
      <c r="O76" s="6" t="str" cm="1">
        <f t="array" ref="O76">_xlfn.XLOOKUP(Bash2[[#This Row],[Tecnología]]&amp;Bash2[[#This Row],[Metodo]],TbTipos[Tecnología]&amp;TbTipos[Metodo],TbTipos[Tipo])</f>
        <v>OMP Elementos</v>
      </c>
      <c r="P76" s="6" t="str" cm="1">
        <f t="array" ref="P76">_xlfn.XLOOKUP(Bash2[[#This Row],[Tecnología]]&amp;Bash2[[#This Row],[Problema]],TbNombres[Tecnología]&amp;TbNombres[Problema],TbNombres[Nombre])</f>
        <v>Advdiff1d</v>
      </c>
      <c r="Q76" s="4">
        <v>4</v>
      </c>
      <c r="R76" s="4">
        <v>2</v>
      </c>
      <c r="S76" s="4">
        <v>16</v>
      </c>
      <c r="T76" s="4">
        <v>10000</v>
      </c>
      <c r="U76" s="4">
        <v>10000</v>
      </c>
      <c r="V76" s="4">
        <v>33.322499999999998</v>
      </c>
      <c r="X76" s="2" t="str">
        <f>_xlfn.XLOOKUP(Bash3[[#This Row],[Metodo]],TbSolver[Metodo],TbSolver[Solver])</f>
        <v>Adams Bashford</v>
      </c>
      <c r="Y76" s="2" t="str">
        <f>_xlfn.XLOOKUP(Bash3[[#This Row],[Hebras]],TbTecnologia[Hebras],TbTecnologia[Tecnología])</f>
        <v>OMP</v>
      </c>
      <c r="Z76" s="2" t="str" cm="1">
        <f t="array" ref="Z76">_xlfn.XLOOKUP(Bash3[[#This Row],[Tecnología]]&amp;Bash3[[#This Row],[Metodo]],TbTipos[Tecnología]&amp;TbTipos[Metodo],TbTipos[Tipo])</f>
        <v>OMP Operaciones</v>
      </c>
      <c r="AA76" s="2" t="str" cm="1">
        <f t="array" ref="AA76">_xlfn.XLOOKUP(Bash3[[#This Row],[Tecnología]]&amp;Bash3[[#This Row],[Problema]],TbNombres[Tecnología]&amp;TbNombres[Problema],TbNombres[Nombre])</f>
        <v>Brusselator1d</v>
      </c>
      <c r="AB76" s="4">
        <v>3</v>
      </c>
      <c r="AC76" s="4">
        <v>3</v>
      </c>
      <c r="AD76" s="4">
        <v>16</v>
      </c>
      <c r="AE76" s="4">
        <v>5000</v>
      </c>
      <c r="AF76" s="4">
        <v>10000</v>
      </c>
      <c r="AG76" s="4">
        <v>32.119999999999997</v>
      </c>
      <c r="AI76" s="4" t="str">
        <f>_xlfn.XLOOKUP(Bash4[[#This Row],[Metodo]],TbSolver[Metodo],TbSolver[Solver])</f>
        <v>Adams Bashford</v>
      </c>
      <c r="AJ76" s="4" t="str">
        <f>_xlfn.XLOOKUP(Bash4[[#This Row],[Hebras]],TbTecnologia[Hebras],TbTecnologia[Tecnología])</f>
        <v>OMP</v>
      </c>
      <c r="AK76" s="4" t="str" cm="1">
        <f t="array" ref="AK76">_xlfn.XLOOKUP(Bash4[[#This Row],[Tecnología]]&amp;Bash4[[#This Row],[Metodo]],TbTipos[Tecnología]&amp;TbTipos[Metodo],TbTipos[Tipo])</f>
        <v>OMP Elementos</v>
      </c>
      <c r="AL76" s="4" t="str" cm="1">
        <f t="array" ref="AL76">_xlfn.XLOOKUP(Bash4[[#This Row],[Tecnología]]&amp;Bash4[[#This Row],[Problema]],TbNombres[Tecnología]&amp;TbNombres[Problema],TbNombres[Nombre])</f>
        <v>Brusselator2d</v>
      </c>
      <c r="AM76" s="4">
        <v>4</v>
      </c>
      <c r="AN76" s="4">
        <v>4</v>
      </c>
      <c r="AO76" s="4">
        <v>1</v>
      </c>
      <c r="AP76" s="4">
        <v>200</v>
      </c>
      <c r="AQ76" s="4">
        <v>80000</v>
      </c>
      <c r="AR76" s="4">
        <v>1104.52</v>
      </c>
    </row>
    <row r="77" spans="2:44" x14ac:dyDescent="0.2">
      <c r="B77" s="1" t="str">
        <f>_xlfn.XLOOKUP(Bash1[[#This Row],[Metodo]],TbSolver[Metodo],TbSolver[Solver])</f>
        <v>Adams Bashford</v>
      </c>
      <c r="C77" s="1" t="str">
        <f>_xlfn.XLOOKUP(Bash1[[#This Row],[Hebras]],TbTecnologia[Hebras],TbTecnologia[Tecnología])</f>
        <v>OMP</v>
      </c>
      <c r="D77" s="1" t="str" cm="1">
        <f t="array" ref="D77">_xlfn.XLOOKUP(Bash1[[#This Row],[Tecnología]]&amp;Bash1[[#This Row],[Metodo]],TbTipos[Tecnología]&amp;TbTipos[Metodo],TbTipos[Tipo])</f>
        <v>OMP Operaciones</v>
      </c>
      <c r="E77" s="1" t="str" cm="1">
        <f t="array" ref="E77">_xlfn.XLOOKUP(Bash1[[#This Row],[Tecnología]]&amp;Bash1[[#This Row],[Problema]],TbNombres[Tecnología]&amp;TbNombres[Problema],TbNombres[Nombre])</f>
        <v>Simple Advdiff</v>
      </c>
      <c r="F77" s="17">
        <v>3</v>
      </c>
      <c r="G77" s="17">
        <v>1</v>
      </c>
      <c r="H77" s="17">
        <v>4</v>
      </c>
      <c r="I77" s="17">
        <v>10000</v>
      </c>
      <c r="J77" s="17">
        <v>10000</v>
      </c>
      <c r="K77" s="17">
        <v>17.492000000000001</v>
      </c>
      <c r="M77" s="2" t="str">
        <f>_xlfn.XLOOKUP(Bash2[[#This Row],[Metodo]],TbSolver[Metodo],TbSolver[Solver])</f>
        <v>Adams Bashford</v>
      </c>
      <c r="N77" s="2" t="str">
        <f>_xlfn.XLOOKUP(Bash2[[#This Row],[Hebras]],TbTecnologia[Hebras],TbTecnologia[Tecnología])</f>
        <v>OMP</v>
      </c>
      <c r="O77" s="6" t="str" cm="1">
        <f t="array" ref="O77">_xlfn.XLOOKUP(Bash2[[#This Row],[Tecnología]]&amp;Bash2[[#This Row],[Metodo]],TbTipos[Tecnología]&amp;TbTipos[Metodo],TbTipos[Tipo])</f>
        <v>OMP Operaciones</v>
      </c>
      <c r="P77" s="6" t="str" cm="1">
        <f t="array" ref="P77">_xlfn.XLOOKUP(Bash2[[#This Row],[Tecnología]]&amp;Bash2[[#This Row],[Problema]],TbNombres[Tecnología]&amp;TbNombres[Problema],TbNombres[Nombre])</f>
        <v>Advdiff1d</v>
      </c>
      <c r="Q77" s="4">
        <v>3</v>
      </c>
      <c r="R77" s="4">
        <v>2</v>
      </c>
      <c r="S77" s="4">
        <v>16</v>
      </c>
      <c r="T77" s="4">
        <v>10000</v>
      </c>
      <c r="U77" s="4">
        <v>10000</v>
      </c>
      <c r="V77" s="4">
        <v>48.100299999999997</v>
      </c>
      <c r="X77" s="2" t="str">
        <f>_xlfn.XLOOKUP(Bash3[[#This Row],[Metodo]],TbSolver[Metodo],TbSolver[Solver])</f>
        <v>Adams Bashford</v>
      </c>
      <c r="Y77" s="2" t="str">
        <f>_xlfn.XLOOKUP(Bash3[[#This Row],[Hebras]],TbTecnologia[Hebras],TbTecnologia[Tecnología])</f>
        <v>OMP</v>
      </c>
      <c r="Z77" s="2" t="str" cm="1">
        <f t="array" ref="Z77">_xlfn.XLOOKUP(Bash3[[#This Row],[Tecnología]]&amp;Bash3[[#This Row],[Metodo]],TbTipos[Tecnología]&amp;TbTipos[Metodo],TbTipos[Tipo])</f>
        <v>OMP Elementos</v>
      </c>
      <c r="AA77" s="2" t="str" cm="1">
        <f t="array" ref="AA77">_xlfn.XLOOKUP(Bash3[[#This Row],[Tecnología]]&amp;Bash3[[#This Row],[Problema]],TbNombres[Tecnología]&amp;TbNombres[Problema],TbNombres[Nombre])</f>
        <v>Brusselator1d</v>
      </c>
      <c r="AB77" s="4">
        <v>4</v>
      </c>
      <c r="AC77" s="4">
        <v>3</v>
      </c>
      <c r="AD77" s="4">
        <v>16</v>
      </c>
      <c r="AE77" s="4">
        <v>5000</v>
      </c>
      <c r="AF77" s="4">
        <v>10000</v>
      </c>
      <c r="AG77" s="4">
        <v>33.120100000000001</v>
      </c>
      <c r="AI77" s="2" t="str">
        <f>_xlfn.XLOOKUP(Bash4[[#This Row],[Metodo]],TbSolver[Metodo],TbSolver[Solver])</f>
        <v>Adams Bashford</v>
      </c>
      <c r="AJ77" s="2" t="str">
        <f>_xlfn.XLOOKUP(Bash4[[#This Row],[Hebras]],TbTecnologia[Hebras],TbTecnologia[Tecnología])</f>
        <v>CUDA</v>
      </c>
      <c r="AK77" s="2" t="str" cm="1">
        <f t="array" ref="AK77">_xlfn.XLOOKUP(Bash4[[#This Row],[Tecnología]]&amp;Bash4[[#This Row],[Metodo]],TbTipos[Tecnología]&amp;TbTipos[Metodo],TbTipos[Tipo])</f>
        <v>CUDA sin graph</v>
      </c>
      <c r="AL77" s="4" t="str" cm="1">
        <f t="array" ref="AL77">_xlfn.XLOOKUP(Bash4[[#This Row],[Tecnología]]&amp;Bash4[[#This Row],[Problema]],TbNombres[Tecnología]&amp;TbNombres[Problema],TbNombres[Nombre])</f>
        <v>Brusselator2d</v>
      </c>
      <c r="AM77" s="4">
        <v>3</v>
      </c>
      <c r="AN77" s="21">
        <v>8</v>
      </c>
      <c r="AO77" s="21">
        <v>256</v>
      </c>
      <c r="AP77" s="21">
        <v>225</v>
      </c>
      <c r="AQ77" s="21">
        <v>101250</v>
      </c>
      <c r="AR77" s="21">
        <v>17.229700000000001</v>
      </c>
    </row>
    <row r="78" spans="2:44" x14ac:dyDescent="0.2">
      <c r="B78" s="1" t="str">
        <f>_xlfn.XLOOKUP(Bash1[[#This Row],[Metodo]],TbSolver[Metodo],TbSolver[Solver])</f>
        <v>Adams Bashford</v>
      </c>
      <c r="C78" s="1" t="str">
        <f>_xlfn.XLOOKUP(Bash1[[#This Row],[Hebras]],TbTecnologia[Hebras],TbTecnologia[Tecnología])</f>
        <v>OMP</v>
      </c>
      <c r="D78" s="1" t="str" cm="1">
        <f t="array" ref="D78">_xlfn.XLOOKUP(Bash1[[#This Row],[Tecnología]]&amp;Bash1[[#This Row],[Metodo]],TbTipos[Tecnología]&amp;TbTipos[Metodo],TbTipos[Tipo])</f>
        <v>OMP Operaciones</v>
      </c>
      <c r="E78" s="1" t="str" cm="1">
        <f t="array" ref="E78">_xlfn.XLOOKUP(Bash1[[#This Row],[Tecnología]]&amp;Bash1[[#This Row],[Problema]],TbNombres[Tecnología]&amp;TbNombres[Problema],TbNombres[Nombre])</f>
        <v>Simple Advdiff</v>
      </c>
      <c r="F78" s="17">
        <v>3</v>
      </c>
      <c r="G78" s="17">
        <v>1</v>
      </c>
      <c r="H78" s="17">
        <v>1</v>
      </c>
      <c r="I78" s="17">
        <v>10000</v>
      </c>
      <c r="J78" s="17">
        <v>10000</v>
      </c>
      <c r="K78" s="17">
        <v>20.9087</v>
      </c>
      <c r="M78" s="2" t="str">
        <f>_xlfn.XLOOKUP(Bash2[[#This Row],[Metodo]],TbSolver[Metodo],TbSolver[Solver])</f>
        <v>Adams Bashford</v>
      </c>
      <c r="N78" s="2" t="str">
        <f>_xlfn.XLOOKUP(Bash2[[#This Row],[Hebras]],TbTecnologia[Hebras],TbTecnologia[Tecnología])</f>
        <v>OMP</v>
      </c>
      <c r="O78" s="6" t="str" cm="1">
        <f t="array" ref="O78">_xlfn.XLOOKUP(Bash2[[#This Row],[Tecnología]]&amp;Bash2[[#This Row],[Metodo]],TbTipos[Tecnología]&amp;TbTipos[Metodo],TbTipos[Tipo])</f>
        <v>OMP Elementos</v>
      </c>
      <c r="P78" s="6" t="str" cm="1">
        <f t="array" ref="P78">_xlfn.XLOOKUP(Bash2[[#This Row],[Tecnología]]&amp;Bash2[[#This Row],[Problema]],TbNombres[Tecnología]&amp;TbNombres[Problema],TbNombres[Nombre])</f>
        <v>Advdiff1d</v>
      </c>
      <c r="Q78" s="4">
        <v>4</v>
      </c>
      <c r="R78" s="4">
        <v>2</v>
      </c>
      <c r="S78" s="4">
        <v>4</v>
      </c>
      <c r="T78" s="4">
        <v>10000</v>
      </c>
      <c r="U78" s="4">
        <v>10000</v>
      </c>
      <c r="V78" s="4">
        <v>77.676299999999998</v>
      </c>
      <c r="X78" s="2" t="str">
        <f>_xlfn.XLOOKUP(Bash3[[#This Row],[Metodo]],TbSolver[Metodo],TbSolver[Solver])</f>
        <v>Adams Bashford</v>
      </c>
      <c r="Y78" s="2" t="str">
        <f>_xlfn.XLOOKUP(Bash3[[#This Row],[Hebras]],TbTecnologia[Hebras],TbTecnologia[Tecnología])</f>
        <v>OMP</v>
      </c>
      <c r="Z78" s="2" t="str" cm="1">
        <f t="array" ref="Z78">_xlfn.XLOOKUP(Bash3[[#This Row],[Tecnología]]&amp;Bash3[[#This Row],[Metodo]],TbTipos[Tecnología]&amp;TbTipos[Metodo],TbTipos[Tipo])</f>
        <v>OMP Elementos</v>
      </c>
      <c r="AA78" s="2" t="str" cm="1">
        <f t="array" ref="AA78">_xlfn.XLOOKUP(Bash3[[#This Row],[Tecnología]]&amp;Bash3[[#This Row],[Problema]],TbNombres[Tecnología]&amp;TbNombres[Problema],TbNombres[Nombre])</f>
        <v>Brusselator1d</v>
      </c>
      <c r="AB78" s="4">
        <v>4</v>
      </c>
      <c r="AC78" s="4">
        <v>3</v>
      </c>
      <c r="AD78" s="4">
        <v>1</v>
      </c>
      <c r="AE78" s="4">
        <v>5000</v>
      </c>
      <c r="AF78" s="4">
        <v>10000</v>
      </c>
      <c r="AG78" s="4">
        <v>61.0533</v>
      </c>
      <c r="AI78" s="2" t="str">
        <f>_xlfn.XLOOKUP(Bash4[[#This Row],[Metodo]],TbSolver[Metodo],TbSolver[Solver])</f>
        <v>Adams Bashford</v>
      </c>
      <c r="AJ78" s="2" t="str">
        <f>_xlfn.XLOOKUP(Bash4[[#This Row],[Hebras]],TbTecnologia[Hebras],TbTecnologia[Tecnología])</f>
        <v>CUDA</v>
      </c>
      <c r="AK78" s="2" t="str" cm="1">
        <f t="array" ref="AK78">_xlfn.XLOOKUP(Bash4[[#This Row],[Tecnología]]&amp;Bash4[[#This Row],[Metodo]],TbTipos[Tecnología]&amp;TbTipos[Metodo],TbTipos[Tipo])</f>
        <v>CUDA con graph</v>
      </c>
      <c r="AL78" s="4" t="str" cm="1">
        <f t="array" ref="AL78">_xlfn.XLOOKUP(Bash4[[#This Row],[Tecnología]]&amp;Bash4[[#This Row],[Problema]],TbNombres[Tecnología]&amp;TbNombres[Problema],TbNombres[Nombre])</f>
        <v>Brusselator2d</v>
      </c>
      <c r="AM78" s="4">
        <v>4</v>
      </c>
      <c r="AN78" s="21">
        <v>8</v>
      </c>
      <c r="AO78" s="21">
        <v>256</v>
      </c>
      <c r="AP78" s="21">
        <v>225</v>
      </c>
      <c r="AQ78" s="21">
        <v>101250</v>
      </c>
      <c r="AR78" s="21">
        <v>28.749400000000001</v>
      </c>
    </row>
    <row r="79" spans="2:44" x14ac:dyDescent="0.2">
      <c r="B79" s="1" t="str">
        <f>_xlfn.XLOOKUP(Bash1[[#This Row],[Metodo]],TbSolver[Metodo],TbSolver[Solver])</f>
        <v>Adams Bashford</v>
      </c>
      <c r="C79" s="1" t="str">
        <f>_xlfn.XLOOKUP(Bash1[[#This Row],[Hebras]],TbTecnologia[Hebras],TbTecnologia[Tecnología])</f>
        <v>OMP</v>
      </c>
      <c r="D79" s="1" t="str" cm="1">
        <f t="array" ref="D79">_xlfn.XLOOKUP(Bash1[[#This Row],[Tecnología]]&amp;Bash1[[#This Row],[Metodo]],TbTipos[Tecnología]&amp;TbTipos[Metodo],TbTipos[Tipo])</f>
        <v>OMP Operaciones</v>
      </c>
      <c r="E79" s="1" t="str" cm="1">
        <f t="array" ref="E79">_xlfn.XLOOKUP(Bash1[[#This Row],[Tecnología]]&amp;Bash1[[#This Row],[Problema]],TbNombres[Tecnología]&amp;TbNombres[Problema],TbNombres[Nombre])</f>
        <v>Simple Advdiff</v>
      </c>
      <c r="F79" s="17">
        <v>3</v>
      </c>
      <c r="G79" s="17">
        <v>1</v>
      </c>
      <c r="H79" s="17">
        <v>16</v>
      </c>
      <c r="I79" s="17">
        <v>10000</v>
      </c>
      <c r="J79" s="17">
        <v>10000</v>
      </c>
      <c r="K79" s="17">
        <v>27.430299999999999</v>
      </c>
      <c r="M79" s="2" t="str">
        <f>_xlfn.XLOOKUP(Bash2[[#This Row],[Metodo]],TbSolver[Metodo],TbSolver[Solver])</f>
        <v>Adams Bashford</v>
      </c>
      <c r="N79" s="2" t="str">
        <f>_xlfn.XLOOKUP(Bash2[[#This Row],[Hebras]],TbTecnologia[Hebras],TbTecnologia[Tecnología])</f>
        <v>OMP</v>
      </c>
      <c r="O79" s="6" t="str" cm="1">
        <f t="array" ref="O79">_xlfn.XLOOKUP(Bash2[[#This Row],[Tecnología]]&amp;Bash2[[#This Row],[Metodo]],TbTipos[Tecnología]&amp;TbTipos[Metodo],TbTipos[Tipo])</f>
        <v>OMP Operaciones</v>
      </c>
      <c r="P79" s="6" t="str" cm="1">
        <f t="array" ref="P79">_xlfn.XLOOKUP(Bash2[[#This Row],[Tecnología]]&amp;Bash2[[#This Row],[Problema]],TbNombres[Tecnología]&amp;TbNombres[Problema],TbNombres[Nombre])</f>
        <v>Advdiff1d</v>
      </c>
      <c r="Q79" s="4">
        <v>3</v>
      </c>
      <c r="R79" s="4">
        <v>2</v>
      </c>
      <c r="S79" s="4">
        <v>4</v>
      </c>
      <c r="T79" s="4">
        <v>10000</v>
      </c>
      <c r="U79" s="4">
        <v>10000</v>
      </c>
      <c r="V79" s="4">
        <v>79.226200000000006</v>
      </c>
      <c r="X79" s="2" t="str">
        <f>_xlfn.XLOOKUP(Bash3[[#This Row],[Metodo]],TbSolver[Metodo],TbSolver[Solver])</f>
        <v>Adams Bashford</v>
      </c>
      <c r="Y79" s="2" t="str">
        <f>_xlfn.XLOOKUP(Bash3[[#This Row],[Hebras]],TbTecnologia[Hebras],TbTecnologia[Tecnología])</f>
        <v>OMP</v>
      </c>
      <c r="Z79" s="2" t="str" cm="1">
        <f t="array" ref="Z79">_xlfn.XLOOKUP(Bash3[[#This Row],[Tecnología]]&amp;Bash3[[#This Row],[Metodo]],TbTipos[Tecnología]&amp;TbTipos[Metodo],TbTipos[Tipo])</f>
        <v>OMP Operaciones</v>
      </c>
      <c r="AA79" s="2" t="str" cm="1">
        <f t="array" ref="AA79">_xlfn.XLOOKUP(Bash3[[#This Row],[Tecnología]]&amp;Bash3[[#This Row],[Problema]],TbNombres[Tecnología]&amp;TbNombres[Problema],TbNombres[Nombre])</f>
        <v>Brusselator1d</v>
      </c>
      <c r="AB79" s="4">
        <v>3</v>
      </c>
      <c r="AC79" s="4">
        <v>3</v>
      </c>
      <c r="AD79" s="4">
        <v>4</v>
      </c>
      <c r="AE79" s="4">
        <v>7500</v>
      </c>
      <c r="AF79" s="4">
        <v>15000</v>
      </c>
      <c r="AG79" s="4">
        <v>27.054099999999998</v>
      </c>
      <c r="AI79" s="2" t="str">
        <f>_xlfn.XLOOKUP(Bash4[[#This Row],[Metodo]],TbSolver[Metodo],TbSolver[Solver])</f>
        <v>Adams Bashford</v>
      </c>
      <c r="AJ79" s="2" t="str">
        <f>_xlfn.XLOOKUP(Bash4[[#This Row],[Hebras]],TbTecnologia[Hebras],TbTecnologia[Tecnología])</f>
        <v>OMP</v>
      </c>
      <c r="AK79" s="2" t="str" cm="1">
        <f t="array" ref="AK79">_xlfn.XLOOKUP(Bash4[[#This Row],[Tecnología]]&amp;Bash4[[#This Row],[Metodo]],TbTipos[Tecnología]&amp;TbTipos[Metodo],TbTipos[Tipo])</f>
        <v>OMP Operaciones</v>
      </c>
      <c r="AL79" s="4" t="str" cm="1">
        <f t="array" ref="AL79">_xlfn.XLOOKUP(Bash4[[#This Row],[Tecnología]]&amp;Bash4[[#This Row],[Problema]],TbNombres[Tecnología]&amp;TbNombres[Problema],TbNombres[Nombre])</f>
        <v>Brusselator2d</v>
      </c>
      <c r="AM79" s="4">
        <v>3</v>
      </c>
      <c r="AN79" s="21">
        <v>4</v>
      </c>
      <c r="AO79" s="21">
        <v>16</v>
      </c>
      <c r="AP79" s="21">
        <v>225</v>
      </c>
      <c r="AQ79" s="21">
        <v>101250</v>
      </c>
      <c r="AR79" s="21">
        <v>73.405699999999996</v>
      </c>
    </row>
    <row r="80" spans="2:44" x14ac:dyDescent="0.2">
      <c r="B80" s="1" t="str">
        <f>_xlfn.XLOOKUP(Bash1[[#This Row],[Metodo]],TbSolver[Metodo],TbSolver[Solver])</f>
        <v>Adams Bashford</v>
      </c>
      <c r="C80" s="1" t="str">
        <f>_xlfn.XLOOKUP(Bash1[[#This Row],[Hebras]],TbTecnologia[Hebras],TbTecnologia[Tecnología])</f>
        <v>OMP</v>
      </c>
      <c r="D80" s="1" t="str" cm="1">
        <f t="array" ref="D80">_xlfn.XLOOKUP(Bash1[[#This Row],[Tecnología]]&amp;Bash1[[#This Row],[Metodo]],TbTipos[Tecnología]&amp;TbTipos[Metodo],TbTipos[Tipo])</f>
        <v>OMP Elementos</v>
      </c>
      <c r="E80" s="1" t="str" cm="1">
        <f t="array" ref="E80">_xlfn.XLOOKUP(Bash1[[#This Row],[Tecnología]]&amp;Bash1[[#This Row],[Problema]],TbNombres[Tecnología]&amp;TbNombres[Problema],TbNombres[Nombre])</f>
        <v>Simple Advdiff</v>
      </c>
      <c r="F80" s="17">
        <v>4</v>
      </c>
      <c r="G80" s="17">
        <v>1</v>
      </c>
      <c r="H80" s="17">
        <v>1</v>
      </c>
      <c r="I80" s="17">
        <v>10000</v>
      </c>
      <c r="J80" s="17">
        <v>10000</v>
      </c>
      <c r="K80" s="17">
        <v>49.671100000000003</v>
      </c>
      <c r="M80" s="2" t="str">
        <f>_xlfn.XLOOKUP(Bash2[[#This Row],[Metodo]],TbSolver[Metodo],TbSolver[Solver])</f>
        <v>Adams Bashford</v>
      </c>
      <c r="N80" s="2" t="str">
        <f>_xlfn.XLOOKUP(Bash2[[#This Row],[Hebras]],TbTecnologia[Hebras],TbTecnologia[Tecnología])</f>
        <v>OMP</v>
      </c>
      <c r="O80" s="6" t="str" cm="1">
        <f t="array" ref="O80">_xlfn.XLOOKUP(Bash2[[#This Row],[Tecnología]]&amp;Bash2[[#This Row],[Metodo]],TbTipos[Tecnología]&amp;TbTipos[Metodo],TbTipos[Tipo])</f>
        <v>OMP Operaciones</v>
      </c>
      <c r="P80" s="6" t="str" cm="1">
        <f t="array" ref="P80">_xlfn.XLOOKUP(Bash2[[#This Row],[Tecnología]]&amp;Bash2[[#This Row],[Problema]],TbNombres[Tecnología]&amp;TbNombres[Problema],TbNombres[Nombre])</f>
        <v>Advdiff1d</v>
      </c>
      <c r="Q80" s="4">
        <v>3</v>
      </c>
      <c r="R80" s="4">
        <v>2</v>
      </c>
      <c r="S80" s="4">
        <v>1</v>
      </c>
      <c r="T80" s="4">
        <v>10000</v>
      </c>
      <c r="U80" s="4">
        <v>10000</v>
      </c>
      <c r="V80" s="4">
        <v>226.21799999999999</v>
      </c>
      <c r="X80" s="2" t="str">
        <f>_xlfn.XLOOKUP(Bash3[[#This Row],[Metodo]],TbSolver[Metodo],TbSolver[Solver])</f>
        <v>Adams Bashford</v>
      </c>
      <c r="Y80" s="2" t="str">
        <f>_xlfn.XLOOKUP(Bash3[[#This Row],[Hebras]],TbTecnologia[Hebras],TbTecnologia[Tecnología])</f>
        <v>OMP</v>
      </c>
      <c r="Z80" s="2" t="str" cm="1">
        <f t="array" ref="Z80">_xlfn.XLOOKUP(Bash3[[#This Row],[Tecnología]]&amp;Bash3[[#This Row],[Metodo]],TbTipos[Tecnología]&amp;TbTipos[Metodo],TbTipos[Tipo])</f>
        <v>OMP Elementos</v>
      </c>
      <c r="AA80" s="2" t="str" cm="1">
        <f t="array" ref="AA80">_xlfn.XLOOKUP(Bash3[[#This Row],[Tecnología]]&amp;Bash3[[#This Row],[Problema]],TbNombres[Tecnología]&amp;TbNombres[Problema],TbNombres[Nombre])</f>
        <v>Brusselator1d</v>
      </c>
      <c r="AB80" s="4">
        <v>4</v>
      </c>
      <c r="AC80" s="4">
        <v>3</v>
      </c>
      <c r="AD80" s="4">
        <v>4</v>
      </c>
      <c r="AE80" s="4">
        <v>7500</v>
      </c>
      <c r="AF80" s="4">
        <v>15000</v>
      </c>
      <c r="AG80" s="4">
        <v>28.482900000000001</v>
      </c>
      <c r="AI80" s="2" t="str">
        <f>_xlfn.XLOOKUP(Bash4[[#This Row],[Metodo]],TbSolver[Metodo],TbSolver[Solver])</f>
        <v>Adams Bashford</v>
      </c>
      <c r="AJ80" s="2" t="str">
        <f>_xlfn.XLOOKUP(Bash4[[#This Row],[Hebras]],TbTecnologia[Hebras],TbTecnologia[Tecnología])</f>
        <v>OMP</v>
      </c>
      <c r="AK80" s="2" t="str" cm="1">
        <f t="array" ref="AK80">_xlfn.XLOOKUP(Bash4[[#This Row],[Tecnología]]&amp;Bash4[[#This Row],[Metodo]],TbTipos[Tecnología]&amp;TbTipos[Metodo],TbTipos[Tipo])</f>
        <v>OMP Elementos</v>
      </c>
      <c r="AL80" s="4" t="str" cm="1">
        <f t="array" ref="AL80">_xlfn.XLOOKUP(Bash4[[#This Row],[Tecnología]]&amp;Bash4[[#This Row],[Problema]],TbNombres[Tecnología]&amp;TbNombres[Problema],TbNombres[Nombre])</f>
        <v>Brusselator2d</v>
      </c>
      <c r="AM80" s="4">
        <v>4</v>
      </c>
      <c r="AN80" s="21">
        <v>4</v>
      </c>
      <c r="AO80" s="21">
        <v>16</v>
      </c>
      <c r="AP80" s="21">
        <v>225</v>
      </c>
      <c r="AQ80" s="21">
        <v>101250</v>
      </c>
      <c r="AR80" s="21">
        <v>112.46599999999999</v>
      </c>
    </row>
    <row r="81" spans="2:44" x14ac:dyDescent="0.2">
      <c r="B81" s="1" t="str">
        <f>_xlfn.XLOOKUP(Bash1[[#This Row],[Metodo]],TbSolver[Metodo],TbSolver[Solver])</f>
        <v>Adams Bashford</v>
      </c>
      <c r="C81" s="1" t="str">
        <f>_xlfn.XLOOKUP(Bash1[[#This Row],[Hebras]],TbTecnologia[Hebras],TbTecnologia[Tecnología])</f>
        <v>OMP</v>
      </c>
      <c r="D81" s="1" t="str" cm="1">
        <f t="array" ref="D81">_xlfn.XLOOKUP(Bash1[[#This Row],[Tecnología]]&amp;Bash1[[#This Row],[Metodo]],TbTipos[Tecnología]&amp;TbTipos[Metodo],TbTipos[Tipo])</f>
        <v>OMP Elementos</v>
      </c>
      <c r="E81" s="1" t="str" cm="1">
        <f t="array" ref="E81">_xlfn.XLOOKUP(Bash1[[#This Row],[Tecnología]]&amp;Bash1[[#This Row],[Problema]],TbNombres[Tecnología]&amp;TbNombres[Problema],TbNombres[Nombre])</f>
        <v>Simple Advdiff</v>
      </c>
      <c r="F81" s="17">
        <v>4</v>
      </c>
      <c r="G81" s="17">
        <v>1</v>
      </c>
      <c r="H81" s="17">
        <v>16</v>
      </c>
      <c r="I81" s="17">
        <v>10000</v>
      </c>
      <c r="J81" s="17">
        <v>10000</v>
      </c>
      <c r="K81" s="17">
        <v>50.277299999999997</v>
      </c>
      <c r="M81" s="2" t="str">
        <f>_xlfn.XLOOKUP(Bash2[[#This Row],[Metodo]],TbSolver[Metodo],TbSolver[Solver])</f>
        <v>Adams Bashford</v>
      </c>
      <c r="N81" s="2" t="str">
        <f>_xlfn.XLOOKUP(Bash2[[#This Row],[Hebras]],TbTecnologia[Hebras],TbTecnologia[Tecnología])</f>
        <v>OMP</v>
      </c>
      <c r="O81" s="6" t="str" cm="1">
        <f t="array" ref="O81">_xlfn.XLOOKUP(Bash2[[#This Row],[Tecnología]]&amp;Bash2[[#This Row],[Metodo]],TbTipos[Tecnología]&amp;TbTipos[Metodo],TbTipos[Tipo])</f>
        <v>OMP Elementos</v>
      </c>
      <c r="P81" s="6" t="str" cm="1">
        <f t="array" ref="P81">_xlfn.XLOOKUP(Bash2[[#This Row],[Tecnología]]&amp;Bash2[[#This Row],[Problema]],TbNombres[Tecnología]&amp;TbNombres[Problema],TbNombres[Nombre])</f>
        <v>Advdiff1d</v>
      </c>
      <c r="Q81" s="4">
        <v>4</v>
      </c>
      <c r="R81" s="4">
        <v>2</v>
      </c>
      <c r="S81" s="4">
        <v>1</v>
      </c>
      <c r="T81" s="4">
        <v>10000</v>
      </c>
      <c r="U81" s="4">
        <v>10000</v>
      </c>
      <c r="V81" s="4">
        <v>263.78899999999999</v>
      </c>
      <c r="X81" s="2" t="str">
        <f>_xlfn.XLOOKUP(Bash3[[#This Row],[Metodo]],TbSolver[Metodo],TbSolver[Solver])</f>
        <v>Adams Bashford</v>
      </c>
      <c r="Y81" s="2" t="str">
        <f>_xlfn.XLOOKUP(Bash3[[#This Row],[Hebras]],TbTecnologia[Hebras],TbTecnologia[Tecnología])</f>
        <v>OMP</v>
      </c>
      <c r="Z81" s="2" t="str" cm="1">
        <f t="array" ref="Z81">_xlfn.XLOOKUP(Bash3[[#This Row],[Tecnología]]&amp;Bash3[[#This Row],[Metodo]],TbTipos[Tecnología]&amp;TbTipos[Metodo],TbTipos[Tipo])</f>
        <v>OMP Elementos</v>
      </c>
      <c r="AA81" s="2" t="str" cm="1">
        <f t="array" ref="AA81">_xlfn.XLOOKUP(Bash3[[#This Row],[Tecnología]]&amp;Bash3[[#This Row],[Problema]],TbNombres[Tecnología]&amp;TbNombres[Problema],TbNombres[Nombre])</f>
        <v>Brusselator1d</v>
      </c>
      <c r="AB81" s="4">
        <v>4</v>
      </c>
      <c r="AC81" s="4">
        <v>3</v>
      </c>
      <c r="AD81" s="4">
        <v>16</v>
      </c>
      <c r="AE81" s="4">
        <v>7500</v>
      </c>
      <c r="AF81" s="4">
        <v>15000</v>
      </c>
      <c r="AG81" s="4">
        <v>29.480599999999999</v>
      </c>
      <c r="AI81" s="2" t="str">
        <f>_xlfn.XLOOKUP(Bash4[[#This Row],[Metodo]],TbSolver[Metodo],TbSolver[Solver])</f>
        <v>Adams Bashford</v>
      </c>
      <c r="AJ81" s="2" t="str">
        <f>_xlfn.XLOOKUP(Bash4[[#This Row],[Hebras]],TbTecnologia[Hebras],TbTecnologia[Tecnología])</f>
        <v>OMP</v>
      </c>
      <c r="AK81" s="2" t="str" cm="1">
        <f t="array" ref="AK81">_xlfn.XLOOKUP(Bash4[[#This Row],[Tecnología]]&amp;Bash4[[#This Row],[Metodo]],TbTipos[Tecnología]&amp;TbTipos[Metodo],TbTipos[Tipo])</f>
        <v>OMP Operaciones</v>
      </c>
      <c r="AL81" s="4" t="str" cm="1">
        <f t="array" ref="AL81">_xlfn.XLOOKUP(Bash4[[#This Row],[Tecnología]]&amp;Bash4[[#This Row],[Problema]],TbNombres[Tecnología]&amp;TbNombres[Problema],TbNombres[Nombre])</f>
        <v>Brusselator2d</v>
      </c>
      <c r="AM81" s="4">
        <v>3</v>
      </c>
      <c r="AN81" s="21">
        <v>4</v>
      </c>
      <c r="AO81" s="21">
        <v>4</v>
      </c>
      <c r="AP81" s="21">
        <v>225</v>
      </c>
      <c r="AQ81" s="21">
        <v>101250</v>
      </c>
      <c r="AR81" s="21">
        <v>170.012</v>
      </c>
    </row>
    <row r="82" spans="2:44" x14ac:dyDescent="0.2">
      <c r="B82" s="1" t="str">
        <f>_xlfn.XLOOKUP(Bash1[[#This Row],[Metodo]],TbSolver[Metodo],TbSolver[Solver])</f>
        <v>Adams Bashford</v>
      </c>
      <c r="C82" s="1" t="str">
        <f>_xlfn.XLOOKUP(Bash1[[#This Row],[Hebras]],TbTecnologia[Hebras],TbTecnologia[Tecnología])</f>
        <v>CUDA</v>
      </c>
      <c r="D82" s="1" t="str" cm="1">
        <f t="array" ref="D82">_xlfn.XLOOKUP(Bash1[[#This Row],[Tecnología]]&amp;Bash1[[#This Row],[Metodo]],TbTipos[Tecnología]&amp;TbTipos[Metodo],TbTipos[Tipo])</f>
        <v>CUDA sin graph</v>
      </c>
      <c r="E82" s="1" t="str" cm="1">
        <f t="array" ref="E82">_xlfn.XLOOKUP(Bash1[[#This Row],[Tecnología]]&amp;Bash1[[#This Row],[Problema]],TbNombres[Tecnología]&amp;TbNombres[Problema],TbNombres[Nombre])</f>
        <v>Simple Advdiff</v>
      </c>
      <c r="F82" s="20">
        <v>3</v>
      </c>
      <c r="G82" s="20">
        <v>1</v>
      </c>
      <c r="H82" s="20">
        <v>256</v>
      </c>
      <c r="I82" s="20">
        <v>15000</v>
      </c>
      <c r="J82" s="20">
        <v>15000</v>
      </c>
      <c r="K82" s="20">
        <v>4.6340000000000003</v>
      </c>
      <c r="M82" s="2" t="str">
        <f>_xlfn.XLOOKUP(Bash2[[#This Row],[Metodo]],TbSolver[Metodo],TbSolver[Solver])</f>
        <v>Adams Bashford</v>
      </c>
      <c r="N82" s="2" t="str">
        <f>_xlfn.XLOOKUP(Bash2[[#This Row],[Hebras]],TbTecnologia[Hebras],TbTecnologia[Tecnología])</f>
        <v>CUDA</v>
      </c>
      <c r="O82" s="6" t="str" cm="1">
        <f t="array" ref="O82">_xlfn.XLOOKUP(Bash2[[#This Row],[Tecnología]]&amp;Bash2[[#This Row],[Metodo]],TbTipos[Tecnología]&amp;TbTipos[Metodo],TbTipos[Tipo])</f>
        <v>CUDA sin graph</v>
      </c>
      <c r="P82" s="6" t="str" cm="1">
        <f t="array" ref="P82">_xlfn.XLOOKUP(Bash2[[#This Row],[Tecnología]]&amp;Bash2[[#This Row],[Problema]],TbNombres[Tecnología]&amp;TbNombres[Problema],TbNombres[Nombre])</f>
        <v>Advdiff1d</v>
      </c>
      <c r="Q82" s="21">
        <v>3</v>
      </c>
      <c r="R82" s="21">
        <v>3</v>
      </c>
      <c r="S82" s="21">
        <v>256</v>
      </c>
      <c r="T82" s="21">
        <v>15000</v>
      </c>
      <c r="U82" s="21">
        <v>15000</v>
      </c>
      <c r="V82" s="21">
        <v>8.5175900000000002</v>
      </c>
      <c r="X82" s="2" t="str">
        <f>_xlfn.XLOOKUP(Bash3[[#This Row],[Metodo]],TbSolver[Metodo],TbSolver[Solver])</f>
        <v>Adams Bashford</v>
      </c>
      <c r="Y82" s="2" t="str">
        <f>_xlfn.XLOOKUP(Bash3[[#This Row],[Hebras]],TbTecnologia[Hebras],TbTecnologia[Tecnología])</f>
        <v>OMP</v>
      </c>
      <c r="Z82" s="2" t="str" cm="1">
        <f t="array" ref="Z82">_xlfn.XLOOKUP(Bash3[[#This Row],[Tecnología]]&amp;Bash3[[#This Row],[Metodo]],TbTipos[Tecnología]&amp;TbTipos[Metodo],TbTipos[Tipo])</f>
        <v>OMP Operaciones</v>
      </c>
      <c r="AA82" s="2" t="str" cm="1">
        <f t="array" ref="AA82">_xlfn.XLOOKUP(Bash3[[#This Row],[Tecnología]]&amp;Bash3[[#This Row],[Problema]],TbNombres[Tecnología]&amp;TbNombres[Problema],TbNombres[Nombre])</f>
        <v>Brusselator1d</v>
      </c>
      <c r="AB82" s="4">
        <v>3</v>
      </c>
      <c r="AC82" s="4">
        <v>3</v>
      </c>
      <c r="AD82" s="4">
        <v>16</v>
      </c>
      <c r="AE82" s="4">
        <v>7500</v>
      </c>
      <c r="AF82" s="4">
        <v>15000</v>
      </c>
      <c r="AG82" s="4">
        <v>44.495600000000003</v>
      </c>
      <c r="AI82" s="2" t="str">
        <f>_xlfn.XLOOKUP(Bash4[[#This Row],[Metodo]],TbSolver[Metodo],TbSolver[Solver])</f>
        <v>Adams Bashford</v>
      </c>
      <c r="AJ82" s="2" t="str">
        <f>_xlfn.XLOOKUP(Bash4[[#This Row],[Hebras]],TbTecnologia[Hebras],TbTecnologia[Tecnología])</f>
        <v>OMP</v>
      </c>
      <c r="AK82" s="2" t="str" cm="1">
        <f t="array" ref="AK82">_xlfn.XLOOKUP(Bash4[[#This Row],[Tecnología]]&amp;Bash4[[#This Row],[Metodo]],TbTipos[Tecnología]&amp;TbTipos[Metodo],TbTipos[Tipo])</f>
        <v>OMP Elementos</v>
      </c>
      <c r="AL82" s="4" t="str" cm="1">
        <f t="array" ref="AL82">_xlfn.XLOOKUP(Bash4[[#This Row],[Tecnología]]&amp;Bash4[[#This Row],[Problema]],TbNombres[Tecnología]&amp;TbNombres[Problema],TbNombres[Nombre])</f>
        <v>Brusselator2d</v>
      </c>
      <c r="AM82" s="4">
        <v>4</v>
      </c>
      <c r="AN82" s="21">
        <v>4</v>
      </c>
      <c r="AO82" s="21">
        <v>4</v>
      </c>
      <c r="AP82" s="21">
        <v>225</v>
      </c>
      <c r="AQ82" s="21">
        <v>101250</v>
      </c>
      <c r="AR82" s="21">
        <v>363.87900000000002</v>
      </c>
    </row>
    <row r="83" spans="2:44" x14ac:dyDescent="0.2">
      <c r="B83" s="1" t="str">
        <f>_xlfn.XLOOKUP(Bash1[[#This Row],[Metodo]],TbSolver[Metodo],TbSolver[Solver])</f>
        <v>Adams Bashford</v>
      </c>
      <c r="C83" s="1" t="str">
        <f>_xlfn.XLOOKUP(Bash1[[#This Row],[Hebras]],TbTecnologia[Hebras],TbTecnologia[Tecnología])</f>
        <v>CUDA</v>
      </c>
      <c r="D83" s="1" t="str" cm="1">
        <f t="array" ref="D83">_xlfn.XLOOKUP(Bash1[[#This Row],[Tecnología]]&amp;Bash1[[#This Row],[Metodo]],TbTipos[Tecnología]&amp;TbTipos[Metodo],TbTipos[Tipo])</f>
        <v>CUDA con graph</v>
      </c>
      <c r="E83" s="1" t="str" cm="1">
        <f t="array" ref="E83">_xlfn.XLOOKUP(Bash1[[#This Row],[Tecnología]]&amp;Bash1[[#This Row],[Problema]],TbNombres[Tecnología]&amp;TbNombres[Problema],TbNombres[Nombre])</f>
        <v>Simple Advdiff</v>
      </c>
      <c r="F83" s="20">
        <v>4</v>
      </c>
      <c r="G83" s="20">
        <v>1</v>
      </c>
      <c r="H83" s="20">
        <v>256</v>
      </c>
      <c r="I83" s="20">
        <v>15000</v>
      </c>
      <c r="J83" s="20">
        <v>15000</v>
      </c>
      <c r="K83" s="20">
        <v>6.1726000000000001</v>
      </c>
      <c r="M83" s="2" t="str">
        <f>_xlfn.XLOOKUP(Bash2[[#This Row],[Metodo]],TbSolver[Metodo],TbSolver[Solver])</f>
        <v>Adams Bashford</v>
      </c>
      <c r="N83" s="2" t="str">
        <f>_xlfn.XLOOKUP(Bash2[[#This Row],[Hebras]],TbTecnologia[Hebras],TbTecnologia[Tecnología])</f>
        <v>CUDA</v>
      </c>
      <c r="O83" s="6" t="str" cm="1">
        <f t="array" ref="O83">_xlfn.XLOOKUP(Bash2[[#This Row],[Tecnología]]&amp;Bash2[[#This Row],[Metodo]],TbTipos[Tecnología]&amp;TbTipos[Metodo],TbTipos[Tipo])</f>
        <v>CUDA con graph</v>
      </c>
      <c r="P83" s="6" t="str" cm="1">
        <f t="array" ref="P83">_xlfn.XLOOKUP(Bash2[[#This Row],[Tecnología]]&amp;Bash2[[#This Row],[Problema]],TbNombres[Tecnología]&amp;TbNombres[Problema],TbNombres[Nombre])</f>
        <v>Advdiff1d</v>
      </c>
      <c r="Q83" s="21">
        <v>4</v>
      </c>
      <c r="R83" s="21">
        <v>3</v>
      </c>
      <c r="S83" s="21">
        <v>256</v>
      </c>
      <c r="T83" s="21">
        <v>15000</v>
      </c>
      <c r="U83" s="21">
        <v>15000</v>
      </c>
      <c r="V83" s="21">
        <v>10.321099999999999</v>
      </c>
      <c r="X83" s="2" t="str">
        <f>_xlfn.XLOOKUP(Bash3[[#This Row],[Metodo]],TbSolver[Metodo],TbSolver[Solver])</f>
        <v>Adams Bashford</v>
      </c>
      <c r="Y83" s="2" t="str">
        <f>_xlfn.XLOOKUP(Bash3[[#This Row],[Hebras]],TbTecnologia[Hebras],TbTecnologia[Tecnología])</f>
        <v>OMP</v>
      </c>
      <c r="Z83" s="2" t="str" cm="1">
        <f t="array" ref="Z83">_xlfn.XLOOKUP(Bash3[[#This Row],[Tecnología]]&amp;Bash3[[#This Row],[Metodo]],TbTipos[Tecnología]&amp;TbTipos[Metodo],TbTipos[Tipo])</f>
        <v>OMP Operaciones</v>
      </c>
      <c r="AA83" s="2" t="str" cm="1">
        <f t="array" ref="AA83">_xlfn.XLOOKUP(Bash3[[#This Row],[Tecnología]]&amp;Bash3[[#This Row],[Problema]],TbNombres[Tecnología]&amp;TbNombres[Problema],TbNombres[Nombre])</f>
        <v>Brusselator1d</v>
      </c>
      <c r="AB83" s="4">
        <v>3</v>
      </c>
      <c r="AC83" s="4">
        <v>3</v>
      </c>
      <c r="AD83" s="4">
        <v>1</v>
      </c>
      <c r="AE83" s="4">
        <v>7500</v>
      </c>
      <c r="AF83" s="4">
        <v>15000</v>
      </c>
      <c r="AG83" s="4">
        <v>48.344900000000003</v>
      </c>
      <c r="AI83" s="2" t="str">
        <f>_xlfn.XLOOKUP(Bash4[[#This Row],[Metodo]],TbSolver[Metodo],TbSolver[Solver])</f>
        <v>Adams Bashford</v>
      </c>
      <c r="AJ83" s="2" t="str">
        <f>_xlfn.XLOOKUP(Bash4[[#This Row],[Hebras]],TbTecnologia[Hebras],TbTecnologia[Tecnología])</f>
        <v>OMP</v>
      </c>
      <c r="AK83" s="2" t="str" cm="1">
        <f t="array" ref="AK83">_xlfn.XLOOKUP(Bash4[[#This Row],[Tecnología]]&amp;Bash4[[#This Row],[Metodo]],TbTipos[Tecnología]&amp;TbTipos[Metodo],TbTipos[Tipo])</f>
        <v>OMP Operaciones</v>
      </c>
      <c r="AL83" s="4" t="str" cm="1">
        <f t="array" ref="AL83">_xlfn.XLOOKUP(Bash4[[#This Row],[Tecnología]]&amp;Bash4[[#This Row],[Problema]],TbNombres[Tecnología]&amp;TbNombres[Problema],TbNombres[Nombre])</f>
        <v>Brusselator2d</v>
      </c>
      <c r="AM83" s="4">
        <v>3</v>
      </c>
      <c r="AN83" s="21">
        <v>4</v>
      </c>
      <c r="AO83" s="21">
        <v>1</v>
      </c>
      <c r="AP83" s="21">
        <v>225</v>
      </c>
      <c r="AQ83" s="21">
        <v>101250</v>
      </c>
      <c r="AR83" s="21">
        <v>680.04600000000005</v>
      </c>
    </row>
    <row r="84" spans="2:44" x14ac:dyDescent="0.2">
      <c r="B84" s="1" t="str">
        <f>_xlfn.XLOOKUP(Bash1[[#This Row],[Metodo]],TbSolver[Metodo],TbSolver[Solver])</f>
        <v>Adams Bashford</v>
      </c>
      <c r="C84" s="1" t="str">
        <f>_xlfn.XLOOKUP(Bash1[[#This Row],[Hebras]],TbTecnologia[Hebras],TbTecnologia[Tecnología])</f>
        <v>OMP</v>
      </c>
      <c r="D84" s="1" t="str" cm="1">
        <f t="array" ref="D84">_xlfn.XLOOKUP(Bash1[[#This Row],[Tecnología]]&amp;Bash1[[#This Row],[Metodo]],TbTipos[Tecnología]&amp;TbTipos[Metodo],TbTipos[Tipo])</f>
        <v>OMP Operaciones</v>
      </c>
      <c r="E84" s="1" t="str" cm="1">
        <f t="array" ref="E84">_xlfn.XLOOKUP(Bash1[[#This Row],[Tecnología]]&amp;Bash1[[#This Row],[Problema]],TbNombres[Tecnología]&amp;TbNombres[Problema],TbNombres[Nombre])</f>
        <v>Simple Advdiff</v>
      </c>
      <c r="F84" s="17">
        <v>3</v>
      </c>
      <c r="G84" s="17">
        <v>1</v>
      </c>
      <c r="H84" s="17">
        <v>4</v>
      </c>
      <c r="I84" s="17">
        <v>15000</v>
      </c>
      <c r="J84" s="17">
        <v>15000</v>
      </c>
      <c r="K84" s="17">
        <v>20.132200000000001</v>
      </c>
      <c r="M84" s="2" t="str">
        <f>_xlfn.XLOOKUP(Bash2[[#This Row],[Metodo]],TbSolver[Metodo],TbSolver[Solver])</f>
        <v>Adams Bashford</v>
      </c>
      <c r="N84" s="2" t="str">
        <f>_xlfn.XLOOKUP(Bash2[[#This Row],[Hebras]],TbTecnologia[Hebras],TbTecnologia[Tecnología])</f>
        <v>OMP</v>
      </c>
      <c r="O84" s="9" t="str" cm="1">
        <f t="array" ref="O84">_xlfn.XLOOKUP(Bash2[[#This Row],[Tecnología]]&amp;Bash2[[#This Row],[Metodo]],TbTipos[Tecnología]&amp;TbTipos[Metodo],TbTipos[Tipo])</f>
        <v>OMP Elementos</v>
      </c>
      <c r="P84" s="9" t="str" cm="1">
        <f t="array" ref="P84">_xlfn.XLOOKUP(Bash2[[#This Row],[Tecnología]]&amp;Bash2[[#This Row],[Problema]],TbNombres[Tecnología]&amp;TbNombres[Problema],TbNombres[Nombre])</f>
        <v>Advdiff1d</v>
      </c>
      <c r="Q84" s="4">
        <v>4</v>
      </c>
      <c r="R84" s="4">
        <v>2</v>
      </c>
      <c r="S84" s="4">
        <v>16</v>
      </c>
      <c r="T84" s="4">
        <v>15000</v>
      </c>
      <c r="U84" s="4">
        <v>15000</v>
      </c>
      <c r="V84" s="4">
        <v>55.061500000000002</v>
      </c>
      <c r="X84" s="2" t="str">
        <f>_xlfn.XLOOKUP(Bash3[[#This Row],[Metodo]],TbSolver[Metodo],TbSolver[Solver])</f>
        <v>Adams Bashford</v>
      </c>
      <c r="Y84" s="2" t="str">
        <f>_xlfn.XLOOKUP(Bash3[[#This Row],[Hebras]],TbTecnologia[Hebras],TbTecnologia[Tecnología])</f>
        <v>OMP</v>
      </c>
      <c r="Z84" s="2" t="str" cm="1">
        <f t="array" ref="Z84">_xlfn.XLOOKUP(Bash3[[#This Row],[Tecnología]]&amp;Bash3[[#This Row],[Metodo]],TbTipos[Tecnología]&amp;TbTipos[Metodo],TbTipos[Tipo])</f>
        <v>OMP Elementos</v>
      </c>
      <c r="AA84" s="2" t="str" cm="1">
        <f t="array" ref="AA84">_xlfn.XLOOKUP(Bash3[[#This Row],[Tecnología]]&amp;Bash3[[#This Row],[Problema]],TbNombres[Tecnología]&amp;TbNombres[Problema],TbNombres[Nombre])</f>
        <v>Brusselator1d</v>
      </c>
      <c r="AB84" s="4">
        <v>4</v>
      </c>
      <c r="AC84" s="4">
        <v>3</v>
      </c>
      <c r="AD84" s="4">
        <v>1</v>
      </c>
      <c r="AE84" s="4">
        <v>7500</v>
      </c>
      <c r="AF84" s="4">
        <v>15000</v>
      </c>
      <c r="AG84" s="4">
        <v>91.340599999999995</v>
      </c>
      <c r="AI84" s="2" t="str">
        <f>_xlfn.XLOOKUP(Bash4[[#This Row],[Metodo]],TbSolver[Metodo],TbSolver[Solver])</f>
        <v>Adams Bashford</v>
      </c>
      <c r="AJ84" s="2" t="str">
        <f>_xlfn.XLOOKUP(Bash4[[#This Row],[Hebras]],TbTecnologia[Hebras],TbTecnologia[Tecnología])</f>
        <v>OMP</v>
      </c>
      <c r="AK84" s="2" t="str" cm="1">
        <f t="array" ref="AK84">_xlfn.XLOOKUP(Bash4[[#This Row],[Tecnología]]&amp;Bash4[[#This Row],[Metodo]],TbTipos[Tecnología]&amp;TbTipos[Metodo],TbTipos[Tipo])</f>
        <v>OMP Elementos</v>
      </c>
      <c r="AL84" s="4" t="str" cm="1">
        <f t="array" ref="AL84">_xlfn.XLOOKUP(Bash4[[#This Row],[Tecnología]]&amp;Bash4[[#This Row],[Problema]],TbNombres[Tecnología]&amp;TbNombres[Problema],TbNombres[Nombre])</f>
        <v>Brusselator2d</v>
      </c>
      <c r="AM84" s="4">
        <v>4</v>
      </c>
      <c r="AN84" s="21">
        <v>4</v>
      </c>
      <c r="AO84" s="21">
        <v>1</v>
      </c>
      <c r="AP84" s="21">
        <v>225</v>
      </c>
      <c r="AQ84" s="21">
        <v>101250</v>
      </c>
      <c r="AR84" s="21">
        <v>1396.82</v>
      </c>
    </row>
    <row r="85" spans="2:44" x14ac:dyDescent="0.2">
      <c r="B85" s="1" t="str">
        <f>_xlfn.XLOOKUP(Bash1[[#This Row],[Metodo]],TbSolver[Metodo],TbSolver[Solver])</f>
        <v>Adams Bashford</v>
      </c>
      <c r="C85" s="1" t="str">
        <f>_xlfn.XLOOKUP(Bash1[[#This Row],[Hebras]],TbTecnologia[Hebras],TbTecnologia[Tecnología])</f>
        <v>OMP</v>
      </c>
      <c r="D85" s="1" t="str" cm="1">
        <f t="array" ref="D85">_xlfn.XLOOKUP(Bash1[[#This Row],[Tecnología]]&amp;Bash1[[#This Row],[Metodo]],TbTipos[Tecnología]&amp;TbTipos[Metodo],TbTipos[Tipo])</f>
        <v>OMP Elementos</v>
      </c>
      <c r="E85" s="1" t="str" cm="1">
        <f t="array" ref="E85">_xlfn.XLOOKUP(Bash1[[#This Row],[Tecnología]]&amp;Bash1[[#This Row],[Problema]],TbNombres[Tecnología]&amp;TbNombres[Problema],TbNombres[Nombre])</f>
        <v>Simple Advdiff</v>
      </c>
      <c r="F85" s="17">
        <v>4</v>
      </c>
      <c r="G85" s="17">
        <v>1</v>
      </c>
      <c r="H85" s="17">
        <v>4</v>
      </c>
      <c r="I85" s="17">
        <v>15000</v>
      </c>
      <c r="J85" s="17">
        <v>15000</v>
      </c>
      <c r="K85" s="17">
        <v>23.889199999999999</v>
      </c>
      <c r="M85" s="2" t="str">
        <f>_xlfn.XLOOKUP(Bash2[[#This Row],[Metodo]],TbSolver[Metodo],TbSolver[Solver])</f>
        <v>Adams Bashford</v>
      </c>
      <c r="N85" s="2" t="str">
        <f>_xlfn.XLOOKUP(Bash2[[#This Row],[Hebras]],TbTecnologia[Hebras],TbTecnologia[Tecnología])</f>
        <v>OMP</v>
      </c>
      <c r="O85" s="6" t="str" cm="1">
        <f t="array" ref="O85">_xlfn.XLOOKUP(Bash2[[#This Row],[Tecnología]]&amp;Bash2[[#This Row],[Metodo]],TbTipos[Tecnología]&amp;TbTipos[Metodo],TbTipos[Tipo])</f>
        <v>OMP Operaciones</v>
      </c>
      <c r="P85" s="6" t="str" cm="1">
        <f t="array" ref="P85">_xlfn.XLOOKUP(Bash2[[#This Row],[Tecnología]]&amp;Bash2[[#This Row],[Problema]],TbNombres[Tecnología]&amp;TbNombres[Problema],TbNombres[Nombre])</f>
        <v>Advdiff1d</v>
      </c>
      <c r="Q85" s="4">
        <v>3</v>
      </c>
      <c r="R85" s="4">
        <v>2</v>
      </c>
      <c r="S85" s="4">
        <v>16</v>
      </c>
      <c r="T85" s="4">
        <v>15000</v>
      </c>
      <c r="U85" s="4">
        <v>15000</v>
      </c>
      <c r="V85" s="4">
        <v>65.1721</v>
      </c>
      <c r="X85" s="2" t="str">
        <f>_xlfn.XLOOKUP(Bash3[[#This Row],[Metodo]],TbSolver[Metodo],TbSolver[Solver])</f>
        <v>Adams Bashford</v>
      </c>
      <c r="Y85" s="2" t="str">
        <f>_xlfn.XLOOKUP(Bash3[[#This Row],[Hebras]],TbTecnologia[Hebras],TbTecnologia[Tecnología])</f>
        <v>CUDA</v>
      </c>
      <c r="Z85" s="2" t="str" cm="1">
        <f t="array" ref="Z85">_xlfn.XLOOKUP(Bash3[[#This Row],[Tecnología]]&amp;Bash3[[#This Row],[Metodo]],TbTipos[Tecnología]&amp;TbTipos[Metodo],TbTipos[Tipo])</f>
        <v>CUDA sin graph</v>
      </c>
      <c r="AA85" s="2" t="str" cm="1">
        <f t="array" ref="AA85">_xlfn.XLOOKUP(Bash3[[#This Row],[Tecnología]]&amp;Bash3[[#This Row],[Problema]],TbNombres[Tecnología]&amp;TbNombres[Problema],TbNombres[Nombre])</f>
        <v>Brusselator1d</v>
      </c>
      <c r="AB85" s="2">
        <v>3</v>
      </c>
      <c r="AC85" s="2">
        <v>5</v>
      </c>
      <c r="AD85" s="2">
        <v>256</v>
      </c>
      <c r="AE85" s="2">
        <v>10000</v>
      </c>
      <c r="AF85" s="2">
        <v>20000</v>
      </c>
      <c r="AG85" s="2">
        <v>6.0775300000000003</v>
      </c>
      <c r="AI85" s="2" t="str">
        <f>_xlfn.XLOOKUP(Bash4[[#This Row],[Metodo]],TbSolver[Metodo],TbSolver[Solver])</f>
        <v>Adams Bashford</v>
      </c>
      <c r="AJ85" s="2" t="str">
        <f>_xlfn.XLOOKUP(Bash4[[#This Row],[Hebras]],TbTecnologia[Hebras],TbTecnologia[Tecnología])</f>
        <v>CUDA</v>
      </c>
      <c r="AK85" s="2" t="str" cm="1">
        <f t="array" ref="AK85">_xlfn.XLOOKUP(Bash4[[#This Row],[Tecnología]]&amp;Bash4[[#This Row],[Metodo]],TbTipos[Tecnología]&amp;TbTipos[Metodo],TbTipos[Tipo])</f>
        <v>CUDA sin graph</v>
      </c>
      <c r="AL85" s="4" t="str" cm="1">
        <f t="array" ref="AL85">_xlfn.XLOOKUP(Bash4[[#This Row],[Tecnología]]&amp;Bash4[[#This Row],[Problema]],TbNombres[Tecnología]&amp;TbNombres[Problema],TbNombres[Nombre])</f>
        <v>Brusselator2d</v>
      </c>
      <c r="AM85" s="4">
        <v>3</v>
      </c>
      <c r="AN85" s="21">
        <v>8</v>
      </c>
      <c r="AO85" s="21">
        <v>256</v>
      </c>
      <c r="AP85" s="21">
        <v>250</v>
      </c>
      <c r="AQ85" s="21">
        <v>125000</v>
      </c>
      <c r="AR85" s="21">
        <v>23.554400000000001</v>
      </c>
    </row>
    <row r="86" spans="2:44" x14ac:dyDescent="0.2">
      <c r="B86" s="1" t="str">
        <f>_xlfn.XLOOKUP(Bash1[[#This Row],[Metodo]],TbSolver[Metodo],TbSolver[Solver])</f>
        <v>Adams Bashford</v>
      </c>
      <c r="C86" s="1" t="str">
        <f>_xlfn.XLOOKUP(Bash1[[#This Row],[Hebras]],TbTecnologia[Hebras],TbTecnologia[Tecnología])</f>
        <v>OMP</v>
      </c>
      <c r="D86" s="1" t="str" cm="1">
        <f t="array" ref="D86">_xlfn.XLOOKUP(Bash1[[#This Row],[Tecnología]]&amp;Bash1[[#This Row],[Metodo]],TbTipos[Tecnología]&amp;TbTipos[Metodo],TbTipos[Tipo])</f>
        <v>OMP Operaciones</v>
      </c>
      <c r="E86" s="1" t="str" cm="1">
        <f t="array" ref="E86">_xlfn.XLOOKUP(Bash1[[#This Row],[Tecnología]]&amp;Bash1[[#This Row],[Problema]],TbNombres[Tecnología]&amp;TbNombres[Problema],TbNombres[Nombre])</f>
        <v>Simple Advdiff</v>
      </c>
      <c r="F86" s="17">
        <v>3</v>
      </c>
      <c r="G86" s="17">
        <v>1</v>
      </c>
      <c r="H86" s="17">
        <v>1</v>
      </c>
      <c r="I86" s="17">
        <v>15000</v>
      </c>
      <c r="J86" s="17">
        <v>15000</v>
      </c>
      <c r="K86" s="17">
        <v>31.887</v>
      </c>
      <c r="M86" s="2" t="str">
        <f>_xlfn.XLOOKUP(Bash2[[#This Row],[Metodo]],TbSolver[Metodo],TbSolver[Solver])</f>
        <v>Adams Bashford</v>
      </c>
      <c r="N86" s="2" t="str">
        <f>_xlfn.XLOOKUP(Bash2[[#This Row],[Hebras]],TbTecnologia[Hebras],TbTecnologia[Tecnología])</f>
        <v>OMP</v>
      </c>
      <c r="O86" s="6" t="str" cm="1">
        <f t="array" ref="O86">_xlfn.XLOOKUP(Bash2[[#This Row],[Tecnología]]&amp;Bash2[[#This Row],[Metodo]],TbTipos[Tecnología]&amp;TbTipos[Metodo],TbTipos[Tipo])</f>
        <v>OMP Operaciones</v>
      </c>
      <c r="P86" s="6" t="str" cm="1">
        <f t="array" ref="P86">_xlfn.XLOOKUP(Bash2[[#This Row],[Tecnología]]&amp;Bash2[[#This Row],[Problema]],TbNombres[Tecnología]&amp;TbNombres[Problema],TbNombres[Nombre])</f>
        <v>Advdiff1d</v>
      </c>
      <c r="Q86" s="4">
        <v>3</v>
      </c>
      <c r="R86" s="4">
        <v>2</v>
      </c>
      <c r="S86" s="4">
        <v>4</v>
      </c>
      <c r="T86" s="4">
        <v>15000</v>
      </c>
      <c r="U86" s="4">
        <v>15000</v>
      </c>
      <c r="V86" s="4">
        <v>112.249</v>
      </c>
      <c r="X86" s="2" t="str">
        <f>_xlfn.XLOOKUP(Bash3[[#This Row],[Metodo]],TbSolver[Metodo],TbSolver[Solver])</f>
        <v>Adams Bashford</v>
      </c>
      <c r="Y86" s="2" t="str">
        <f>_xlfn.XLOOKUP(Bash3[[#This Row],[Hebras]],TbTecnologia[Hebras],TbTecnologia[Tecnología])</f>
        <v>CUDA</v>
      </c>
      <c r="Z86" s="2" t="str" cm="1">
        <f t="array" ref="Z86">_xlfn.XLOOKUP(Bash3[[#This Row],[Tecnología]]&amp;Bash3[[#This Row],[Metodo]],TbTipos[Tecnología]&amp;TbTipos[Metodo],TbTipos[Tipo])</f>
        <v>CUDA sin graph</v>
      </c>
      <c r="AA86" s="2" t="str" cm="1">
        <f t="array" ref="AA86">_xlfn.XLOOKUP(Bash3[[#This Row],[Tecnología]]&amp;Bash3[[#This Row],[Problema]],TbNombres[Tecnología]&amp;TbNombres[Problema],TbNombres[Nombre])</f>
        <v>Brusselator1d shuffle</v>
      </c>
      <c r="AB86" s="2">
        <v>3</v>
      </c>
      <c r="AC86" s="2">
        <v>6</v>
      </c>
      <c r="AD86" s="2">
        <v>256</v>
      </c>
      <c r="AE86" s="2">
        <v>10000</v>
      </c>
      <c r="AF86" s="2">
        <v>20000</v>
      </c>
      <c r="AG86" s="2">
        <v>6.194</v>
      </c>
      <c r="AI86" s="2" t="str">
        <f>_xlfn.XLOOKUP(Bash4[[#This Row],[Metodo]],TbSolver[Metodo],TbSolver[Solver])</f>
        <v>Adams Bashford</v>
      </c>
      <c r="AJ86" s="2" t="str">
        <f>_xlfn.XLOOKUP(Bash4[[#This Row],[Hebras]],TbTecnologia[Hebras],TbTecnologia[Tecnología])</f>
        <v>CUDA</v>
      </c>
      <c r="AK86" s="2" t="str" cm="1">
        <f t="array" ref="AK86">_xlfn.XLOOKUP(Bash4[[#This Row],[Tecnología]]&amp;Bash4[[#This Row],[Metodo]],TbTipos[Tecnología]&amp;TbTipos[Metodo],TbTipos[Tipo])</f>
        <v>CUDA con graph</v>
      </c>
      <c r="AL86" s="4" t="str" cm="1">
        <f t="array" ref="AL86">_xlfn.XLOOKUP(Bash4[[#This Row],[Tecnología]]&amp;Bash4[[#This Row],[Problema]],TbNombres[Tecnología]&amp;TbNombres[Problema],TbNombres[Nombre])</f>
        <v>Brusselator2d</v>
      </c>
      <c r="AM86" s="4">
        <v>4</v>
      </c>
      <c r="AN86" s="21">
        <v>8</v>
      </c>
      <c r="AO86" s="21">
        <v>256</v>
      </c>
      <c r="AP86" s="21">
        <v>250</v>
      </c>
      <c r="AQ86" s="21">
        <v>125000</v>
      </c>
      <c r="AR86" s="21">
        <v>39.870100000000001</v>
      </c>
    </row>
    <row r="87" spans="2:44" x14ac:dyDescent="0.2">
      <c r="B87" s="1" t="str">
        <f>_xlfn.XLOOKUP(Bash1[[#This Row],[Metodo]],TbSolver[Metodo],TbSolver[Solver])</f>
        <v>Adams Bashford</v>
      </c>
      <c r="C87" s="1" t="str">
        <f>_xlfn.XLOOKUP(Bash1[[#This Row],[Hebras]],TbTecnologia[Hebras],TbTecnologia[Tecnología])</f>
        <v>OMP</v>
      </c>
      <c r="D87" s="1" t="str" cm="1">
        <f t="array" ref="D87">_xlfn.XLOOKUP(Bash1[[#This Row],[Tecnología]]&amp;Bash1[[#This Row],[Metodo]],TbTipos[Tecnología]&amp;TbTipos[Metodo],TbTipos[Tipo])</f>
        <v>OMP Operaciones</v>
      </c>
      <c r="E87" s="1" t="str" cm="1">
        <f t="array" ref="E87">_xlfn.XLOOKUP(Bash1[[#This Row],[Tecnología]]&amp;Bash1[[#This Row],[Problema]],TbNombres[Tecnología]&amp;TbNombres[Problema],TbNombres[Nombre])</f>
        <v>Simple Advdiff</v>
      </c>
      <c r="F87" s="17">
        <v>3</v>
      </c>
      <c r="G87" s="17">
        <v>1</v>
      </c>
      <c r="H87" s="17">
        <v>16</v>
      </c>
      <c r="I87" s="17">
        <v>15000</v>
      </c>
      <c r="J87" s="17">
        <v>15000</v>
      </c>
      <c r="K87" s="17">
        <v>36.503500000000003</v>
      </c>
      <c r="M87" s="2" t="str">
        <f>_xlfn.XLOOKUP(Bash2[[#This Row],[Metodo]],TbSolver[Metodo],TbSolver[Solver])</f>
        <v>Adams Bashford</v>
      </c>
      <c r="N87" s="2" t="str">
        <f>_xlfn.XLOOKUP(Bash2[[#This Row],[Hebras]],TbTecnologia[Hebras],TbTecnologia[Tecnología])</f>
        <v>OMP</v>
      </c>
      <c r="O87" s="6" t="str" cm="1">
        <f t="array" ref="O87">_xlfn.XLOOKUP(Bash2[[#This Row],[Tecnología]]&amp;Bash2[[#This Row],[Metodo]],TbTipos[Tecnología]&amp;TbTipos[Metodo],TbTipos[Tipo])</f>
        <v>OMP Elementos</v>
      </c>
      <c r="P87" s="6" t="str" cm="1">
        <f t="array" ref="P87">_xlfn.XLOOKUP(Bash2[[#This Row],[Tecnología]]&amp;Bash2[[#This Row],[Problema]],TbNombres[Tecnología]&amp;TbNombres[Problema],TbNombres[Nombre])</f>
        <v>Advdiff1d</v>
      </c>
      <c r="Q87" s="4">
        <v>4</v>
      </c>
      <c r="R87" s="4">
        <v>2</v>
      </c>
      <c r="S87" s="4">
        <v>4</v>
      </c>
      <c r="T87" s="4">
        <v>15000</v>
      </c>
      <c r="U87" s="4">
        <v>15000</v>
      </c>
      <c r="V87" s="4">
        <v>114.869</v>
      </c>
      <c r="X87" s="2" t="str">
        <f>_xlfn.XLOOKUP(Bash3[[#This Row],[Metodo]],TbSolver[Metodo],TbSolver[Solver])</f>
        <v>Adams Bashford</v>
      </c>
      <c r="Y87" s="2" t="str">
        <f>_xlfn.XLOOKUP(Bash3[[#This Row],[Hebras]],TbTecnologia[Hebras],TbTecnologia[Tecnología])</f>
        <v>CUDA</v>
      </c>
      <c r="Z87" s="2" t="str" cm="1">
        <f t="array" ref="Z87">_xlfn.XLOOKUP(Bash3[[#This Row],[Tecnología]]&amp;Bash3[[#This Row],[Metodo]],TbTipos[Tecnología]&amp;TbTipos[Metodo],TbTipos[Tipo])</f>
        <v>CUDA sin graph</v>
      </c>
      <c r="AA87" s="2" t="str" cm="1">
        <f t="array" ref="AA87">_xlfn.XLOOKUP(Bash3[[#This Row],[Tecnología]]&amp;Bash3[[#This Row],[Problema]],TbNombres[Tecnología]&amp;TbNombres[Problema],TbNombres[Nombre])</f>
        <v>Brusselator1d</v>
      </c>
      <c r="AB87" s="2">
        <v>3</v>
      </c>
      <c r="AC87" s="2">
        <v>5</v>
      </c>
      <c r="AD87" s="2">
        <v>256</v>
      </c>
      <c r="AE87" s="2">
        <v>10000</v>
      </c>
      <c r="AF87" s="2">
        <v>20000</v>
      </c>
      <c r="AG87" s="2">
        <v>6.1955400000000003</v>
      </c>
      <c r="AI87" s="2" t="str">
        <f>_xlfn.XLOOKUP(Bash4[[#This Row],[Metodo]],TbSolver[Metodo],TbSolver[Solver])</f>
        <v>Adams Bashford</v>
      </c>
      <c r="AJ87" s="2" t="str">
        <f>_xlfn.XLOOKUP(Bash4[[#This Row],[Hebras]],TbTecnologia[Hebras],TbTecnologia[Tecnología])</f>
        <v>OMP</v>
      </c>
      <c r="AK87" s="2" t="str" cm="1">
        <f t="array" ref="AK87">_xlfn.XLOOKUP(Bash4[[#This Row],[Tecnología]]&amp;Bash4[[#This Row],[Metodo]],TbTipos[Tecnología]&amp;TbTipos[Metodo],TbTipos[Tipo])</f>
        <v>OMP Operaciones</v>
      </c>
      <c r="AL87" s="4" t="str" cm="1">
        <f t="array" ref="AL87">_xlfn.XLOOKUP(Bash4[[#This Row],[Tecnología]]&amp;Bash4[[#This Row],[Problema]],TbNombres[Tecnología]&amp;TbNombres[Problema],TbNombres[Nombre])</f>
        <v>Brusselator2d</v>
      </c>
      <c r="AM87" s="4">
        <v>3</v>
      </c>
      <c r="AN87" s="21">
        <v>4</v>
      </c>
      <c r="AO87" s="21">
        <v>16</v>
      </c>
      <c r="AP87" s="21">
        <v>250</v>
      </c>
      <c r="AQ87" s="21">
        <v>125000</v>
      </c>
      <c r="AR87" s="21">
        <v>82.703999999999994</v>
      </c>
    </row>
    <row r="88" spans="2:44" x14ac:dyDescent="0.2">
      <c r="B88" s="1" t="str">
        <f>_xlfn.XLOOKUP(Bash1[[#This Row],[Metodo]],TbSolver[Metodo],TbSolver[Solver])</f>
        <v>Adams Bashford</v>
      </c>
      <c r="C88" s="1" t="str">
        <f>_xlfn.XLOOKUP(Bash1[[#This Row],[Hebras]],TbTecnologia[Hebras],TbTecnologia[Tecnología])</f>
        <v>OMP</v>
      </c>
      <c r="D88" s="1" t="str" cm="1">
        <f t="array" ref="D88">_xlfn.XLOOKUP(Bash1[[#This Row],[Tecnología]]&amp;Bash1[[#This Row],[Metodo]],TbTipos[Tecnología]&amp;TbTipos[Metodo],TbTipos[Tipo])</f>
        <v>OMP Elementos</v>
      </c>
      <c r="E88" s="1" t="str" cm="1">
        <f t="array" ref="E88">_xlfn.XLOOKUP(Bash1[[#This Row],[Tecnología]]&amp;Bash1[[#This Row],[Problema]],TbNombres[Tecnología]&amp;TbNombres[Problema],TbNombres[Nombre])</f>
        <v>Simple Advdiff</v>
      </c>
      <c r="F88" s="17">
        <v>4</v>
      </c>
      <c r="G88" s="17">
        <v>1</v>
      </c>
      <c r="H88" s="17">
        <v>1</v>
      </c>
      <c r="I88" s="17">
        <v>15000</v>
      </c>
      <c r="J88" s="17">
        <v>15000</v>
      </c>
      <c r="K88" s="17">
        <v>74.571700000000007</v>
      </c>
      <c r="M88" s="2" t="str">
        <f>_xlfn.XLOOKUP(Bash2[[#This Row],[Metodo]],TbSolver[Metodo],TbSolver[Solver])</f>
        <v>Adams Bashford</v>
      </c>
      <c r="N88" s="2" t="str">
        <f>_xlfn.XLOOKUP(Bash2[[#This Row],[Hebras]],TbTecnologia[Hebras],TbTecnologia[Tecnología])</f>
        <v>OMP</v>
      </c>
      <c r="O88" s="6" t="str" cm="1">
        <f t="array" ref="O88">_xlfn.XLOOKUP(Bash2[[#This Row],[Tecnología]]&amp;Bash2[[#This Row],[Metodo]],TbTipos[Tecnología]&amp;TbTipos[Metodo],TbTipos[Tipo])</f>
        <v>OMP Operaciones</v>
      </c>
      <c r="P88" s="6" t="str" cm="1">
        <f t="array" ref="P88">_xlfn.XLOOKUP(Bash2[[#This Row],[Tecnología]]&amp;Bash2[[#This Row],[Problema]],TbNombres[Tecnología]&amp;TbNombres[Problema],TbNombres[Nombre])</f>
        <v>Advdiff1d</v>
      </c>
      <c r="Q88" s="4">
        <v>3</v>
      </c>
      <c r="R88" s="4">
        <v>2</v>
      </c>
      <c r="S88" s="4">
        <v>1</v>
      </c>
      <c r="T88" s="4">
        <v>15000</v>
      </c>
      <c r="U88" s="4">
        <v>15000</v>
      </c>
      <c r="V88" s="4">
        <v>340.04399999999998</v>
      </c>
      <c r="X88" s="2" t="str">
        <f>_xlfn.XLOOKUP(Bash3[[#This Row],[Metodo]],TbSolver[Metodo],TbSolver[Solver])</f>
        <v>Adams Bashford</v>
      </c>
      <c r="Y88" s="2" t="str">
        <f>_xlfn.XLOOKUP(Bash3[[#This Row],[Hebras]],TbTecnologia[Hebras],TbTecnologia[Tecnología])</f>
        <v>CUDA</v>
      </c>
      <c r="Z88" s="2" t="str" cm="1">
        <f t="array" ref="Z88">_xlfn.XLOOKUP(Bash3[[#This Row],[Tecnología]]&amp;Bash3[[#This Row],[Metodo]],TbTipos[Tecnología]&amp;TbTipos[Metodo],TbTipos[Tipo])</f>
        <v>CUDA sin graph</v>
      </c>
      <c r="AA88" s="2" t="str" cm="1">
        <f t="array" ref="AA88">_xlfn.XLOOKUP(Bash3[[#This Row],[Tecnología]]&amp;Bash3[[#This Row],[Problema]],TbNombres[Tecnología]&amp;TbNombres[Problema],TbNombres[Nombre])</f>
        <v>Brusselator1d grid</v>
      </c>
      <c r="AB88" s="2">
        <v>3</v>
      </c>
      <c r="AC88" s="2">
        <v>7</v>
      </c>
      <c r="AD88" s="2">
        <v>256</v>
      </c>
      <c r="AE88" s="2">
        <v>10000</v>
      </c>
      <c r="AF88" s="2">
        <v>20000</v>
      </c>
      <c r="AG88" s="2">
        <v>6.2668900000000001</v>
      </c>
      <c r="AI88" s="2" t="str">
        <f>_xlfn.XLOOKUP(Bash4[[#This Row],[Metodo]],TbSolver[Metodo],TbSolver[Solver])</f>
        <v>Adams Bashford</v>
      </c>
      <c r="AJ88" s="2" t="str">
        <f>_xlfn.XLOOKUP(Bash4[[#This Row],[Hebras]],TbTecnologia[Hebras],TbTecnologia[Tecnología])</f>
        <v>OMP</v>
      </c>
      <c r="AK88" s="2" t="str" cm="1">
        <f t="array" ref="AK88">_xlfn.XLOOKUP(Bash4[[#This Row],[Tecnología]]&amp;Bash4[[#This Row],[Metodo]],TbTipos[Tecnología]&amp;TbTipos[Metodo],TbTipos[Tipo])</f>
        <v>OMP Elementos</v>
      </c>
      <c r="AL88" s="4" t="str" cm="1">
        <f t="array" ref="AL88">_xlfn.XLOOKUP(Bash4[[#This Row],[Tecnología]]&amp;Bash4[[#This Row],[Problema]],TbNombres[Tecnología]&amp;TbNombres[Problema],TbNombres[Nombre])</f>
        <v>Brusselator2d</v>
      </c>
      <c r="AM88" s="4">
        <v>4</v>
      </c>
      <c r="AN88" s="21">
        <v>4</v>
      </c>
      <c r="AO88" s="21">
        <v>16</v>
      </c>
      <c r="AP88" s="21">
        <v>250</v>
      </c>
      <c r="AQ88" s="21">
        <v>125000</v>
      </c>
      <c r="AR88" s="21">
        <v>138.602</v>
      </c>
    </row>
    <row r="89" spans="2:44" x14ac:dyDescent="0.2">
      <c r="B89" s="1" t="str">
        <f>_xlfn.XLOOKUP(Bash1[[#This Row],[Metodo]],TbSolver[Metodo],TbSolver[Solver])</f>
        <v>Adams Bashford</v>
      </c>
      <c r="C89" s="1" t="str">
        <f>_xlfn.XLOOKUP(Bash1[[#This Row],[Hebras]],TbTecnologia[Hebras],TbTecnologia[Tecnología])</f>
        <v>OMP</v>
      </c>
      <c r="D89" s="1" t="str" cm="1">
        <f t="array" ref="D89">_xlfn.XLOOKUP(Bash1[[#This Row],[Tecnología]]&amp;Bash1[[#This Row],[Metodo]],TbTipos[Tecnología]&amp;TbTipos[Metodo],TbTipos[Tipo])</f>
        <v>OMP Elementos</v>
      </c>
      <c r="E89" s="1" t="str" cm="1">
        <f t="array" ref="E89">_xlfn.XLOOKUP(Bash1[[#This Row],[Tecnología]]&amp;Bash1[[#This Row],[Problema]],TbNombres[Tecnología]&amp;TbNombres[Problema],TbNombres[Nombre])</f>
        <v>Simple Advdiff</v>
      </c>
      <c r="F89" s="17">
        <v>4</v>
      </c>
      <c r="G89" s="17">
        <v>1</v>
      </c>
      <c r="H89" s="17">
        <v>16</v>
      </c>
      <c r="I89" s="17">
        <v>15000</v>
      </c>
      <c r="J89" s="17">
        <v>15000</v>
      </c>
      <c r="K89" s="17">
        <v>141.36500000000001</v>
      </c>
      <c r="M89" s="2" t="str">
        <f>_xlfn.XLOOKUP(Bash2[[#This Row],[Metodo]],TbSolver[Metodo],TbSolver[Solver])</f>
        <v>Adams Bashford</v>
      </c>
      <c r="N89" s="2" t="str">
        <f>_xlfn.XLOOKUP(Bash2[[#This Row],[Hebras]],TbTecnologia[Hebras],TbTecnologia[Tecnología])</f>
        <v>OMP</v>
      </c>
      <c r="O89" s="6" t="str" cm="1">
        <f t="array" ref="O89">_xlfn.XLOOKUP(Bash2[[#This Row],[Tecnología]]&amp;Bash2[[#This Row],[Metodo]],TbTipos[Tecnología]&amp;TbTipos[Metodo],TbTipos[Tipo])</f>
        <v>OMP Elementos</v>
      </c>
      <c r="P89" s="6" t="str" cm="1">
        <f t="array" ref="P89">_xlfn.XLOOKUP(Bash2[[#This Row],[Tecnología]]&amp;Bash2[[#This Row],[Problema]],TbNombres[Tecnología]&amp;TbNombres[Problema],TbNombres[Nombre])</f>
        <v>Advdiff1d</v>
      </c>
      <c r="Q89" s="4">
        <v>4</v>
      </c>
      <c r="R89" s="4">
        <v>2</v>
      </c>
      <c r="S89" s="4">
        <v>1</v>
      </c>
      <c r="T89" s="4">
        <v>15000</v>
      </c>
      <c r="U89" s="4">
        <v>15000</v>
      </c>
      <c r="V89" s="4">
        <v>398.351</v>
      </c>
      <c r="X89" s="2" t="str">
        <f>_xlfn.XLOOKUP(Bash3[[#This Row],[Metodo]],TbSolver[Metodo],TbSolver[Solver])</f>
        <v>Adams Bashford</v>
      </c>
      <c r="Y89" s="2" t="str">
        <f>_xlfn.XLOOKUP(Bash3[[#This Row],[Hebras]],TbTecnologia[Hebras],TbTecnologia[Tecnología])</f>
        <v>OMP</v>
      </c>
      <c r="Z89" s="2" t="str" cm="1">
        <f t="array" ref="Z89">_xlfn.XLOOKUP(Bash3[[#This Row],[Tecnología]]&amp;Bash3[[#This Row],[Metodo]],TbTipos[Tecnología]&amp;TbTipos[Metodo],TbTipos[Tipo])</f>
        <v>OMP Operaciones</v>
      </c>
      <c r="AA89" s="2" t="str" cm="1">
        <f t="array" ref="AA89">_xlfn.XLOOKUP(Bash3[[#This Row],[Tecnología]]&amp;Bash3[[#This Row],[Problema]],TbNombres[Tecnología]&amp;TbNombres[Problema],TbNombres[Nombre])</f>
        <v>Brusselator1d</v>
      </c>
      <c r="AB89" s="4">
        <v>3</v>
      </c>
      <c r="AC89" s="4">
        <v>3</v>
      </c>
      <c r="AD89" s="4">
        <v>4</v>
      </c>
      <c r="AE89" s="4">
        <v>10000</v>
      </c>
      <c r="AF89" s="4">
        <v>20000</v>
      </c>
      <c r="AG89" s="4">
        <v>30.819400000000002</v>
      </c>
      <c r="AI89" s="2" t="str">
        <f>_xlfn.XLOOKUP(Bash4[[#This Row],[Metodo]],TbSolver[Metodo],TbSolver[Solver])</f>
        <v>Adams Bashford</v>
      </c>
      <c r="AJ89" s="2" t="str">
        <f>_xlfn.XLOOKUP(Bash4[[#This Row],[Hebras]],TbTecnologia[Hebras],TbTecnologia[Tecnología])</f>
        <v>OMP</v>
      </c>
      <c r="AK89" s="2" t="str" cm="1">
        <f t="array" ref="AK89">_xlfn.XLOOKUP(Bash4[[#This Row],[Tecnología]]&amp;Bash4[[#This Row],[Metodo]],TbTipos[Tecnología]&amp;TbTipos[Metodo],TbTipos[Tipo])</f>
        <v>OMP Operaciones</v>
      </c>
      <c r="AL89" s="4" t="str" cm="1">
        <f t="array" ref="AL89">_xlfn.XLOOKUP(Bash4[[#This Row],[Tecnología]]&amp;Bash4[[#This Row],[Problema]],TbNombres[Tecnología]&amp;TbNombres[Problema],TbNombres[Nombre])</f>
        <v>Brusselator2d</v>
      </c>
      <c r="AM89" s="4">
        <v>3</v>
      </c>
      <c r="AN89" s="21">
        <v>4</v>
      </c>
      <c r="AO89" s="21">
        <v>4</v>
      </c>
      <c r="AP89" s="21">
        <v>250</v>
      </c>
      <c r="AQ89" s="21">
        <v>125000</v>
      </c>
      <c r="AR89" s="21">
        <v>214.10599999999999</v>
      </c>
    </row>
    <row r="90" spans="2:44" x14ac:dyDescent="0.2">
      <c r="B90" s="1" t="str">
        <f>_xlfn.XLOOKUP(Bash1[[#This Row],[Metodo]],TbSolver[Metodo],TbSolver[Solver])</f>
        <v>Adams Bashford</v>
      </c>
      <c r="C90" s="1" t="str">
        <f>_xlfn.XLOOKUP(Bash1[[#This Row],[Hebras]],TbTecnologia[Hebras],TbTecnologia[Tecnología])</f>
        <v>CUDA</v>
      </c>
      <c r="D90" s="1" t="str" cm="1">
        <f t="array" ref="D90">_xlfn.XLOOKUP(Bash1[[#This Row],[Tecnología]]&amp;Bash1[[#This Row],[Metodo]],TbTipos[Tecnología]&amp;TbTipos[Metodo],TbTipos[Tipo])</f>
        <v>CUDA sin graph</v>
      </c>
      <c r="E90" s="1" t="str" cm="1">
        <f t="array" ref="E90">_xlfn.XLOOKUP(Bash1[[#This Row],[Tecnología]]&amp;Bash1[[#This Row],[Problema]],TbNombres[Tecnología]&amp;TbNombres[Problema],TbNombres[Nombre])</f>
        <v>Simple Advdiff</v>
      </c>
      <c r="F90" s="1">
        <v>3</v>
      </c>
      <c r="G90" s="1">
        <v>1</v>
      </c>
      <c r="H90" s="1">
        <v>256</v>
      </c>
      <c r="I90" s="1">
        <v>20000</v>
      </c>
      <c r="J90" s="1">
        <v>20000</v>
      </c>
      <c r="K90" s="1">
        <v>5.4144300000000003</v>
      </c>
      <c r="M90" s="2" t="str">
        <f>_xlfn.XLOOKUP(Bash2[[#This Row],[Metodo]],TbSolver[Metodo],TbSolver[Solver])</f>
        <v>Adams Bashford</v>
      </c>
      <c r="N90" s="2" t="str">
        <f>_xlfn.XLOOKUP(Bash2[[#This Row],[Hebras]],TbTecnologia[Hebras],TbTecnologia[Tecnología])</f>
        <v>CUDA</v>
      </c>
      <c r="O90" s="6" t="str" cm="1">
        <f t="array" ref="O90">_xlfn.XLOOKUP(Bash2[[#This Row],[Tecnología]]&amp;Bash2[[#This Row],[Metodo]],TbTipos[Tecnología]&amp;TbTipos[Metodo],TbTipos[Tipo])</f>
        <v>CUDA sin graph</v>
      </c>
      <c r="P90" s="6" t="str" cm="1">
        <f t="array" ref="P90">_xlfn.XLOOKUP(Bash2[[#This Row],[Tecnología]]&amp;Bash2[[#This Row],[Problema]],TbNombres[Tecnología]&amp;TbNombres[Problema],TbNombres[Nombre])</f>
        <v>Advdiff1d</v>
      </c>
      <c r="Q90" s="2">
        <v>3</v>
      </c>
      <c r="R90" s="2">
        <v>3</v>
      </c>
      <c r="S90" s="2">
        <v>256</v>
      </c>
      <c r="T90" s="2">
        <v>20000</v>
      </c>
      <c r="U90" s="2">
        <v>20000</v>
      </c>
      <c r="V90" s="2">
        <v>13.3919</v>
      </c>
      <c r="X90" s="2" t="str">
        <f>_xlfn.XLOOKUP(Bash3[[#This Row],[Metodo]],TbSolver[Metodo],TbSolver[Solver])</f>
        <v>Adams Bashford</v>
      </c>
      <c r="Y90" s="2" t="str">
        <f>_xlfn.XLOOKUP(Bash3[[#This Row],[Hebras]],TbTecnologia[Hebras],TbTecnologia[Tecnología])</f>
        <v>OMP</v>
      </c>
      <c r="Z90" s="2" t="str" cm="1">
        <f t="array" ref="Z90">_xlfn.XLOOKUP(Bash3[[#This Row],[Tecnología]]&amp;Bash3[[#This Row],[Metodo]],TbTipos[Tecnología]&amp;TbTipos[Metodo],TbTipos[Tipo])</f>
        <v>OMP Elementos</v>
      </c>
      <c r="AA90" s="2" t="str" cm="1">
        <f t="array" ref="AA90">_xlfn.XLOOKUP(Bash3[[#This Row],[Tecnología]]&amp;Bash3[[#This Row],[Problema]],TbNombres[Tecnología]&amp;TbNombres[Problema],TbNombres[Nombre])</f>
        <v>Brusselator1d</v>
      </c>
      <c r="AB90" s="4">
        <v>4</v>
      </c>
      <c r="AC90" s="4">
        <v>3</v>
      </c>
      <c r="AD90" s="4">
        <v>4</v>
      </c>
      <c r="AE90" s="4">
        <v>10000</v>
      </c>
      <c r="AF90" s="4">
        <v>20000</v>
      </c>
      <c r="AG90" s="4">
        <v>37.296999999999997</v>
      </c>
      <c r="AI90" s="2" t="str">
        <f>_xlfn.XLOOKUP(Bash4[[#This Row],[Metodo]],TbSolver[Metodo],TbSolver[Solver])</f>
        <v>Adams Bashford</v>
      </c>
      <c r="AJ90" s="2" t="str">
        <f>_xlfn.XLOOKUP(Bash4[[#This Row],[Hebras]],TbTecnologia[Hebras],TbTecnologia[Tecnología])</f>
        <v>OMP</v>
      </c>
      <c r="AK90" s="2" t="str" cm="1">
        <f t="array" ref="AK90">_xlfn.XLOOKUP(Bash4[[#This Row],[Tecnología]]&amp;Bash4[[#This Row],[Metodo]],TbTipos[Tecnología]&amp;TbTipos[Metodo],TbTipos[Tipo])</f>
        <v>OMP Elementos</v>
      </c>
      <c r="AL90" s="4" t="str" cm="1">
        <f t="array" ref="AL90">_xlfn.XLOOKUP(Bash4[[#This Row],[Tecnología]]&amp;Bash4[[#This Row],[Problema]],TbNombres[Tecnología]&amp;TbNombres[Problema],TbNombres[Nombre])</f>
        <v>Brusselator2d</v>
      </c>
      <c r="AM90" s="4">
        <v>4</v>
      </c>
      <c r="AN90" s="21">
        <v>4</v>
      </c>
      <c r="AO90" s="21">
        <v>4</v>
      </c>
      <c r="AP90" s="21">
        <v>250</v>
      </c>
      <c r="AQ90" s="21">
        <v>125000</v>
      </c>
      <c r="AR90" s="21">
        <v>454.25</v>
      </c>
    </row>
    <row r="91" spans="2:44" x14ac:dyDescent="0.2">
      <c r="B91" s="1" t="str">
        <f>_xlfn.XLOOKUP(Bash1[[#This Row],[Metodo]],TbSolver[Metodo],TbSolver[Solver])</f>
        <v>Adams Bashford</v>
      </c>
      <c r="C91" s="1" t="str">
        <f>_xlfn.XLOOKUP(Bash1[[#This Row],[Hebras]],TbTecnologia[Hebras],TbTecnologia[Tecnología])</f>
        <v>CUDA</v>
      </c>
      <c r="D91" s="1" t="str" cm="1">
        <f t="array" ref="D91">_xlfn.XLOOKUP(Bash1[[#This Row],[Tecnología]]&amp;Bash1[[#This Row],[Metodo]],TbTipos[Tecnología]&amp;TbTipos[Metodo],TbTipos[Tipo])</f>
        <v>CUDA sin graph</v>
      </c>
      <c r="E91" s="1" t="str" cm="1">
        <f t="array" ref="E91">_xlfn.XLOOKUP(Bash1[[#This Row],[Tecnología]]&amp;Bash1[[#This Row],[Problema]],TbNombres[Tecnología]&amp;TbNombres[Problema],TbNombres[Nombre])</f>
        <v>Simple Advdiff shuffle</v>
      </c>
      <c r="F91" s="1">
        <v>3</v>
      </c>
      <c r="G91" s="1">
        <v>2</v>
      </c>
      <c r="H91" s="1">
        <v>256</v>
      </c>
      <c r="I91" s="1">
        <v>20000</v>
      </c>
      <c r="J91" s="1">
        <v>20000</v>
      </c>
      <c r="K91" s="1">
        <v>5.5060500000000001</v>
      </c>
      <c r="M91" s="2" t="str">
        <f>_xlfn.XLOOKUP(Bash2[[#This Row],[Metodo]],TbSolver[Metodo],TbSolver[Solver])</f>
        <v>Adams Bashford</v>
      </c>
      <c r="N91" s="2" t="str">
        <f>_xlfn.XLOOKUP(Bash2[[#This Row],[Hebras]],TbTecnologia[Hebras],TbTecnologia[Tecnología])</f>
        <v>CUDA</v>
      </c>
      <c r="O91" s="6" t="str" cm="1">
        <f t="array" ref="O91">_xlfn.XLOOKUP(Bash2[[#This Row],[Tecnología]]&amp;Bash2[[#This Row],[Metodo]],TbTipos[Tecnología]&amp;TbTipos[Metodo],TbTipos[Tipo])</f>
        <v>CUDA sin graph</v>
      </c>
      <c r="P91" s="6" t="str" cm="1">
        <f t="array" ref="P91">_xlfn.XLOOKUP(Bash2[[#This Row],[Tecnología]]&amp;Bash2[[#This Row],[Problema]],TbNombres[Tecnología]&amp;TbNombres[Problema],TbNombres[Nombre])</f>
        <v>Advdiff1d</v>
      </c>
      <c r="Q91" s="2">
        <v>3</v>
      </c>
      <c r="R91" s="2">
        <v>3</v>
      </c>
      <c r="S91" s="2">
        <v>256</v>
      </c>
      <c r="T91" s="2">
        <v>20000</v>
      </c>
      <c r="U91" s="2">
        <v>20000</v>
      </c>
      <c r="V91" s="2">
        <v>13.4343</v>
      </c>
      <c r="X91" s="2" t="str">
        <f>_xlfn.XLOOKUP(Bash3[[#This Row],[Metodo]],TbSolver[Metodo],TbSolver[Solver])</f>
        <v>Adams Bashford</v>
      </c>
      <c r="Y91" s="2" t="str">
        <f>_xlfn.XLOOKUP(Bash3[[#This Row],[Hebras]],TbTecnologia[Hebras],TbTecnologia[Tecnología])</f>
        <v>OMP</v>
      </c>
      <c r="Z91" s="2" t="str" cm="1">
        <f t="array" ref="Z91">_xlfn.XLOOKUP(Bash3[[#This Row],[Tecnología]]&amp;Bash3[[#This Row],[Metodo]],TbTipos[Tecnología]&amp;TbTipos[Metodo],TbTipos[Tipo])</f>
        <v>OMP Operaciones</v>
      </c>
      <c r="AA91" s="2" t="str" cm="1">
        <f t="array" ref="AA91">_xlfn.XLOOKUP(Bash3[[#This Row],[Tecnología]]&amp;Bash3[[#This Row],[Problema]],TbNombres[Tecnología]&amp;TbNombres[Problema],TbNombres[Nombre])</f>
        <v>Brusselator1d</v>
      </c>
      <c r="AB91" s="4">
        <v>3</v>
      </c>
      <c r="AC91" s="4">
        <v>3</v>
      </c>
      <c r="AD91" s="4">
        <v>16</v>
      </c>
      <c r="AE91" s="4">
        <v>10000</v>
      </c>
      <c r="AF91" s="4">
        <v>20000</v>
      </c>
      <c r="AG91" s="4">
        <v>44.829099999999997</v>
      </c>
      <c r="AI91" s="2" t="str">
        <f>_xlfn.XLOOKUP(Bash4[[#This Row],[Metodo]],TbSolver[Metodo],TbSolver[Solver])</f>
        <v>Adams Bashford</v>
      </c>
      <c r="AJ91" s="2" t="str">
        <f>_xlfn.XLOOKUP(Bash4[[#This Row],[Hebras]],TbTecnologia[Hebras],TbTecnologia[Tecnología])</f>
        <v>OMP</v>
      </c>
      <c r="AK91" s="2" t="str" cm="1">
        <f t="array" ref="AK91">_xlfn.XLOOKUP(Bash4[[#This Row],[Tecnología]]&amp;Bash4[[#This Row],[Metodo]],TbTipos[Tecnología]&amp;TbTipos[Metodo],TbTipos[Tipo])</f>
        <v>OMP Operaciones</v>
      </c>
      <c r="AL91" s="4" t="str" cm="1">
        <f t="array" ref="AL91">_xlfn.XLOOKUP(Bash4[[#This Row],[Tecnología]]&amp;Bash4[[#This Row],[Problema]],TbNombres[Tecnología]&amp;TbNombres[Problema],TbNombres[Nombre])</f>
        <v>Brusselator2d</v>
      </c>
      <c r="AM91" s="4">
        <v>3</v>
      </c>
      <c r="AN91" s="21">
        <v>4</v>
      </c>
      <c r="AO91" s="21">
        <v>1</v>
      </c>
      <c r="AP91" s="21">
        <v>250</v>
      </c>
      <c r="AQ91" s="21">
        <v>125000</v>
      </c>
      <c r="AR91" s="21">
        <v>847.87</v>
      </c>
    </row>
    <row r="92" spans="2:44" x14ac:dyDescent="0.2">
      <c r="B92" s="1" t="str">
        <f>_xlfn.XLOOKUP(Bash1[[#This Row],[Metodo]],TbSolver[Metodo],TbSolver[Solver])</f>
        <v>Adams Bashford</v>
      </c>
      <c r="C92" s="1" t="str">
        <f>_xlfn.XLOOKUP(Bash1[[#This Row],[Hebras]],TbTecnologia[Hebras],TbTecnologia[Tecnología])</f>
        <v>CUDA</v>
      </c>
      <c r="D92" s="1" t="str" cm="1">
        <f t="array" ref="D92">_xlfn.XLOOKUP(Bash1[[#This Row],[Tecnología]]&amp;Bash1[[#This Row],[Metodo]],TbTipos[Tecnología]&amp;TbTipos[Metodo],TbTipos[Tipo])</f>
        <v>CUDA sin graph</v>
      </c>
      <c r="E92" s="1" t="str" cm="1">
        <f t="array" ref="E92">_xlfn.XLOOKUP(Bash1[[#This Row],[Tecnología]]&amp;Bash1[[#This Row],[Problema]],TbNombres[Tecnología]&amp;TbNombres[Problema],TbNombres[Nombre])</f>
        <v>Simple Advdiff</v>
      </c>
      <c r="F92" s="1">
        <v>3</v>
      </c>
      <c r="G92" s="1">
        <v>1</v>
      </c>
      <c r="H92" s="1">
        <v>256</v>
      </c>
      <c r="I92" s="1">
        <v>20000</v>
      </c>
      <c r="J92" s="1">
        <v>20000</v>
      </c>
      <c r="K92" s="1">
        <v>5.6368299999999998</v>
      </c>
      <c r="M92" s="2" t="str">
        <f>_xlfn.XLOOKUP(Bash2[[#This Row],[Metodo]],TbSolver[Metodo],TbSolver[Solver])</f>
        <v>Adams Bashford</v>
      </c>
      <c r="N92" s="2" t="str">
        <f>_xlfn.XLOOKUP(Bash2[[#This Row],[Hebras]],TbTecnologia[Hebras],TbTecnologia[Tecnología])</f>
        <v>CUDA</v>
      </c>
      <c r="O92" s="6" t="str" cm="1">
        <f t="array" ref="O92">_xlfn.XLOOKUP(Bash2[[#This Row],[Tecnología]]&amp;Bash2[[#This Row],[Metodo]],TbTipos[Tecnología]&amp;TbTipos[Metodo],TbTipos[Tipo])</f>
        <v>CUDA sin graph</v>
      </c>
      <c r="P92" s="6" t="str" cm="1">
        <f t="array" ref="P92">_xlfn.XLOOKUP(Bash2[[#This Row],[Tecnología]]&amp;Bash2[[#This Row],[Problema]],TbNombres[Tecnología]&amp;TbNombres[Problema],TbNombres[Nombre])</f>
        <v>Advdiff1d</v>
      </c>
      <c r="Q92" s="21">
        <v>3</v>
      </c>
      <c r="R92" s="21">
        <v>3</v>
      </c>
      <c r="S92" s="21">
        <v>256</v>
      </c>
      <c r="T92" s="21">
        <v>20000</v>
      </c>
      <c r="U92" s="21">
        <v>20000</v>
      </c>
      <c r="V92" s="21">
        <v>13.6021</v>
      </c>
      <c r="X92" s="2" t="str">
        <f>_xlfn.XLOOKUP(Bash3[[#This Row],[Metodo]],TbSolver[Metodo],TbSolver[Solver])</f>
        <v>Adams Bashford</v>
      </c>
      <c r="Y92" s="2" t="str">
        <f>_xlfn.XLOOKUP(Bash3[[#This Row],[Hebras]],TbTecnologia[Hebras],TbTecnologia[Tecnología])</f>
        <v>OMP</v>
      </c>
      <c r="Z92" s="2" t="str" cm="1">
        <f t="array" ref="Z92">_xlfn.XLOOKUP(Bash3[[#This Row],[Tecnología]]&amp;Bash3[[#This Row],[Metodo]],TbTipos[Tecnología]&amp;TbTipos[Metodo],TbTipos[Tipo])</f>
        <v>OMP Elementos</v>
      </c>
      <c r="AA92" s="2" t="str" cm="1">
        <f t="array" ref="AA92">_xlfn.XLOOKUP(Bash3[[#This Row],[Tecnología]]&amp;Bash3[[#This Row],[Problema]],TbNombres[Tecnología]&amp;TbNombres[Problema],TbNombres[Nombre])</f>
        <v>Brusselator1d</v>
      </c>
      <c r="AB92" s="4">
        <v>4</v>
      </c>
      <c r="AC92" s="4">
        <v>3</v>
      </c>
      <c r="AD92" s="4">
        <v>16</v>
      </c>
      <c r="AE92" s="4">
        <v>10000</v>
      </c>
      <c r="AF92" s="4">
        <v>20000</v>
      </c>
      <c r="AG92" s="4">
        <v>64.289199999999994</v>
      </c>
      <c r="AI92" s="2" t="str">
        <f>_xlfn.XLOOKUP(Bash4[[#This Row],[Metodo]],TbSolver[Metodo],TbSolver[Solver])</f>
        <v>Adams Bashford</v>
      </c>
      <c r="AJ92" s="2" t="str">
        <f>_xlfn.XLOOKUP(Bash4[[#This Row],[Hebras]],TbTecnologia[Hebras],TbTecnologia[Tecnología])</f>
        <v>OMP</v>
      </c>
      <c r="AK92" s="2" t="str" cm="1">
        <f t="array" ref="AK92">_xlfn.XLOOKUP(Bash4[[#This Row],[Tecnología]]&amp;Bash4[[#This Row],[Metodo]],TbTipos[Tecnología]&amp;TbTipos[Metodo],TbTipos[Tipo])</f>
        <v>OMP Elementos</v>
      </c>
      <c r="AL92" s="4" t="str" cm="1">
        <f t="array" ref="AL92">_xlfn.XLOOKUP(Bash4[[#This Row],[Tecnología]]&amp;Bash4[[#This Row],[Problema]],TbNombres[Tecnología]&amp;TbNombres[Problema],TbNombres[Nombre])</f>
        <v>Brusselator2d</v>
      </c>
      <c r="AM92" s="4">
        <v>4</v>
      </c>
      <c r="AN92" s="21">
        <v>4</v>
      </c>
      <c r="AO92" s="21">
        <v>1</v>
      </c>
      <c r="AP92" s="21">
        <v>250</v>
      </c>
      <c r="AQ92" s="21">
        <v>125000</v>
      </c>
      <c r="AR92" s="21">
        <v>1727.69</v>
      </c>
    </row>
    <row r="93" spans="2:44" x14ac:dyDescent="0.2">
      <c r="B93" s="1" t="str">
        <f>_xlfn.XLOOKUP(Bash1[[#This Row],[Metodo]],TbSolver[Metodo],TbSolver[Solver])</f>
        <v>Adams Bashford</v>
      </c>
      <c r="C93" s="1" t="str">
        <f>_xlfn.XLOOKUP(Bash1[[#This Row],[Hebras]],TbTecnologia[Hebras],TbTecnologia[Tecnología])</f>
        <v>CUDA</v>
      </c>
      <c r="D93" s="1" t="str" cm="1">
        <f t="array" ref="D93">_xlfn.XLOOKUP(Bash1[[#This Row],[Tecnología]]&amp;Bash1[[#This Row],[Metodo]],TbTipos[Tecnología]&amp;TbTipos[Metodo],TbTipos[Tipo])</f>
        <v>CUDA sin graph</v>
      </c>
      <c r="E93" s="1" t="str" cm="1">
        <f t="array" ref="E93">_xlfn.XLOOKUP(Bash1[[#This Row],[Tecnología]]&amp;Bash1[[#This Row],[Problema]],TbNombres[Tecnología]&amp;TbNombres[Problema],TbNombres[Nombre])</f>
        <v>Simple Advdiff</v>
      </c>
      <c r="F93" s="20">
        <v>3</v>
      </c>
      <c r="G93" s="20">
        <v>1</v>
      </c>
      <c r="H93" s="20">
        <v>256</v>
      </c>
      <c r="I93" s="20">
        <v>20000</v>
      </c>
      <c r="J93" s="20">
        <v>20000</v>
      </c>
      <c r="K93" s="20">
        <v>5.7052199999999997</v>
      </c>
      <c r="M93" s="2" t="str">
        <f>_xlfn.XLOOKUP(Bash2[[#This Row],[Metodo]],TbSolver[Metodo],TbSolver[Solver])</f>
        <v>Adams Bashford</v>
      </c>
      <c r="N93" s="2" t="str">
        <f>_xlfn.XLOOKUP(Bash2[[#This Row],[Hebras]],TbTecnologia[Hebras],TbTecnologia[Tecnología])</f>
        <v>CUDA</v>
      </c>
      <c r="O93" s="6" t="str" cm="1">
        <f t="array" ref="O93">_xlfn.XLOOKUP(Bash2[[#This Row],[Tecnología]]&amp;Bash2[[#This Row],[Metodo]],TbTipos[Tecnología]&amp;TbTipos[Metodo],TbTipos[Tipo])</f>
        <v>CUDA sin graph</v>
      </c>
      <c r="P93" s="6" t="str" cm="1">
        <f t="array" ref="P93">_xlfn.XLOOKUP(Bash2[[#This Row],[Tecnología]]&amp;Bash2[[#This Row],[Problema]],TbNombres[Tecnología]&amp;TbNombres[Problema],TbNombres[Nombre])</f>
        <v>Advdiff1d shuffle</v>
      </c>
      <c r="Q93" s="2">
        <v>3</v>
      </c>
      <c r="R93" s="2">
        <v>4</v>
      </c>
      <c r="S93" s="2">
        <v>256</v>
      </c>
      <c r="T93" s="2">
        <v>20000</v>
      </c>
      <c r="U93" s="2">
        <v>20000</v>
      </c>
      <c r="V93" s="2">
        <v>13.844200000000001</v>
      </c>
      <c r="X93" s="2" t="str">
        <f>_xlfn.XLOOKUP(Bash3[[#This Row],[Metodo]],TbSolver[Metodo],TbSolver[Solver])</f>
        <v>Adams Bashford</v>
      </c>
      <c r="Y93" s="2" t="str">
        <f>_xlfn.XLOOKUP(Bash3[[#This Row],[Hebras]],TbTecnologia[Hebras],TbTecnologia[Tecnología])</f>
        <v>OMP</v>
      </c>
      <c r="Z93" s="2" t="str" cm="1">
        <f t="array" ref="Z93">_xlfn.XLOOKUP(Bash3[[#This Row],[Tecnología]]&amp;Bash3[[#This Row],[Metodo]],TbTipos[Tecnología]&amp;TbTipos[Metodo],TbTipos[Tipo])</f>
        <v>OMP Operaciones</v>
      </c>
      <c r="AA93" s="2" t="str" cm="1">
        <f t="array" ref="AA93">_xlfn.XLOOKUP(Bash3[[#This Row],[Tecnología]]&amp;Bash3[[#This Row],[Problema]],TbNombres[Tecnología]&amp;TbNombres[Problema],TbNombres[Nombre])</f>
        <v>Brusselator1d</v>
      </c>
      <c r="AB93" s="4">
        <v>3</v>
      </c>
      <c r="AC93" s="4">
        <v>3</v>
      </c>
      <c r="AD93" s="4">
        <v>1</v>
      </c>
      <c r="AE93" s="4">
        <v>10000</v>
      </c>
      <c r="AF93" s="4">
        <v>20000</v>
      </c>
      <c r="AG93" s="4">
        <v>69.724000000000004</v>
      </c>
      <c r="AI93" s="2" t="str">
        <f>_xlfn.XLOOKUP(Bash4[[#This Row],[Metodo]],TbSolver[Metodo],TbSolver[Solver])</f>
        <v>Adams Bashford</v>
      </c>
      <c r="AJ93" s="2" t="str">
        <f>_xlfn.XLOOKUP(Bash4[[#This Row],[Hebras]],TbTecnologia[Hebras],TbTecnologia[Tecnología])</f>
        <v>CUDA</v>
      </c>
      <c r="AK93" s="2" t="str" cm="1">
        <f t="array" ref="AK93">_xlfn.XLOOKUP(Bash4[[#This Row],[Tecnología]]&amp;Bash4[[#This Row],[Metodo]],TbTipos[Tecnología]&amp;TbTipos[Metodo],TbTipos[Tipo])</f>
        <v>CUDA sin graph</v>
      </c>
      <c r="AL93" s="4" t="str" cm="1">
        <f t="array" ref="AL93">_xlfn.XLOOKUP(Bash4[[#This Row],[Tecnología]]&amp;Bash4[[#This Row],[Problema]],TbNombres[Tecnología]&amp;TbNombres[Problema],TbNombres[Nombre])</f>
        <v>Brusselator2d</v>
      </c>
      <c r="AM93" s="4">
        <v>3</v>
      </c>
      <c r="AN93" s="21">
        <v>8</v>
      </c>
      <c r="AO93" s="21">
        <v>256</v>
      </c>
      <c r="AP93" s="21">
        <v>300</v>
      </c>
      <c r="AQ93" s="21">
        <v>180000</v>
      </c>
      <c r="AR93" s="21">
        <v>35.656799999999997</v>
      </c>
    </row>
    <row r="94" spans="2:44" x14ac:dyDescent="0.2">
      <c r="B94" s="1" t="str">
        <f>_xlfn.XLOOKUP(Bash1[[#This Row],[Metodo]],TbSolver[Metodo],TbSolver[Solver])</f>
        <v>Adams Bashford</v>
      </c>
      <c r="C94" s="1" t="str">
        <f>_xlfn.XLOOKUP(Bash1[[#This Row],[Hebras]],TbTecnologia[Hebras],TbTecnologia[Tecnología])</f>
        <v>CUDA</v>
      </c>
      <c r="D94" s="1" t="str" cm="1">
        <f t="array" ref="D94">_xlfn.XLOOKUP(Bash1[[#This Row],[Tecnología]]&amp;Bash1[[#This Row],[Metodo]],TbTipos[Tecnología]&amp;TbTipos[Metodo],TbTipos[Tipo])</f>
        <v>CUDA con graph</v>
      </c>
      <c r="E94" s="1" t="str" cm="1">
        <f t="array" ref="E94">_xlfn.XLOOKUP(Bash1[[#This Row],[Tecnología]]&amp;Bash1[[#This Row],[Problema]],TbNombres[Tecnología]&amp;TbNombres[Problema],TbNombres[Nombre])</f>
        <v>Simple Advdiff</v>
      </c>
      <c r="F94" s="20">
        <v>4</v>
      </c>
      <c r="G94" s="20">
        <v>1</v>
      </c>
      <c r="H94" s="20">
        <v>256</v>
      </c>
      <c r="I94" s="20">
        <v>20000</v>
      </c>
      <c r="J94" s="20">
        <v>20000</v>
      </c>
      <c r="K94" s="20">
        <v>7.2895399999999997</v>
      </c>
      <c r="M94" s="2" t="str">
        <f>_xlfn.XLOOKUP(Bash2[[#This Row],[Metodo]],TbSolver[Metodo],TbSolver[Solver])</f>
        <v>Adams Bashford</v>
      </c>
      <c r="N94" s="2" t="str">
        <f>_xlfn.XLOOKUP(Bash2[[#This Row],[Hebras]],TbTecnologia[Hebras],TbTecnologia[Tecnología])</f>
        <v>CUDA</v>
      </c>
      <c r="O94" s="6" t="str" cm="1">
        <f t="array" ref="O94">_xlfn.XLOOKUP(Bash2[[#This Row],[Tecnología]]&amp;Bash2[[#This Row],[Metodo]],TbTipos[Tecnología]&amp;TbTipos[Metodo],TbTipos[Tipo])</f>
        <v>CUDA con graph</v>
      </c>
      <c r="P94" s="6" t="str" cm="1">
        <f t="array" ref="P94">_xlfn.XLOOKUP(Bash2[[#This Row],[Tecnología]]&amp;Bash2[[#This Row],[Problema]],TbNombres[Tecnología]&amp;TbNombres[Problema],TbNombres[Nombre])</f>
        <v>Advdiff1d</v>
      </c>
      <c r="Q94" s="21">
        <v>4</v>
      </c>
      <c r="R94" s="21">
        <v>3</v>
      </c>
      <c r="S94" s="21">
        <v>256</v>
      </c>
      <c r="T94" s="21">
        <v>20000</v>
      </c>
      <c r="U94" s="21">
        <v>20000</v>
      </c>
      <c r="V94" s="21">
        <v>15.6219</v>
      </c>
      <c r="X94" s="2" t="str">
        <f>_xlfn.XLOOKUP(Bash3[[#This Row],[Metodo]],TbSolver[Metodo],TbSolver[Solver])</f>
        <v>Adams Bashford</v>
      </c>
      <c r="Y94" s="2" t="str">
        <f>_xlfn.XLOOKUP(Bash3[[#This Row],[Hebras]],TbTecnologia[Hebras],TbTecnologia[Tecnología])</f>
        <v>OMP</v>
      </c>
      <c r="Z94" s="2" t="str" cm="1">
        <f t="array" ref="Z94">_xlfn.XLOOKUP(Bash3[[#This Row],[Tecnología]]&amp;Bash3[[#This Row],[Metodo]],TbTipos[Tecnología]&amp;TbTipos[Metodo],TbTipos[Tipo])</f>
        <v>OMP Elementos</v>
      </c>
      <c r="AA94" s="2" t="str" cm="1">
        <f t="array" ref="AA94">_xlfn.XLOOKUP(Bash3[[#This Row],[Tecnología]]&amp;Bash3[[#This Row],[Problema]],TbNombres[Tecnología]&amp;TbNombres[Problema],TbNombres[Nombre])</f>
        <v>Brusselator1d</v>
      </c>
      <c r="AB94" s="4">
        <v>4</v>
      </c>
      <c r="AC94" s="4">
        <v>3</v>
      </c>
      <c r="AD94" s="4">
        <v>1</v>
      </c>
      <c r="AE94" s="4">
        <v>10000</v>
      </c>
      <c r="AF94" s="4">
        <v>20000</v>
      </c>
      <c r="AG94" s="4">
        <v>125.941</v>
      </c>
      <c r="AI94" s="2" t="str">
        <f>_xlfn.XLOOKUP(Bash4[[#This Row],[Metodo]],TbSolver[Metodo],TbSolver[Solver])</f>
        <v>Adams Bashford</v>
      </c>
      <c r="AJ94" s="2" t="str">
        <f>_xlfn.XLOOKUP(Bash4[[#This Row],[Hebras]],TbTecnologia[Hebras],TbTecnologia[Tecnología])</f>
        <v>CUDA</v>
      </c>
      <c r="AK94" s="2" t="str" cm="1">
        <f t="array" ref="AK94">_xlfn.XLOOKUP(Bash4[[#This Row],[Tecnología]]&amp;Bash4[[#This Row],[Metodo]],TbTipos[Tecnología]&amp;TbTipos[Metodo],TbTipos[Tipo])</f>
        <v>CUDA con graph</v>
      </c>
      <c r="AL94" s="4" t="str" cm="1">
        <f t="array" ref="AL94">_xlfn.XLOOKUP(Bash4[[#This Row],[Tecnología]]&amp;Bash4[[#This Row],[Problema]],TbNombres[Tecnología]&amp;TbNombres[Problema],TbNombres[Nombre])</f>
        <v>Brusselator2d</v>
      </c>
      <c r="AM94" s="4">
        <v>4</v>
      </c>
      <c r="AN94" s="21">
        <v>8</v>
      </c>
      <c r="AO94" s="21">
        <v>256</v>
      </c>
      <c r="AP94" s="21">
        <v>300</v>
      </c>
      <c r="AQ94" s="21">
        <v>180000</v>
      </c>
      <c r="AR94" s="21">
        <v>64.261300000000006</v>
      </c>
    </row>
    <row r="95" spans="2:44" x14ac:dyDescent="0.2">
      <c r="B95" s="1" t="str">
        <f>_xlfn.XLOOKUP(Bash1[[#This Row],[Metodo]],TbSolver[Metodo],TbSolver[Solver])</f>
        <v>Adams Bashford</v>
      </c>
      <c r="C95" s="1" t="str">
        <f>_xlfn.XLOOKUP(Bash1[[#This Row],[Hebras]],TbTecnologia[Hebras],TbTecnologia[Tecnología])</f>
        <v>OMP</v>
      </c>
      <c r="D95" s="1" t="str" cm="1">
        <f t="array" ref="D95">_xlfn.XLOOKUP(Bash1[[#This Row],[Tecnología]]&amp;Bash1[[#This Row],[Metodo]],TbTipos[Tecnología]&amp;TbTipos[Metodo],TbTipos[Tipo])</f>
        <v>OMP Elementos</v>
      </c>
      <c r="E95" s="1" t="str" cm="1">
        <f t="array" ref="E95">_xlfn.XLOOKUP(Bash1[[#This Row],[Tecnología]]&amp;Bash1[[#This Row],[Problema]],TbNombres[Tecnología]&amp;TbNombres[Problema],TbNombres[Nombre])</f>
        <v>Simple Advdiff</v>
      </c>
      <c r="F95" s="20">
        <v>4</v>
      </c>
      <c r="G95" s="20">
        <v>1</v>
      </c>
      <c r="H95" s="20">
        <v>16</v>
      </c>
      <c r="I95" s="20">
        <v>20000</v>
      </c>
      <c r="J95" s="20">
        <v>20000</v>
      </c>
      <c r="K95" s="20">
        <v>22.1279</v>
      </c>
      <c r="M95" s="2" t="str">
        <f>_xlfn.XLOOKUP(Bash2[[#This Row],[Metodo]],TbSolver[Metodo],TbSolver[Solver])</f>
        <v>Adams Bashford</v>
      </c>
      <c r="N95" s="2" t="str">
        <f>_xlfn.XLOOKUP(Bash2[[#This Row],[Hebras]],TbTecnologia[Hebras],TbTecnologia[Tecnología])</f>
        <v>OMP</v>
      </c>
      <c r="O95" s="6" t="str" cm="1">
        <f t="array" ref="O95">_xlfn.XLOOKUP(Bash2[[#This Row],[Tecnología]]&amp;Bash2[[#This Row],[Metodo]],TbTipos[Tecnología]&amp;TbTipos[Metodo],TbTipos[Tipo])</f>
        <v>OMP Elementos</v>
      </c>
      <c r="P95" s="6" t="str" cm="1">
        <f t="array" ref="P95">_xlfn.XLOOKUP(Bash2[[#This Row],[Tecnología]]&amp;Bash2[[#This Row],[Problema]],TbNombres[Tecnología]&amp;TbNombres[Problema],TbNombres[Nombre])</f>
        <v>Advdiff1d</v>
      </c>
      <c r="Q95" s="21">
        <v>4</v>
      </c>
      <c r="R95" s="21">
        <v>2</v>
      </c>
      <c r="S95" s="21">
        <v>16</v>
      </c>
      <c r="T95" s="21">
        <v>20000</v>
      </c>
      <c r="U95" s="21">
        <v>20000</v>
      </c>
      <c r="V95" s="21">
        <v>53.909599999999998</v>
      </c>
      <c r="X95" s="2" t="str">
        <f>_xlfn.XLOOKUP(Bash3[[#This Row],[Metodo]],TbSolver[Metodo],TbSolver[Solver])</f>
        <v>Adams Bashford</v>
      </c>
      <c r="Y95" s="2" t="str">
        <f>_xlfn.XLOOKUP(Bash3[[#This Row],[Hebras]],TbTecnologia[Hebras],TbTecnologia[Tecnología])</f>
        <v>CUDA</v>
      </c>
      <c r="Z95" s="2" t="str" cm="1">
        <f t="array" ref="Z95">_xlfn.XLOOKUP(Bash3[[#This Row],[Tecnología]]&amp;Bash3[[#This Row],[Metodo]],TbTipos[Tecnología]&amp;TbTipos[Metodo],TbTipos[Tipo])</f>
        <v>CUDA sin graph</v>
      </c>
      <c r="AA95" s="2" t="str" cm="1">
        <f t="array" ref="AA95">_xlfn.XLOOKUP(Bash3[[#This Row],[Tecnología]]&amp;Bash3[[#This Row],[Problema]],TbNombres[Tecnología]&amp;TbNombres[Problema],TbNombres[Nombre])</f>
        <v>Brusselator1d</v>
      </c>
      <c r="AB95" s="21">
        <v>3</v>
      </c>
      <c r="AC95" s="21">
        <v>5</v>
      </c>
      <c r="AD95" s="21">
        <v>256</v>
      </c>
      <c r="AE95" s="21">
        <v>15000</v>
      </c>
      <c r="AF95" s="21">
        <v>30000</v>
      </c>
      <c r="AG95" s="21">
        <v>6.4583899999999996</v>
      </c>
      <c r="AI95" s="2" t="str">
        <f>_xlfn.XLOOKUP(Bash4[[#This Row],[Metodo]],TbSolver[Metodo],TbSolver[Solver])</f>
        <v>Adams Bashford</v>
      </c>
      <c r="AJ95" s="2" t="str">
        <f>_xlfn.XLOOKUP(Bash4[[#This Row],[Hebras]],TbTecnologia[Hebras],TbTecnologia[Tecnología])</f>
        <v>CUDA</v>
      </c>
      <c r="AK95" s="2" t="str" cm="1">
        <f t="array" ref="AK95">_xlfn.XLOOKUP(Bash4[[#This Row],[Tecnología]]&amp;Bash4[[#This Row],[Metodo]],TbTipos[Tecnología]&amp;TbTipos[Metodo],TbTipos[Tipo])</f>
        <v>CUDA sin graph</v>
      </c>
      <c r="AL95" s="4" t="str" cm="1">
        <f t="array" ref="AL95">_xlfn.XLOOKUP(Bash4[[#This Row],[Tecnología]]&amp;Bash4[[#This Row],[Problema]],TbNombres[Tecnología]&amp;TbNombres[Problema],TbNombres[Nombre])</f>
        <v>Brusselator2d</v>
      </c>
      <c r="AM95" s="4">
        <v>3</v>
      </c>
      <c r="AN95" s="21">
        <v>8</v>
      </c>
      <c r="AO95" s="21">
        <v>256</v>
      </c>
      <c r="AP95" s="21">
        <v>400</v>
      </c>
      <c r="AQ95" s="21">
        <v>320000</v>
      </c>
      <c r="AR95" s="21">
        <v>66.658699999999996</v>
      </c>
    </row>
    <row r="96" spans="2:44" x14ac:dyDescent="0.2">
      <c r="B96" s="1" t="str">
        <f>_xlfn.XLOOKUP(Bash1[[#This Row],[Metodo]],TbSolver[Metodo],TbSolver[Solver])</f>
        <v>Adams Bashford</v>
      </c>
      <c r="C96" s="1" t="str">
        <f>_xlfn.XLOOKUP(Bash1[[#This Row],[Hebras]],TbTecnologia[Hebras],TbTecnologia[Tecnología])</f>
        <v>OMP</v>
      </c>
      <c r="D96" s="1" t="str" cm="1">
        <f t="array" ref="D96">_xlfn.XLOOKUP(Bash1[[#This Row],[Tecnología]]&amp;Bash1[[#This Row],[Metodo]],TbTipos[Tecnología]&amp;TbTipos[Metodo],TbTipos[Tipo])</f>
        <v>OMP Operaciones</v>
      </c>
      <c r="E96" s="1" t="str" cm="1">
        <f t="array" ref="E96">_xlfn.XLOOKUP(Bash1[[#This Row],[Tecnología]]&amp;Bash1[[#This Row],[Problema]],TbNombres[Tecnología]&amp;TbNombres[Problema],TbNombres[Nombre])</f>
        <v>Simple Advdiff</v>
      </c>
      <c r="F96" s="20">
        <v>3</v>
      </c>
      <c r="G96" s="20">
        <v>1</v>
      </c>
      <c r="H96" s="20">
        <v>4</v>
      </c>
      <c r="I96" s="20">
        <v>20000</v>
      </c>
      <c r="J96" s="20">
        <v>20000</v>
      </c>
      <c r="K96" s="20">
        <v>22.814499999999999</v>
      </c>
      <c r="M96" s="2" t="str">
        <f>_xlfn.XLOOKUP(Bash2[[#This Row],[Metodo]],TbSolver[Metodo],TbSolver[Solver])</f>
        <v>Adams Bashford</v>
      </c>
      <c r="N96" s="2" t="str">
        <f>_xlfn.XLOOKUP(Bash2[[#This Row],[Hebras]],TbTecnologia[Hebras],TbTecnologia[Tecnología])</f>
        <v>OMP</v>
      </c>
      <c r="O96" s="6" t="str" cm="1">
        <f t="array" ref="O96">_xlfn.XLOOKUP(Bash2[[#This Row],[Tecnología]]&amp;Bash2[[#This Row],[Metodo]],TbTipos[Tecnología]&amp;TbTipos[Metodo],TbTipos[Tipo])</f>
        <v>OMP Operaciones</v>
      </c>
      <c r="P96" s="6" t="str" cm="1">
        <f t="array" ref="P96">_xlfn.XLOOKUP(Bash2[[#This Row],[Tecnología]]&amp;Bash2[[#This Row],[Problema]],TbNombres[Tecnología]&amp;TbNombres[Problema],TbNombres[Nombre])</f>
        <v>Advdiff1d</v>
      </c>
      <c r="Q96" s="21">
        <v>3</v>
      </c>
      <c r="R96" s="21">
        <v>2</v>
      </c>
      <c r="S96" s="21">
        <v>16</v>
      </c>
      <c r="T96" s="21">
        <v>20000</v>
      </c>
      <c r="U96" s="21">
        <v>20000</v>
      </c>
      <c r="V96" s="21">
        <v>73.749099999999999</v>
      </c>
      <c r="X96" s="2" t="str">
        <f>_xlfn.XLOOKUP(Bash3[[#This Row],[Metodo]],TbSolver[Metodo],TbSolver[Solver])</f>
        <v>Adams Bashford</v>
      </c>
      <c r="Y96" s="2" t="str">
        <f>_xlfn.XLOOKUP(Bash3[[#This Row],[Hebras]],TbTecnologia[Hebras],TbTecnologia[Tecnología])</f>
        <v>CUDA</v>
      </c>
      <c r="Z96" s="2" t="str" cm="1">
        <f t="array" ref="Z96">_xlfn.XLOOKUP(Bash3[[#This Row],[Tecnología]]&amp;Bash3[[#This Row],[Metodo]],TbTipos[Tecnología]&amp;TbTipos[Metodo],TbTipos[Tipo])</f>
        <v>CUDA con graph</v>
      </c>
      <c r="AA96" s="2" t="str" cm="1">
        <f t="array" ref="AA96">_xlfn.XLOOKUP(Bash3[[#This Row],[Tecnología]]&amp;Bash3[[#This Row],[Problema]],TbNombres[Tecnología]&amp;TbNombres[Problema],TbNombres[Nombre])</f>
        <v>Brusselator1d</v>
      </c>
      <c r="AB96" s="21">
        <v>4</v>
      </c>
      <c r="AC96" s="21">
        <v>5</v>
      </c>
      <c r="AD96" s="21">
        <v>256</v>
      </c>
      <c r="AE96" s="21">
        <v>15000</v>
      </c>
      <c r="AF96" s="21">
        <v>30000</v>
      </c>
      <c r="AG96" s="21">
        <v>8.4127500000000008</v>
      </c>
      <c r="AI96" s="2" t="str">
        <f>_xlfn.XLOOKUP(Bash4[[#This Row],[Metodo]],TbSolver[Metodo],TbSolver[Solver])</f>
        <v>Adams Bashford</v>
      </c>
      <c r="AJ96" s="2" t="str">
        <f>_xlfn.XLOOKUP(Bash4[[#This Row],[Hebras]],TbTecnologia[Hebras],TbTecnologia[Tecnología])</f>
        <v>CUDA</v>
      </c>
      <c r="AK96" s="2" t="str" cm="1">
        <f t="array" ref="AK96">_xlfn.XLOOKUP(Bash4[[#This Row],[Tecnología]]&amp;Bash4[[#This Row],[Metodo]],TbTipos[Tecnología]&amp;TbTipos[Metodo],TbTipos[Tipo])</f>
        <v>CUDA con graph</v>
      </c>
      <c r="AL96" s="4" t="str" cm="1">
        <f t="array" ref="AL96">_xlfn.XLOOKUP(Bash4[[#This Row],[Tecnología]]&amp;Bash4[[#This Row],[Problema]],TbNombres[Tecnología]&amp;TbNombres[Problema],TbNombres[Nombre])</f>
        <v>Brusselator2d</v>
      </c>
      <c r="AM96" s="4">
        <v>4</v>
      </c>
      <c r="AN96" s="21">
        <v>8</v>
      </c>
      <c r="AO96" s="21">
        <v>256</v>
      </c>
      <c r="AP96" s="21">
        <v>400</v>
      </c>
      <c r="AQ96" s="21">
        <v>320000</v>
      </c>
      <c r="AR96" s="21">
        <v>118.05</v>
      </c>
    </row>
    <row r="97" spans="2:44" x14ac:dyDescent="0.2">
      <c r="B97" s="1" t="str">
        <f>_xlfn.XLOOKUP(Bash1[[#This Row],[Metodo]],TbSolver[Metodo],TbSolver[Solver])</f>
        <v>Adams Bashford</v>
      </c>
      <c r="C97" s="1" t="str">
        <f>_xlfn.XLOOKUP(Bash1[[#This Row],[Hebras]],TbTecnologia[Hebras],TbTecnologia[Tecnología])</f>
        <v>OMP</v>
      </c>
      <c r="D97" s="1" t="str" cm="1">
        <f t="array" ref="D97">_xlfn.XLOOKUP(Bash1[[#This Row],[Tecnología]]&amp;Bash1[[#This Row],[Metodo]],TbTipos[Tecnología]&amp;TbTipos[Metodo],TbTipos[Tipo])</f>
        <v>OMP Elementos</v>
      </c>
      <c r="E97" s="1" t="str" cm="1">
        <f t="array" ref="E97">_xlfn.XLOOKUP(Bash1[[#This Row],[Tecnología]]&amp;Bash1[[#This Row],[Problema]],TbNombres[Tecnología]&amp;TbNombres[Problema],TbNombres[Nombre])</f>
        <v>Simple Advdiff</v>
      </c>
      <c r="F97" s="20">
        <v>4</v>
      </c>
      <c r="G97" s="20">
        <v>1</v>
      </c>
      <c r="H97" s="20">
        <v>4</v>
      </c>
      <c r="I97" s="20">
        <v>20000</v>
      </c>
      <c r="J97" s="20">
        <v>20000</v>
      </c>
      <c r="K97" s="20">
        <v>31.758800000000001</v>
      </c>
      <c r="M97" s="2" t="str">
        <f>_xlfn.XLOOKUP(Bash2[[#This Row],[Metodo]],TbSolver[Metodo],TbSolver[Solver])</f>
        <v>Adams Bashford</v>
      </c>
      <c r="N97" s="2" t="str">
        <f>_xlfn.XLOOKUP(Bash2[[#This Row],[Hebras]],TbTecnologia[Hebras],TbTecnologia[Tecnología])</f>
        <v>OMP</v>
      </c>
      <c r="O97" s="6" t="str" cm="1">
        <f t="array" ref="O97">_xlfn.XLOOKUP(Bash2[[#This Row],[Tecnología]]&amp;Bash2[[#This Row],[Metodo]],TbTipos[Tecnología]&amp;TbTipos[Metodo],TbTipos[Tipo])</f>
        <v>OMP Operaciones</v>
      </c>
      <c r="P97" s="6" t="str" cm="1">
        <f t="array" ref="P97">_xlfn.XLOOKUP(Bash2[[#This Row],[Tecnología]]&amp;Bash2[[#This Row],[Problema]],TbNombres[Tecnología]&amp;TbNombres[Problema],TbNombres[Nombre])</f>
        <v>Advdiff1d</v>
      </c>
      <c r="Q97" s="21">
        <v>3</v>
      </c>
      <c r="R97" s="21">
        <v>2</v>
      </c>
      <c r="S97" s="21">
        <v>4</v>
      </c>
      <c r="T97" s="21">
        <v>20000</v>
      </c>
      <c r="U97" s="21">
        <v>20000</v>
      </c>
      <c r="V97" s="21">
        <v>146.126</v>
      </c>
      <c r="X97" s="2" t="str">
        <f>_xlfn.XLOOKUP(Bash3[[#This Row],[Metodo]],TbSolver[Metodo],TbSolver[Solver])</f>
        <v>Adams Bashford</v>
      </c>
      <c r="Y97" s="2" t="str">
        <f>_xlfn.XLOOKUP(Bash3[[#This Row],[Hebras]],TbTecnologia[Hebras],TbTecnologia[Tecnología])</f>
        <v>OMP</v>
      </c>
      <c r="Z97" s="2" t="str" cm="1">
        <f t="array" ref="Z97">_xlfn.XLOOKUP(Bash3[[#This Row],[Tecnología]]&amp;Bash3[[#This Row],[Metodo]],TbTipos[Tecnología]&amp;TbTipos[Metodo],TbTipos[Tipo])</f>
        <v>OMP Elementos</v>
      </c>
      <c r="AA97" s="2" t="str" cm="1">
        <f t="array" ref="AA97">_xlfn.XLOOKUP(Bash3[[#This Row],[Tecnología]]&amp;Bash3[[#This Row],[Problema]],TbNombres[Tecnología]&amp;TbNombres[Problema],TbNombres[Nombre])</f>
        <v>Brusselator1d</v>
      </c>
      <c r="AB97" s="4">
        <v>4</v>
      </c>
      <c r="AC97" s="4">
        <v>3</v>
      </c>
      <c r="AD97" s="4">
        <v>16</v>
      </c>
      <c r="AE97" s="4">
        <v>15000</v>
      </c>
      <c r="AF97" s="4">
        <v>30000</v>
      </c>
      <c r="AG97" s="4">
        <v>28.086400000000001</v>
      </c>
      <c r="AI97" s="2" t="str">
        <f>_xlfn.XLOOKUP(Bash4[[#This Row],[Metodo]],TbSolver[Metodo],TbSolver[Solver])</f>
        <v>Adams Bashford</v>
      </c>
      <c r="AJ97" s="2" t="str">
        <f>_xlfn.XLOOKUP(Bash4[[#This Row],[Hebras]],TbTecnologia[Hebras],TbTecnologia[Tecnología])</f>
        <v>CUDA</v>
      </c>
      <c r="AK97" s="2" t="str" cm="1">
        <f t="array" ref="AK97">_xlfn.XLOOKUP(Bash4[[#This Row],[Tecnología]]&amp;Bash4[[#This Row],[Metodo]],TbTipos[Tecnología]&amp;TbTipos[Metodo],TbTipos[Tipo])</f>
        <v>CUDA sin graph</v>
      </c>
      <c r="AL97" s="2" t="str" cm="1">
        <f t="array" ref="AL97">_xlfn.XLOOKUP(Bash4[[#This Row],[Tecnología]]&amp;Bash4[[#This Row],[Problema]],TbNombres[Tecnología]&amp;TbNombres[Problema],TbNombres[Nombre])</f>
        <v>Brusselator2d shuffle</v>
      </c>
      <c r="AM97" s="2">
        <v>3</v>
      </c>
      <c r="AN97" s="2">
        <v>9</v>
      </c>
      <c r="AO97" s="2">
        <v>256</v>
      </c>
      <c r="AP97" s="2">
        <v>500</v>
      </c>
      <c r="AQ97" s="2">
        <v>500000</v>
      </c>
      <c r="AR97" s="2">
        <v>98.018500000000003</v>
      </c>
    </row>
    <row r="98" spans="2:44" x14ac:dyDescent="0.2">
      <c r="B98" s="1" t="str">
        <f>_xlfn.XLOOKUP(Bash1[[#This Row],[Metodo]],TbSolver[Metodo],TbSolver[Solver])</f>
        <v>Adams Bashford</v>
      </c>
      <c r="C98" s="1" t="str">
        <f>_xlfn.XLOOKUP(Bash1[[#This Row],[Hebras]],TbTecnologia[Hebras],TbTecnologia[Tecnología])</f>
        <v>OMP</v>
      </c>
      <c r="D98" s="1" t="str" cm="1">
        <f t="array" ref="D98">_xlfn.XLOOKUP(Bash1[[#This Row],[Tecnología]]&amp;Bash1[[#This Row],[Metodo]],TbTipos[Tecnología]&amp;TbTipos[Metodo],TbTipos[Tipo])</f>
        <v>OMP Operaciones</v>
      </c>
      <c r="E98" s="1" t="str" cm="1">
        <f t="array" ref="E98">_xlfn.XLOOKUP(Bash1[[#This Row],[Tecnología]]&amp;Bash1[[#This Row],[Problema]],TbNombres[Tecnología]&amp;TbNombres[Problema],TbNombres[Nombre])</f>
        <v>Simple Advdiff</v>
      </c>
      <c r="F98" s="20">
        <v>3</v>
      </c>
      <c r="G98" s="20">
        <v>1</v>
      </c>
      <c r="H98" s="20">
        <v>16</v>
      </c>
      <c r="I98" s="20">
        <v>20000</v>
      </c>
      <c r="J98" s="20">
        <v>20000</v>
      </c>
      <c r="K98" s="20">
        <v>35.2087</v>
      </c>
      <c r="M98" s="2" t="str">
        <f>_xlfn.XLOOKUP(Bash2[[#This Row],[Metodo]],TbSolver[Metodo],TbSolver[Solver])</f>
        <v>Adams Bashford</v>
      </c>
      <c r="N98" s="2" t="str">
        <f>_xlfn.XLOOKUP(Bash2[[#This Row],[Hebras]],TbTecnologia[Hebras],TbTecnologia[Tecnología])</f>
        <v>OMP</v>
      </c>
      <c r="O98" s="6" t="str" cm="1">
        <f t="array" ref="O98">_xlfn.XLOOKUP(Bash2[[#This Row],[Tecnología]]&amp;Bash2[[#This Row],[Metodo]],TbTipos[Tecnología]&amp;TbTipos[Metodo],TbTipos[Tipo])</f>
        <v>OMP Elementos</v>
      </c>
      <c r="P98" s="6" t="str" cm="1">
        <f t="array" ref="P98">_xlfn.XLOOKUP(Bash2[[#This Row],[Tecnología]]&amp;Bash2[[#This Row],[Problema]],TbNombres[Tecnología]&amp;TbNombres[Problema],TbNombres[Nombre])</f>
        <v>Advdiff1d</v>
      </c>
      <c r="Q98" s="21">
        <v>4</v>
      </c>
      <c r="R98" s="21">
        <v>2</v>
      </c>
      <c r="S98" s="21">
        <v>4</v>
      </c>
      <c r="T98" s="21">
        <v>20000</v>
      </c>
      <c r="U98" s="21">
        <v>20000</v>
      </c>
      <c r="V98" s="21">
        <v>153.06700000000001</v>
      </c>
      <c r="X98" s="2" t="str">
        <f>_xlfn.XLOOKUP(Bash3[[#This Row],[Metodo]],TbSolver[Metodo],TbSolver[Solver])</f>
        <v>Adams Bashford</v>
      </c>
      <c r="Y98" s="2" t="str">
        <f>_xlfn.XLOOKUP(Bash3[[#This Row],[Hebras]],TbTecnologia[Hebras],TbTecnologia[Tecnología])</f>
        <v>OMP</v>
      </c>
      <c r="Z98" s="2" t="str" cm="1">
        <f t="array" ref="Z98">_xlfn.XLOOKUP(Bash3[[#This Row],[Tecnología]]&amp;Bash3[[#This Row],[Metodo]],TbTipos[Tecnología]&amp;TbTipos[Metodo],TbTipos[Tipo])</f>
        <v>OMP Operaciones</v>
      </c>
      <c r="AA98" s="2" t="str" cm="1">
        <f t="array" ref="AA98">_xlfn.XLOOKUP(Bash3[[#This Row],[Tecnología]]&amp;Bash3[[#This Row],[Problema]],TbNombres[Tecnología]&amp;TbNombres[Problema],TbNombres[Nombre])</f>
        <v>Brusselator1d</v>
      </c>
      <c r="AB98" s="4">
        <v>3</v>
      </c>
      <c r="AC98" s="4">
        <v>3</v>
      </c>
      <c r="AD98" s="4">
        <v>4</v>
      </c>
      <c r="AE98" s="4">
        <v>15000</v>
      </c>
      <c r="AF98" s="4">
        <v>30000</v>
      </c>
      <c r="AG98" s="4">
        <v>39.101199999999999</v>
      </c>
      <c r="AI98" s="2" t="str">
        <f>_xlfn.XLOOKUP(Bash4[[#This Row],[Metodo]],TbSolver[Metodo],TbSolver[Solver])</f>
        <v>Adams Bashford</v>
      </c>
      <c r="AJ98" s="2" t="str">
        <f>_xlfn.XLOOKUP(Bash4[[#This Row],[Hebras]],TbTecnologia[Hebras],TbTecnologia[Tecnología])</f>
        <v>CUDA</v>
      </c>
      <c r="AK98" s="2" t="str" cm="1">
        <f t="array" ref="AK98">_xlfn.XLOOKUP(Bash4[[#This Row],[Tecnología]]&amp;Bash4[[#This Row],[Metodo]],TbTipos[Tecnología]&amp;TbTipos[Metodo],TbTipos[Tipo])</f>
        <v>CUDA sin graph</v>
      </c>
      <c r="AL98" s="2" t="str" cm="1">
        <f t="array" ref="AL98">_xlfn.XLOOKUP(Bash4[[#This Row],[Tecnología]]&amp;Bash4[[#This Row],[Problema]],TbNombres[Tecnología]&amp;TbNombres[Problema],TbNombres[Nombre])</f>
        <v>Brusselator2d</v>
      </c>
      <c r="AM98" s="2">
        <v>3</v>
      </c>
      <c r="AN98" s="2">
        <v>8</v>
      </c>
      <c r="AO98" s="2">
        <v>256</v>
      </c>
      <c r="AP98" s="2">
        <v>500</v>
      </c>
      <c r="AQ98" s="2">
        <v>500000</v>
      </c>
      <c r="AR98" s="2">
        <v>98.777100000000004</v>
      </c>
    </row>
    <row r="99" spans="2:44" x14ac:dyDescent="0.2">
      <c r="B99" s="1" t="str">
        <f>_xlfn.XLOOKUP(Bash1[[#This Row],[Metodo]],TbSolver[Metodo],TbSolver[Solver])</f>
        <v>Adams Bashford</v>
      </c>
      <c r="C99" s="1" t="str">
        <f>_xlfn.XLOOKUP(Bash1[[#This Row],[Hebras]],TbTecnologia[Hebras],TbTecnologia[Tecnología])</f>
        <v>OMP</v>
      </c>
      <c r="D99" s="1" t="str" cm="1">
        <f t="array" ref="D99">_xlfn.XLOOKUP(Bash1[[#This Row],[Tecnología]]&amp;Bash1[[#This Row],[Metodo]],TbTipos[Tecnología]&amp;TbTipos[Metodo],TbTipos[Tipo])</f>
        <v>OMP Operaciones</v>
      </c>
      <c r="E99" s="1" t="str" cm="1">
        <f t="array" ref="E99">_xlfn.XLOOKUP(Bash1[[#This Row],[Tecnología]]&amp;Bash1[[#This Row],[Problema]],TbNombres[Tecnología]&amp;TbNombres[Problema],TbNombres[Nombre])</f>
        <v>Simple Advdiff</v>
      </c>
      <c r="F99" s="20">
        <v>3</v>
      </c>
      <c r="G99" s="20">
        <v>1</v>
      </c>
      <c r="H99" s="20">
        <v>1</v>
      </c>
      <c r="I99" s="20">
        <v>20000</v>
      </c>
      <c r="J99" s="20">
        <v>20000</v>
      </c>
      <c r="K99" s="20">
        <v>50.032800000000002</v>
      </c>
      <c r="M99" s="2" t="str">
        <f>_xlfn.XLOOKUP(Bash2[[#This Row],[Metodo]],TbSolver[Metodo],TbSolver[Solver])</f>
        <v>Adams Bashford</v>
      </c>
      <c r="N99" s="2" t="str">
        <f>_xlfn.XLOOKUP(Bash2[[#This Row],[Hebras]],TbTecnologia[Hebras],TbTecnologia[Tecnología])</f>
        <v>OMP</v>
      </c>
      <c r="O99" s="9" t="str" cm="1">
        <f t="array" ref="O99">_xlfn.XLOOKUP(Bash2[[#This Row],[Tecnología]]&amp;Bash2[[#This Row],[Metodo]],TbTipos[Tecnología]&amp;TbTipos[Metodo],TbTipos[Tipo])</f>
        <v>OMP Operaciones</v>
      </c>
      <c r="P99" s="9" t="str" cm="1">
        <f t="array" ref="P99">_xlfn.XLOOKUP(Bash2[[#This Row],[Tecnología]]&amp;Bash2[[#This Row],[Problema]],TbNombres[Tecnología]&amp;TbNombres[Problema],TbNombres[Nombre])</f>
        <v>Advdiff1d</v>
      </c>
      <c r="Q99" s="21">
        <v>3</v>
      </c>
      <c r="R99" s="21">
        <v>2</v>
      </c>
      <c r="S99" s="21">
        <v>1</v>
      </c>
      <c r="T99" s="21">
        <v>20000</v>
      </c>
      <c r="U99" s="21">
        <v>20000</v>
      </c>
      <c r="V99" s="21">
        <v>463.71800000000002</v>
      </c>
      <c r="X99" s="2" t="str">
        <f>_xlfn.XLOOKUP(Bash3[[#This Row],[Metodo]],TbSolver[Metodo],TbSolver[Solver])</f>
        <v>Adams Bashford</v>
      </c>
      <c r="Y99" s="2" t="str">
        <f>_xlfn.XLOOKUP(Bash3[[#This Row],[Hebras]],TbTecnologia[Hebras],TbTecnologia[Tecnología])</f>
        <v>OMP</v>
      </c>
      <c r="Z99" s="2" t="str" cm="1">
        <f t="array" ref="Z99">_xlfn.XLOOKUP(Bash3[[#This Row],[Tecnología]]&amp;Bash3[[#This Row],[Metodo]],TbTipos[Tecnología]&amp;TbTipos[Metodo],TbTipos[Tipo])</f>
        <v>OMP Operaciones</v>
      </c>
      <c r="AA99" s="2" t="str" cm="1">
        <f t="array" ref="AA99">_xlfn.XLOOKUP(Bash3[[#This Row],[Tecnología]]&amp;Bash3[[#This Row],[Problema]],TbNombres[Tecnología]&amp;TbNombres[Problema],TbNombres[Nombre])</f>
        <v>Brusselator1d</v>
      </c>
      <c r="AB99" s="4">
        <v>3</v>
      </c>
      <c r="AC99" s="4">
        <v>3</v>
      </c>
      <c r="AD99" s="4">
        <v>16</v>
      </c>
      <c r="AE99" s="4">
        <v>15000</v>
      </c>
      <c r="AF99" s="4">
        <v>30000</v>
      </c>
      <c r="AG99" s="4">
        <v>44.828099999999999</v>
      </c>
      <c r="AI99" s="2" t="str">
        <f>_xlfn.XLOOKUP(Bash4[[#This Row],[Metodo]],TbSolver[Metodo],TbSolver[Solver])</f>
        <v>Adams Bashford</v>
      </c>
      <c r="AJ99" s="2" t="str">
        <f>_xlfn.XLOOKUP(Bash4[[#This Row],[Hebras]],TbTecnologia[Hebras],TbTecnologia[Tecnología])</f>
        <v>CUDA</v>
      </c>
      <c r="AK99" s="2" t="str" cm="1">
        <f t="array" ref="AK99">_xlfn.XLOOKUP(Bash4[[#This Row],[Tecnología]]&amp;Bash4[[#This Row],[Metodo]],TbTipos[Tecnología]&amp;TbTipos[Metodo],TbTipos[Tipo])</f>
        <v>CUDA con graph</v>
      </c>
      <c r="AL99" s="2" t="str" cm="1">
        <f t="array" ref="AL99">_xlfn.XLOOKUP(Bash4[[#This Row],[Tecnología]]&amp;Bash4[[#This Row],[Problema]],TbNombres[Tecnología]&amp;TbNombres[Problema],TbNombres[Nombre])</f>
        <v>Brusselator2d shuffle</v>
      </c>
      <c r="AM99" s="2">
        <v>4</v>
      </c>
      <c r="AN99" s="2">
        <v>9</v>
      </c>
      <c r="AO99" s="2">
        <v>256</v>
      </c>
      <c r="AP99" s="2">
        <v>500</v>
      </c>
      <c r="AQ99" s="2">
        <v>500000</v>
      </c>
      <c r="AR99" s="2">
        <v>176.041</v>
      </c>
    </row>
    <row r="100" spans="2:44" x14ac:dyDescent="0.2">
      <c r="B100" s="1" t="str">
        <f>_xlfn.XLOOKUP(Bash1[[#This Row],[Metodo]],TbSolver[Metodo],TbSolver[Solver])</f>
        <v>Adams Bashford</v>
      </c>
      <c r="C100" s="1" t="str">
        <f>_xlfn.XLOOKUP(Bash1[[#This Row],[Hebras]],TbTecnologia[Hebras],TbTecnologia[Tecnología])</f>
        <v>OMP</v>
      </c>
      <c r="D100" s="1" t="str" cm="1">
        <f t="array" ref="D100">_xlfn.XLOOKUP(Bash1[[#This Row],[Tecnología]]&amp;Bash1[[#This Row],[Metodo]],TbTipos[Tecnología]&amp;TbTipos[Metodo],TbTipos[Tipo])</f>
        <v>OMP Elementos</v>
      </c>
      <c r="E100" s="1" t="str" cm="1">
        <f t="array" ref="E100">_xlfn.XLOOKUP(Bash1[[#This Row],[Tecnología]]&amp;Bash1[[#This Row],[Problema]],TbNombres[Tecnología]&amp;TbNombres[Problema],TbNombres[Nombre])</f>
        <v>Simple Advdiff</v>
      </c>
      <c r="F100" s="20">
        <v>4</v>
      </c>
      <c r="G100" s="20">
        <v>1</v>
      </c>
      <c r="H100" s="20">
        <v>1</v>
      </c>
      <c r="I100" s="20">
        <v>20000</v>
      </c>
      <c r="J100" s="20">
        <v>20000</v>
      </c>
      <c r="K100" s="20">
        <v>104.779</v>
      </c>
      <c r="M100" s="2" t="str">
        <f>_xlfn.XLOOKUP(Bash2[[#This Row],[Metodo]],TbSolver[Metodo],TbSolver[Solver])</f>
        <v>Adams Bashford</v>
      </c>
      <c r="N100" s="2" t="str">
        <f>_xlfn.XLOOKUP(Bash2[[#This Row],[Hebras]],TbTecnologia[Hebras],TbTecnologia[Tecnología])</f>
        <v>OMP</v>
      </c>
      <c r="O100" s="6" t="str" cm="1">
        <f t="array" ref="O100">_xlfn.XLOOKUP(Bash2[[#This Row],[Tecnología]]&amp;Bash2[[#This Row],[Metodo]],TbTipos[Tecnología]&amp;TbTipos[Metodo],TbTipos[Tipo])</f>
        <v>OMP Elementos</v>
      </c>
      <c r="P100" s="6" t="str" cm="1">
        <f t="array" ref="P100">_xlfn.XLOOKUP(Bash2[[#This Row],[Tecnología]]&amp;Bash2[[#This Row],[Problema]],TbNombres[Tecnología]&amp;TbNombres[Problema],TbNombres[Nombre])</f>
        <v>Advdiff1d</v>
      </c>
      <c r="Q100" s="21">
        <v>4</v>
      </c>
      <c r="R100" s="21">
        <v>2</v>
      </c>
      <c r="S100" s="21">
        <v>1</v>
      </c>
      <c r="T100" s="21">
        <v>20000</v>
      </c>
      <c r="U100" s="21">
        <v>20000</v>
      </c>
      <c r="V100" s="21">
        <v>541.07799999999997</v>
      </c>
      <c r="X100" s="2" t="str">
        <f>_xlfn.XLOOKUP(Bash3[[#This Row],[Metodo]],TbSolver[Metodo],TbSolver[Solver])</f>
        <v>Adams Bashford</v>
      </c>
      <c r="Y100" s="2" t="str">
        <f>_xlfn.XLOOKUP(Bash3[[#This Row],[Hebras]],TbTecnologia[Hebras],TbTecnologia[Tecnología])</f>
        <v>OMP</v>
      </c>
      <c r="Z100" s="2" t="str" cm="1">
        <f t="array" ref="Z100">_xlfn.XLOOKUP(Bash3[[#This Row],[Tecnología]]&amp;Bash3[[#This Row],[Metodo]],TbTipos[Tecnología]&amp;TbTipos[Metodo],TbTipos[Tipo])</f>
        <v>OMP Elementos</v>
      </c>
      <c r="AA100" s="2" t="str" cm="1">
        <f t="array" ref="AA100">_xlfn.XLOOKUP(Bash3[[#This Row],[Tecnología]]&amp;Bash3[[#This Row],[Problema]],TbNombres[Tecnología]&amp;TbNombres[Problema],TbNombres[Nombre])</f>
        <v>Brusselator1d</v>
      </c>
      <c r="AB100" s="4">
        <v>4</v>
      </c>
      <c r="AC100" s="4">
        <v>3</v>
      </c>
      <c r="AD100" s="4">
        <v>4</v>
      </c>
      <c r="AE100" s="4">
        <v>15000</v>
      </c>
      <c r="AF100" s="4">
        <v>30000</v>
      </c>
      <c r="AG100" s="4">
        <v>53.722099999999998</v>
      </c>
      <c r="AI100" s="2" t="str">
        <f>_xlfn.XLOOKUP(Bash4[[#This Row],[Metodo]],TbSolver[Metodo],TbSolver[Solver])</f>
        <v>Adams Bashford</v>
      </c>
      <c r="AJ100" s="2" t="str">
        <f>_xlfn.XLOOKUP(Bash4[[#This Row],[Hebras]],TbTecnologia[Hebras],TbTecnologia[Tecnología])</f>
        <v>CUDA</v>
      </c>
      <c r="AK100" s="2" t="str" cm="1">
        <f t="array" ref="AK100">_xlfn.XLOOKUP(Bash4[[#This Row],[Tecnología]]&amp;Bash4[[#This Row],[Metodo]],TbTipos[Tecnología]&amp;TbTipos[Metodo],TbTipos[Tipo])</f>
        <v>CUDA con graph</v>
      </c>
      <c r="AL100" s="2" t="str" cm="1">
        <f t="array" ref="AL100">_xlfn.XLOOKUP(Bash4[[#This Row],[Tecnología]]&amp;Bash4[[#This Row],[Problema]],TbNombres[Tecnología]&amp;TbNombres[Problema],TbNombres[Nombre])</f>
        <v>Brusselator2d</v>
      </c>
      <c r="AM100" s="2">
        <v>4</v>
      </c>
      <c r="AN100" s="2">
        <v>8</v>
      </c>
      <c r="AO100" s="2">
        <v>256</v>
      </c>
      <c r="AP100" s="2">
        <v>500</v>
      </c>
      <c r="AQ100" s="2">
        <v>500000</v>
      </c>
      <c r="AR100" s="2">
        <v>176.75299999999999</v>
      </c>
    </row>
    <row r="101" spans="2:44" x14ac:dyDescent="0.2">
      <c r="B101" s="1" t="str">
        <f>_xlfn.XLOOKUP(Bash1[[#This Row],[Metodo]],TbSolver[Metodo],TbSolver[Solver])</f>
        <v>Adams Bashford</v>
      </c>
      <c r="C101" s="1" t="str">
        <f>_xlfn.XLOOKUP(Bash1[[#This Row],[Hebras]],TbTecnologia[Hebras],TbTecnologia[Tecnología])</f>
        <v>OMP</v>
      </c>
      <c r="D101" s="1" t="str" cm="1">
        <f t="array" ref="D101">_xlfn.XLOOKUP(Bash1[[#This Row],[Tecnología]]&amp;Bash1[[#This Row],[Metodo]],TbTipos[Tecnología]&amp;TbTipos[Metodo],TbTipos[Tipo])</f>
        <v>OMP Operaciones</v>
      </c>
      <c r="E101" s="1" t="str" cm="1">
        <f t="array" ref="E101">_xlfn.XLOOKUP(Bash1[[#This Row],[Tecnología]]&amp;Bash1[[#This Row],[Problema]],TbNombres[Tecnología]&amp;TbNombres[Problema],TbNombres[Nombre])</f>
        <v>Simple Advdiff</v>
      </c>
      <c r="F101" s="20">
        <v>3</v>
      </c>
      <c r="G101" s="20">
        <v>1</v>
      </c>
      <c r="H101" s="20">
        <v>4</v>
      </c>
      <c r="I101" s="20">
        <v>25000</v>
      </c>
      <c r="J101" s="20">
        <v>25000</v>
      </c>
      <c r="K101" s="20">
        <v>25.406300000000002</v>
      </c>
      <c r="M101" s="2" t="str">
        <f>_xlfn.XLOOKUP(Bash2[[#This Row],[Metodo]],TbSolver[Metodo],TbSolver[Solver])</f>
        <v>Adams Bashford</v>
      </c>
      <c r="N101" s="2" t="str">
        <f>_xlfn.XLOOKUP(Bash2[[#This Row],[Hebras]],TbTecnologia[Hebras],TbTecnologia[Tecnología])</f>
        <v>OMP</v>
      </c>
      <c r="O101" s="6" t="str" cm="1">
        <f t="array" ref="O101">_xlfn.XLOOKUP(Bash2[[#This Row],[Tecnología]]&amp;Bash2[[#This Row],[Metodo]],TbTipos[Tecnología]&amp;TbTipos[Metodo],TbTipos[Tipo])</f>
        <v>OMP Elementos</v>
      </c>
      <c r="P101" s="6" t="str" cm="1">
        <f t="array" ref="P101">_xlfn.XLOOKUP(Bash2[[#This Row],[Tecnología]]&amp;Bash2[[#This Row],[Problema]],TbNombres[Tecnología]&amp;TbNombres[Problema],TbNombres[Nombre])</f>
        <v>Advdiff1d</v>
      </c>
      <c r="Q101" s="21">
        <v>4</v>
      </c>
      <c r="R101" s="21">
        <v>2</v>
      </c>
      <c r="S101" s="21">
        <v>16</v>
      </c>
      <c r="T101" s="21">
        <v>25000</v>
      </c>
      <c r="U101" s="21">
        <v>25000</v>
      </c>
      <c r="V101" s="21">
        <v>64.012600000000006</v>
      </c>
      <c r="X101" s="2" t="str">
        <f>_xlfn.XLOOKUP(Bash3[[#This Row],[Metodo]],TbSolver[Metodo],TbSolver[Solver])</f>
        <v>Adams Bashford</v>
      </c>
      <c r="Y101" s="2" t="str">
        <f>_xlfn.XLOOKUP(Bash3[[#This Row],[Hebras]],TbTecnologia[Hebras],TbTecnologia[Tecnología])</f>
        <v>OMP</v>
      </c>
      <c r="Z101" s="2" t="str" cm="1">
        <f t="array" ref="Z101">_xlfn.XLOOKUP(Bash3[[#This Row],[Tecnología]]&amp;Bash3[[#This Row],[Metodo]],TbTipos[Tecnología]&amp;TbTipos[Metodo],TbTipos[Tipo])</f>
        <v>OMP Operaciones</v>
      </c>
      <c r="AA101" s="2" t="str" cm="1">
        <f t="array" ref="AA101">_xlfn.XLOOKUP(Bash3[[#This Row],[Tecnología]]&amp;Bash3[[#This Row],[Problema]],TbNombres[Tecnología]&amp;TbNombres[Problema],TbNombres[Nombre])</f>
        <v>Brusselator1d</v>
      </c>
      <c r="AB101" s="4">
        <v>3</v>
      </c>
      <c r="AC101" s="4">
        <v>3</v>
      </c>
      <c r="AD101" s="4">
        <v>1</v>
      </c>
      <c r="AE101" s="4">
        <v>15000</v>
      </c>
      <c r="AF101" s="4">
        <v>30000</v>
      </c>
      <c r="AG101" s="4">
        <v>122.15300000000001</v>
      </c>
      <c r="AI101" s="2" t="str">
        <f>_xlfn.XLOOKUP(Bash4[[#This Row],[Metodo]],TbSolver[Metodo],TbSolver[Solver])</f>
        <v>Adams Bashford</v>
      </c>
      <c r="AJ101" s="2" t="str">
        <f>_xlfn.XLOOKUP(Bash4[[#This Row],[Hebras]],TbTecnologia[Hebras],TbTecnologia[Tecnología])</f>
        <v>CUDA</v>
      </c>
      <c r="AK101" s="2" t="str" cm="1">
        <f t="array" ref="AK101">_xlfn.XLOOKUP(Bash4[[#This Row],[Tecnología]]&amp;Bash4[[#This Row],[Metodo]],TbTipos[Tecnología]&amp;TbTipos[Metodo],TbTipos[Tipo])</f>
        <v>CUDA sin graph</v>
      </c>
      <c r="AL101" s="4" t="str" cm="1">
        <f t="array" ref="AL101">_xlfn.XLOOKUP(Bash4[[#This Row],[Tecnología]]&amp;Bash4[[#This Row],[Problema]],TbNombres[Tecnología]&amp;TbNombres[Problema],TbNombres[Nombre])</f>
        <v>Brusselator2d</v>
      </c>
      <c r="AM101" s="4">
        <v>3</v>
      </c>
      <c r="AN101" s="21">
        <v>8</v>
      </c>
      <c r="AO101" s="21">
        <v>256</v>
      </c>
      <c r="AP101" s="21">
        <v>600</v>
      </c>
      <c r="AQ101" s="21">
        <v>720000</v>
      </c>
      <c r="AR101" s="21">
        <v>144.696</v>
      </c>
    </row>
    <row r="102" spans="2:44" x14ac:dyDescent="0.2">
      <c r="B102" s="1" t="str">
        <f>_xlfn.XLOOKUP(Bash1[[#This Row],[Metodo]],TbSolver[Metodo],TbSolver[Solver])</f>
        <v>Adams Bashford</v>
      </c>
      <c r="C102" s="1" t="str">
        <f>_xlfn.XLOOKUP(Bash1[[#This Row],[Hebras]],TbTecnologia[Hebras],TbTecnologia[Tecnología])</f>
        <v>OMP</v>
      </c>
      <c r="D102" s="1" t="str" cm="1">
        <f t="array" ref="D102">_xlfn.XLOOKUP(Bash1[[#This Row],[Tecnología]]&amp;Bash1[[#This Row],[Metodo]],TbTipos[Tecnología]&amp;TbTipos[Metodo],TbTipos[Tipo])</f>
        <v>OMP Operaciones</v>
      </c>
      <c r="E102" s="1" t="str" cm="1">
        <f t="array" ref="E102">_xlfn.XLOOKUP(Bash1[[#This Row],[Tecnología]]&amp;Bash1[[#This Row],[Problema]],TbNombres[Tecnología]&amp;TbNombres[Problema],TbNombres[Nombre])</f>
        <v>Simple Advdiff</v>
      </c>
      <c r="F102" s="20">
        <v>3</v>
      </c>
      <c r="G102" s="20">
        <v>1</v>
      </c>
      <c r="H102" s="20">
        <v>16</v>
      </c>
      <c r="I102" s="20">
        <v>25000</v>
      </c>
      <c r="J102" s="20">
        <v>25000</v>
      </c>
      <c r="K102" s="20">
        <v>34.756799999999998</v>
      </c>
      <c r="M102" s="2" t="str">
        <f>_xlfn.XLOOKUP(Bash2[[#This Row],[Metodo]],TbSolver[Metodo],TbSolver[Solver])</f>
        <v>Adams Bashford</v>
      </c>
      <c r="N102" s="2" t="str">
        <f>_xlfn.XLOOKUP(Bash2[[#This Row],[Hebras]],TbTecnologia[Hebras],TbTecnologia[Tecnología])</f>
        <v>OMP</v>
      </c>
      <c r="O102" s="6" t="str" cm="1">
        <f t="array" ref="O102">_xlfn.XLOOKUP(Bash2[[#This Row],[Tecnología]]&amp;Bash2[[#This Row],[Metodo]],TbTipos[Tecnología]&amp;TbTipos[Metodo],TbTipos[Tipo])</f>
        <v>OMP Operaciones</v>
      </c>
      <c r="P102" s="6" t="str" cm="1">
        <f t="array" ref="P102">_xlfn.XLOOKUP(Bash2[[#This Row],[Tecnología]]&amp;Bash2[[#This Row],[Problema]],TbNombres[Tecnología]&amp;TbNombres[Problema],TbNombres[Nombre])</f>
        <v>Advdiff1d</v>
      </c>
      <c r="Q102" s="21">
        <v>3</v>
      </c>
      <c r="R102" s="21">
        <v>2</v>
      </c>
      <c r="S102" s="21">
        <v>16</v>
      </c>
      <c r="T102" s="21">
        <v>25000</v>
      </c>
      <c r="U102" s="21">
        <v>25000</v>
      </c>
      <c r="V102" s="21">
        <v>84.819199999999995</v>
      </c>
      <c r="X102" s="2" t="str">
        <f>_xlfn.XLOOKUP(Bash3[[#This Row],[Metodo]],TbSolver[Metodo],TbSolver[Solver])</f>
        <v>Adams Bashford</v>
      </c>
      <c r="Y102" s="2" t="str">
        <f>_xlfn.XLOOKUP(Bash3[[#This Row],[Hebras]],TbTecnologia[Hebras],TbTecnologia[Tecnología])</f>
        <v>OMP</v>
      </c>
      <c r="Z102" s="2" t="str" cm="1">
        <f t="array" ref="Z102">_xlfn.XLOOKUP(Bash3[[#This Row],[Tecnología]]&amp;Bash3[[#This Row],[Metodo]],TbTipos[Tecnología]&amp;TbTipos[Metodo],TbTipos[Tipo])</f>
        <v>OMP Elementos</v>
      </c>
      <c r="AA102" s="2" t="str" cm="1">
        <f t="array" ref="AA102">_xlfn.XLOOKUP(Bash3[[#This Row],[Tecnología]]&amp;Bash3[[#This Row],[Problema]],TbNombres[Tecnología]&amp;TbNombres[Problema],TbNombres[Nombre])</f>
        <v>Brusselator1d</v>
      </c>
      <c r="AB102" s="4">
        <v>4</v>
      </c>
      <c r="AC102" s="4">
        <v>3</v>
      </c>
      <c r="AD102" s="4">
        <v>1</v>
      </c>
      <c r="AE102" s="4">
        <v>15000</v>
      </c>
      <c r="AF102" s="4">
        <v>30000</v>
      </c>
      <c r="AG102" s="4">
        <v>200.785</v>
      </c>
      <c r="AI102" s="2" t="str">
        <f>_xlfn.XLOOKUP(Bash4[[#This Row],[Metodo]],TbSolver[Metodo],TbSolver[Solver])</f>
        <v>Adams Bashford</v>
      </c>
      <c r="AJ102" s="2" t="str">
        <f>_xlfn.XLOOKUP(Bash4[[#This Row],[Hebras]],TbTecnologia[Hebras],TbTecnologia[Tecnología])</f>
        <v>CUDA</v>
      </c>
      <c r="AK102" s="2" t="str" cm="1">
        <f t="array" ref="AK102">_xlfn.XLOOKUP(Bash4[[#This Row],[Tecnología]]&amp;Bash4[[#This Row],[Metodo]],TbTipos[Tecnología]&amp;TbTipos[Metodo],TbTipos[Tipo])</f>
        <v>CUDA con graph</v>
      </c>
      <c r="AL102" s="4" t="str" cm="1">
        <f t="array" ref="AL102">_xlfn.XLOOKUP(Bash4[[#This Row],[Tecnología]]&amp;Bash4[[#This Row],[Problema]],TbNombres[Tecnología]&amp;TbNombres[Problema],TbNombres[Nombre])</f>
        <v>Brusselator2d</v>
      </c>
      <c r="AM102" s="4">
        <v>4</v>
      </c>
      <c r="AN102" s="21">
        <v>8</v>
      </c>
      <c r="AO102" s="21">
        <v>256</v>
      </c>
      <c r="AP102" s="21">
        <v>600</v>
      </c>
      <c r="AQ102" s="21">
        <v>720000</v>
      </c>
      <c r="AR102" s="21">
        <v>255.54599999999999</v>
      </c>
    </row>
    <row r="103" spans="2:44" x14ac:dyDescent="0.2">
      <c r="B103" s="1" t="str">
        <f>_xlfn.XLOOKUP(Bash1[[#This Row],[Metodo]],TbSolver[Metodo],TbSolver[Solver])</f>
        <v>Adams Bashford</v>
      </c>
      <c r="C103" s="1" t="str">
        <f>_xlfn.XLOOKUP(Bash1[[#This Row],[Hebras]],TbTecnologia[Hebras],TbTecnologia[Tecnología])</f>
        <v>OMP</v>
      </c>
      <c r="D103" s="1" t="str" cm="1">
        <f t="array" ref="D103">_xlfn.XLOOKUP(Bash1[[#This Row],[Tecnología]]&amp;Bash1[[#This Row],[Metodo]],TbTipos[Tecnología]&amp;TbTipos[Metodo],TbTipos[Tipo])</f>
        <v>OMP Elementos</v>
      </c>
      <c r="E103" s="1" t="str" cm="1">
        <f t="array" ref="E103">_xlfn.XLOOKUP(Bash1[[#This Row],[Tecnología]]&amp;Bash1[[#This Row],[Problema]],TbNombres[Tecnología]&amp;TbNombres[Problema],TbNombres[Nombre])</f>
        <v>Simple Advdiff</v>
      </c>
      <c r="F103" s="20">
        <v>4</v>
      </c>
      <c r="G103" s="20">
        <v>1</v>
      </c>
      <c r="H103" s="20">
        <v>4</v>
      </c>
      <c r="I103" s="20">
        <v>25000</v>
      </c>
      <c r="J103" s="20">
        <v>25000</v>
      </c>
      <c r="K103" s="20">
        <v>38.506399999999999</v>
      </c>
      <c r="M103" s="2" t="str">
        <f>_xlfn.XLOOKUP(Bash2[[#This Row],[Metodo]],TbSolver[Metodo],TbSolver[Solver])</f>
        <v>Adams Bashford</v>
      </c>
      <c r="N103" s="2" t="str">
        <f>_xlfn.XLOOKUP(Bash2[[#This Row],[Hebras]],TbTecnologia[Hebras],TbTecnologia[Tecnología])</f>
        <v>OMP</v>
      </c>
      <c r="O103" s="6" t="str" cm="1">
        <f t="array" ref="O103">_xlfn.XLOOKUP(Bash2[[#This Row],[Tecnología]]&amp;Bash2[[#This Row],[Metodo]],TbTipos[Tecnología]&amp;TbTipos[Metodo],TbTipos[Tipo])</f>
        <v>OMP Operaciones</v>
      </c>
      <c r="P103" s="6" t="str" cm="1">
        <f t="array" ref="P103">_xlfn.XLOOKUP(Bash2[[#This Row],[Tecnología]]&amp;Bash2[[#This Row],[Problema]],TbNombres[Tecnología]&amp;TbNombres[Problema],TbNombres[Nombre])</f>
        <v>Advdiff1d</v>
      </c>
      <c r="Q103" s="21">
        <v>3</v>
      </c>
      <c r="R103" s="21">
        <v>2</v>
      </c>
      <c r="S103" s="21">
        <v>4</v>
      </c>
      <c r="T103" s="21">
        <v>25000</v>
      </c>
      <c r="U103" s="21">
        <v>25000</v>
      </c>
      <c r="V103" s="21">
        <v>178.399</v>
      </c>
      <c r="X103" s="2" t="str">
        <f>_xlfn.XLOOKUP(Bash3[[#This Row],[Metodo]],TbSolver[Metodo],TbSolver[Solver])</f>
        <v>Adams Bashford</v>
      </c>
      <c r="Y103" s="2" t="str">
        <f>_xlfn.XLOOKUP(Bash3[[#This Row],[Hebras]],TbTecnologia[Hebras],TbTecnologia[Tecnología])</f>
        <v>CUDA</v>
      </c>
      <c r="Z103" s="2" t="str" cm="1">
        <f t="array" ref="Z103">_xlfn.XLOOKUP(Bash3[[#This Row],[Tecnología]]&amp;Bash3[[#This Row],[Metodo]],TbTipos[Tecnología]&amp;TbTipos[Metodo],TbTipos[Tipo])</f>
        <v>CUDA sin graph</v>
      </c>
      <c r="AA103" s="2" t="str" cm="1">
        <f t="array" ref="AA103">_xlfn.XLOOKUP(Bash3[[#This Row],[Tecnología]]&amp;Bash3[[#This Row],[Problema]],TbNombres[Tecnología]&amp;TbNombres[Problema],TbNombres[Nombre])</f>
        <v>Brusselator1d</v>
      </c>
      <c r="AB103" s="2">
        <v>3</v>
      </c>
      <c r="AC103" s="2">
        <v>5</v>
      </c>
      <c r="AD103" s="2">
        <v>256</v>
      </c>
      <c r="AE103" s="2">
        <v>20000</v>
      </c>
      <c r="AF103" s="2">
        <v>40000</v>
      </c>
      <c r="AG103" s="2">
        <v>7.6532600000000004</v>
      </c>
      <c r="AI103" s="2" t="str">
        <f>_xlfn.XLOOKUP(Bash4[[#This Row],[Metodo]],TbSolver[Metodo],TbSolver[Solver])</f>
        <v>Adams Bashford</v>
      </c>
      <c r="AJ103" s="2" t="str">
        <f>_xlfn.XLOOKUP(Bash4[[#This Row],[Hebras]],TbTecnologia[Hebras],TbTecnologia[Tecnología])</f>
        <v>CUDA</v>
      </c>
      <c r="AK103" s="2" t="str" cm="1">
        <f t="array" ref="AK103">_xlfn.XLOOKUP(Bash4[[#This Row],[Tecnología]]&amp;Bash4[[#This Row],[Metodo]],TbTipos[Tecnología]&amp;TbTipos[Metodo],TbTipos[Tipo])</f>
        <v>CUDA sin graph</v>
      </c>
      <c r="AL103" s="4" t="str" cm="1">
        <f t="array" ref="AL103">_xlfn.XLOOKUP(Bash4[[#This Row],[Tecnología]]&amp;Bash4[[#This Row],[Problema]],TbNombres[Tecnología]&amp;TbNombres[Problema],TbNombres[Nombre])</f>
        <v>Brusselator2d</v>
      </c>
      <c r="AM103" s="4">
        <v>3</v>
      </c>
      <c r="AN103" s="21">
        <v>8</v>
      </c>
      <c r="AO103" s="21">
        <v>256</v>
      </c>
      <c r="AP103" s="21">
        <v>700</v>
      </c>
      <c r="AQ103" s="21">
        <v>980000</v>
      </c>
      <c r="AR103" s="21">
        <v>194.453</v>
      </c>
    </row>
    <row r="104" spans="2:44" x14ac:dyDescent="0.2">
      <c r="B104" s="1" t="str">
        <f>_xlfn.XLOOKUP(Bash1[[#This Row],[Metodo]],TbSolver[Metodo],TbSolver[Solver])</f>
        <v>Adams Bashford</v>
      </c>
      <c r="C104" s="1" t="str">
        <f>_xlfn.XLOOKUP(Bash1[[#This Row],[Hebras]],TbTecnologia[Hebras],TbTecnologia[Tecnología])</f>
        <v>OMP</v>
      </c>
      <c r="D104" s="1" t="str" cm="1">
        <f t="array" ref="D104">_xlfn.XLOOKUP(Bash1[[#This Row],[Tecnología]]&amp;Bash1[[#This Row],[Metodo]],TbTipos[Tecnología]&amp;TbTipos[Metodo],TbTipos[Tipo])</f>
        <v>OMP Operaciones</v>
      </c>
      <c r="E104" s="1" t="str" cm="1">
        <f t="array" ref="E104">_xlfn.XLOOKUP(Bash1[[#This Row],[Tecnología]]&amp;Bash1[[#This Row],[Problema]],TbNombres[Tecnología]&amp;TbNombres[Problema],TbNombres[Nombre])</f>
        <v>Simple Advdiff</v>
      </c>
      <c r="F104" s="20">
        <v>3</v>
      </c>
      <c r="G104" s="20">
        <v>1</v>
      </c>
      <c r="H104" s="20">
        <v>1</v>
      </c>
      <c r="I104" s="20">
        <v>25000</v>
      </c>
      <c r="J104" s="20">
        <v>25000</v>
      </c>
      <c r="K104" s="20">
        <v>68.674400000000006</v>
      </c>
      <c r="M104" s="2" t="str">
        <f>_xlfn.XLOOKUP(Bash2[[#This Row],[Metodo]],TbSolver[Metodo],TbSolver[Solver])</f>
        <v>Adams Bashford</v>
      </c>
      <c r="N104" s="2" t="str">
        <f>_xlfn.XLOOKUP(Bash2[[#This Row],[Hebras]],TbTecnologia[Hebras],TbTecnologia[Tecnología])</f>
        <v>OMP</v>
      </c>
      <c r="O104" s="6" t="str" cm="1">
        <f t="array" ref="O104">_xlfn.XLOOKUP(Bash2[[#This Row],[Tecnología]]&amp;Bash2[[#This Row],[Metodo]],TbTipos[Tecnología]&amp;TbTipos[Metodo],TbTipos[Tipo])</f>
        <v>OMP Elementos</v>
      </c>
      <c r="P104" s="6" t="str" cm="1">
        <f t="array" ref="P104">_xlfn.XLOOKUP(Bash2[[#This Row],[Tecnología]]&amp;Bash2[[#This Row],[Problema]],TbNombres[Tecnología]&amp;TbNombres[Problema],TbNombres[Nombre])</f>
        <v>Advdiff1d</v>
      </c>
      <c r="Q104" s="21">
        <v>4</v>
      </c>
      <c r="R104" s="21">
        <v>2</v>
      </c>
      <c r="S104" s="21">
        <v>4</v>
      </c>
      <c r="T104" s="21">
        <v>25000</v>
      </c>
      <c r="U104" s="21">
        <v>25000</v>
      </c>
      <c r="V104" s="21">
        <v>190.96</v>
      </c>
      <c r="X104" s="2" t="str">
        <f>_xlfn.XLOOKUP(Bash3[[#This Row],[Metodo]],TbSolver[Metodo],TbSolver[Solver])</f>
        <v>Adams Bashford</v>
      </c>
      <c r="Y104" s="2" t="str">
        <f>_xlfn.XLOOKUP(Bash3[[#This Row],[Hebras]],TbTecnologia[Hebras],TbTecnologia[Tecnología])</f>
        <v>CUDA</v>
      </c>
      <c r="Z104" s="2" t="str" cm="1">
        <f t="array" ref="Z104">_xlfn.XLOOKUP(Bash3[[#This Row],[Tecnología]]&amp;Bash3[[#This Row],[Metodo]],TbTipos[Tecnología]&amp;TbTipos[Metodo],TbTipos[Tipo])</f>
        <v>CUDA sin graph</v>
      </c>
      <c r="AA104" s="2" t="str" cm="1">
        <f t="array" ref="AA104">_xlfn.XLOOKUP(Bash3[[#This Row],[Tecnología]]&amp;Bash3[[#This Row],[Problema]],TbNombres[Tecnología]&amp;TbNombres[Problema],TbNombres[Nombre])</f>
        <v>Brusselator1d shuffle</v>
      </c>
      <c r="AB104" s="2">
        <v>3</v>
      </c>
      <c r="AC104" s="2">
        <v>6</v>
      </c>
      <c r="AD104" s="2">
        <v>256</v>
      </c>
      <c r="AE104" s="2">
        <v>20000</v>
      </c>
      <c r="AF104" s="2">
        <v>40000</v>
      </c>
      <c r="AG104" s="2">
        <v>7.7135699999999998</v>
      </c>
      <c r="AI104" s="2" t="str">
        <f>_xlfn.XLOOKUP(Bash4[[#This Row],[Metodo]],TbSolver[Metodo],TbSolver[Solver])</f>
        <v>Adams Bashford</v>
      </c>
      <c r="AJ104" s="2" t="str">
        <f>_xlfn.XLOOKUP(Bash4[[#This Row],[Hebras]],TbTecnologia[Hebras],TbTecnologia[Tecnología])</f>
        <v>CUDA</v>
      </c>
      <c r="AK104" s="2" t="str" cm="1">
        <f t="array" ref="AK104">_xlfn.XLOOKUP(Bash4[[#This Row],[Tecnología]]&amp;Bash4[[#This Row],[Metodo]],TbTipos[Tecnología]&amp;TbTipos[Metodo],TbTipos[Tipo])</f>
        <v>CUDA con graph</v>
      </c>
      <c r="AL104" s="4" t="str" cm="1">
        <f t="array" ref="AL104">_xlfn.XLOOKUP(Bash4[[#This Row],[Tecnología]]&amp;Bash4[[#This Row],[Problema]],TbNombres[Tecnología]&amp;TbNombres[Problema],TbNombres[Nombre])</f>
        <v>Brusselator2d</v>
      </c>
      <c r="AM104" s="4">
        <v>4</v>
      </c>
      <c r="AN104" s="21">
        <v>8</v>
      </c>
      <c r="AO104" s="21">
        <v>256</v>
      </c>
      <c r="AP104" s="21">
        <v>700</v>
      </c>
      <c r="AQ104" s="21">
        <v>980000</v>
      </c>
      <c r="AR104" s="21">
        <v>344.67500000000001</v>
      </c>
    </row>
    <row r="105" spans="2:44" x14ac:dyDescent="0.2">
      <c r="B105" s="1" t="str">
        <f>_xlfn.XLOOKUP(Bash1[[#This Row],[Metodo]],TbSolver[Metodo],TbSolver[Solver])</f>
        <v>Adams Bashford</v>
      </c>
      <c r="C105" s="1" t="str">
        <f>_xlfn.XLOOKUP(Bash1[[#This Row],[Hebras]],TbTecnologia[Hebras],TbTecnologia[Tecnología])</f>
        <v>OMP</v>
      </c>
      <c r="D105" s="1" t="str" cm="1">
        <f t="array" ref="D105">_xlfn.XLOOKUP(Bash1[[#This Row],[Tecnología]]&amp;Bash1[[#This Row],[Metodo]],TbTipos[Tecnología]&amp;TbTipos[Metodo],TbTipos[Tipo])</f>
        <v>OMP Elementos</v>
      </c>
      <c r="E105" s="1" t="str" cm="1">
        <f t="array" ref="E105">_xlfn.XLOOKUP(Bash1[[#This Row],[Tecnología]]&amp;Bash1[[#This Row],[Problema]],TbNombres[Tecnología]&amp;TbNombres[Problema],TbNombres[Nombre])</f>
        <v>Simple Advdiff</v>
      </c>
      <c r="F105" s="20">
        <v>4</v>
      </c>
      <c r="G105" s="20">
        <v>1</v>
      </c>
      <c r="H105" s="20">
        <v>1</v>
      </c>
      <c r="I105" s="20">
        <v>25000</v>
      </c>
      <c r="J105" s="20">
        <v>25000</v>
      </c>
      <c r="K105" s="20">
        <v>137.024</v>
      </c>
      <c r="M105" s="2" t="str">
        <f>_xlfn.XLOOKUP(Bash2[[#This Row],[Metodo]],TbSolver[Metodo],TbSolver[Solver])</f>
        <v>Adams Bashford</v>
      </c>
      <c r="N105" s="2" t="str">
        <f>_xlfn.XLOOKUP(Bash2[[#This Row],[Hebras]],TbTecnologia[Hebras],TbTecnologia[Tecnología])</f>
        <v>OMP</v>
      </c>
      <c r="O105" s="6" t="str" cm="1">
        <f t="array" ref="O105">_xlfn.XLOOKUP(Bash2[[#This Row],[Tecnología]]&amp;Bash2[[#This Row],[Metodo]],TbTipos[Tecnología]&amp;TbTipos[Metodo],TbTipos[Tipo])</f>
        <v>OMP Operaciones</v>
      </c>
      <c r="P105" s="6" t="str" cm="1">
        <f t="array" ref="P105">_xlfn.XLOOKUP(Bash2[[#This Row],[Tecnología]]&amp;Bash2[[#This Row],[Problema]],TbNombres[Tecnología]&amp;TbNombres[Problema],TbNombres[Nombre])</f>
        <v>Advdiff1d</v>
      </c>
      <c r="Q105" s="21">
        <v>3</v>
      </c>
      <c r="R105" s="21">
        <v>2</v>
      </c>
      <c r="S105" s="21">
        <v>1</v>
      </c>
      <c r="T105" s="21">
        <v>25000</v>
      </c>
      <c r="U105" s="21">
        <v>25000</v>
      </c>
      <c r="V105" s="21">
        <v>587.25</v>
      </c>
      <c r="X105" s="2" t="str">
        <f>_xlfn.XLOOKUP(Bash3[[#This Row],[Metodo]],TbSolver[Metodo],TbSolver[Solver])</f>
        <v>Adams Bashford</v>
      </c>
      <c r="Y105" s="2" t="str">
        <f>_xlfn.XLOOKUP(Bash3[[#This Row],[Hebras]],TbTecnologia[Hebras],TbTecnologia[Tecnología])</f>
        <v>CUDA</v>
      </c>
      <c r="Z105" s="2" t="str" cm="1">
        <f t="array" ref="Z105">_xlfn.XLOOKUP(Bash3[[#This Row],[Tecnología]]&amp;Bash3[[#This Row],[Metodo]],TbTipos[Tecnología]&amp;TbTipos[Metodo],TbTipos[Tipo])</f>
        <v>CUDA sin graph</v>
      </c>
      <c r="AA105" s="2" t="str" cm="1">
        <f t="array" ref="AA105">_xlfn.XLOOKUP(Bash3[[#This Row],[Tecnología]]&amp;Bash3[[#This Row],[Problema]],TbNombres[Tecnología]&amp;TbNombres[Problema],TbNombres[Nombre])</f>
        <v>Brusselator1d</v>
      </c>
      <c r="AB105" s="2">
        <v>3</v>
      </c>
      <c r="AC105" s="2">
        <v>5</v>
      </c>
      <c r="AD105" s="2">
        <v>256</v>
      </c>
      <c r="AE105" s="2">
        <v>20000</v>
      </c>
      <c r="AF105" s="2">
        <v>40000</v>
      </c>
      <c r="AG105" s="2">
        <v>7.7762599999999997</v>
      </c>
    </row>
    <row r="106" spans="2:44" x14ac:dyDescent="0.2">
      <c r="B106" s="1" t="str">
        <f>_xlfn.XLOOKUP(Bash1[[#This Row],[Metodo]],TbSolver[Metodo],TbSolver[Solver])</f>
        <v>Adams Bashford</v>
      </c>
      <c r="C106" s="1" t="str">
        <f>_xlfn.XLOOKUP(Bash1[[#This Row],[Hebras]],TbTecnologia[Hebras],TbTecnologia[Tecnología])</f>
        <v>OMP</v>
      </c>
      <c r="D106" s="1" t="str" cm="1">
        <f t="array" ref="D106">_xlfn.XLOOKUP(Bash1[[#This Row],[Tecnología]]&amp;Bash1[[#This Row],[Metodo]],TbTipos[Tecnología]&amp;TbTipos[Metodo],TbTipos[Tipo])</f>
        <v>OMP Elementos</v>
      </c>
      <c r="E106" s="1" t="str" cm="1">
        <f t="array" ref="E106">_xlfn.XLOOKUP(Bash1[[#This Row],[Tecnología]]&amp;Bash1[[#This Row],[Problema]],TbNombres[Tecnología]&amp;TbNombres[Problema],TbNombres[Nombre])</f>
        <v>Simple Advdiff</v>
      </c>
      <c r="F106" s="20">
        <v>4</v>
      </c>
      <c r="G106" s="20">
        <v>1</v>
      </c>
      <c r="H106" s="20">
        <v>16</v>
      </c>
      <c r="I106" s="20">
        <v>25000</v>
      </c>
      <c r="J106" s="20">
        <v>25000</v>
      </c>
      <c r="K106" s="20">
        <v>168.886</v>
      </c>
      <c r="M106" s="2" t="str">
        <f>_xlfn.XLOOKUP(Bash2[[#This Row],[Metodo]],TbSolver[Metodo],TbSolver[Solver])</f>
        <v>Adams Bashford</v>
      </c>
      <c r="N106" s="2" t="str">
        <f>_xlfn.XLOOKUP(Bash2[[#This Row],[Hebras]],TbTecnologia[Hebras],TbTecnologia[Tecnología])</f>
        <v>OMP</v>
      </c>
      <c r="O106" s="6" t="str" cm="1">
        <f t="array" ref="O106">_xlfn.XLOOKUP(Bash2[[#This Row],[Tecnología]]&amp;Bash2[[#This Row],[Metodo]],TbTipos[Tecnología]&amp;TbTipos[Metodo],TbTipos[Tipo])</f>
        <v>OMP Elementos</v>
      </c>
      <c r="P106" s="6" t="str" cm="1">
        <f t="array" ref="P106">_xlfn.XLOOKUP(Bash2[[#This Row],[Tecnología]]&amp;Bash2[[#This Row],[Problema]],TbNombres[Tecnología]&amp;TbNombres[Problema],TbNombres[Nombre])</f>
        <v>Advdiff1d</v>
      </c>
      <c r="Q106" s="21">
        <v>4</v>
      </c>
      <c r="R106" s="21">
        <v>2</v>
      </c>
      <c r="S106" s="21">
        <v>1</v>
      </c>
      <c r="T106" s="21">
        <v>25000</v>
      </c>
      <c r="U106" s="21">
        <v>25000</v>
      </c>
      <c r="V106" s="21">
        <v>677.84</v>
      </c>
      <c r="X106" s="2" t="str">
        <f>_xlfn.XLOOKUP(Bash3[[#This Row],[Metodo]],TbSolver[Metodo],TbSolver[Solver])</f>
        <v>Adams Bashford</v>
      </c>
      <c r="Y106" s="2" t="str">
        <f>_xlfn.XLOOKUP(Bash3[[#This Row],[Hebras]],TbTecnologia[Hebras],TbTecnologia[Tecnología])</f>
        <v>CUDA</v>
      </c>
      <c r="Z106" s="2" t="str" cm="1">
        <f t="array" ref="Z106">_xlfn.XLOOKUP(Bash3[[#This Row],[Tecnología]]&amp;Bash3[[#This Row],[Metodo]],TbTipos[Tecnología]&amp;TbTipos[Metodo],TbTipos[Tipo])</f>
        <v>CUDA sin graph</v>
      </c>
      <c r="AA106" s="2" t="str" cm="1">
        <f t="array" ref="AA106">_xlfn.XLOOKUP(Bash3[[#This Row],[Tecnología]]&amp;Bash3[[#This Row],[Problema]],TbNombres[Tecnología]&amp;TbNombres[Problema],TbNombres[Nombre])</f>
        <v>Brusselator1d</v>
      </c>
      <c r="AB106" s="21">
        <v>3</v>
      </c>
      <c r="AC106" s="21">
        <v>5</v>
      </c>
      <c r="AD106" s="21">
        <v>256</v>
      </c>
      <c r="AE106" s="21">
        <v>20000</v>
      </c>
      <c r="AF106" s="21">
        <v>40000</v>
      </c>
      <c r="AG106" s="21">
        <v>7.8025399999999996</v>
      </c>
    </row>
    <row r="107" spans="2:44" x14ac:dyDescent="0.2">
      <c r="B107" s="1" t="str">
        <f>_xlfn.XLOOKUP(Bash1[[#This Row],[Metodo]],TbSolver[Metodo],TbSolver[Solver])</f>
        <v>Adams Bashford</v>
      </c>
      <c r="C107" s="1" t="str">
        <f>_xlfn.XLOOKUP(Bash1[[#This Row],[Hebras]],TbTecnologia[Hebras],TbTecnologia[Tecnología])</f>
        <v>CUDA</v>
      </c>
      <c r="D107" s="1" t="str" cm="1">
        <f t="array" ref="D107">_xlfn.XLOOKUP(Bash1[[#This Row],[Tecnología]]&amp;Bash1[[#This Row],[Metodo]],TbTipos[Tecnología]&amp;TbTipos[Metodo],TbTipos[Tipo])</f>
        <v>CUDA sin graph</v>
      </c>
      <c r="E107" s="1" t="str" cm="1">
        <f t="array" ref="E107">_xlfn.XLOOKUP(Bash1[[#This Row],[Tecnología]]&amp;Bash1[[#This Row],[Problema]],TbNombres[Tecnología]&amp;TbNombres[Problema],TbNombres[Nombre])</f>
        <v>Simple Advdiff</v>
      </c>
      <c r="F107" s="20">
        <v>3</v>
      </c>
      <c r="G107" s="20">
        <v>1</v>
      </c>
      <c r="H107" s="20">
        <v>256</v>
      </c>
      <c r="I107" s="20">
        <v>30000</v>
      </c>
      <c r="J107" s="20">
        <v>30000</v>
      </c>
      <c r="K107" s="20">
        <v>5.9678399999999998</v>
      </c>
      <c r="M107" s="2" t="str">
        <f>_xlfn.XLOOKUP(Bash2[[#This Row],[Metodo]],TbSolver[Metodo],TbSolver[Solver])</f>
        <v>Adams Bashford</v>
      </c>
      <c r="N107" s="2" t="str">
        <f>_xlfn.XLOOKUP(Bash2[[#This Row],[Hebras]],TbTecnologia[Hebras],TbTecnologia[Tecnología])</f>
        <v>CUDA</v>
      </c>
      <c r="O107" s="6" t="str" cm="1">
        <f t="array" ref="O107">_xlfn.XLOOKUP(Bash2[[#This Row],[Tecnología]]&amp;Bash2[[#This Row],[Metodo]],TbTipos[Tecnología]&amp;TbTipos[Metodo],TbTipos[Tipo])</f>
        <v>CUDA sin graph</v>
      </c>
      <c r="P107" s="6" t="str" cm="1">
        <f t="array" ref="P107">_xlfn.XLOOKUP(Bash2[[#This Row],[Tecnología]]&amp;Bash2[[#This Row],[Problema]],TbNombres[Tecnología]&amp;TbNombres[Problema],TbNombres[Nombre])</f>
        <v>Advdiff1d</v>
      </c>
      <c r="Q107" s="21">
        <v>3</v>
      </c>
      <c r="R107" s="21">
        <v>3</v>
      </c>
      <c r="S107" s="21">
        <v>256</v>
      </c>
      <c r="T107" s="21">
        <v>30000</v>
      </c>
      <c r="U107" s="21">
        <v>30000</v>
      </c>
      <c r="V107" s="21">
        <v>13.8994</v>
      </c>
      <c r="X107" s="2" t="str">
        <f>_xlfn.XLOOKUP(Bash3[[#This Row],[Metodo]],TbSolver[Metodo],TbSolver[Solver])</f>
        <v>Adams Bashford</v>
      </c>
      <c r="Y107" s="2" t="str">
        <f>_xlfn.XLOOKUP(Bash3[[#This Row],[Hebras]],TbTecnologia[Hebras],TbTecnologia[Tecnología])</f>
        <v>CUDA</v>
      </c>
      <c r="Z107" s="2" t="str" cm="1">
        <f t="array" ref="Z107">_xlfn.XLOOKUP(Bash3[[#This Row],[Tecnología]]&amp;Bash3[[#This Row],[Metodo]],TbTipos[Tecnología]&amp;TbTipos[Metodo],TbTipos[Tipo])</f>
        <v>CUDA sin graph</v>
      </c>
      <c r="AA107" s="2" t="str" cm="1">
        <f t="array" ref="AA107">_xlfn.XLOOKUP(Bash3[[#This Row],[Tecnología]]&amp;Bash3[[#This Row],[Problema]],TbNombres[Tecnología]&amp;TbNombres[Problema],TbNombres[Nombre])</f>
        <v>Brusselator1d grid</v>
      </c>
      <c r="AB107" s="2">
        <v>3</v>
      </c>
      <c r="AC107" s="2">
        <v>7</v>
      </c>
      <c r="AD107" s="2">
        <v>256</v>
      </c>
      <c r="AE107" s="2">
        <v>20000</v>
      </c>
      <c r="AF107" s="2">
        <v>40000</v>
      </c>
      <c r="AG107" s="2">
        <v>7.8226500000000003</v>
      </c>
    </row>
    <row r="108" spans="2:44" x14ac:dyDescent="0.2">
      <c r="B108" s="1" t="str">
        <f>_xlfn.XLOOKUP(Bash1[[#This Row],[Metodo]],TbSolver[Metodo],TbSolver[Solver])</f>
        <v>Adams Bashford</v>
      </c>
      <c r="C108" s="1" t="str">
        <f>_xlfn.XLOOKUP(Bash1[[#This Row],[Hebras]],TbTecnologia[Hebras],TbTecnologia[Tecnología])</f>
        <v>CUDA</v>
      </c>
      <c r="D108" s="1" t="str" cm="1">
        <f t="array" ref="D108">_xlfn.XLOOKUP(Bash1[[#This Row],[Tecnología]]&amp;Bash1[[#This Row],[Metodo]],TbTipos[Tecnología]&amp;TbTipos[Metodo],TbTipos[Tipo])</f>
        <v>CUDA con graph</v>
      </c>
      <c r="E108" s="1" t="str" cm="1">
        <f t="array" ref="E108">_xlfn.XLOOKUP(Bash1[[#This Row],[Tecnología]]&amp;Bash1[[#This Row],[Problema]],TbNombres[Tecnología]&amp;TbNombres[Problema],TbNombres[Nombre])</f>
        <v>Simple Advdiff</v>
      </c>
      <c r="F108" s="20">
        <v>4</v>
      </c>
      <c r="G108" s="20">
        <v>1</v>
      </c>
      <c r="H108" s="20">
        <v>256</v>
      </c>
      <c r="I108" s="20">
        <v>30000</v>
      </c>
      <c r="J108" s="20">
        <v>30000</v>
      </c>
      <c r="K108" s="20">
        <v>7.8008199999999999</v>
      </c>
      <c r="M108" s="2" t="str">
        <f>_xlfn.XLOOKUP(Bash2[[#This Row],[Metodo]],TbSolver[Metodo],TbSolver[Solver])</f>
        <v>Adams Bashford</v>
      </c>
      <c r="N108" s="2" t="str">
        <f>_xlfn.XLOOKUP(Bash2[[#This Row],[Hebras]],TbTecnologia[Hebras],TbTecnologia[Tecnología])</f>
        <v>CUDA</v>
      </c>
      <c r="O108" s="9" t="str" cm="1">
        <f t="array" ref="O108">_xlfn.XLOOKUP(Bash2[[#This Row],[Tecnología]]&amp;Bash2[[#This Row],[Metodo]],TbTipos[Tecnología]&amp;TbTipos[Metodo],TbTipos[Tipo])</f>
        <v>CUDA con graph</v>
      </c>
      <c r="P108" s="9" t="str" cm="1">
        <f t="array" ref="P108">_xlfn.XLOOKUP(Bash2[[#This Row],[Tecnología]]&amp;Bash2[[#This Row],[Problema]],TbNombres[Tecnología]&amp;TbNombres[Problema],TbNombres[Nombre])</f>
        <v>Advdiff1d</v>
      </c>
      <c r="Q108" s="21">
        <v>4</v>
      </c>
      <c r="R108" s="21">
        <v>3</v>
      </c>
      <c r="S108" s="21">
        <v>256</v>
      </c>
      <c r="T108" s="21">
        <v>30000</v>
      </c>
      <c r="U108" s="21">
        <v>30000</v>
      </c>
      <c r="V108" s="21">
        <v>16.043800000000001</v>
      </c>
      <c r="X108" s="2" t="str">
        <f>_xlfn.XLOOKUP(Bash3[[#This Row],[Metodo]],TbSolver[Metodo],TbSolver[Solver])</f>
        <v>Adams Bashford</v>
      </c>
      <c r="Y108" s="2" t="str">
        <f>_xlfn.XLOOKUP(Bash3[[#This Row],[Hebras]],TbTecnologia[Hebras],TbTecnologia[Tecnología])</f>
        <v>CUDA</v>
      </c>
      <c r="Z108" s="2" t="str" cm="1">
        <f t="array" ref="Z108">_xlfn.XLOOKUP(Bash3[[#This Row],[Tecnología]]&amp;Bash3[[#This Row],[Metodo]],TbTipos[Tecnología]&amp;TbTipos[Metodo],TbTipos[Tipo])</f>
        <v>CUDA con graph</v>
      </c>
      <c r="AA108" s="2" t="str" cm="1">
        <f t="array" ref="AA108">_xlfn.XLOOKUP(Bash3[[#This Row],[Tecnología]]&amp;Bash3[[#This Row],[Problema]],TbNombres[Tecnología]&amp;TbNombres[Problema],TbNombres[Nombre])</f>
        <v>Brusselator1d</v>
      </c>
      <c r="AB108" s="21">
        <v>4</v>
      </c>
      <c r="AC108" s="21">
        <v>5</v>
      </c>
      <c r="AD108" s="21">
        <v>256</v>
      </c>
      <c r="AE108" s="21">
        <v>20000</v>
      </c>
      <c r="AF108" s="21">
        <v>40000</v>
      </c>
      <c r="AG108" s="21">
        <v>10.1577</v>
      </c>
    </row>
    <row r="109" spans="2:44" x14ac:dyDescent="0.2">
      <c r="B109" s="1" t="str">
        <f>_xlfn.XLOOKUP(Bash1[[#This Row],[Metodo]],TbSolver[Metodo],TbSolver[Solver])</f>
        <v>Adams Bashford</v>
      </c>
      <c r="C109" s="1" t="str">
        <f>_xlfn.XLOOKUP(Bash1[[#This Row],[Hebras]],TbTecnologia[Hebras],TbTecnologia[Tecnología])</f>
        <v>OMP</v>
      </c>
      <c r="D109" s="1" t="str" cm="1">
        <f t="array" ref="D109">_xlfn.XLOOKUP(Bash1[[#This Row],[Tecnología]]&amp;Bash1[[#This Row],[Metodo]],TbTipos[Tecnología]&amp;TbTipos[Metodo],TbTipos[Tipo])</f>
        <v>OMP Elementos</v>
      </c>
      <c r="E109" s="1" t="str" cm="1">
        <f t="array" ref="E109">_xlfn.XLOOKUP(Bash1[[#This Row],[Tecnología]]&amp;Bash1[[#This Row],[Problema]],TbNombres[Tecnología]&amp;TbNombres[Problema],TbNombres[Nombre])</f>
        <v>Simple Advdiff</v>
      </c>
      <c r="F109" s="20">
        <v>4</v>
      </c>
      <c r="G109" s="20">
        <v>1</v>
      </c>
      <c r="H109" s="20">
        <v>16</v>
      </c>
      <c r="I109" s="20">
        <v>30000</v>
      </c>
      <c r="J109" s="20">
        <v>30000</v>
      </c>
      <c r="K109" s="20">
        <v>24.4651</v>
      </c>
      <c r="M109" s="2" t="str">
        <f>_xlfn.XLOOKUP(Bash2[[#This Row],[Metodo]],TbSolver[Metodo],TbSolver[Solver])</f>
        <v>Adams Bashford</v>
      </c>
      <c r="N109" s="2" t="str">
        <f>_xlfn.XLOOKUP(Bash2[[#This Row],[Hebras]],TbTecnologia[Hebras],TbTecnologia[Tecnología])</f>
        <v>OMP</v>
      </c>
      <c r="O109" s="6" t="str" cm="1">
        <f t="array" ref="O109">_xlfn.XLOOKUP(Bash2[[#This Row],[Tecnología]]&amp;Bash2[[#This Row],[Metodo]],TbTipos[Tecnología]&amp;TbTipos[Metodo],TbTipos[Tipo])</f>
        <v>OMP Elementos</v>
      </c>
      <c r="P109" s="6" t="str" cm="1">
        <f t="array" ref="P109">_xlfn.XLOOKUP(Bash2[[#This Row],[Tecnología]]&amp;Bash2[[#This Row],[Problema]],TbNombres[Tecnología]&amp;TbNombres[Problema],TbNombres[Nombre])</f>
        <v>Advdiff1d</v>
      </c>
      <c r="Q109" s="21">
        <v>4</v>
      </c>
      <c r="R109" s="21">
        <v>2</v>
      </c>
      <c r="S109" s="21">
        <v>16</v>
      </c>
      <c r="T109" s="21">
        <v>30000</v>
      </c>
      <c r="U109" s="21">
        <v>30000</v>
      </c>
      <c r="V109" s="21">
        <v>73.830500000000001</v>
      </c>
      <c r="X109" s="2" t="str">
        <f>_xlfn.XLOOKUP(Bash3[[#This Row],[Metodo]],TbSolver[Metodo],TbSolver[Solver])</f>
        <v>Adams Bashford</v>
      </c>
      <c r="Y109" s="2" t="str">
        <f>_xlfn.XLOOKUP(Bash3[[#This Row],[Hebras]],TbTecnologia[Hebras],TbTecnologia[Tecnología])</f>
        <v>OMP</v>
      </c>
      <c r="Z109" s="2" t="str" cm="1">
        <f t="array" ref="Z109">_xlfn.XLOOKUP(Bash3[[#This Row],[Tecnología]]&amp;Bash3[[#This Row],[Metodo]],TbTipos[Tecnología]&amp;TbTipos[Metodo],TbTipos[Tipo])</f>
        <v>OMP Elementos</v>
      </c>
      <c r="AA109" s="2" t="str" cm="1">
        <f t="array" ref="AA109">_xlfn.XLOOKUP(Bash3[[#This Row],[Tecnología]]&amp;Bash3[[#This Row],[Problema]],TbNombres[Tecnología]&amp;TbNombres[Problema],TbNombres[Nombre])</f>
        <v>Brusselator1d</v>
      </c>
      <c r="AB109" s="21">
        <v>4</v>
      </c>
      <c r="AC109" s="21">
        <v>3</v>
      </c>
      <c r="AD109" s="21">
        <v>16</v>
      </c>
      <c r="AE109" s="21">
        <v>20000</v>
      </c>
      <c r="AF109" s="21">
        <v>40000</v>
      </c>
      <c r="AG109" s="21">
        <v>30.840499999999999</v>
      </c>
    </row>
    <row r="110" spans="2:44" x14ac:dyDescent="0.2">
      <c r="B110" s="1" t="str">
        <f>_xlfn.XLOOKUP(Bash1[[#This Row],[Metodo]],TbSolver[Metodo],TbSolver[Solver])</f>
        <v>Adams Bashford</v>
      </c>
      <c r="C110" s="1" t="str">
        <f>_xlfn.XLOOKUP(Bash1[[#This Row],[Hebras]],TbTecnologia[Hebras],TbTecnologia[Tecnología])</f>
        <v>OMP</v>
      </c>
      <c r="D110" s="1" t="str" cm="1">
        <f t="array" ref="D110">_xlfn.XLOOKUP(Bash1[[#This Row],[Tecnología]]&amp;Bash1[[#This Row],[Metodo]],TbTipos[Tecnología]&amp;TbTipos[Metodo],TbTipos[Tipo])</f>
        <v>OMP Operaciones</v>
      </c>
      <c r="E110" s="1" t="str" cm="1">
        <f t="array" ref="E110">_xlfn.XLOOKUP(Bash1[[#This Row],[Tecnología]]&amp;Bash1[[#This Row],[Problema]],TbNombres[Tecnología]&amp;TbNombres[Problema],TbNombres[Nombre])</f>
        <v>Simple Advdiff</v>
      </c>
      <c r="F110" s="20">
        <v>3</v>
      </c>
      <c r="G110" s="20">
        <v>1</v>
      </c>
      <c r="H110" s="20">
        <v>4</v>
      </c>
      <c r="I110" s="20">
        <v>30000</v>
      </c>
      <c r="J110" s="20">
        <v>30000</v>
      </c>
      <c r="K110" s="20">
        <v>27.895399999999999</v>
      </c>
      <c r="M110" s="2" t="str">
        <f>_xlfn.XLOOKUP(Bash2[[#This Row],[Metodo]],TbSolver[Metodo],TbSolver[Solver])</f>
        <v>Adams Bashford</v>
      </c>
      <c r="N110" s="2" t="str">
        <f>_xlfn.XLOOKUP(Bash2[[#This Row],[Hebras]],TbTecnologia[Hebras],TbTecnologia[Tecnología])</f>
        <v>OMP</v>
      </c>
      <c r="O110" s="6" t="str" cm="1">
        <f t="array" ref="O110">_xlfn.XLOOKUP(Bash2[[#This Row],[Tecnología]]&amp;Bash2[[#This Row],[Metodo]],TbTipos[Tecnología]&amp;TbTipos[Metodo],TbTipos[Tipo])</f>
        <v>OMP Operaciones</v>
      </c>
      <c r="P110" s="6" t="str" cm="1">
        <f t="array" ref="P110">_xlfn.XLOOKUP(Bash2[[#This Row],[Tecnología]]&amp;Bash2[[#This Row],[Problema]],TbNombres[Tecnología]&amp;TbNombres[Problema],TbNombres[Nombre])</f>
        <v>Advdiff1d</v>
      </c>
      <c r="Q110" s="21">
        <v>3</v>
      </c>
      <c r="R110" s="21">
        <v>2</v>
      </c>
      <c r="S110" s="21">
        <v>16</v>
      </c>
      <c r="T110" s="21">
        <v>30000</v>
      </c>
      <c r="U110" s="21">
        <v>30000</v>
      </c>
      <c r="V110" s="21">
        <v>92.442300000000003</v>
      </c>
      <c r="X110" s="2" t="str">
        <f>_xlfn.XLOOKUP(Bash3[[#This Row],[Metodo]],TbSolver[Metodo],TbSolver[Solver])</f>
        <v>Adams Bashford</v>
      </c>
      <c r="Y110" s="2" t="str">
        <f>_xlfn.XLOOKUP(Bash3[[#This Row],[Hebras]],TbTecnologia[Hebras],TbTecnologia[Tecnología])</f>
        <v>OMP</v>
      </c>
      <c r="Z110" s="2" t="str" cm="1">
        <f t="array" ref="Z110">_xlfn.XLOOKUP(Bash3[[#This Row],[Tecnología]]&amp;Bash3[[#This Row],[Metodo]],TbTipos[Tecnología]&amp;TbTipos[Metodo],TbTipos[Tipo])</f>
        <v>OMP Operaciones</v>
      </c>
      <c r="AA110" s="2" t="str" cm="1">
        <f t="array" ref="AA110">_xlfn.XLOOKUP(Bash3[[#This Row],[Tecnología]]&amp;Bash3[[#This Row],[Problema]],TbNombres[Tecnología]&amp;TbNombres[Problema],TbNombres[Nombre])</f>
        <v>Brusselator1d</v>
      </c>
      <c r="AB110" s="21">
        <v>3</v>
      </c>
      <c r="AC110" s="21">
        <v>3</v>
      </c>
      <c r="AD110" s="21">
        <v>16</v>
      </c>
      <c r="AE110" s="21">
        <v>20000</v>
      </c>
      <c r="AF110" s="21">
        <v>40000</v>
      </c>
      <c r="AG110" s="21">
        <v>48.032200000000003</v>
      </c>
    </row>
    <row r="111" spans="2:44" x14ac:dyDescent="0.2">
      <c r="B111" s="1" t="str">
        <f>_xlfn.XLOOKUP(Bash1[[#This Row],[Metodo]],TbSolver[Metodo],TbSolver[Solver])</f>
        <v>Adams Bashford</v>
      </c>
      <c r="C111" s="1" t="str">
        <f>_xlfn.XLOOKUP(Bash1[[#This Row],[Hebras]],TbTecnologia[Hebras],TbTecnologia[Tecnología])</f>
        <v>OMP</v>
      </c>
      <c r="D111" s="1" t="str" cm="1">
        <f t="array" ref="D111">_xlfn.XLOOKUP(Bash1[[#This Row],[Tecnología]]&amp;Bash1[[#This Row],[Metodo]],TbTipos[Tecnología]&amp;TbTipos[Metodo],TbTipos[Tipo])</f>
        <v>OMP Operaciones</v>
      </c>
      <c r="E111" s="1" t="str" cm="1">
        <f t="array" ref="E111">_xlfn.XLOOKUP(Bash1[[#This Row],[Tecnología]]&amp;Bash1[[#This Row],[Problema]],TbNombres[Tecnología]&amp;TbNombres[Problema],TbNombres[Nombre])</f>
        <v>Simple Advdiff</v>
      </c>
      <c r="F111" s="20">
        <v>3</v>
      </c>
      <c r="G111" s="20">
        <v>1</v>
      </c>
      <c r="H111" s="20">
        <v>16</v>
      </c>
      <c r="I111" s="20">
        <v>30000</v>
      </c>
      <c r="J111" s="20">
        <v>30000</v>
      </c>
      <c r="K111" s="20">
        <v>35.6571</v>
      </c>
      <c r="M111" s="2" t="str">
        <f>_xlfn.XLOOKUP(Bash2[[#This Row],[Metodo]],TbSolver[Metodo],TbSolver[Solver])</f>
        <v>Adams Bashford</v>
      </c>
      <c r="N111" s="2" t="str">
        <f>_xlfn.XLOOKUP(Bash2[[#This Row],[Hebras]],TbTecnologia[Hebras],TbTecnologia[Tecnología])</f>
        <v>OMP</v>
      </c>
      <c r="O111" s="6" t="str" cm="1">
        <f t="array" ref="O111">_xlfn.XLOOKUP(Bash2[[#This Row],[Tecnología]]&amp;Bash2[[#This Row],[Metodo]],TbTipos[Tecnología]&amp;TbTipos[Metodo],TbTipos[Tipo])</f>
        <v>OMP Operaciones</v>
      </c>
      <c r="P111" s="6" t="str" cm="1">
        <f t="array" ref="P111">_xlfn.XLOOKUP(Bash2[[#This Row],[Tecnología]]&amp;Bash2[[#This Row],[Problema]],TbNombres[Tecnología]&amp;TbNombres[Problema],TbNombres[Nombre])</f>
        <v>Advdiff1d</v>
      </c>
      <c r="Q111" s="21">
        <v>3</v>
      </c>
      <c r="R111" s="21">
        <v>2</v>
      </c>
      <c r="S111" s="21">
        <v>4</v>
      </c>
      <c r="T111" s="21">
        <v>30000</v>
      </c>
      <c r="U111" s="21">
        <v>30000</v>
      </c>
      <c r="V111" s="21">
        <v>212.233</v>
      </c>
      <c r="X111" s="2" t="str">
        <f>_xlfn.XLOOKUP(Bash3[[#This Row],[Metodo]],TbSolver[Metodo],TbSolver[Solver])</f>
        <v>Adams Bashford</v>
      </c>
      <c r="Y111" s="2" t="str">
        <f>_xlfn.XLOOKUP(Bash3[[#This Row],[Hebras]],TbTecnologia[Hebras],TbTecnologia[Tecnología])</f>
        <v>OMP</v>
      </c>
      <c r="Z111" s="2" t="str" cm="1">
        <f t="array" ref="Z111">_xlfn.XLOOKUP(Bash3[[#This Row],[Tecnología]]&amp;Bash3[[#This Row],[Metodo]],TbTipos[Tecnología]&amp;TbTipos[Metodo],TbTipos[Tipo])</f>
        <v>OMP Operaciones</v>
      </c>
      <c r="AA111" s="2" t="str" cm="1">
        <f t="array" ref="AA111">_xlfn.XLOOKUP(Bash3[[#This Row],[Tecnología]]&amp;Bash3[[#This Row],[Problema]],TbNombres[Tecnología]&amp;TbNombres[Problema],TbNombres[Nombre])</f>
        <v>Brusselator1d</v>
      </c>
      <c r="AB111" s="21">
        <v>3</v>
      </c>
      <c r="AC111" s="21">
        <v>3</v>
      </c>
      <c r="AD111" s="21">
        <v>4</v>
      </c>
      <c r="AE111" s="21">
        <v>20000</v>
      </c>
      <c r="AF111" s="21">
        <v>40000</v>
      </c>
      <c r="AG111" s="21">
        <v>55.079000000000001</v>
      </c>
    </row>
    <row r="112" spans="2:44" x14ac:dyDescent="0.2">
      <c r="B112" s="1" t="str">
        <f>_xlfn.XLOOKUP(Bash1[[#This Row],[Metodo]],TbSolver[Metodo],TbSolver[Solver])</f>
        <v>Adams Bashford</v>
      </c>
      <c r="C112" s="1" t="str">
        <f>_xlfn.XLOOKUP(Bash1[[#This Row],[Hebras]],TbTecnologia[Hebras],TbTecnologia[Tecnología])</f>
        <v>OMP</v>
      </c>
      <c r="D112" s="1" t="str" cm="1">
        <f t="array" ref="D112">_xlfn.XLOOKUP(Bash1[[#This Row],[Tecnología]]&amp;Bash1[[#This Row],[Metodo]],TbTipos[Tecnología]&amp;TbTipos[Metodo],TbTipos[Tipo])</f>
        <v>OMP Elementos</v>
      </c>
      <c r="E112" s="1" t="str" cm="1">
        <f t="array" ref="E112">_xlfn.XLOOKUP(Bash1[[#This Row],[Tecnología]]&amp;Bash1[[#This Row],[Problema]],TbNombres[Tecnología]&amp;TbNombres[Problema],TbNombres[Nombre])</f>
        <v>Simple Advdiff</v>
      </c>
      <c r="F112" s="20">
        <v>4</v>
      </c>
      <c r="G112" s="20">
        <v>1</v>
      </c>
      <c r="H112" s="20">
        <v>4</v>
      </c>
      <c r="I112" s="20">
        <v>30000</v>
      </c>
      <c r="J112" s="20">
        <v>30000</v>
      </c>
      <c r="K112" s="20">
        <v>45.612499999999997</v>
      </c>
      <c r="M112" s="2" t="str">
        <f>_xlfn.XLOOKUP(Bash2[[#This Row],[Metodo]],TbSolver[Metodo],TbSolver[Solver])</f>
        <v>Adams Bashford</v>
      </c>
      <c r="N112" s="2" t="str">
        <f>_xlfn.XLOOKUP(Bash2[[#This Row],[Hebras]],TbTecnologia[Hebras],TbTecnologia[Tecnología])</f>
        <v>OMP</v>
      </c>
      <c r="O112" s="6" t="str" cm="1">
        <f t="array" ref="O112">_xlfn.XLOOKUP(Bash2[[#This Row],[Tecnología]]&amp;Bash2[[#This Row],[Metodo]],TbTipos[Tecnología]&amp;TbTipos[Metodo],TbTipos[Tipo])</f>
        <v>OMP Elementos</v>
      </c>
      <c r="P112" s="6" t="str" cm="1">
        <f t="array" ref="P112">_xlfn.XLOOKUP(Bash2[[#This Row],[Tecnología]]&amp;Bash2[[#This Row],[Problema]],TbNombres[Tecnología]&amp;TbNombres[Problema],TbNombres[Nombre])</f>
        <v>Advdiff1d</v>
      </c>
      <c r="Q112" s="21">
        <v>4</v>
      </c>
      <c r="R112" s="21">
        <v>2</v>
      </c>
      <c r="S112" s="21">
        <v>4</v>
      </c>
      <c r="T112" s="21">
        <v>30000</v>
      </c>
      <c r="U112" s="21">
        <v>30000</v>
      </c>
      <c r="V112" s="21">
        <v>228.029</v>
      </c>
      <c r="X112" s="2" t="str">
        <f>_xlfn.XLOOKUP(Bash3[[#This Row],[Metodo]],TbSolver[Metodo],TbSolver[Solver])</f>
        <v>Adams Bashford</v>
      </c>
      <c r="Y112" s="2" t="str">
        <f>_xlfn.XLOOKUP(Bash3[[#This Row],[Hebras]],TbTecnologia[Hebras],TbTecnologia[Tecnología])</f>
        <v>OMP</v>
      </c>
      <c r="Z112" s="2" t="str" cm="1">
        <f t="array" ref="Z112">_xlfn.XLOOKUP(Bash3[[#This Row],[Tecnología]]&amp;Bash3[[#This Row],[Metodo]],TbTipos[Tecnología]&amp;TbTipos[Metodo],TbTipos[Tipo])</f>
        <v>OMP Elementos</v>
      </c>
      <c r="AA112" s="2" t="str" cm="1">
        <f t="array" ref="AA112">_xlfn.XLOOKUP(Bash3[[#This Row],[Tecnología]]&amp;Bash3[[#This Row],[Problema]],TbNombres[Tecnología]&amp;TbNombres[Problema],TbNombres[Nombre])</f>
        <v>Brusselator1d</v>
      </c>
      <c r="AB112" s="21">
        <v>4</v>
      </c>
      <c r="AC112" s="21">
        <v>3</v>
      </c>
      <c r="AD112" s="21">
        <v>4</v>
      </c>
      <c r="AE112" s="21">
        <v>20000</v>
      </c>
      <c r="AF112" s="21">
        <v>40000</v>
      </c>
      <c r="AG112" s="21">
        <v>70.881100000000004</v>
      </c>
    </row>
    <row r="113" spans="2:33" x14ac:dyDescent="0.2">
      <c r="B113" s="1" t="str">
        <f>_xlfn.XLOOKUP(Bash1[[#This Row],[Metodo]],TbSolver[Metodo],TbSolver[Solver])</f>
        <v>Adams Bashford</v>
      </c>
      <c r="C113" s="1" t="str">
        <f>_xlfn.XLOOKUP(Bash1[[#This Row],[Hebras]],TbTecnologia[Hebras],TbTecnologia[Tecnología])</f>
        <v>OMP</v>
      </c>
      <c r="D113" s="1" t="str" cm="1">
        <f t="array" ref="D113">_xlfn.XLOOKUP(Bash1[[#This Row],[Tecnología]]&amp;Bash1[[#This Row],[Metodo]],TbTipos[Tecnología]&amp;TbTipos[Metodo],TbTipos[Tipo])</f>
        <v>OMP Operaciones</v>
      </c>
      <c r="E113" s="1" t="str" cm="1">
        <f t="array" ref="E113">_xlfn.XLOOKUP(Bash1[[#This Row],[Tecnología]]&amp;Bash1[[#This Row],[Problema]],TbNombres[Tecnología]&amp;TbNombres[Problema],TbNombres[Nombre])</f>
        <v>Simple Advdiff</v>
      </c>
      <c r="F113" s="20">
        <v>3</v>
      </c>
      <c r="G113" s="20">
        <v>1</v>
      </c>
      <c r="H113" s="20">
        <v>1</v>
      </c>
      <c r="I113" s="20">
        <v>30000</v>
      </c>
      <c r="J113" s="20">
        <v>30000</v>
      </c>
      <c r="K113" s="20">
        <v>91.940600000000003</v>
      </c>
      <c r="M113" s="2" t="str">
        <f>_xlfn.XLOOKUP(Bash2[[#This Row],[Metodo]],TbSolver[Metodo],TbSolver[Solver])</f>
        <v>Adams Bashford</v>
      </c>
      <c r="N113" s="2" t="str">
        <f>_xlfn.XLOOKUP(Bash2[[#This Row],[Hebras]],TbTecnologia[Hebras],TbTecnologia[Tecnología])</f>
        <v>OMP</v>
      </c>
      <c r="O113" s="6" t="str" cm="1">
        <f t="array" ref="O113">_xlfn.XLOOKUP(Bash2[[#This Row],[Tecnología]]&amp;Bash2[[#This Row],[Metodo]],TbTipos[Tecnología]&amp;TbTipos[Metodo],TbTipos[Tipo])</f>
        <v>OMP Operaciones</v>
      </c>
      <c r="P113" s="6" t="str" cm="1">
        <f t="array" ref="P113">_xlfn.XLOOKUP(Bash2[[#This Row],[Tecnología]]&amp;Bash2[[#This Row],[Problema]],TbNombres[Tecnología]&amp;TbNombres[Problema],TbNombres[Nombre])</f>
        <v>Advdiff1d</v>
      </c>
      <c r="Q113" s="21">
        <v>3</v>
      </c>
      <c r="R113" s="21">
        <v>2</v>
      </c>
      <c r="S113" s="21">
        <v>1</v>
      </c>
      <c r="T113" s="21">
        <v>30000</v>
      </c>
      <c r="U113" s="21">
        <v>30000</v>
      </c>
      <c r="V113" s="21">
        <v>711.35900000000004</v>
      </c>
      <c r="X113" s="2" t="str">
        <f>_xlfn.XLOOKUP(Bash3[[#This Row],[Metodo]],TbSolver[Metodo],TbSolver[Solver])</f>
        <v>Adams Bashford</v>
      </c>
      <c r="Y113" s="2" t="str">
        <f>_xlfn.XLOOKUP(Bash3[[#This Row],[Hebras]],TbTecnologia[Hebras],TbTecnologia[Tecnología])</f>
        <v>OMP</v>
      </c>
      <c r="Z113" s="2" t="str" cm="1">
        <f t="array" ref="Z113">_xlfn.XLOOKUP(Bash3[[#This Row],[Tecnología]]&amp;Bash3[[#This Row],[Metodo]],TbTipos[Tecnología]&amp;TbTipos[Metodo],TbTipos[Tipo])</f>
        <v>OMP Operaciones</v>
      </c>
      <c r="AA113" s="2" t="str" cm="1">
        <f t="array" ref="AA113">_xlfn.XLOOKUP(Bash3[[#This Row],[Tecnología]]&amp;Bash3[[#This Row],[Problema]],TbNombres[Tecnología]&amp;TbNombres[Problema],TbNombres[Nombre])</f>
        <v>Brusselator1d</v>
      </c>
      <c r="AB113" s="21">
        <v>3</v>
      </c>
      <c r="AC113" s="21">
        <v>3</v>
      </c>
      <c r="AD113" s="21">
        <v>1</v>
      </c>
      <c r="AE113" s="21">
        <v>20000</v>
      </c>
      <c r="AF113" s="21">
        <v>40000</v>
      </c>
      <c r="AG113" s="21">
        <v>203.46299999999999</v>
      </c>
    </row>
    <row r="114" spans="2:33" x14ac:dyDescent="0.2">
      <c r="B114" s="1" t="str">
        <f>_xlfn.XLOOKUP(Bash1[[#This Row],[Metodo]],TbSolver[Metodo],TbSolver[Solver])</f>
        <v>Adams Bashford</v>
      </c>
      <c r="C114" s="1" t="str">
        <f>_xlfn.XLOOKUP(Bash1[[#This Row],[Hebras]],TbTecnologia[Hebras],TbTecnologia[Tecnología])</f>
        <v>OMP</v>
      </c>
      <c r="D114" s="1" t="str" cm="1">
        <f t="array" ref="D114">_xlfn.XLOOKUP(Bash1[[#This Row],[Tecnología]]&amp;Bash1[[#This Row],[Metodo]],TbTipos[Tecnología]&amp;TbTipos[Metodo],TbTipos[Tipo])</f>
        <v>OMP Elementos</v>
      </c>
      <c r="E114" s="1" t="str" cm="1">
        <f t="array" ref="E114">_xlfn.XLOOKUP(Bash1[[#This Row],[Tecnología]]&amp;Bash1[[#This Row],[Problema]],TbNombres[Tecnología]&amp;TbNombres[Problema],TbNombres[Nombre])</f>
        <v>Simple Advdiff</v>
      </c>
      <c r="F114" s="20">
        <v>4</v>
      </c>
      <c r="G114" s="20">
        <v>1</v>
      </c>
      <c r="H114" s="20">
        <v>1</v>
      </c>
      <c r="I114" s="20">
        <v>30000</v>
      </c>
      <c r="J114" s="20">
        <v>30000</v>
      </c>
      <c r="K114" s="20">
        <v>167.95</v>
      </c>
      <c r="M114" s="2" t="str">
        <f>_xlfn.XLOOKUP(Bash2[[#This Row],[Metodo]],TbSolver[Metodo],TbSolver[Solver])</f>
        <v>Adams Bashford</v>
      </c>
      <c r="N114" s="2" t="str">
        <f>_xlfn.XLOOKUP(Bash2[[#This Row],[Hebras]],TbTecnologia[Hebras],TbTecnologia[Tecnología])</f>
        <v>OMP</v>
      </c>
      <c r="O114" s="6" t="str" cm="1">
        <f t="array" ref="O114">_xlfn.XLOOKUP(Bash2[[#This Row],[Tecnología]]&amp;Bash2[[#This Row],[Metodo]],TbTipos[Tecnología]&amp;TbTipos[Metodo],TbTipos[Tipo])</f>
        <v>OMP Elementos</v>
      </c>
      <c r="P114" s="6" t="str" cm="1">
        <f t="array" ref="P114">_xlfn.XLOOKUP(Bash2[[#This Row],[Tecnología]]&amp;Bash2[[#This Row],[Problema]],TbNombres[Tecnología]&amp;TbNombres[Problema],TbNombres[Nombre])</f>
        <v>Advdiff1d</v>
      </c>
      <c r="Q114" s="21">
        <v>4</v>
      </c>
      <c r="R114" s="21">
        <v>2</v>
      </c>
      <c r="S114" s="21">
        <v>1</v>
      </c>
      <c r="T114" s="21">
        <v>30000</v>
      </c>
      <c r="U114" s="21">
        <v>30000</v>
      </c>
      <c r="V114" s="21">
        <v>818.01</v>
      </c>
      <c r="X114" s="2" t="str">
        <f>_xlfn.XLOOKUP(Bash3[[#This Row],[Metodo]],TbSolver[Metodo],TbSolver[Solver])</f>
        <v>Adams Bashford</v>
      </c>
      <c r="Y114" s="2" t="str">
        <f>_xlfn.XLOOKUP(Bash3[[#This Row],[Hebras]],TbTecnologia[Hebras],TbTecnologia[Tecnología])</f>
        <v>OMP</v>
      </c>
      <c r="Z114" s="2" t="str" cm="1">
        <f t="array" ref="Z114">_xlfn.XLOOKUP(Bash3[[#This Row],[Tecnología]]&amp;Bash3[[#This Row],[Metodo]],TbTipos[Tecnología]&amp;TbTipos[Metodo],TbTipos[Tipo])</f>
        <v>OMP Elementos</v>
      </c>
      <c r="AA114" s="2" t="str" cm="1">
        <f t="array" ref="AA114">_xlfn.XLOOKUP(Bash3[[#This Row],[Tecnología]]&amp;Bash3[[#This Row],[Problema]],TbNombres[Tecnología]&amp;TbNombres[Problema],TbNombres[Nombre])</f>
        <v>Brusselator1d</v>
      </c>
      <c r="AB114" s="21">
        <v>4</v>
      </c>
      <c r="AC114" s="21">
        <v>3</v>
      </c>
      <c r="AD114" s="21">
        <v>1</v>
      </c>
      <c r="AE114" s="21">
        <v>20000</v>
      </c>
      <c r="AF114" s="21">
        <v>40000</v>
      </c>
      <c r="AG114" s="21">
        <v>277.84800000000001</v>
      </c>
    </row>
    <row r="115" spans="2:33" x14ac:dyDescent="0.2">
      <c r="B115" s="1" t="str">
        <f>_xlfn.XLOOKUP(Bash1[[#This Row],[Metodo]],TbSolver[Metodo],TbSolver[Solver])</f>
        <v>Adams Bashford</v>
      </c>
      <c r="C115" s="1" t="str">
        <f>_xlfn.XLOOKUP(Bash1[[#This Row],[Hebras]],TbTecnologia[Hebras],TbTecnologia[Tecnología])</f>
        <v>CUDA</v>
      </c>
      <c r="D115" s="1" t="str" cm="1">
        <f t="array" ref="D115">_xlfn.XLOOKUP(Bash1[[#This Row],[Tecnología]]&amp;Bash1[[#This Row],[Metodo]],TbTipos[Tecnología]&amp;TbTipos[Metodo],TbTipos[Tipo])</f>
        <v>CUDA sin graph</v>
      </c>
      <c r="E115" s="1" t="str" cm="1">
        <f t="array" ref="E115">_xlfn.XLOOKUP(Bash1[[#This Row],[Tecnología]]&amp;Bash1[[#This Row],[Problema]],TbNombres[Tecnología]&amp;TbNombres[Problema],TbNombres[Nombre])</f>
        <v>Simple Advdiff</v>
      </c>
      <c r="F115" s="20">
        <v>3</v>
      </c>
      <c r="G115" s="20">
        <v>1</v>
      </c>
      <c r="H115" s="20">
        <v>256</v>
      </c>
      <c r="I115" s="20">
        <v>40000</v>
      </c>
      <c r="J115" s="20">
        <v>40000</v>
      </c>
      <c r="K115" s="20">
        <v>7.0358499999999999</v>
      </c>
      <c r="M115" s="2" t="str">
        <f>_xlfn.XLOOKUP(Bash2[[#This Row],[Metodo]],TbSolver[Metodo],TbSolver[Solver])</f>
        <v>Adams Bashford</v>
      </c>
      <c r="N115" s="2" t="str">
        <f>_xlfn.XLOOKUP(Bash2[[#This Row],[Hebras]],TbTecnologia[Hebras],TbTecnologia[Tecnología])</f>
        <v>CUDA</v>
      </c>
      <c r="O115" s="6" t="str" cm="1">
        <f t="array" ref="O115">_xlfn.XLOOKUP(Bash2[[#This Row],[Tecnología]]&amp;Bash2[[#This Row],[Metodo]],TbTipos[Tecnología]&amp;TbTipos[Metodo],TbTipos[Tipo])</f>
        <v>CUDA sin graph</v>
      </c>
      <c r="P115" s="6" t="str" cm="1">
        <f t="array" ref="P115">_xlfn.XLOOKUP(Bash2[[#This Row],[Tecnología]]&amp;Bash2[[#This Row],[Problema]],TbNombres[Tecnología]&amp;TbNombres[Problema],TbNombres[Nombre])</f>
        <v>Advdiff1d</v>
      </c>
      <c r="Q115" s="21">
        <v>3</v>
      </c>
      <c r="R115" s="21">
        <v>3</v>
      </c>
      <c r="S115" s="21">
        <v>256</v>
      </c>
      <c r="T115" s="21">
        <v>40000</v>
      </c>
      <c r="U115" s="21">
        <v>40000</v>
      </c>
      <c r="V115" s="21">
        <v>19.089300000000001</v>
      </c>
      <c r="X115" s="2" t="str">
        <f>_xlfn.XLOOKUP(Bash3[[#This Row],[Metodo]],TbSolver[Metodo],TbSolver[Solver])</f>
        <v>Adams Bashford</v>
      </c>
      <c r="Y115" s="2" t="str">
        <f>_xlfn.XLOOKUP(Bash3[[#This Row],[Hebras]],TbTecnologia[Hebras],TbTecnologia[Tecnología])</f>
        <v>OMP</v>
      </c>
      <c r="Z115" s="2" t="str" cm="1">
        <f t="array" ref="Z115">_xlfn.XLOOKUP(Bash3[[#This Row],[Tecnología]]&amp;Bash3[[#This Row],[Metodo]],TbTipos[Tecnología]&amp;TbTipos[Metodo],TbTipos[Tipo])</f>
        <v>OMP Operaciones</v>
      </c>
      <c r="AA115" s="2" t="str" cm="1">
        <f t="array" ref="AA115">_xlfn.XLOOKUP(Bash3[[#This Row],[Tecnología]]&amp;Bash3[[#This Row],[Problema]],TbNombres[Tecnología]&amp;TbNombres[Problema],TbNombres[Nombre])</f>
        <v>Brusselator1d</v>
      </c>
      <c r="AB115" s="21">
        <v>3</v>
      </c>
      <c r="AC115" s="21">
        <v>3</v>
      </c>
      <c r="AD115" s="21">
        <v>16</v>
      </c>
      <c r="AE115" s="21">
        <v>25000</v>
      </c>
      <c r="AF115" s="21">
        <v>50000</v>
      </c>
      <c r="AG115" s="21">
        <v>53.756300000000003</v>
      </c>
    </row>
    <row r="116" spans="2:33" x14ac:dyDescent="0.2">
      <c r="B116" s="1" t="str">
        <f>_xlfn.XLOOKUP(Bash1[[#This Row],[Metodo]],TbSolver[Metodo],TbSolver[Solver])</f>
        <v>Adams Bashford</v>
      </c>
      <c r="C116" s="1" t="str">
        <f>_xlfn.XLOOKUP(Bash1[[#This Row],[Hebras]],TbTecnologia[Hebras],TbTecnologia[Tecnología])</f>
        <v>CUDA</v>
      </c>
      <c r="D116" s="1" t="str" cm="1">
        <f t="array" ref="D116">_xlfn.XLOOKUP(Bash1[[#This Row],[Tecnología]]&amp;Bash1[[#This Row],[Metodo]],TbTipos[Tecnología]&amp;TbTipos[Metodo],TbTipos[Tipo])</f>
        <v>CUDA con graph</v>
      </c>
      <c r="E116" s="1" t="str" cm="1">
        <f t="array" ref="E116">_xlfn.XLOOKUP(Bash1[[#This Row],[Tecnología]]&amp;Bash1[[#This Row],[Problema]],TbNombres[Tecnología]&amp;TbNombres[Problema],TbNombres[Nombre])</f>
        <v>Simple Advdiff</v>
      </c>
      <c r="F116" s="20">
        <v>4</v>
      </c>
      <c r="G116" s="20">
        <v>1</v>
      </c>
      <c r="H116" s="20">
        <v>256</v>
      </c>
      <c r="I116" s="20">
        <v>40000</v>
      </c>
      <c r="J116" s="20">
        <v>40000</v>
      </c>
      <c r="K116" s="20">
        <v>9.0206</v>
      </c>
      <c r="M116" s="2" t="str">
        <f>_xlfn.XLOOKUP(Bash2[[#This Row],[Metodo]],TbSolver[Metodo],TbSolver[Solver])</f>
        <v>Adams Bashford</v>
      </c>
      <c r="N116" s="2" t="str">
        <f>_xlfn.XLOOKUP(Bash2[[#This Row],[Hebras]],TbTecnologia[Hebras],TbTecnologia[Tecnología])</f>
        <v>CUDA</v>
      </c>
      <c r="O116" s="6" t="str" cm="1">
        <f t="array" ref="O116">_xlfn.XLOOKUP(Bash2[[#This Row],[Tecnología]]&amp;Bash2[[#This Row],[Metodo]],TbTipos[Tecnología]&amp;TbTipos[Metodo],TbTipos[Tipo])</f>
        <v>CUDA con graph</v>
      </c>
      <c r="P116" s="6" t="str" cm="1">
        <f t="array" ref="P116">_xlfn.XLOOKUP(Bash2[[#This Row],[Tecnología]]&amp;Bash2[[#This Row],[Problema]],TbNombres[Tecnología]&amp;TbNombres[Problema],TbNombres[Nombre])</f>
        <v>Advdiff1d</v>
      </c>
      <c r="Q116" s="21">
        <v>4</v>
      </c>
      <c r="R116" s="21">
        <v>3</v>
      </c>
      <c r="S116" s="21">
        <v>256</v>
      </c>
      <c r="T116" s="21">
        <v>40000</v>
      </c>
      <c r="U116" s="21">
        <v>40000</v>
      </c>
      <c r="V116" s="21">
        <v>21.6327</v>
      </c>
      <c r="X116" s="2" t="str">
        <f>_xlfn.XLOOKUP(Bash3[[#This Row],[Metodo]],TbSolver[Metodo],TbSolver[Solver])</f>
        <v>Adams Bashford</v>
      </c>
      <c r="Y116" s="2" t="str">
        <f>_xlfn.XLOOKUP(Bash3[[#This Row],[Hebras]],TbTecnologia[Hebras],TbTecnologia[Tecnología])</f>
        <v>OMP</v>
      </c>
      <c r="Z116" s="2" t="str" cm="1">
        <f t="array" ref="Z116">_xlfn.XLOOKUP(Bash3[[#This Row],[Tecnología]]&amp;Bash3[[#This Row],[Metodo]],TbTipos[Tecnología]&amp;TbTipos[Metodo],TbTipos[Tipo])</f>
        <v>OMP Operaciones</v>
      </c>
      <c r="AA116" s="2" t="str" cm="1">
        <f t="array" ref="AA116">_xlfn.XLOOKUP(Bash3[[#This Row],[Tecnología]]&amp;Bash3[[#This Row],[Problema]],TbNombres[Tecnología]&amp;TbNombres[Problema],TbNombres[Nombre])</f>
        <v>Brusselator1d</v>
      </c>
      <c r="AB116" s="21">
        <v>3</v>
      </c>
      <c r="AC116" s="21">
        <v>3</v>
      </c>
      <c r="AD116" s="21">
        <v>4</v>
      </c>
      <c r="AE116" s="21">
        <v>25000</v>
      </c>
      <c r="AF116" s="21">
        <v>50000</v>
      </c>
      <c r="AG116" s="21">
        <v>65.536799999999999</v>
      </c>
    </row>
    <row r="117" spans="2:33" x14ac:dyDescent="0.2">
      <c r="B117" s="1" t="str">
        <f>_xlfn.XLOOKUP(Bash1[[#This Row],[Metodo]],TbSolver[Metodo],TbSolver[Solver])</f>
        <v>Adams Bashford</v>
      </c>
      <c r="C117" s="1" t="str">
        <f>_xlfn.XLOOKUP(Bash1[[#This Row],[Hebras]],TbTecnologia[Hebras],TbTecnologia[Tecnología])</f>
        <v>OMP</v>
      </c>
      <c r="D117" s="1" t="str" cm="1">
        <f t="array" ref="D117">_xlfn.XLOOKUP(Bash1[[#This Row],[Tecnología]]&amp;Bash1[[#This Row],[Metodo]],TbTipos[Tecnología]&amp;TbTipos[Metodo],TbTipos[Tipo])</f>
        <v>OMP Operaciones</v>
      </c>
      <c r="E117" s="1" t="str" cm="1">
        <f t="array" ref="E117">_xlfn.XLOOKUP(Bash1[[#This Row],[Tecnología]]&amp;Bash1[[#This Row],[Problema]],TbNombres[Tecnología]&amp;TbNombres[Problema],TbNombres[Nombre])</f>
        <v>Simple Advdiff</v>
      </c>
      <c r="F117" s="20">
        <v>3</v>
      </c>
      <c r="G117" s="20">
        <v>1</v>
      </c>
      <c r="H117" s="20">
        <v>4</v>
      </c>
      <c r="I117" s="20">
        <v>40000</v>
      </c>
      <c r="J117" s="20">
        <v>40000</v>
      </c>
      <c r="K117" s="20">
        <v>34.0657</v>
      </c>
      <c r="M117" s="2" t="str">
        <f>_xlfn.XLOOKUP(Bash2[[#This Row],[Metodo]],TbSolver[Metodo],TbSolver[Solver])</f>
        <v>Adams Bashford</v>
      </c>
      <c r="N117" s="2" t="str">
        <f>_xlfn.XLOOKUP(Bash2[[#This Row],[Hebras]],TbTecnologia[Hebras],TbTecnologia[Tecnología])</f>
        <v>OMP</v>
      </c>
      <c r="O117" s="9" t="str" cm="1">
        <f t="array" ref="O117">_xlfn.XLOOKUP(Bash2[[#This Row],[Tecnología]]&amp;Bash2[[#This Row],[Metodo]],TbTipos[Tecnología]&amp;TbTipos[Metodo],TbTipos[Tipo])</f>
        <v>OMP Elementos</v>
      </c>
      <c r="P117" s="9" t="str" cm="1">
        <f t="array" ref="P117">_xlfn.XLOOKUP(Bash2[[#This Row],[Tecnología]]&amp;Bash2[[#This Row],[Problema]],TbNombres[Tecnología]&amp;TbNombres[Problema],TbNombres[Nombre])</f>
        <v>Advdiff1d</v>
      </c>
      <c r="Q117" s="21">
        <v>4</v>
      </c>
      <c r="R117" s="21">
        <v>2</v>
      </c>
      <c r="S117" s="21">
        <v>16</v>
      </c>
      <c r="T117" s="21">
        <v>40000</v>
      </c>
      <c r="U117" s="21">
        <v>40000</v>
      </c>
      <c r="V117" s="21">
        <v>96.131399999999999</v>
      </c>
      <c r="X117" s="2" t="str">
        <f>_xlfn.XLOOKUP(Bash3[[#This Row],[Metodo]],TbSolver[Metodo],TbSolver[Solver])</f>
        <v>Adams Bashford</v>
      </c>
      <c r="Y117" s="2" t="str">
        <f>_xlfn.XLOOKUP(Bash3[[#This Row],[Hebras]],TbTecnologia[Hebras],TbTecnologia[Tecnología])</f>
        <v>OMP</v>
      </c>
      <c r="Z117" s="2" t="str" cm="1">
        <f t="array" ref="Z117">_xlfn.XLOOKUP(Bash3[[#This Row],[Tecnología]]&amp;Bash3[[#This Row],[Metodo]],TbTipos[Tecnología]&amp;TbTipos[Metodo],TbTipos[Tipo])</f>
        <v>OMP Elementos</v>
      </c>
      <c r="AA117" s="2" t="str" cm="1">
        <f t="array" ref="AA117">_xlfn.XLOOKUP(Bash3[[#This Row],[Tecnología]]&amp;Bash3[[#This Row],[Problema]],TbNombres[Tecnología]&amp;TbNombres[Problema],TbNombres[Nombre])</f>
        <v>Brusselator1d</v>
      </c>
      <c r="AB117" s="21">
        <v>4</v>
      </c>
      <c r="AC117" s="21">
        <v>3</v>
      </c>
      <c r="AD117" s="21">
        <v>16</v>
      </c>
      <c r="AE117" s="21">
        <v>25000</v>
      </c>
      <c r="AF117" s="21">
        <v>50000</v>
      </c>
      <c r="AG117" s="21">
        <v>79.791200000000003</v>
      </c>
    </row>
    <row r="118" spans="2:33" x14ac:dyDescent="0.2">
      <c r="B118" s="1" t="str">
        <f>_xlfn.XLOOKUP(Bash1[[#This Row],[Metodo]],TbSolver[Metodo],TbSolver[Solver])</f>
        <v>Adams Bashford</v>
      </c>
      <c r="C118" s="1" t="str">
        <f>_xlfn.XLOOKUP(Bash1[[#This Row],[Hebras]],TbTecnologia[Hebras],TbTecnologia[Tecnología])</f>
        <v>OMP</v>
      </c>
      <c r="D118" s="1" t="str" cm="1">
        <f t="array" ref="D118">_xlfn.XLOOKUP(Bash1[[#This Row],[Tecnología]]&amp;Bash1[[#This Row],[Metodo]],TbTipos[Tecnología]&amp;TbTipos[Metodo],TbTipos[Tipo])</f>
        <v>OMP Operaciones</v>
      </c>
      <c r="E118" s="1" t="str" cm="1">
        <f t="array" ref="E118">_xlfn.XLOOKUP(Bash1[[#This Row],[Tecnología]]&amp;Bash1[[#This Row],[Problema]],TbNombres[Tecnología]&amp;TbNombres[Problema],TbNombres[Nombre])</f>
        <v>Simple Advdiff</v>
      </c>
      <c r="F118" s="20">
        <v>3</v>
      </c>
      <c r="G118" s="20">
        <v>1</v>
      </c>
      <c r="H118" s="20">
        <v>16</v>
      </c>
      <c r="I118" s="20">
        <v>40000</v>
      </c>
      <c r="J118" s="20">
        <v>40000</v>
      </c>
      <c r="K118" s="20">
        <v>38.465600000000002</v>
      </c>
      <c r="M118" s="2" t="str">
        <f>_xlfn.XLOOKUP(Bash2[[#This Row],[Metodo]],TbSolver[Metodo],TbSolver[Solver])</f>
        <v>Adams Bashford</v>
      </c>
      <c r="N118" s="2" t="str">
        <f>_xlfn.XLOOKUP(Bash2[[#This Row],[Hebras]],TbTecnologia[Hebras],TbTecnologia[Tecnología])</f>
        <v>OMP</v>
      </c>
      <c r="O118" s="6" t="str" cm="1">
        <f t="array" ref="O118">_xlfn.XLOOKUP(Bash2[[#This Row],[Tecnología]]&amp;Bash2[[#This Row],[Metodo]],TbTipos[Tecnología]&amp;TbTipos[Metodo],TbTipos[Tipo])</f>
        <v>OMP Operaciones</v>
      </c>
      <c r="P118" s="6" t="str" cm="1">
        <f t="array" ref="P118">_xlfn.XLOOKUP(Bash2[[#This Row],[Tecnología]]&amp;Bash2[[#This Row],[Problema]],TbNombres[Tecnología]&amp;TbNombres[Problema],TbNombres[Nombre])</f>
        <v>Advdiff1d</v>
      </c>
      <c r="Q118" s="21">
        <v>3</v>
      </c>
      <c r="R118" s="21">
        <v>2</v>
      </c>
      <c r="S118" s="21">
        <v>16</v>
      </c>
      <c r="T118" s="21">
        <v>40000</v>
      </c>
      <c r="U118" s="21">
        <v>40000</v>
      </c>
      <c r="V118" s="21">
        <v>150.733</v>
      </c>
      <c r="X118" s="2" t="str">
        <f>_xlfn.XLOOKUP(Bash3[[#This Row],[Metodo]],TbSolver[Metodo],TbSolver[Solver])</f>
        <v>Adams Bashford</v>
      </c>
      <c r="Y118" s="2" t="str">
        <f>_xlfn.XLOOKUP(Bash3[[#This Row],[Hebras]],TbTecnologia[Hebras],TbTecnologia[Tecnología])</f>
        <v>OMP</v>
      </c>
      <c r="Z118" s="2" t="str" cm="1">
        <f t="array" ref="Z118">_xlfn.XLOOKUP(Bash3[[#This Row],[Tecnología]]&amp;Bash3[[#This Row],[Metodo]],TbTipos[Tecnología]&amp;TbTipos[Metodo],TbTipos[Tipo])</f>
        <v>OMP Elementos</v>
      </c>
      <c r="AA118" s="2" t="str" cm="1">
        <f t="array" ref="AA118">_xlfn.XLOOKUP(Bash3[[#This Row],[Tecnología]]&amp;Bash3[[#This Row],[Problema]],TbNombres[Tecnología]&amp;TbNombres[Problema],TbNombres[Nombre])</f>
        <v>Brusselator1d</v>
      </c>
      <c r="AB118" s="21">
        <v>4</v>
      </c>
      <c r="AC118" s="21">
        <v>3</v>
      </c>
      <c r="AD118" s="21">
        <v>4</v>
      </c>
      <c r="AE118" s="21">
        <v>25000</v>
      </c>
      <c r="AF118" s="21">
        <v>50000</v>
      </c>
      <c r="AG118" s="21">
        <v>87.523300000000006</v>
      </c>
    </row>
    <row r="119" spans="2:33" x14ac:dyDescent="0.2">
      <c r="B119" s="1" t="str">
        <f>_xlfn.XLOOKUP(Bash1[[#This Row],[Metodo]],TbSolver[Metodo],TbSolver[Solver])</f>
        <v>Adams Bashford</v>
      </c>
      <c r="C119" s="1" t="str">
        <f>_xlfn.XLOOKUP(Bash1[[#This Row],[Hebras]],TbTecnologia[Hebras],TbTecnologia[Tecnología])</f>
        <v>OMP</v>
      </c>
      <c r="D119" s="1" t="str" cm="1">
        <f t="array" ref="D119">_xlfn.XLOOKUP(Bash1[[#This Row],[Tecnología]]&amp;Bash1[[#This Row],[Metodo]],TbTipos[Tecnología]&amp;TbTipos[Metodo],TbTipos[Tipo])</f>
        <v>OMP Elementos</v>
      </c>
      <c r="E119" s="1" t="str" cm="1">
        <f t="array" ref="E119">_xlfn.XLOOKUP(Bash1[[#This Row],[Tecnología]]&amp;Bash1[[#This Row],[Problema]],TbNombres[Tecnología]&amp;TbNombres[Problema],TbNombres[Nombre])</f>
        <v>Simple Advdiff</v>
      </c>
      <c r="F119" s="20">
        <v>4</v>
      </c>
      <c r="G119" s="20">
        <v>1</v>
      </c>
      <c r="H119" s="20">
        <v>16</v>
      </c>
      <c r="I119" s="20">
        <v>40000</v>
      </c>
      <c r="J119" s="20">
        <v>40000</v>
      </c>
      <c r="K119" s="20">
        <v>49.687600000000003</v>
      </c>
      <c r="M119" s="2" t="str">
        <f>_xlfn.XLOOKUP(Bash2[[#This Row],[Metodo]],TbSolver[Metodo],TbSolver[Solver])</f>
        <v>Adams Bashford</v>
      </c>
      <c r="N119" s="2" t="str">
        <f>_xlfn.XLOOKUP(Bash2[[#This Row],[Hebras]],TbTecnologia[Hebras],TbTecnologia[Tecnología])</f>
        <v>OMP</v>
      </c>
      <c r="O119" s="6" t="str" cm="1">
        <f t="array" ref="O119">_xlfn.XLOOKUP(Bash2[[#This Row],[Tecnología]]&amp;Bash2[[#This Row],[Metodo]],TbTipos[Tecnología]&amp;TbTipos[Metodo],TbTipos[Tipo])</f>
        <v>OMP Operaciones</v>
      </c>
      <c r="P119" s="6" t="str" cm="1">
        <f t="array" ref="P119">_xlfn.XLOOKUP(Bash2[[#This Row],[Tecnología]]&amp;Bash2[[#This Row],[Problema]],TbNombres[Tecnología]&amp;TbNombres[Problema],TbNombres[Nombre])</f>
        <v>Advdiff1d</v>
      </c>
      <c r="Q119" s="21">
        <v>3</v>
      </c>
      <c r="R119" s="21">
        <v>2</v>
      </c>
      <c r="S119" s="21">
        <v>4</v>
      </c>
      <c r="T119" s="21">
        <v>40000</v>
      </c>
      <c r="U119" s="21">
        <v>40000</v>
      </c>
      <c r="V119" s="21">
        <v>276.64</v>
      </c>
      <c r="X119" s="2" t="str">
        <f>_xlfn.XLOOKUP(Bash3[[#This Row],[Metodo]],TbSolver[Metodo],TbSolver[Solver])</f>
        <v>Adams Bashford</v>
      </c>
      <c r="Y119" s="2" t="str">
        <f>_xlfn.XLOOKUP(Bash3[[#This Row],[Hebras]],TbTecnologia[Hebras],TbTecnologia[Tecnología])</f>
        <v>OMP</v>
      </c>
      <c r="Z119" s="2" t="str" cm="1">
        <f t="array" ref="Z119">_xlfn.XLOOKUP(Bash3[[#This Row],[Tecnología]]&amp;Bash3[[#This Row],[Metodo]],TbTipos[Tecnología]&amp;TbTipos[Metodo],TbTipos[Tipo])</f>
        <v>OMP Operaciones</v>
      </c>
      <c r="AA119" s="2" t="str" cm="1">
        <f t="array" ref="AA119">_xlfn.XLOOKUP(Bash3[[#This Row],[Tecnología]]&amp;Bash3[[#This Row],[Problema]],TbNombres[Tecnología]&amp;TbNombres[Problema],TbNombres[Nombre])</f>
        <v>Brusselator1d</v>
      </c>
      <c r="AB119" s="21">
        <v>3</v>
      </c>
      <c r="AC119" s="21">
        <v>3</v>
      </c>
      <c r="AD119" s="21">
        <v>1</v>
      </c>
      <c r="AE119" s="21">
        <v>25000</v>
      </c>
      <c r="AF119" s="21">
        <v>50000</v>
      </c>
      <c r="AG119" s="21">
        <v>263.28800000000001</v>
      </c>
    </row>
    <row r="120" spans="2:33" x14ac:dyDescent="0.2">
      <c r="B120" s="1" t="str">
        <f>_xlfn.XLOOKUP(Bash1[[#This Row],[Metodo]],TbSolver[Metodo],TbSolver[Solver])</f>
        <v>Adams Bashford</v>
      </c>
      <c r="C120" s="1" t="str">
        <f>_xlfn.XLOOKUP(Bash1[[#This Row],[Hebras]],TbTecnologia[Hebras],TbTecnologia[Tecnología])</f>
        <v>OMP</v>
      </c>
      <c r="D120" s="1" t="str" cm="1">
        <f t="array" ref="D120">_xlfn.XLOOKUP(Bash1[[#This Row],[Tecnología]]&amp;Bash1[[#This Row],[Metodo]],TbTipos[Tecnología]&amp;TbTipos[Metodo],TbTipos[Tipo])</f>
        <v>OMP Elementos</v>
      </c>
      <c r="E120" s="1" t="str" cm="1">
        <f t="array" ref="E120">_xlfn.XLOOKUP(Bash1[[#This Row],[Tecnología]]&amp;Bash1[[#This Row],[Problema]],TbNombres[Tecnología]&amp;TbNombres[Problema],TbNombres[Nombre])</f>
        <v>Simple Advdiff</v>
      </c>
      <c r="F120" s="20">
        <v>4</v>
      </c>
      <c r="G120" s="20">
        <v>1</v>
      </c>
      <c r="H120" s="20">
        <v>4</v>
      </c>
      <c r="I120" s="20">
        <v>40000</v>
      </c>
      <c r="J120" s="20">
        <v>40000</v>
      </c>
      <c r="K120" s="20">
        <v>59.216700000000003</v>
      </c>
      <c r="M120" s="2" t="str">
        <f>_xlfn.XLOOKUP(Bash2[[#This Row],[Metodo]],TbSolver[Metodo],TbSolver[Solver])</f>
        <v>Adams Bashford</v>
      </c>
      <c r="N120" s="2" t="str">
        <f>_xlfn.XLOOKUP(Bash2[[#This Row],[Hebras]],TbTecnologia[Hebras],TbTecnologia[Tecnología])</f>
        <v>OMP</v>
      </c>
      <c r="O120" s="6" t="str" cm="1">
        <f t="array" ref="O120">_xlfn.XLOOKUP(Bash2[[#This Row],[Tecnología]]&amp;Bash2[[#This Row],[Metodo]],TbTipos[Tecnología]&amp;TbTipos[Metodo],TbTipos[Tipo])</f>
        <v>OMP Elementos</v>
      </c>
      <c r="P120" s="6" t="str" cm="1">
        <f t="array" ref="P120">_xlfn.XLOOKUP(Bash2[[#This Row],[Tecnología]]&amp;Bash2[[#This Row],[Problema]],TbNombres[Tecnología]&amp;TbNombres[Problema],TbNombres[Nombre])</f>
        <v>Advdiff1d</v>
      </c>
      <c r="Q120" s="21">
        <v>4</v>
      </c>
      <c r="R120" s="21">
        <v>2</v>
      </c>
      <c r="S120" s="21">
        <v>4</v>
      </c>
      <c r="T120" s="21">
        <v>40000</v>
      </c>
      <c r="U120" s="21">
        <v>40000</v>
      </c>
      <c r="V120" s="21">
        <v>304.13099999999997</v>
      </c>
      <c r="X120" s="2" t="str">
        <f>_xlfn.XLOOKUP(Bash3[[#This Row],[Metodo]],TbSolver[Metodo],TbSolver[Solver])</f>
        <v>Adams Bashford</v>
      </c>
      <c r="Y120" s="2" t="str">
        <f>_xlfn.XLOOKUP(Bash3[[#This Row],[Hebras]],TbTecnologia[Hebras],TbTecnologia[Tecnología])</f>
        <v>OMP</v>
      </c>
      <c r="Z120" s="2" t="str" cm="1">
        <f t="array" ref="Z120">_xlfn.XLOOKUP(Bash3[[#This Row],[Tecnología]]&amp;Bash3[[#This Row],[Metodo]],TbTipos[Tecnología]&amp;TbTipos[Metodo],TbTipos[Tipo])</f>
        <v>OMP Elementos</v>
      </c>
      <c r="AA120" s="2" t="str" cm="1">
        <f t="array" ref="AA120">_xlfn.XLOOKUP(Bash3[[#This Row],[Tecnología]]&amp;Bash3[[#This Row],[Problema]],TbNombres[Tecnología]&amp;TbNombres[Problema],TbNombres[Nombre])</f>
        <v>Brusselator1d</v>
      </c>
      <c r="AB120" s="21">
        <v>4</v>
      </c>
      <c r="AC120" s="21">
        <v>3</v>
      </c>
      <c r="AD120" s="21">
        <v>1</v>
      </c>
      <c r="AE120" s="21">
        <v>25000</v>
      </c>
      <c r="AF120" s="21">
        <v>50000</v>
      </c>
      <c r="AG120" s="21">
        <v>351.197</v>
      </c>
    </row>
    <row r="121" spans="2:33" x14ac:dyDescent="0.2">
      <c r="B121" s="1" t="str">
        <f>_xlfn.XLOOKUP(Bash1[[#This Row],[Metodo]],TbSolver[Metodo],TbSolver[Solver])</f>
        <v>Adams Bashford</v>
      </c>
      <c r="C121" s="1" t="str">
        <f>_xlfn.XLOOKUP(Bash1[[#This Row],[Hebras]],TbTecnologia[Hebras],TbTecnologia[Tecnología])</f>
        <v>OMP</v>
      </c>
      <c r="D121" s="1" t="str" cm="1">
        <f t="array" ref="D121">_xlfn.XLOOKUP(Bash1[[#This Row],[Tecnología]]&amp;Bash1[[#This Row],[Metodo]],TbTipos[Tecnología]&amp;TbTipos[Metodo],TbTipos[Tipo])</f>
        <v>OMP Operaciones</v>
      </c>
      <c r="E121" s="1" t="str" cm="1">
        <f t="array" ref="E121">_xlfn.XLOOKUP(Bash1[[#This Row],[Tecnología]]&amp;Bash1[[#This Row],[Problema]],TbNombres[Tecnología]&amp;TbNombres[Problema],TbNombres[Nombre])</f>
        <v>Simple Advdiff</v>
      </c>
      <c r="F121" s="20">
        <v>3</v>
      </c>
      <c r="G121" s="20">
        <v>1</v>
      </c>
      <c r="H121" s="20">
        <v>1</v>
      </c>
      <c r="I121" s="20">
        <v>40000</v>
      </c>
      <c r="J121" s="20">
        <v>40000</v>
      </c>
      <c r="K121" s="20">
        <v>129.809</v>
      </c>
      <c r="M121" s="2" t="str">
        <f>_xlfn.XLOOKUP(Bash2[[#This Row],[Metodo]],TbSolver[Metodo],TbSolver[Solver])</f>
        <v>Adams Bashford</v>
      </c>
      <c r="N121" s="2" t="str">
        <f>_xlfn.XLOOKUP(Bash2[[#This Row],[Hebras]],TbTecnologia[Hebras],TbTecnologia[Tecnología])</f>
        <v>OMP</v>
      </c>
      <c r="O121" s="6" t="str" cm="1">
        <f t="array" ref="O121">_xlfn.XLOOKUP(Bash2[[#This Row],[Tecnología]]&amp;Bash2[[#This Row],[Metodo]],TbTipos[Tecnología]&amp;TbTipos[Metodo],TbTipos[Tipo])</f>
        <v>OMP Operaciones</v>
      </c>
      <c r="P121" s="6" t="str" cm="1">
        <f t="array" ref="P121">_xlfn.XLOOKUP(Bash2[[#This Row],[Tecnología]]&amp;Bash2[[#This Row],[Problema]],TbNombres[Tecnología]&amp;TbNombres[Problema],TbNombres[Nombre])</f>
        <v>Advdiff1d</v>
      </c>
      <c r="Q121" s="21">
        <v>3</v>
      </c>
      <c r="R121" s="21">
        <v>2</v>
      </c>
      <c r="S121" s="21">
        <v>1</v>
      </c>
      <c r="T121" s="21">
        <v>40000</v>
      </c>
      <c r="U121" s="21">
        <v>40000</v>
      </c>
      <c r="V121" s="21">
        <v>958.92100000000005</v>
      </c>
      <c r="X121" s="2" t="str">
        <f>_xlfn.XLOOKUP(Bash3[[#This Row],[Metodo]],TbSolver[Metodo],TbSolver[Solver])</f>
        <v>Adams Bashford</v>
      </c>
      <c r="Y121" s="2" t="str">
        <f>_xlfn.XLOOKUP(Bash3[[#This Row],[Hebras]],TbTecnologia[Hebras],TbTecnologia[Tecnología])</f>
        <v>CUDA</v>
      </c>
      <c r="Z121" s="2" t="str" cm="1">
        <f t="array" ref="Z121">_xlfn.XLOOKUP(Bash3[[#This Row],[Tecnología]]&amp;Bash3[[#This Row],[Metodo]],TbTipos[Tecnología]&amp;TbTipos[Metodo],TbTipos[Tipo])</f>
        <v>CUDA sin graph</v>
      </c>
      <c r="AA121" s="2" t="str" cm="1">
        <f t="array" ref="AA121">_xlfn.XLOOKUP(Bash3[[#This Row],[Tecnología]]&amp;Bash3[[#This Row],[Problema]],TbNombres[Tecnología]&amp;TbNombres[Problema],TbNombres[Nombre])</f>
        <v>Brusselator1d</v>
      </c>
      <c r="AB121" s="21">
        <v>3</v>
      </c>
      <c r="AC121" s="21">
        <v>5</v>
      </c>
      <c r="AD121" s="21">
        <v>256</v>
      </c>
      <c r="AE121" s="21">
        <v>30000</v>
      </c>
      <c r="AF121" s="21">
        <v>60000</v>
      </c>
      <c r="AG121" s="21">
        <v>9.4447200000000002</v>
      </c>
    </row>
    <row r="122" spans="2:33" x14ac:dyDescent="0.2">
      <c r="B122" s="1" t="str">
        <f>_xlfn.XLOOKUP(Bash1[[#This Row],[Metodo]],TbSolver[Metodo],TbSolver[Solver])</f>
        <v>Adams Bashford</v>
      </c>
      <c r="C122" s="1" t="str">
        <f>_xlfn.XLOOKUP(Bash1[[#This Row],[Hebras]],TbTecnologia[Hebras],TbTecnologia[Tecnología])</f>
        <v>OMP</v>
      </c>
      <c r="D122" s="1" t="str" cm="1">
        <f t="array" ref="D122">_xlfn.XLOOKUP(Bash1[[#This Row],[Tecnología]]&amp;Bash1[[#This Row],[Metodo]],TbTipos[Tecnología]&amp;TbTipos[Metodo],TbTipos[Tipo])</f>
        <v>OMP Elementos</v>
      </c>
      <c r="E122" s="1" t="str" cm="1">
        <f t="array" ref="E122">_xlfn.XLOOKUP(Bash1[[#This Row],[Tecnología]]&amp;Bash1[[#This Row],[Problema]],TbNombres[Tecnología]&amp;TbNombres[Problema],TbNombres[Nombre])</f>
        <v>Simple Advdiff</v>
      </c>
      <c r="F122" s="20">
        <v>4</v>
      </c>
      <c r="G122" s="20">
        <v>1</v>
      </c>
      <c r="H122" s="20">
        <v>1</v>
      </c>
      <c r="I122" s="20">
        <v>40000</v>
      </c>
      <c r="J122" s="20">
        <v>40000</v>
      </c>
      <c r="K122" s="20">
        <v>233.446</v>
      </c>
      <c r="M122" s="2" t="str">
        <f>_xlfn.XLOOKUP(Bash2[[#This Row],[Metodo]],TbSolver[Metodo],TbSolver[Solver])</f>
        <v>Adams Bashford</v>
      </c>
      <c r="N122" s="2" t="str">
        <f>_xlfn.XLOOKUP(Bash2[[#This Row],[Hebras]],TbTecnologia[Hebras],TbTecnologia[Tecnología])</f>
        <v>OMP</v>
      </c>
      <c r="O122" s="6" t="str" cm="1">
        <f t="array" ref="O122">_xlfn.XLOOKUP(Bash2[[#This Row],[Tecnología]]&amp;Bash2[[#This Row],[Metodo]],TbTipos[Tecnología]&amp;TbTipos[Metodo],TbTipos[Tipo])</f>
        <v>OMP Elementos</v>
      </c>
      <c r="P122" s="6" t="str" cm="1">
        <f t="array" ref="P122">_xlfn.XLOOKUP(Bash2[[#This Row],[Tecnología]]&amp;Bash2[[#This Row],[Problema]],TbNombres[Tecnología]&amp;TbNombres[Problema],TbNombres[Nombre])</f>
        <v>Advdiff1d</v>
      </c>
      <c r="Q122" s="21">
        <v>4</v>
      </c>
      <c r="R122" s="21">
        <v>2</v>
      </c>
      <c r="S122" s="21">
        <v>1</v>
      </c>
      <c r="T122" s="21">
        <v>40000</v>
      </c>
      <c r="U122" s="21">
        <v>40000</v>
      </c>
      <c r="V122" s="21">
        <v>1099.1600000000001</v>
      </c>
      <c r="X122" s="2" t="str">
        <f>_xlfn.XLOOKUP(Bash3[[#This Row],[Metodo]],TbSolver[Metodo],TbSolver[Solver])</f>
        <v>Adams Bashford</v>
      </c>
      <c r="Y122" s="2" t="str">
        <f>_xlfn.XLOOKUP(Bash3[[#This Row],[Hebras]],TbTecnologia[Hebras],TbTecnologia[Tecnología])</f>
        <v>CUDA</v>
      </c>
      <c r="Z122" s="2" t="str" cm="1">
        <f t="array" ref="Z122">_xlfn.XLOOKUP(Bash3[[#This Row],[Tecnología]]&amp;Bash3[[#This Row],[Metodo]],TbTipos[Tecnología]&amp;TbTipos[Metodo],TbTipos[Tipo])</f>
        <v>CUDA con graph</v>
      </c>
      <c r="AA122" s="2" t="str" cm="1">
        <f t="array" ref="AA122">_xlfn.XLOOKUP(Bash3[[#This Row],[Tecnología]]&amp;Bash3[[#This Row],[Problema]],TbNombres[Tecnología]&amp;TbNombres[Problema],TbNombres[Nombre])</f>
        <v>Brusselator1d</v>
      </c>
      <c r="AB122" s="21">
        <v>4</v>
      </c>
      <c r="AC122" s="21">
        <v>5</v>
      </c>
      <c r="AD122" s="21">
        <v>256</v>
      </c>
      <c r="AE122" s="21">
        <v>30000</v>
      </c>
      <c r="AF122" s="21">
        <v>60000</v>
      </c>
      <c r="AG122" s="21">
        <v>12.481999999999999</v>
      </c>
    </row>
    <row r="123" spans="2:33" x14ac:dyDescent="0.2">
      <c r="B123" s="1" t="str">
        <f>_xlfn.XLOOKUP(Bash1[[#This Row],[Metodo]],TbSolver[Metodo],TbSolver[Solver])</f>
        <v>Adams Bashford</v>
      </c>
      <c r="C123" s="1" t="str">
        <f>_xlfn.XLOOKUP(Bash1[[#This Row],[Hebras]],TbTecnologia[Hebras],TbTecnologia[Tecnología])</f>
        <v>CUDA</v>
      </c>
      <c r="D123" s="1" t="str" cm="1">
        <f t="array" ref="D123">_xlfn.XLOOKUP(Bash1[[#This Row],[Tecnología]]&amp;Bash1[[#This Row],[Metodo]],TbTipos[Tecnología]&amp;TbTipos[Metodo],TbTipos[Tipo])</f>
        <v>CUDA sin graph</v>
      </c>
      <c r="E123" s="1" t="str" cm="1">
        <f t="array" ref="E123">_xlfn.XLOOKUP(Bash1[[#This Row],[Tecnología]]&amp;Bash1[[#This Row],[Problema]],TbNombres[Tecnología]&amp;TbNombres[Problema],TbNombres[Nombre])</f>
        <v>Simple Advdiff</v>
      </c>
      <c r="F123" s="1">
        <v>3</v>
      </c>
      <c r="G123" s="1">
        <v>1</v>
      </c>
      <c r="H123" s="1">
        <v>256</v>
      </c>
      <c r="I123" s="1">
        <v>50000</v>
      </c>
      <c r="J123" s="1">
        <v>50000</v>
      </c>
      <c r="K123" s="1">
        <v>6.7912499999999998</v>
      </c>
      <c r="M123" s="2" t="str">
        <f>_xlfn.XLOOKUP(Bash2[[#This Row],[Metodo]],TbSolver[Metodo],TbSolver[Solver])</f>
        <v>Adams Bashford</v>
      </c>
      <c r="N123" s="2" t="str">
        <f>_xlfn.XLOOKUP(Bash2[[#This Row],[Hebras]],TbTecnologia[Hebras],TbTecnologia[Tecnología])</f>
        <v>CUDA</v>
      </c>
      <c r="O123" s="6" t="str" cm="1">
        <f t="array" ref="O123">_xlfn.XLOOKUP(Bash2[[#This Row],[Tecnología]]&amp;Bash2[[#This Row],[Metodo]],TbTipos[Tecnología]&amp;TbTipos[Metodo],TbTipos[Tipo])</f>
        <v>CUDA sin graph</v>
      </c>
      <c r="P123" s="6" t="str" cm="1">
        <f t="array" ref="P123">_xlfn.XLOOKUP(Bash2[[#This Row],[Tecnología]]&amp;Bash2[[#This Row],[Problema]],TbNombres[Tecnología]&amp;TbNombres[Problema],TbNombres[Nombre])</f>
        <v>Advdiff1d</v>
      </c>
      <c r="Q123" s="2">
        <v>3</v>
      </c>
      <c r="R123" s="2">
        <v>3</v>
      </c>
      <c r="S123" s="2">
        <v>256</v>
      </c>
      <c r="T123" s="2">
        <v>50000</v>
      </c>
      <c r="U123" s="2">
        <v>50000</v>
      </c>
      <c r="V123" s="2">
        <v>18.884899999999998</v>
      </c>
      <c r="X123" s="2" t="str">
        <f>_xlfn.XLOOKUP(Bash3[[#This Row],[Metodo]],TbSolver[Metodo],TbSolver[Solver])</f>
        <v>Adams Bashford</v>
      </c>
      <c r="Y123" s="2" t="str">
        <f>_xlfn.XLOOKUP(Bash3[[#This Row],[Hebras]],TbTecnologia[Hebras],TbTecnologia[Tecnología])</f>
        <v>OMP</v>
      </c>
      <c r="Z123" s="2" t="str" cm="1">
        <f t="array" ref="Z123">_xlfn.XLOOKUP(Bash3[[#This Row],[Tecnología]]&amp;Bash3[[#This Row],[Metodo]],TbTipos[Tecnología]&amp;TbTipos[Metodo],TbTipos[Tipo])</f>
        <v>OMP Elementos</v>
      </c>
      <c r="AA123" s="2" t="str" cm="1">
        <f t="array" ref="AA123">_xlfn.XLOOKUP(Bash3[[#This Row],[Tecnología]]&amp;Bash3[[#This Row],[Problema]],TbNombres[Tecnología]&amp;TbNombres[Problema],TbNombres[Nombre])</f>
        <v>Brusselator1d</v>
      </c>
      <c r="AB123" s="21">
        <v>4</v>
      </c>
      <c r="AC123" s="21">
        <v>3</v>
      </c>
      <c r="AD123" s="21">
        <v>16</v>
      </c>
      <c r="AE123" s="21">
        <v>30000</v>
      </c>
      <c r="AF123" s="21">
        <v>60000</v>
      </c>
      <c r="AG123" s="21">
        <v>46.206200000000003</v>
      </c>
    </row>
    <row r="124" spans="2:33" x14ac:dyDescent="0.2">
      <c r="B124" s="1" t="str">
        <f>_xlfn.XLOOKUP(Bash1[[#This Row],[Metodo]],TbSolver[Metodo],TbSolver[Solver])</f>
        <v>Adams Bashford</v>
      </c>
      <c r="C124" s="1" t="str">
        <f>_xlfn.XLOOKUP(Bash1[[#This Row],[Hebras]],TbTecnologia[Hebras],TbTecnologia[Tecnología])</f>
        <v>CUDA</v>
      </c>
      <c r="D124" s="1" t="str" cm="1">
        <f t="array" ref="D124">_xlfn.XLOOKUP(Bash1[[#This Row],[Tecnología]]&amp;Bash1[[#This Row],[Metodo]],TbTipos[Tecnología]&amp;TbTipos[Metodo],TbTipos[Tipo])</f>
        <v>CUDA sin graph</v>
      </c>
      <c r="E124" s="1" t="str" cm="1">
        <f t="array" ref="E124">_xlfn.XLOOKUP(Bash1[[#This Row],[Tecnología]]&amp;Bash1[[#This Row],[Problema]],TbNombres[Tecnología]&amp;TbNombres[Problema],TbNombres[Nombre])</f>
        <v>Simple Advdiff shuffle</v>
      </c>
      <c r="F124" s="1">
        <v>3</v>
      </c>
      <c r="G124" s="1">
        <v>2</v>
      </c>
      <c r="H124" s="1">
        <v>256</v>
      </c>
      <c r="I124" s="1">
        <v>50000</v>
      </c>
      <c r="J124" s="1">
        <v>50000</v>
      </c>
      <c r="K124" s="1">
        <v>6.9092000000000002</v>
      </c>
      <c r="M124" s="2" t="str">
        <f>_xlfn.XLOOKUP(Bash2[[#This Row],[Metodo]],TbSolver[Metodo],TbSolver[Solver])</f>
        <v>Adams Bashford</v>
      </c>
      <c r="N124" s="2" t="str">
        <f>_xlfn.XLOOKUP(Bash2[[#This Row],[Hebras]],TbTecnologia[Hebras],TbTecnologia[Tecnología])</f>
        <v>CUDA</v>
      </c>
      <c r="O124" s="6" t="str" cm="1">
        <f t="array" ref="O124">_xlfn.XLOOKUP(Bash2[[#This Row],[Tecnología]]&amp;Bash2[[#This Row],[Metodo]],TbTipos[Tecnología]&amp;TbTipos[Metodo],TbTipos[Tipo])</f>
        <v>CUDA sin graph</v>
      </c>
      <c r="P124" s="6" t="str" cm="1">
        <f t="array" ref="P124">_xlfn.XLOOKUP(Bash2[[#This Row],[Tecnología]]&amp;Bash2[[#This Row],[Problema]],TbNombres[Tecnología]&amp;TbNombres[Problema],TbNombres[Nombre])</f>
        <v>Advdiff1d</v>
      </c>
      <c r="Q124" s="2">
        <v>3</v>
      </c>
      <c r="R124" s="2">
        <v>3</v>
      </c>
      <c r="S124" s="2">
        <v>256</v>
      </c>
      <c r="T124" s="2">
        <v>50000</v>
      </c>
      <c r="U124" s="2">
        <v>50000</v>
      </c>
      <c r="V124" s="2">
        <v>19.1632</v>
      </c>
      <c r="X124" s="2" t="str">
        <f>_xlfn.XLOOKUP(Bash3[[#This Row],[Metodo]],TbSolver[Metodo],TbSolver[Solver])</f>
        <v>Adams Bashford</v>
      </c>
      <c r="Y124" s="2" t="str">
        <f>_xlfn.XLOOKUP(Bash3[[#This Row],[Hebras]],TbTecnologia[Hebras],TbTecnologia[Tecnología])</f>
        <v>OMP</v>
      </c>
      <c r="Z124" s="2" t="str" cm="1">
        <f t="array" ref="Z124">_xlfn.XLOOKUP(Bash3[[#This Row],[Tecnología]]&amp;Bash3[[#This Row],[Metodo]],TbTipos[Tecnología]&amp;TbTipos[Metodo],TbTipos[Tipo])</f>
        <v>OMP Operaciones</v>
      </c>
      <c r="AA124" s="2" t="str" cm="1">
        <f t="array" ref="AA124">_xlfn.XLOOKUP(Bash3[[#This Row],[Tecnología]]&amp;Bash3[[#This Row],[Problema]],TbNombres[Tecnología]&amp;TbNombres[Problema],TbNombres[Nombre])</f>
        <v>Brusselator1d</v>
      </c>
      <c r="AB124" s="21">
        <v>3</v>
      </c>
      <c r="AC124" s="21">
        <v>3</v>
      </c>
      <c r="AD124" s="21">
        <v>16</v>
      </c>
      <c r="AE124" s="21">
        <v>30000</v>
      </c>
      <c r="AF124" s="21">
        <v>60000</v>
      </c>
      <c r="AG124" s="21">
        <v>54.865000000000002</v>
      </c>
    </row>
    <row r="125" spans="2:33" x14ac:dyDescent="0.2">
      <c r="B125" s="1" t="str">
        <f>_xlfn.XLOOKUP(Bash1[[#This Row],[Metodo]],TbSolver[Metodo],TbSolver[Solver])</f>
        <v>Adams Bashford</v>
      </c>
      <c r="C125" s="1" t="str">
        <f>_xlfn.XLOOKUP(Bash1[[#This Row],[Hebras]],TbTecnologia[Hebras],TbTecnologia[Tecnología])</f>
        <v>CUDA</v>
      </c>
      <c r="D125" s="1" t="str" cm="1">
        <f t="array" ref="D125">_xlfn.XLOOKUP(Bash1[[#This Row],[Tecnología]]&amp;Bash1[[#This Row],[Metodo]],TbTipos[Tecnología]&amp;TbTipos[Metodo],TbTipos[Tipo])</f>
        <v>CUDA sin graph</v>
      </c>
      <c r="E125" s="1" t="str" cm="1">
        <f t="array" ref="E125">_xlfn.XLOOKUP(Bash1[[#This Row],[Tecnología]]&amp;Bash1[[#This Row],[Problema]],TbNombres[Tecnología]&amp;TbNombres[Problema],TbNombres[Nombre])</f>
        <v>Simple Advdiff</v>
      </c>
      <c r="F125" s="1">
        <v>3</v>
      </c>
      <c r="G125" s="1">
        <v>1</v>
      </c>
      <c r="H125" s="1">
        <v>256</v>
      </c>
      <c r="I125" s="1">
        <v>50000</v>
      </c>
      <c r="J125" s="1">
        <v>50000</v>
      </c>
      <c r="K125" s="1">
        <v>7.1332199999999997</v>
      </c>
      <c r="M125" s="2" t="str">
        <f>_xlfn.XLOOKUP(Bash2[[#This Row],[Metodo]],TbSolver[Metodo],TbSolver[Solver])</f>
        <v>Adams Bashford</v>
      </c>
      <c r="N125" s="2" t="str">
        <f>_xlfn.XLOOKUP(Bash2[[#This Row],[Hebras]],TbTecnologia[Hebras],TbTecnologia[Tecnología])</f>
        <v>CUDA</v>
      </c>
      <c r="O125" s="6" t="str" cm="1">
        <f t="array" ref="O125">_xlfn.XLOOKUP(Bash2[[#This Row],[Tecnología]]&amp;Bash2[[#This Row],[Metodo]],TbTipos[Tecnología]&amp;TbTipos[Metodo],TbTipos[Tipo])</f>
        <v>CUDA sin graph</v>
      </c>
      <c r="P125" s="6" t="str" cm="1">
        <f t="array" ref="P125">_xlfn.XLOOKUP(Bash2[[#This Row],[Tecnología]]&amp;Bash2[[#This Row],[Problema]],TbNombres[Tecnología]&amp;TbNombres[Problema],TbNombres[Nombre])</f>
        <v>Advdiff1d shuffle</v>
      </c>
      <c r="Q125" s="2">
        <v>3</v>
      </c>
      <c r="R125" s="2">
        <v>4</v>
      </c>
      <c r="S125" s="2">
        <v>256</v>
      </c>
      <c r="T125" s="2">
        <v>50000</v>
      </c>
      <c r="U125" s="2">
        <v>50000</v>
      </c>
      <c r="V125" s="2">
        <v>19.390899999999998</v>
      </c>
      <c r="X125" s="2" t="str">
        <f>_xlfn.XLOOKUP(Bash3[[#This Row],[Metodo]],TbSolver[Metodo],TbSolver[Solver])</f>
        <v>Adams Bashford</v>
      </c>
      <c r="Y125" s="2" t="str">
        <f>_xlfn.XLOOKUP(Bash3[[#This Row],[Hebras]],TbTecnologia[Hebras],TbTecnologia[Tecnología])</f>
        <v>OMP</v>
      </c>
      <c r="Z125" s="2" t="str" cm="1">
        <f t="array" ref="Z125">_xlfn.XLOOKUP(Bash3[[#This Row],[Tecnología]]&amp;Bash3[[#This Row],[Metodo]],TbTipos[Tecnología]&amp;TbTipos[Metodo],TbTipos[Tipo])</f>
        <v>OMP Operaciones</v>
      </c>
      <c r="AA125" s="2" t="str" cm="1">
        <f t="array" ref="AA125">_xlfn.XLOOKUP(Bash3[[#This Row],[Tecnología]]&amp;Bash3[[#This Row],[Problema]],TbNombres[Tecnología]&amp;TbNombres[Problema],TbNombres[Nombre])</f>
        <v>Brusselator1d</v>
      </c>
      <c r="AB125" s="21">
        <v>3</v>
      </c>
      <c r="AC125" s="21">
        <v>3</v>
      </c>
      <c r="AD125" s="21">
        <v>4</v>
      </c>
      <c r="AE125" s="21">
        <v>30000</v>
      </c>
      <c r="AF125" s="21">
        <v>60000</v>
      </c>
      <c r="AG125" s="21">
        <v>76.847499999999997</v>
      </c>
    </row>
    <row r="126" spans="2:33" x14ac:dyDescent="0.2">
      <c r="B126" s="1" t="str">
        <f>_xlfn.XLOOKUP(Bash1[[#This Row],[Metodo]],TbSolver[Metodo],TbSolver[Solver])</f>
        <v>Adams Bashford</v>
      </c>
      <c r="C126" s="1" t="str">
        <f>_xlfn.XLOOKUP(Bash1[[#This Row],[Hebras]],TbTecnologia[Hebras],TbTecnologia[Tecnología])</f>
        <v>OMP</v>
      </c>
      <c r="D126" s="1" t="str" cm="1">
        <f t="array" ref="D126">_xlfn.XLOOKUP(Bash1[[#This Row],[Tecnología]]&amp;Bash1[[#This Row],[Metodo]],TbTipos[Tecnología]&amp;TbTipos[Metodo],TbTipos[Tipo])</f>
        <v>OMP Elementos</v>
      </c>
      <c r="E126" s="1" t="str" cm="1">
        <f t="array" ref="E126">_xlfn.XLOOKUP(Bash1[[#This Row],[Tecnología]]&amp;Bash1[[#This Row],[Problema]],TbNombres[Tecnología]&amp;TbNombres[Problema],TbNombres[Nombre])</f>
        <v>Simple Advdiff</v>
      </c>
      <c r="F126" s="20">
        <v>4</v>
      </c>
      <c r="G126" s="20">
        <v>1</v>
      </c>
      <c r="H126" s="20">
        <v>16</v>
      </c>
      <c r="I126" s="20">
        <v>50000</v>
      </c>
      <c r="J126" s="20">
        <v>50000</v>
      </c>
      <c r="K126" s="20">
        <v>34.569200000000002</v>
      </c>
      <c r="M126" s="2" t="str">
        <f>_xlfn.XLOOKUP(Bash2[[#This Row],[Metodo]],TbSolver[Metodo],TbSolver[Solver])</f>
        <v>Adams Bashford</v>
      </c>
      <c r="N126" s="2" t="str">
        <f>_xlfn.XLOOKUP(Bash2[[#This Row],[Hebras]],TbTecnologia[Hebras],TbTecnologia[Tecnología])</f>
        <v>OMP</v>
      </c>
      <c r="O126" s="6" t="str" cm="1">
        <f t="array" ref="O126">_xlfn.XLOOKUP(Bash2[[#This Row],[Tecnología]]&amp;Bash2[[#This Row],[Metodo]],TbTipos[Tecnología]&amp;TbTipos[Metodo],TbTipos[Tipo])</f>
        <v>OMP Elementos</v>
      </c>
      <c r="P126" s="6" t="str" cm="1">
        <f t="array" ref="P126">_xlfn.XLOOKUP(Bash2[[#This Row],[Tecnología]]&amp;Bash2[[#This Row],[Problema]],TbNombres[Tecnología]&amp;TbNombres[Problema],TbNombres[Nombre])</f>
        <v>Advdiff1d</v>
      </c>
      <c r="Q126" s="21">
        <v>4</v>
      </c>
      <c r="R126" s="21">
        <v>2</v>
      </c>
      <c r="S126" s="21">
        <v>16</v>
      </c>
      <c r="T126" s="21">
        <v>50000</v>
      </c>
      <c r="U126" s="21">
        <v>50000</v>
      </c>
      <c r="V126" s="21">
        <v>127.208</v>
      </c>
      <c r="X126" s="2" t="str">
        <f>_xlfn.XLOOKUP(Bash3[[#This Row],[Metodo]],TbSolver[Metodo],TbSolver[Solver])</f>
        <v>Adams Bashford</v>
      </c>
      <c r="Y126" s="2" t="str">
        <f>_xlfn.XLOOKUP(Bash3[[#This Row],[Hebras]],TbTecnologia[Hebras],TbTecnologia[Tecnología])</f>
        <v>OMP</v>
      </c>
      <c r="Z126" s="2" t="str" cm="1">
        <f t="array" ref="Z126">_xlfn.XLOOKUP(Bash3[[#This Row],[Tecnología]]&amp;Bash3[[#This Row],[Metodo]],TbTipos[Tecnología]&amp;TbTipos[Metodo],TbTipos[Tipo])</f>
        <v>OMP Elementos</v>
      </c>
      <c r="AA126" s="2" t="str" cm="1">
        <f t="array" ref="AA126">_xlfn.XLOOKUP(Bash3[[#This Row],[Tecnología]]&amp;Bash3[[#This Row],[Problema]],TbNombres[Tecnología]&amp;TbNombres[Problema],TbNombres[Nombre])</f>
        <v>Brusselator1d</v>
      </c>
      <c r="AB126" s="21">
        <v>4</v>
      </c>
      <c r="AC126" s="21">
        <v>3</v>
      </c>
      <c r="AD126" s="21">
        <v>4</v>
      </c>
      <c r="AE126" s="21">
        <v>30000</v>
      </c>
      <c r="AF126" s="21">
        <v>60000</v>
      </c>
      <c r="AG126" s="21">
        <v>104.877</v>
      </c>
    </row>
    <row r="127" spans="2:33" x14ac:dyDescent="0.2">
      <c r="B127" s="1" t="str">
        <f>_xlfn.XLOOKUP(Bash1[[#This Row],[Metodo]],TbSolver[Metodo],TbSolver[Solver])</f>
        <v>Adams Bashford</v>
      </c>
      <c r="C127" s="1" t="str">
        <f>_xlfn.XLOOKUP(Bash1[[#This Row],[Hebras]],TbTecnologia[Hebras],TbTecnologia[Tecnología])</f>
        <v>OMP</v>
      </c>
      <c r="D127" s="1" t="str" cm="1">
        <f t="array" ref="D127">_xlfn.XLOOKUP(Bash1[[#This Row],[Tecnología]]&amp;Bash1[[#This Row],[Metodo]],TbTipos[Tecnología]&amp;TbTipos[Metodo],TbTipos[Tipo])</f>
        <v>OMP Operaciones</v>
      </c>
      <c r="E127" s="1" t="str" cm="1">
        <f t="array" ref="E127">_xlfn.XLOOKUP(Bash1[[#This Row],[Tecnología]]&amp;Bash1[[#This Row],[Problema]],TbNombres[Tecnología]&amp;TbNombres[Problema],TbNombres[Nombre])</f>
        <v>Simple Advdiff</v>
      </c>
      <c r="F127" s="20">
        <v>3</v>
      </c>
      <c r="G127" s="20">
        <v>1</v>
      </c>
      <c r="H127" s="20">
        <v>16</v>
      </c>
      <c r="I127" s="20">
        <v>50000</v>
      </c>
      <c r="J127" s="20">
        <v>50000</v>
      </c>
      <c r="K127" s="20">
        <v>39.700499999999998</v>
      </c>
      <c r="M127" s="2" t="str">
        <f>_xlfn.XLOOKUP(Bash2[[#This Row],[Metodo]],TbSolver[Metodo],TbSolver[Solver])</f>
        <v>Adams Bashford</v>
      </c>
      <c r="N127" s="2" t="str">
        <f>_xlfn.XLOOKUP(Bash2[[#This Row],[Hebras]],TbTecnologia[Hebras],TbTecnologia[Tecnología])</f>
        <v>OMP</v>
      </c>
      <c r="O127" s="6" t="str" cm="1">
        <f t="array" ref="O127">_xlfn.XLOOKUP(Bash2[[#This Row],[Tecnología]]&amp;Bash2[[#This Row],[Metodo]],TbTipos[Tecnología]&amp;TbTipos[Metodo],TbTipos[Tipo])</f>
        <v>OMP Operaciones</v>
      </c>
      <c r="P127" s="6" t="str" cm="1">
        <f t="array" ref="P127">_xlfn.XLOOKUP(Bash2[[#This Row],[Tecnología]]&amp;Bash2[[#This Row],[Problema]],TbNombres[Tecnología]&amp;TbNombres[Problema],TbNombres[Nombre])</f>
        <v>Advdiff1d</v>
      </c>
      <c r="Q127" s="21">
        <v>3</v>
      </c>
      <c r="R127" s="21">
        <v>2</v>
      </c>
      <c r="S127" s="21">
        <v>16</v>
      </c>
      <c r="T127" s="21">
        <v>50000</v>
      </c>
      <c r="U127" s="21">
        <v>50000</v>
      </c>
      <c r="V127" s="21">
        <v>128.32400000000001</v>
      </c>
      <c r="X127" s="2" t="str">
        <f>_xlfn.XLOOKUP(Bash3[[#This Row],[Metodo]],TbSolver[Metodo],TbSolver[Solver])</f>
        <v>Adams Bashford</v>
      </c>
      <c r="Y127" s="2" t="str">
        <f>_xlfn.XLOOKUP(Bash3[[#This Row],[Hebras]],TbTecnologia[Hebras],TbTecnologia[Tecnología])</f>
        <v>OMP</v>
      </c>
      <c r="Z127" s="2" t="str" cm="1">
        <f t="array" ref="Z127">_xlfn.XLOOKUP(Bash3[[#This Row],[Tecnología]]&amp;Bash3[[#This Row],[Metodo]],TbTipos[Tecnología]&amp;TbTipos[Metodo],TbTipos[Tipo])</f>
        <v>OMP Operaciones</v>
      </c>
      <c r="AA127" s="2" t="str" cm="1">
        <f t="array" ref="AA127">_xlfn.XLOOKUP(Bash3[[#This Row],[Tecnología]]&amp;Bash3[[#This Row],[Problema]],TbNombres[Tecnología]&amp;TbNombres[Problema],TbNombres[Nombre])</f>
        <v>Brusselator1d</v>
      </c>
      <c r="AB127" s="21">
        <v>3</v>
      </c>
      <c r="AC127" s="21">
        <v>3</v>
      </c>
      <c r="AD127" s="21">
        <v>1</v>
      </c>
      <c r="AE127" s="21">
        <v>30000</v>
      </c>
      <c r="AF127" s="21">
        <v>60000</v>
      </c>
      <c r="AG127" s="21">
        <v>324.428</v>
      </c>
    </row>
    <row r="128" spans="2:33" x14ac:dyDescent="0.2">
      <c r="B128" s="1" t="str">
        <f>_xlfn.XLOOKUP(Bash1[[#This Row],[Metodo]],TbSolver[Metodo],TbSolver[Solver])</f>
        <v>Adams Bashford</v>
      </c>
      <c r="C128" s="1" t="str">
        <f>_xlfn.XLOOKUP(Bash1[[#This Row],[Hebras]],TbTecnologia[Hebras],TbTecnologia[Tecnología])</f>
        <v>OMP</v>
      </c>
      <c r="D128" s="1" t="str" cm="1">
        <f t="array" ref="D128">_xlfn.XLOOKUP(Bash1[[#This Row],[Tecnología]]&amp;Bash1[[#This Row],[Metodo]],TbTipos[Tecnología]&amp;TbTipos[Metodo],TbTipos[Tipo])</f>
        <v>OMP Operaciones</v>
      </c>
      <c r="E128" s="1" t="str" cm="1">
        <f t="array" ref="E128">_xlfn.XLOOKUP(Bash1[[#This Row],[Tecnología]]&amp;Bash1[[#This Row],[Problema]],TbNombres[Tecnología]&amp;TbNombres[Problema],TbNombres[Nombre])</f>
        <v>Simple Advdiff</v>
      </c>
      <c r="F128" s="20">
        <v>3</v>
      </c>
      <c r="G128" s="20">
        <v>1</v>
      </c>
      <c r="H128" s="20">
        <v>4</v>
      </c>
      <c r="I128" s="20">
        <v>50000</v>
      </c>
      <c r="J128" s="20">
        <v>50000</v>
      </c>
      <c r="K128" s="20">
        <v>40.6982</v>
      </c>
      <c r="M128" s="2" t="str">
        <f>_xlfn.XLOOKUP(Bash2[[#This Row],[Metodo]],TbSolver[Metodo],TbSolver[Solver])</f>
        <v>Adams Bashford</v>
      </c>
      <c r="N128" s="2" t="str">
        <f>_xlfn.XLOOKUP(Bash2[[#This Row],[Hebras]],TbTecnologia[Hebras],TbTecnologia[Tecnología])</f>
        <v>OMP</v>
      </c>
      <c r="O128" s="6" t="str" cm="1">
        <f t="array" ref="O128">_xlfn.XLOOKUP(Bash2[[#This Row],[Tecnología]]&amp;Bash2[[#This Row],[Metodo]],TbTipos[Tecnología]&amp;TbTipos[Metodo],TbTipos[Tipo])</f>
        <v>OMP Operaciones</v>
      </c>
      <c r="P128" s="6" t="str" cm="1">
        <f t="array" ref="P128">_xlfn.XLOOKUP(Bash2[[#This Row],[Tecnología]]&amp;Bash2[[#This Row],[Problema]],TbNombres[Tecnología]&amp;TbNombres[Problema],TbNombres[Nombre])</f>
        <v>Advdiff1d</v>
      </c>
      <c r="Q128" s="21">
        <v>3</v>
      </c>
      <c r="R128" s="21">
        <v>2</v>
      </c>
      <c r="S128" s="21">
        <v>4</v>
      </c>
      <c r="T128" s="21">
        <v>50000</v>
      </c>
      <c r="U128" s="21">
        <v>50000</v>
      </c>
      <c r="V128" s="21">
        <v>343.10500000000002</v>
      </c>
      <c r="X128" s="2" t="str">
        <f>_xlfn.XLOOKUP(Bash3[[#This Row],[Metodo]],TbSolver[Metodo],TbSolver[Solver])</f>
        <v>Adams Bashford</v>
      </c>
      <c r="Y128" s="2" t="str">
        <f>_xlfn.XLOOKUP(Bash3[[#This Row],[Hebras]],TbTecnologia[Hebras],TbTecnologia[Tecnología])</f>
        <v>OMP</v>
      </c>
      <c r="Z128" s="2" t="str" cm="1">
        <f t="array" ref="Z128">_xlfn.XLOOKUP(Bash3[[#This Row],[Tecnología]]&amp;Bash3[[#This Row],[Metodo]],TbTipos[Tecnología]&amp;TbTipos[Metodo],TbTipos[Tipo])</f>
        <v>OMP Elementos</v>
      </c>
      <c r="AA128" s="2" t="str" cm="1">
        <f t="array" ref="AA128">_xlfn.XLOOKUP(Bash3[[#This Row],[Tecnología]]&amp;Bash3[[#This Row],[Problema]],TbNombres[Tecnología]&amp;TbNombres[Problema],TbNombres[Nombre])</f>
        <v>Brusselator1d</v>
      </c>
      <c r="AB128" s="21">
        <v>4</v>
      </c>
      <c r="AC128" s="21">
        <v>3</v>
      </c>
      <c r="AD128" s="21">
        <v>1</v>
      </c>
      <c r="AE128" s="21">
        <v>30000</v>
      </c>
      <c r="AF128" s="21">
        <v>60000</v>
      </c>
      <c r="AG128" s="21">
        <v>423.39</v>
      </c>
    </row>
    <row r="129" spans="2:33" x14ac:dyDescent="0.2">
      <c r="B129" s="1" t="str">
        <f>_xlfn.XLOOKUP(Bash1[[#This Row],[Metodo]],TbSolver[Metodo],TbSolver[Solver])</f>
        <v>Adams Bashford</v>
      </c>
      <c r="C129" s="1" t="str">
        <f>_xlfn.XLOOKUP(Bash1[[#This Row],[Hebras]],TbTecnologia[Hebras],TbTecnologia[Tecnología])</f>
        <v>OMP</v>
      </c>
      <c r="D129" s="1" t="str" cm="1">
        <f t="array" ref="D129">_xlfn.XLOOKUP(Bash1[[#This Row],[Tecnología]]&amp;Bash1[[#This Row],[Metodo]],TbTipos[Tecnología]&amp;TbTipos[Metodo],TbTipos[Tipo])</f>
        <v>OMP Elementos</v>
      </c>
      <c r="E129" s="1" t="str" cm="1">
        <f t="array" ref="E129">_xlfn.XLOOKUP(Bash1[[#This Row],[Tecnología]]&amp;Bash1[[#This Row],[Problema]],TbNombres[Tecnología]&amp;TbNombres[Problema],TbNombres[Nombre])</f>
        <v>Simple Advdiff</v>
      </c>
      <c r="F129" s="20">
        <v>4</v>
      </c>
      <c r="G129" s="20">
        <v>1</v>
      </c>
      <c r="H129" s="20">
        <v>4</v>
      </c>
      <c r="I129" s="20">
        <v>50000</v>
      </c>
      <c r="J129" s="20">
        <v>50000</v>
      </c>
      <c r="K129" s="20">
        <v>72.22</v>
      </c>
      <c r="M129" s="2" t="str">
        <f>_xlfn.XLOOKUP(Bash2[[#This Row],[Metodo]],TbSolver[Metodo],TbSolver[Solver])</f>
        <v>Adams Bashford</v>
      </c>
      <c r="N129" s="2" t="str">
        <f>_xlfn.XLOOKUP(Bash2[[#This Row],[Hebras]],TbTecnologia[Hebras],TbTecnologia[Tecnología])</f>
        <v>OMP</v>
      </c>
      <c r="O129" s="6" t="str" cm="1">
        <f t="array" ref="O129">_xlfn.XLOOKUP(Bash2[[#This Row],[Tecnología]]&amp;Bash2[[#This Row],[Metodo]],TbTipos[Tecnología]&amp;TbTipos[Metodo],TbTipos[Tipo])</f>
        <v>OMP Elementos</v>
      </c>
      <c r="P129" s="6" t="str" cm="1">
        <f t="array" ref="P129">_xlfn.XLOOKUP(Bash2[[#This Row],[Tecnología]]&amp;Bash2[[#This Row],[Problema]],TbNombres[Tecnología]&amp;TbNombres[Problema],TbNombres[Nombre])</f>
        <v>Advdiff1d</v>
      </c>
      <c r="Q129" s="21">
        <v>4</v>
      </c>
      <c r="R129" s="21">
        <v>2</v>
      </c>
      <c r="S129" s="21">
        <v>4</v>
      </c>
      <c r="T129" s="21">
        <v>50000</v>
      </c>
      <c r="U129" s="21">
        <v>50000</v>
      </c>
      <c r="V129" s="21">
        <v>379.87900000000002</v>
      </c>
      <c r="X129" s="2" t="str">
        <f>_xlfn.XLOOKUP(Bash3[[#This Row],[Metodo]],TbSolver[Metodo],TbSolver[Solver])</f>
        <v>Adams Bashford</v>
      </c>
      <c r="Y129" s="2" t="str">
        <f>_xlfn.XLOOKUP(Bash3[[#This Row],[Hebras]],TbTecnologia[Hebras],TbTecnologia[Tecnología])</f>
        <v>CUDA</v>
      </c>
      <c r="Z129" s="2" t="str" cm="1">
        <f t="array" ref="Z129">_xlfn.XLOOKUP(Bash3[[#This Row],[Tecnología]]&amp;Bash3[[#This Row],[Metodo]],TbTipos[Tecnología]&amp;TbTipos[Metodo],TbTipos[Tipo])</f>
        <v>CUDA sin graph</v>
      </c>
      <c r="AA129" s="2" t="str" cm="1">
        <f t="array" ref="AA129">_xlfn.XLOOKUP(Bash3[[#This Row],[Tecnología]]&amp;Bash3[[#This Row],[Problema]],TbNombres[Tecnología]&amp;TbNombres[Problema],TbNombres[Nombre])</f>
        <v>Brusselator1d</v>
      </c>
      <c r="AB129" s="21">
        <v>3</v>
      </c>
      <c r="AC129" s="21">
        <v>5</v>
      </c>
      <c r="AD129" s="21">
        <v>256</v>
      </c>
      <c r="AE129" s="21">
        <v>40000</v>
      </c>
      <c r="AF129" s="21">
        <v>80000</v>
      </c>
      <c r="AG129" s="21">
        <v>10.9232</v>
      </c>
    </row>
    <row r="130" spans="2:33" x14ac:dyDescent="0.2">
      <c r="B130" s="1" t="str">
        <f>_xlfn.XLOOKUP(Bash1[[#This Row],[Metodo]],TbSolver[Metodo],TbSolver[Solver])</f>
        <v>Adams Bashford</v>
      </c>
      <c r="C130" s="1" t="str">
        <f>_xlfn.XLOOKUP(Bash1[[#This Row],[Hebras]],TbTecnologia[Hebras],TbTecnologia[Tecnología])</f>
        <v>OMP</v>
      </c>
      <c r="D130" s="1" t="str" cm="1">
        <f t="array" ref="D130">_xlfn.XLOOKUP(Bash1[[#This Row],[Tecnología]]&amp;Bash1[[#This Row],[Metodo]],TbTipos[Tecnología]&amp;TbTipos[Metodo],TbTipos[Tipo])</f>
        <v>OMP Operaciones</v>
      </c>
      <c r="E130" s="1" t="str" cm="1">
        <f t="array" ref="E130">_xlfn.XLOOKUP(Bash1[[#This Row],[Tecnología]]&amp;Bash1[[#This Row],[Problema]],TbNombres[Tecnología]&amp;TbNombres[Problema],TbNombres[Nombre])</f>
        <v>Simple Advdiff</v>
      </c>
      <c r="F130" s="20">
        <v>3</v>
      </c>
      <c r="G130" s="20">
        <v>1</v>
      </c>
      <c r="H130" s="20">
        <v>1</v>
      </c>
      <c r="I130" s="20">
        <v>50000</v>
      </c>
      <c r="J130" s="20">
        <v>50000</v>
      </c>
      <c r="K130" s="20">
        <v>175.83199999999999</v>
      </c>
      <c r="M130" s="2" t="str">
        <f>_xlfn.XLOOKUP(Bash2[[#This Row],[Metodo]],TbSolver[Metodo],TbSolver[Solver])</f>
        <v>Adams Bashford</v>
      </c>
      <c r="N130" s="2" t="str">
        <f>_xlfn.XLOOKUP(Bash2[[#This Row],[Hebras]],TbTecnologia[Hebras],TbTecnologia[Tecnología])</f>
        <v>OMP</v>
      </c>
      <c r="O130" s="6" t="str" cm="1">
        <f t="array" ref="O130">_xlfn.XLOOKUP(Bash2[[#This Row],[Tecnología]]&amp;Bash2[[#This Row],[Metodo]],TbTipos[Tecnología]&amp;TbTipos[Metodo],TbTipos[Tipo])</f>
        <v>OMP Operaciones</v>
      </c>
      <c r="P130" s="6" t="str" cm="1">
        <f t="array" ref="P130">_xlfn.XLOOKUP(Bash2[[#This Row],[Tecnología]]&amp;Bash2[[#This Row],[Problema]],TbNombres[Tecnología]&amp;TbNombres[Problema],TbNombres[Nombre])</f>
        <v>Advdiff1d</v>
      </c>
      <c r="Q130" s="21">
        <v>3</v>
      </c>
      <c r="R130" s="21">
        <v>2</v>
      </c>
      <c r="S130" s="21">
        <v>1</v>
      </c>
      <c r="T130" s="21">
        <v>50000</v>
      </c>
      <c r="U130" s="21">
        <v>50000</v>
      </c>
      <c r="V130" s="21">
        <v>1208.3599999999999</v>
      </c>
      <c r="X130" s="2" t="str">
        <f>_xlfn.XLOOKUP(Bash3[[#This Row],[Metodo]],TbSolver[Metodo],TbSolver[Solver])</f>
        <v>Adams Bashford</v>
      </c>
      <c r="Y130" s="2" t="str">
        <f>_xlfn.XLOOKUP(Bash3[[#This Row],[Hebras]],TbTecnologia[Hebras],TbTecnologia[Tecnología])</f>
        <v>CUDA</v>
      </c>
      <c r="Z130" s="2" t="str" cm="1">
        <f t="array" ref="Z130">_xlfn.XLOOKUP(Bash3[[#This Row],[Tecnología]]&amp;Bash3[[#This Row],[Metodo]],TbTipos[Tecnología]&amp;TbTipos[Metodo],TbTipos[Tipo])</f>
        <v>CUDA con graph</v>
      </c>
      <c r="AA130" s="2" t="str" cm="1">
        <f t="array" ref="AA130">_xlfn.XLOOKUP(Bash3[[#This Row],[Tecnología]]&amp;Bash3[[#This Row],[Problema]],TbNombres[Tecnología]&amp;TbNombres[Problema],TbNombres[Nombre])</f>
        <v>Brusselator1d</v>
      </c>
      <c r="AB130" s="21">
        <v>4</v>
      </c>
      <c r="AC130" s="21">
        <v>5</v>
      </c>
      <c r="AD130" s="21">
        <v>256</v>
      </c>
      <c r="AE130" s="21">
        <v>40000</v>
      </c>
      <c r="AF130" s="21">
        <v>80000</v>
      </c>
      <c r="AG130" s="21">
        <v>18.164999999999999</v>
      </c>
    </row>
    <row r="131" spans="2:33" x14ac:dyDescent="0.2">
      <c r="B131" s="1" t="str">
        <f>_xlfn.XLOOKUP(Bash1[[#This Row],[Metodo]],TbSolver[Metodo],TbSolver[Solver])</f>
        <v>Adams Bashford</v>
      </c>
      <c r="C131" s="1" t="str">
        <f>_xlfn.XLOOKUP(Bash1[[#This Row],[Hebras]],TbTecnologia[Hebras],TbTecnologia[Tecnología])</f>
        <v>OMP</v>
      </c>
      <c r="D131" s="1" t="str" cm="1">
        <f t="array" ref="D131">_xlfn.XLOOKUP(Bash1[[#This Row],[Tecnología]]&amp;Bash1[[#This Row],[Metodo]],TbTipos[Tecnología]&amp;TbTipos[Metodo],TbTipos[Tipo])</f>
        <v>OMP Elementos</v>
      </c>
      <c r="E131" s="1" t="str" cm="1">
        <f t="array" ref="E131">_xlfn.XLOOKUP(Bash1[[#This Row],[Tecnología]]&amp;Bash1[[#This Row],[Problema]],TbNombres[Tecnología]&amp;TbNombres[Problema],TbNombres[Nombre])</f>
        <v>Simple Advdiff</v>
      </c>
      <c r="F131" s="20">
        <v>4</v>
      </c>
      <c r="G131" s="20">
        <v>1</v>
      </c>
      <c r="H131" s="20">
        <v>1</v>
      </c>
      <c r="I131" s="20">
        <v>50000</v>
      </c>
      <c r="J131" s="20">
        <v>50000</v>
      </c>
      <c r="K131" s="20">
        <v>294.63900000000001</v>
      </c>
      <c r="M131" s="2" t="str">
        <f>_xlfn.XLOOKUP(Bash2[[#This Row],[Metodo]],TbSolver[Metodo],TbSolver[Solver])</f>
        <v>Adams Bashford</v>
      </c>
      <c r="N131" s="2" t="str">
        <f>_xlfn.XLOOKUP(Bash2[[#This Row],[Hebras]],TbTecnologia[Hebras],TbTecnologia[Tecnología])</f>
        <v>OMP</v>
      </c>
      <c r="O131" s="6" t="str" cm="1">
        <f t="array" ref="O131">_xlfn.XLOOKUP(Bash2[[#This Row],[Tecnología]]&amp;Bash2[[#This Row],[Metodo]],TbTipos[Tecnología]&amp;TbTipos[Metodo],TbTipos[Tipo])</f>
        <v>OMP Elementos</v>
      </c>
      <c r="P131" s="6" t="str" cm="1">
        <f t="array" ref="P131">_xlfn.XLOOKUP(Bash2[[#This Row],[Tecnología]]&amp;Bash2[[#This Row],[Problema]],TbNombres[Tecnología]&amp;TbNombres[Problema],TbNombres[Nombre])</f>
        <v>Advdiff1d</v>
      </c>
      <c r="Q131" s="21">
        <v>4</v>
      </c>
      <c r="R131" s="21">
        <v>2</v>
      </c>
      <c r="S131" s="21">
        <v>1</v>
      </c>
      <c r="T131" s="21">
        <v>50000</v>
      </c>
      <c r="U131" s="21">
        <v>50000</v>
      </c>
      <c r="V131" s="21">
        <v>1380.05</v>
      </c>
      <c r="X131" s="2" t="str">
        <f>_xlfn.XLOOKUP(Bash3[[#This Row],[Metodo]],TbSolver[Metodo],TbSolver[Solver])</f>
        <v>Adams Bashford</v>
      </c>
      <c r="Y131" s="2" t="str">
        <f>_xlfn.XLOOKUP(Bash3[[#This Row],[Hebras]],TbTecnologia[Hebras],TbTecnologia[Tecnología])</f>
        <v>OMP</v>
      </c>
      <c r="Z131" s="2" t="str" cm="1">
        <f t="array" ref="Z131">_xlfn.XLOOKUP(Bash3[[#This Row],[Tecnología]]&amp;Bash3[[#This Row],[Metodo]],TbTipos[Tecnología]&amp;TbTipos[Metodo],TbTipos[Tipo])</f>
        <v>OMP Elementos</v>
      </c>
      <c r="AA131" s="2" t="str" cm="1">
        <f t="array" ref="AA131">_xlfn.XLOOKUP(Bash3[[#This Row],[Tecnología]]&amp;Bash3[[#This Row],[Problema]],TbNombres[Tecnología]&amp;TbNombres[Problema],TbNombres[Nombre])</f>
        <v>Brusselator1d</v>
      </c>
      <c r="AB131" s="21">
        <v>4</v>
      </c>
      <c r="AC131" s="21">
        <v>3</v>
      </c>
      <c r="AD131" s="21">
        <v>16</v>
      </c>
      <c r="AE131" s="21">
        <v>40000</v>
      </c>
      <c r="AF131" s="21">
        <v>80000</v>
      </c>
      <c r="AG131" s="21">
        <v>47.822000000000003</v>
      </c>
    </row>
    <row r="132" spans="2:33" x14ac:dyDescent="0.2">
      <c r="B132" s="1" t="str">
        <f>_xlfn.XLOOKUP(Bash1[[#This Row],[Metodo]],TbSolver[Metodo],TbSolver[Solver])</f>
        <v>Adams Bashford</v>
      </c>
      <c r="C132" s="1" t="str">
        <f>_xlfn.XLOOKUP(Bash1[[#This Row],[Hebras]],TbTecnologia[Hebras],TbTecnologia[Tecnología])</f>
        <v>CUDA</v>
      </c>
      <c r="D132" s="1" t="str" cm="1">
        <f t="array" ref="D132">_xlfn.XLOOKUP(Bash1[[#This Row],[Tecnología]]&amp;Bash1[[#This Row],[Metodo]],TbTipos[Tecnología]&amp;TbTipos[Metodo],TbTipos[Tipo])</f>
        <v>CUDA sin graph</v>
      </c>
      <c r="E132" s="1" t="str" cm="1">
        <f t="array" ref="E132">_xlfn.XLOOKUP(Bash1[[#This Row],[Tecnología]]&amp;Bash1[[#This Row],[Problema]],TbNombres[Tecnología]&amp;TbNombres[Problema],TbNombres[Nombre])</f>
        <v>Simple Advdiff</v>
      </c>
      <c r="F132" s="20">
        <v>3</v>
      </c>
      <c r="G132" s="20">
        <v>1</v>
      </c>
      <c r="H132" s="20">
        <v>256</v>
      </c>
      <c r="I132" s="20">
        <v>75000</v>
      </c>
      <c r="J132" s="20">
        <v>75000</v>
      </c>
      <c r="K132" s="20">
        <v>9.1370699999999996</v>
      </c>
      <c r="M132" s="2" t="str">
        <f>_xlfn.XLOOKUP(Bash2[[#This Row],[Metodo]],TbSolver[Metodo],TbSolver[Solver])</f>
        <v>Adams Bashford</v>
      </c>
      <c r="N132" s="2" t="str">
        <f>_xlfn.XLOOKUP(Bash2[[#This Row],[Hebras]],TbTecnologia[Hebras],TbTecnologia[Tecnología])</f>
        <v>CUDA</v>
      </c>
      <c r="O132" s="9" t="str" cm="1">
        <f t="array" ref="O132">_xlfn.XLOOKUP(Bash2[[#This Row],[Tecnología]]&amp;Bash2[[#This Row],[Metodo]],TbTipos[Tecnología]&amp;TbTipos[Metodo],TbTipos[Tipo])</f>
        <v>CUDA sin graph</v>
      </c>
      <c r="P132" s="9" t="str" cm="1">
        <f t="array" ref="P132">_xlfn.XLOOKUP(Bash2[[#This Row],[Tecnología]]&amp;Bash2[[#This Row],[Problema]],TbNombres[Tecnología]&amp;TbNombres[Problema],TbNombres[Nombre])</f>
        <v>Advdiff1d</v>
      </c>
      <c r="Q132" s="21">
        <v>3</v>
      </c>
      <c r="R132" s="21">
        <v>3</v>
      </c>
      <c r="S132" s="21">
        <v>256</v>
      </c>
      <c r="T132" s="21">
        <v>75000</v>
      </c>
      <c r="U132" s="21">
        <v>75000</v>
      </c>
      <c r="V132" s="21">
        <v>29.564599999999999</v>
      </c>
      <c r="X132" s="2" t="str">
        <f>_xlfn.XLOOKUP(Bash3[[#This Row],[Metodo]],TbSolver[Metodo],TbSolver[Solver])</f>
        <v>Adams Bashford</v>
      </c>
      <c r="Y132" s="2" t="str">
        <f>_xlfn.XLOOKUP(Bash3[[#This Row],[Hebras]],TbTecnologia[Hebras],TbTecnologia[Tecnología])</f>
        <v>OMP</v>
      </c>
      <c r="Z132" s="2" t="str" cm="1">
        <f t="array" ref="Z132">_xlfn.XLOOKUP(Bash3[[#This Row],[Tecnología]]&amp;Bash3[[#This Row],[Metodo]],TbTipos[Tecnología]&amp;TbTipos[Metodo],TbTipos[Tipo])</f>
        <v>OMP Operaciones</v>
      </c>
      <c r="AA132" s="2" t="str" cm="1">
        <f t="array" ref="AA132">_xlfn.XLOOKUP(Bash3[[#This Row],[Tecnología]]&amp;Bash3[[#This Row],[Problema]],TbNombres[Tecnología]&amp;TbNombres[Problema],TbNombres[Nombre])</f>
        <v>Brusselator1d</v>
      </c>
      <c r="AB132" s="21">
        <v>3</v>
      </c>
      <c r="AC132" s="21">
        <v>3</v>
      </c>
      <c r="AD132" s="21">
        <v>16</v>
      </c>
      <c r="AE132" s="21">
        <v>40000</v>
      </c>
      <c r="AF132" s="21">
        <v>80000</v>
      </c>
      <c r="AG132" s="21">
        <v>61.248600000000003</v>
      </c>
    </row>
    <row r="133" spans="2:33" x14ac:dyDescent="0.2">
      <c r="B133" s="1" t="str">
        <f>_xlfn.XLOOKUP(Bash1[[#This Row],[Metodo]],TbSolver[Metodo],TbSolver[Solver])</f>
        <v>Adams Bashford</v>
      </c>
      <c r="C133" s="1" t="str">
        <f>_xlfn.XLOOKUP(Bash1[[#This Row],[Hebras]],TbTecnologia[Hebras],TbTecnologia[Tecnología])</f>
        <v>CUDA</v>
      </c>
      <c r="D133" s="1" t="str" cm="1">
        <f t="array" ref="D133">_xlfn.XLOOKUP(Bash1[[#This Row],[Tecnología]]&amp;Bash1[[#This Row],[Metodo]],TbTipos[Tecnología]&amp;TbTipos[Metodo],TbTipos[Tipo])</f>
        <v>CUDA con graph</v>
      </c>
      <c r="E133" s="1" t="str" cm="1">
        <f t="array" ref="E133">_xlfn.XLOOKUP(Bash1[[#This Row],[Tecnología]]&amp;Bash1[[#This Row],[Problema]],TbNombres[Tecnología]&amp;TbNombres[Problema],TbNombres[Nombre])</f>
        <v>Simple Advdiff</v>
      </c>
      <c r="F133" s="20">
        <v>4</v>
      </c>
      <c r="G133" s="20">
        <v>1</v>
      </c>
      <c r="H133" s="20">
        <v>256</v>
      </c>
      <c r="I133" s="20">
        <v>75000</v>
      </c>
      <c r="J133" s="20">
        <v>75000</v>
      </c>
      <c r="K133" s="20">
        <v>12.3706</v>
      </c>
      <c r="M133" s="2" t="str">
        <f>_xlfn.XLOOKUP(Bash2[[#This Row],[Metodo]],TbSolver[Metodo],TbSolver[Solver])</f>
        <v>Adams Bashford</v>
      </c>
      <c r="N133" s="2" t="str">
        <f>_xlfn.XLOOKUP(Bash2[[#This Row],[Hebras]],TbTecnologia[Hebras],TbTecnologia[Tecnología])</f>
        <v>CUDA</v>
      </c>
      <c r="O133" s="6" t="str" cm="1">
        <f t="array" ref="O133">_xlfn.XLOOKUP(Bash2[[#This Row],[Tecnología]]&amp;Bash2[[#This Row],[Metodo]],TbTipos[Tecnología]&amp;TbTipos[Metodo],TbTipos[Tipo])</f>
        <v>CUDA con graph</v>
      </c>
      <c r="P133" s="6" t="str" cm="1">
        <f t="array" ref="P133">_xlfn.XLOOKUP(Bash2[[#This Row],[Tecnología]]&amp;Bash2[[#This Row],[Problema]],TbNombres[Tecnología]&amp;TbNombres[Problema],TbNombres[Nombre])</f>
        <v>Advdiff1d</v>
      </c>
      <c r="Q133" s="21">
        <v>4</v>
      </c>
      <c r="R133" s="21">
        <v>3</v>
      </c>
      <c r="S133" s="21">
        <v>256</v>
      </c>
      <c r="T133" s="21">
        <v>75000</v>
      </c>
      <c r="U133" s="21">
        <v>75000</v>
      </c>
      <c r="V133" s="21">
        <v>35.382199999999997</v>
      </c>
      <c r="X133" s="2" t="str">
        <f>_xlfn.XLOOKUP(Bash3[[#This Row],[Metodo]],TbSolver[Metodo],TbSolver[Solver])</f>
        <v>Adams Bashford</v>
      </c>
      <c r="Y133" s="2" t="str">
        <f>_xlfn.XLOOKUP(Bash3[[#This Row],[Hebras]],TbTecnologia[Hebras],TbTecnologia[Tecnología])</f>
        <v>OMP</v>
      </c>
      <c r="Z133" s="2" t="str" cm="1">
        <f t="array" ref="Z133">_xlfn.XLOOKUP(Bash3[[#This Row],[Tecnología]]&amp;Bash3[[#This Row],[Metodo]],TbTipos[Tecnología]&amp;TbTipos[Metodo],TbTipos[Tipo])</f>
        <v>OMP Operaciones</v>
      </c>
      <c r="AA133" s="2" t="str" cm="1">
        <f t="array" ref="AA133">_xlfn.XLOOKUP(Bash3[[#This Row],[Tecnología]]&amp;Bash3[[#This Row],[Problema]],TbNombres[Tecnología]&amp;TbNombres[Problema],TbNombres[Nombre])</f>
        <v>Brusselator1d</v>
      </c>
      <c r="AB133" s="21">
        <v>3</v>
      </c>
      <c r="AC133" s="21">
        <v>3</v>
      </c>
      <c r="AD133" s="21">
        <v>4</v>
      </c>
      <c r="AE133" s="21">
        <v>40000</v>
      </c>
      <c r="AF133" s="21">
        <v>80000</v>
      </c>
      <c r="AG133" s="21">
        <v>100.393</v>
      </c>
    </row>
    <row r="134" spans="2:33" x14ac:dyDescent="0.2">
      <c r="B134" s="1" t="str">
        <f>_xlfn.XLOOKUP(Bash1[[#This Row],[Metodo]],TbSolver[Metodo],TbSolver[Solver])</f>
        <v>Adams Bashford</v>
      </c>
      <c r="C134" s="1" t="str">
        <f>_xlfn.XLOOKUP(Bash1[[#This Row],[Hebras]],TbTecnologia[Hebras],TbTecnologia[Tecnología])</f>
        <v>CUDA</v>
      </c>
      <c r="D134" s="1" t="str" cm="1">
        <f t="array" ref="D134">_xlfn.XLOOKUP(Bash1[[#This Row],[Tecnología]]&amp;Bash1[[#This Row],[Metodo]],TbTipos[Tecnología]&amp;TbTipos[Metodo],TbTipos[Tipo])</f>
        <v>CUDA sin graph</v>
      </c>
      <c r="E134" s="1" t="str" cm="1">
        <f t="array" ref="E134">_xlfn.XLOOKUP(Bash1[[#This Row],[Tecnología]]&amp;Bash1[[#This Row],[Problema]],TbNombres[Tecnología]&amp;TbNombres[Problema],TbNombres[Nombre])</f>
        <v>Simple Advdiff</v>
      </c>
      <c r="F134" s="1">
        <v>3</v>
      </c>
      <c r="G134" s="1">
        <v>1</v>
      </c>
      <c r="H134" s="1">
        <v>256</v>
      </c>
      <c r="I134" s="1">
        <v>100000</v>
      </c>
      <c r="J134" s="1">
        <v>100000</v>
      </c>
      <c r="K134" s="1">
        <v>10.328099999999999</v>
      </c>
      <c r="M134" s="2" t="str">
        <f>_xlfn.XLOOKUP(Bash2[[#This Row],[Metodo]],TbSolver[Metodo],TbSolver[Solver])</f>
        <v>Adams Bashford</v>
      </c>
      <c r="N134" s="2" t="str">
        <f>_xlfn.XLOOKUP(Bash2[[#This Row],[Hebras]],TbTecnologia[Hebras],TbTecnologia[Tecnología])</f>
        <v>CUDA</v>
      </c>
      <c r="O134" s="6" t="str" cm="1">
        <f t="array" ref="O134">_xlfn.XLOOKUP(Bash2[[#This Row],[Tecnología]]&amp;Bash2[[#This Row],[Metodo]],TbTipos[Tecnología]&amp;TbTipos[Metodo],TbTipos[Tipo])</f>
        <v>CUDA sin graph</v>
      </c>
      <c r="P134" s="6" t="str" cm="1">
        <f t="array" ref="P134">_xlfn.XLOOKUP(Bash2[[#This Row],[Tecnología]]&amp;Bash2[[#This Row],[Problema]],TbNombres[Tecnología]&amp;TbNombres[Problema],TbNombres[Nombre])</f>
        <v>Advdiff1d</v>
      </c>
      <c r="Q134" s="2">
        <v>3</v>
      </c>
      <c r="R134" s="2">
        <v>3</v>
      </c>
      <c r="S134" s="2">
        <v>256</v>
      </c>
      <c r="T134" s="2">
        <v>100000</v>
      </c>
      <c r="U134" s="2">
        <v>100000</v>
      </c>
      <c r="V134" s="2">
        <v>34.9452</v>
      </c>
      <c r="X134" s="2" t="str">
        <f>_xlfn.XLOOKUP(Bash3[[#This Row],[Metodo]],TbSolver[Metodo],TbSolver[Solver])</f>
        <v>Adams Bashford</v>
      </c>
      <c r="Y134" s="2" t="str">
        <f>_xlfn.XLOOKUP(Bash3[[#This Row],[Hebras]],TbTecnologia[Hebras],TbTecnologia[Tecnología])</f>
        <v>OMP</v>
      </c>
      <c r="Z134" s="2" t="str" cm="1">
        <f t="array" ref="Z134">_xlfn.XLOOKUP(Bash3[[#This Row],[Tecnología]]&amp;Bash3[[#This Row],[Metodo]],TbTipos[Tecnología]&amp;TbTipos[Metodo],TbTipos[Tipo])</f>
        <v>OMP Elementos</v>
      </c>
      <c r="AA134" s="2" t="str" cm="1">
        <f t="array" ref="AA134">_xlfn.XLOOKUP(Bash3[[#This Row],[Tecnología]]&amp;Bash3[[#This Row],[Problema]],TbNombres[Tecnología]&amp;TbNombres[Problema],TbNombres[Nombre])</f>
        <v>Brusselator1d</v>
      </c>
      <c r="AB134" s="21">
        <v>4</v>
      </c>
      <c r="AC134" s="21">
        <v>3</v>
      </c>
      <c r="AD134" s="21">
        <v>4</v>
      </c>
      <c r="AE134" s="21">
        <v>40000</v>
      </c>
      <c r="AF134" s="21">
        <v>80000</v>
      </c>
      <c r="AG134" s="21">
        <v>139.6</v>
      </c>
    </row>
    <row r="135" spans="2:33" x14ac:dyDescent="0.2">
      <c r="B135" s="1" t="str">
        <f>_xlfn.XLOOKUP(Bash1[[#This Row],[Metodo]],TbSolver[Metodo],TbSolver[Solver])</f>
        <v>Adams Bashford</v>
      </c>
      <c r="C135" s="1" t="str">
        <f>_xlfn.XLOOKUP(Bash1[[#This Row],[Hebras]],TbTecnologia[Hebras],TbTecnologia[Tecnología])</f>
        <v>CUDA</v>
      </c>
      <c r="D135" s="1" t="str" cm="1">
        <f t="array" ref="D135">_xlfn.XLOOKUP(Bash1[[#This Row],[Tecnología]]&amp;Bash1[[#This Row],[Metodo]],TbTipos[Tecnología]&amp;TbTipos[Metodo],TbTipos[Tipo])</f>
        <v>CUDA sin graph</v>
      </c>
      <c r="E135" s="1" t="str" cm="1">
        <f t="array" ref="E135">_xlfn.XLOOKUP(Bash1[[#This Row],[Tecnología]]&amp;Bash1[[#This Row],[Problema]],TbNombres[Tecnología]&amp;TbNombres[Problema],TbNombres[Nombre])</f>
        <v>Simple Advdiff shuffle</v>
      </c>
      <c r="F135" s="1">
        <v>3</v>
      </c>
      <c r="G135" s="1">
        <v>2</v>
      </c>
      <c r="H135" s="1">
        <v>256</v>
      </c>
      <c r="I135" s="1">
        <v>100000</v>
      </c>
      <c r="J135" s="1">
        <v>100000</v>
      </c>
      <c r="K135" s="1">
        <v>10.511699999999999</v>
      </c>
      <c r="M135" s="2" t="str">
        <f>_xlfn.XLOOKUP(Bash2[[#This Row],[Metodo]],TbSolver[Metodo],TbSolver[Solver])</f>
        <v>Adams Bashford</v>
      </c>
      <c r="N135" s="2" t="str">
        <f>_xlfn.XLOOKUP(Bash2[[#This Row],[Hebras]],TbTecnologia[Hebras],TbTecnologia[Tecnología])</f>
        <v>CUDA</v>
      </c>
      <c r="O135" s="6" t="str" cm="1">
        <f t="array" ref="O135">_xlfn.XLOOKUP(Bash2[[#This Row],[Tecnología]]&amp;Bash2[[#This Row],[Metodo]],TbTipos[Tecnología]&amp;TbTipos[Metodo],TbTipos[Tipo])</f>
        <v>CUDA sin graph</v>
      </c>
      <c r="P135" s="6" t="str" cm="1">
        <f t="array" ref="P135">_xlfn.XLOOKUP(Bash2[[#This Row],[Tecnología]]&amp;Bash2[[#This Row],[Problema]],TbNombres[Tecnología]&amp;TbNombres[Problema],TbNombres[Nombre])</f>
        <v>Advdiff1d shuffle</v>
      </c>
      <c r="Q135" s="2">
        <v>3</v>
      </c>
      <c r="R135" s="2">
        <v>4</v>
      </c>
      <c r="S135" s="2">
        <v>256</v>
      </c>
      <c r="T135" s="2">
        <v>100000</v>
      </c>
      <c r="U135" s="2">
        <v>100000</v>
      </c>
      <c r="V135" s="2">
        <v>35.499600000000001</v>
      </c>
      <c r="X135" s="2" t="str">
        <f>_xlfn.XLOOKUP(Bash3[[#This Row],[Metodo]],TbSolver[Metodo],TbSolver[Solver])</f>
        <v>Adams Bashford</v>
      </c>
      <c r="Y135" s="2" t="str">
        <f>_xlfn.XLOOKUP(Bash3[[#This Row],[Hebras]],TbTecnologia[Hebras],TbTecnologia[Tecnología])</f>
        <v>OMP</v>
      </c>
      <c r="Z135" s="2" t="str" cm="1">
        <f t="array" ref="Z135">_xlfn.XLOOKUP(Bash3[[#This Row],[Tecnología]]&amp;Bash3[[#This Row],[Metodo]],TbTipos[Tecnología]&amp;TbTipos[Metodo],TbTipos[Tipo])</f>
        <v>OMP Operaciones</v>
      </c>
      <c r="AA135" s="2" t="str" cm="1">
        <f t="array" ref="AA135">_xlfn.XLOOKUP(Bash3[[#This Row],[Tecnología]]&amp;Bash3[[#This Row],[Problema]],TbNombres[Tecnología]&amp;TbNombres[Problema],TbNombres[Nombre])</f>
        <v>Brusselator1d</v>
      </c>
      <c r="AB135" s="21">
        <v>3</v>
      </c>
      <c r="AC135" s="21">
        <v>3</v>
      </c>
      <c r="AD135" s="21">
        <v>1</v>
      </c>
      <c r="AE135" s="21">
        <v>40000</v>
      </c>
      <c r="AF135" s="21">
        <v>80000</v>
      </c>
      <c r="AG135" s="21">
        <v>440.74200000000002</v>
      </c>
    </row>
    <row r="136" spans="2:33" x14ac:dyDescent="0.2">
      <c r="B136" s="1" t="str">
        <f>_xlfn.XLOOKUP(Bash1[[#This Row],[Metodo]],TbSolver[Metodo],TbSolver[Solver])</f>
        <v>Adams Bashford</v>
      </c>
      <c r="C136" s="1" t="str">
        <f>_xlfn.XLOOKUP(Bash1[[#This Row],[Hebras]],TbTecnologia[Hebras],TbTecnologia[Tecnología])</f>
        <v>CUDA</v>
      </c>
      <c r="D136" s="1" t="str" cm="1">
        <f t="array" ref="D136">_xlfn.XLOOKUP(Bash1[[#This Row],[Tecnología]]&amp;Bash1[[#This Row],[Metodo]],TbTipos[Tecnología]&amp;TbTipos[Metodo],TbTipos[Tipo])</f>
        <v>CUDA sin graph</v>
      </c>
      <c r="E136" s="1" t="str" cm="1">
        <f t="array" ref="E136">_xlfn.XLOOKUP(Bash1[[#This Row],[Tecnología]]&amp;Bash1[[#This Row],[Problema]],TbNombres[Tecnología]&amp;TbNombres[Problema],TbNombres[Nombre])</f>
        <v>Simple Advdiff</v>
      </c>
      <c r="F136" s="1">
        <v>3</v>
      </c>
      <c r="G136" s="1">
        <v>1</v>
      </c>
      <c r="H136" s="1">
        <v>256</v>
      </c>
      <c r="I136" s="1">
        <v>100000</v>
      </c>
      <c r="J136" s="1">
        <v>100000</v>
      </c>
      <c r="K136" s="1">
        <v>10.8613</v>
      </c>
      <c r="M136" s="2" t="str">
        <f>_xlfn.XLOOKUP(Bash2[[#This Row],[Metodo]],TbSolver[Metodo],TbSolver[Solver])</f>
        <v>Adams Bashford</v>
      </c>
      <c r="N136" s="2" t="str">
        <f>_xlfn.XLOOKUP(Bash2[[#This Row],[Hebras]],TbTecnologia[Hebras],TbTecnologia[Tecnología])</f>
        <v>CUDA</v>
      </c>
      <c r="O136" s="6" t="str" cm="1">
        <f t="array" ref="O136">_xlfn.XLOOKUP(Bash2[[#This Row],[Tecnología]]&amp;Bash2[[#This Row],[Metodo]],TbTipos[Tecnología]&amp;TbTipos[Metodo],TbTipos[Tipo])</f>
        <v>CUDA sin graph</v>
      </c>
      <c r="P136" s="6" t="str" cm="1">
        <f t="array" ref="P136">_xlfn.XLOOKUP(Bash2[[#This Row],[Tecnología]]&amp;Bash2[[#This Row],[Problema]],TbNombres[Tecnología]&amp;TbNombres[Problema],TbNombres[Nombre])</f>
        <v>Advdiff1d</v>
      </c>
      <c r="Q136" s="2">
        <v>3</v>
      </c>
      <c r="R136" s="2">
        <v>3</v>
      </c>
      <c r="S136" s="2">
        <v>256</v>
      </c>
      <c r="T136" s="2">
        <v>100000</v>
      </c>
      <c r="U136" s="2">
        <v>100000</v>
      </c>
      <c r="V136" s="2">
        <v>35.513500000000001</v>
      </c>
      <c r="X136" s="2" t="str">
        <f>_xlfn.XLOOKUP(Bash3[[#This Row],[Metodo]],TbSolver[Metodo],TbSolver[Solver])</f>
        <v>Adams Bashford</v>
      </c>
      <c r="Y136" s="2" t="str">
        <f>_xlfn.XLOOKUP(Bash3[[#This Row],[Hebras]],TbTecnologia[Hebras],TbTecnologia[Tecnología])</f>
        <v>OMP</v>
      </c>
      <c r="Z136" s="2" t="str" cm="1">
        <f t="array" ref="Z136">_xlfn.XLOOKUP(Bash3[[#This Row],[Tecnología]]&amp;Bash3[[#This Row],[Metodo]],TbTipos[Tecnología]&amp;TbTipos[Metodo],TbTipos[Tipo])</f>
        <v>OMP Elementos</v>
      </c>
      <c r="AA136" s="2" t="str" cm="1">
        <f t="array" ref="AA136">_xlfn.XLOOKUP(Bash3[[#This Row],[Tecnología]]&amp;Bash3[[#This Row],[Problema]],TbNombres[Tecnología]&amp;TbNombres[Problema],TbNombres[Nombre])</f>
        <v>Brusselator1d</v>
      </c>
      <c r="AB136" s="21">
        <v>4</v>
      </c>
      <c r="AC136" s="21">
        <v>3</v>
      </c>
      <c r="AD136" s="21">
        <v>1</v>
      </c>
      <c r="AE136" s="21">
        <v>40000</v>
      </c>
      <c r="AF136" s="21">
        <v>80000</v>
      </c>
      <c r="AG136" s="21">
        <v>568.14400000000001</v>
      </c>
    </row>
    <row r="137" spans="2:33" x14ac:dyDescent="0.2">
      <c r="B137" s="1" t="str">
        <f>_xlfn.XLOOKUP(Bash1[[#This Row],[Metodo]],TbSolver[Metodo],TbSolver[Solver])</f>
        <v>Adams Bashford</v>
      </c>
      <c r="C137" s="1" t="str">
        <f>_xlfn.XLOOKUP(Bash1[[#This Row],[Hebras]],TbTecnologia[Hebras],TbTecnologia[Tecnología])</f>
        <v>CUDA</v>
      </c>
      <c r="D137" s="1" t="str" cm="1">
        <f t="array" ref="D137">_xlfn.XLOOKUP(Bash1[[#This Row],[Tecnología]]&amp;Bash1[[#This Row],[Metodo]],TbTipos[Tecnología]&amp;TbTipos[Metodo],TbTipos[Tipo])</f>
        <v>CUDA sin graph</v>
      </c>
      <c r="E137" s="1" t="str" cm="1">
        <f t="array" ref="E137">_xlfn.XLOOKUP(Bash1[[#This Row],[Tecnología]]&amp;Bash1[[#This Row],[Problema]],TbNombres[Tecnología]&amp;TbNombres[Problema],TbNombres[Nombre])</f>
        <v>Simple Advdiff</v>
      </c>
      <c r="F137" s="20">
        <v>3</v>
      </c>
      <c r="G137" s="20">
        <v>1</v>
      </c>
      <c r="H137" s="20">
        <v>256</v>
      </c>
      <c r="I137" s="20">
        <v>125000</v>
      </c>
      <c r="J137" s="20">
        <v>125000</v>
      </c>
      <c r="K137" s="20">
        <v>15.239100000000001</v>
      </c>
      <c r="M137" s="2" t="str">
        <f>_xlfn.XLOOKUP(Bash2[[#This Row],[Metodo]],TbSolver[Metodo],TbSolver[Solver])</f>
        <v>Adams Bashford</v>
      </c>
      <c r="N137" s="2" t="str">
        <f>_xlfn.XLOOKUP(Bash2[[#This Row],[Hebras]],TbTecnologia[Hebras],TbTecnologia[Tecnología])</f>
        <v>CUDA</v>
      </c>
      <c r="O137" s="6" t="str" cm="1">
        <f t="array" ref="O137">_xlfn.XLOOKUP(Bash2[[#This Row],[Tecnología]]&amp;Bash2[[#This Row],[Metodo]],TbTipos[Tecnología]&amp;TbTipos[Metodo],TbTipos[Tipo])</f>
        <v>CUDA sin graph</v>
      </c>
      <c r="P137" s="6" t="str" cm="1">
        <f t="array" ref="P137">_xlfn.XLOOKUP(Bash2[[#This Row],[Tecnología]]&amp;Bash2[[#This Row],[Problema]],TbNombres[Tecnología]&amp;TbNombres[Problema],TbNombres[Nombre])</f>
        <v>Advdiff1d</v>
      </c>
      <c r="Q137" s="21">
        <v>3</v>
      </c>
      <c r="R137" s="21">
        <v>3</v>
      </c>
      <c r="S137" s="21">
        <v>256</v>
      </c>
      <c r="T137" s="21">
        <v>125000</v>
      </c>
      <c r="U137" s="21">
        <v>125000</v>
      </c>
      <c r="V137" s="21">
        <v>49.369199999999999</v>
      </c>
      <c r="X137" s="2" t="str">
        <f>_xlfn.XLOOKUP(Bash3[[#This Row],[Metodo]],TbSolver[Metodo],TbSolver[Solver])</f>
        <v>Adams Bashford</v>
      </c>
      <c r="Y137" s="2" t="str">
        <f>_xlfn.XLOOKUP(Bash3[[#This Row],[Hebras]],TbTecnologia[Hebras],TbTecnologia[Tecnología])</f>
        <v>CUDA</v>
      </c>
      <c r="Z137" s="2" t="str" cm="1">
        <f t="array" ref="Z137">_xlfn.XLOOKUP(Bash3[[#This Row],[Tecnología]]&amp;Bash3[[#This Row],[Metodo]],TbTipos[Tecnología]&amp;TbTipos[Metodo],TbTipos[Tipo])</f>
        <v>CUDA sin graph</v>
      </c>
      <c r="AA137" s="2" t="str" cm="1">
        <f t="array" ref="AA137">_xlfn.XLOOKUP(Bash3[[#This Row],[Tecnología]]&amp;Bash3[[#This Row],[Problema]],TbNombres[Tecnología]&amp;TbNombres[Problema],TbNombres[Nombre])</f>
        <v>Brusselator1d shuffle</v>
      </c>
      <c r="AB137" s="2">
        <v>3</v>
      </c>
      <c r="AC137" s="2">
        <v>6</v>
      </c>
      <c r="AD137" s="2">
        <v>256</v>
      </c>
      <c r="AE137" s="2">
        <v>50000</v>
      </c>
      <c r="AF137" s="2">
        <v>100000</v>
      </c>
      <c r="AG137" s="2">
        <v>12.061299999999999</v>
      </c>
    </row>
    <row r="138" spans="2:33" x14ac:dyDescent="0.2">
      <c r="B138" s="1" t="str">
        <f>_xlfn.XLOOKUP(Bash1[[#This Row],[Metodo]],TbSolver[Metodo],TbSolver[Solver])</f>
        <v>Adams Bashford</v>
      </c>
      <c r="C138" s="1" t="str">
        <f>_xlfn.XLOOKUP(Bash1[[#This Row],[Hebras]],TbTecnologia[Hebras],TbTecnologia[Tecnología])</f>
        <v>CUDA</v>
      </c>
      <c r="D138" s="1" t="str" cm="1">
        <f t="array" ref="D138">_xlfn.XLOOKUP(Bash1[[#This Row],[Tecnología]]&amp;Bash1[[#This Row],[Metodo]],TbTipos[Tecnología]&amp;TbTipos[Metodo],TbTipos[Tipo])</f>
        <v>CUDA con graph</v>
      </c>
      <c r="E138" s="1" t="str" cm="1">
        <f t="array" ref="E138">_xlfn.XLOOKUP(Bash1[[#This Row],[Tecnología]]&amp;Bash1[[#This Row],[Problema]],TbNombres[Tecnología]&amp;TbNombres[Problema],TbNombres[Nombre])</f>
        <v>Simple Advdiff</v>
      </c>
      <c r="F138" s="20">
        <v>4</v>
      </c>
      <c r="G138" s="20">
        <v>1</v>
      </c>
      <c r="H138" s="20">
        <v>256</v>
      </c>
      <c r="I138" s="20">
        <v>125000</v>
      </c>
      <c r="J138" s="20">
        <v>125000</v>
      </c>
      <c r="K138" s="20">
        <v>30.149899999999999</v>
      </c>
      <c r="M138" s="2" t="str">
        <f>_xlfn.XLOOKUP(Bash2[[#This Row],[Metodo]],TbSolver[Metodo],TbSolver[Solver])</f>
        <v>Adams Bashford</v>
      </c>
      <c r="N138" s="2" t="str">
        <f>_xlfn.XLOOKUP(Bash2[[#This Row],[Hebras]],TbTecnologia[Hebras],TbTecnologia[Tecnología])</f>
        <v>CUDA</v>
      </c>
      <c r="O138" s="6" t="str" cm="1">
        <f t="array" ref="O138">_xlfn.XLOOKUP(Bash2[[#This Row],[Tecnología]]&amp;Bash2[[#This Row],[Metodo]],TbTipos[Tecnología]&amp;TbTipos[Metodo],TbTipos[Tipo])</f>
        <v>CUDA con graph</v>
      </c>
      <c r="P138" s="6" t="str" cm="1">
        <f t="array" ref="P138">_xlfn.XLOOKUP(Bash2[[#This Row],[Tecnología]]&amp;Bash2[[#This Row],[Problema]],TbNombres[Tecnología]&amp;TbNombres[Problema],TbNombres[Nombre])</f>
        <v>Advdiff1d</v>
      </c>
      <c r="Q138" s="21">
        <v>4</v>
      </c>
      <c r="R138" s="21">
        <v>3</v>
      </c>
      <c r="S138" s="21">
        <v>256</v>
      </c>
      <c r="T138" s="21">
        <v>125000</v>
      </c>
      <c r="U138" s="21">
        <v>125000</v>
      </c>
      <c r="V138" s="21">
        <v>64.570300000000003</v>
      </c>
      <c r="X138" s="2" t="str">
        <f>_xlfn.XLOOKUP(Bash3[[#This Row],[Metodo]],TbSolver[Metodo],TbSolver[Solver])</f>
        <v>Adams Bashford</v>
      </c>
      <c r="Y138" s="2" t="str">
        <f>_xlfn.XLOOKUP(Bash3[[#This Row],[Hebras]],TbTecnologia[Hebras],TbTecnologia[Tecnología])</f>
        <v>CUDA</v>
      </c>
      <c r="Z138" s="2" t="str" cm="1">
        <f t="array" ref="Z138">_xlfn.XLOOKUP(Bash3[[#This Row],[Tecnología]]&amp;Bash3[[#This Row],[Metodo]],TbTipos[Tecnología]&amp;TbTipos[Metodo],TbTipos[Tipo])</f>
        <v>CUDA sin graph</v>
      </c>
      <c r="AA138" s="2" t="str" cm="1">
        <f t="array" ref="AA138">_xlfn.XLOOKUP(Bash3[[#This Row],[Tecnología]]&amp;Bash3[[#This Row],[Problema]],TbNombres[Tecnología]&amp;TbNombres[Problema],TbNombres[Nombre])</f>
        <v>Brusselator1d grid</v>
      </c>
      <c r="AB138" s="2">
        <v>3</v>
      </c>
      <c r="AC138" s="2">
        <v>7</v>
      </c>
      <c r="AD138" s="2">
        <v>256</v>
      </c>
      <c r="AE138" s="2">
        <v>50000</v>
      </c>
      <c r="AF138" s="2">
        <v>100000</v>
      </c>
      <c r="AG138" s="2">
        <v>12.233599999999999</v>
      </c>
    </row>
    <row r="139" spans="2:33" x14ac:dyDescent="0.2">
      <c r="B139" s="1" t="str">
        <f>_xlfn.XLOOKUP(Bash1[[#This Row],[Metodo]],TbSolver[Metodo],TbSolver[Solver])</f>
        <v>Adams Bashford</v>
      </c>
      <c r="C139" s="1" t="str">
        <f>_xlfn.XLOOKUP(Bash1[[#This Row],[Hebras]],TbTecnologia[Hebras],TbTecnologia[Tecnología])</f>
        <v>CUDA</v>
      </c>
      <c r="D139" s="1" t="str" cm="1">
        <f t="array" ref="D139">_xlfn.XLOOKUP(Bash1[[#This Row],[Tecnología]]&amp;Bash1[[#This Row],[Metodo]],TbTipos[Tecnología]&amp;TbTipos[Metodo],TbTipos[Tipo])</f>
        <v>CUDA sin graph</v>
      </c>
      <c r="E139" s="1" t="str" cm="1">
        <f t="array" ref="E139">_xlfn.XLOOKUP(Bash1[[#This Row],[Tecnología]]&amp;Bash1[[#This Row],[Problema]],TbNombres[Tecnología]&amp;TbNombres[Problema],TbNombres[Nombre])</f>
        <v>Simple Advdiff</v>
      </c>
      <c r="F139" s="20">
        <v>3</v>
      </c>
      <c r="G139" s="20">
        <v>1</v>
      </c>
      <c r="H139" s="20">
        <v>256</v>
      </c>
      <c r="I139" s="20">
        <v>175000</v>
      </c>
      <c r="J139" s="20">
        <v>175000</v>
      </c>
      <c r="K139" s="20">
        <v>23.670100000000001</v>
      </c>
      <c r="M139" s="2" t="str">
        <f>_xlfn.XLOOKUP(Bash2[[#This Row],[Metodo]],TbSolver[Metodo],TbSolver[Solver])</f>
        <v>Adams Bashford</v>
      </c>
      <c r="N139" s="2" t="str">
        <f>_xlfn.XLOOKUP(Bash2[[#This Row],[Hebras]],TbTecnologia[Hebras],TbTecnologia[Tecnología])</f>
        <v>CUDA</v>
      </c>
      <c r="O139" s="6" t="str" cm="1">
        <f t="array" ref="O139">_xlfn.XLOOKUP(Bash2[[#This Row],[Tecnología]]&amp;Bash2[[#This Row],[Metodo]],TbTipos[Tecnología]&amp;TbTipos[Metodo],TbTipos[Tipo])</f>
        <v>CUDA sin graph</v>
      </c>
      <c r="P139" s="6" t="str" cm="1">
        <f t="array" ref="P139">_xlfn.XLOOKUP(Bash2[[#This Row],[Tecnología]]&amp;Bash2[[#This Row],[Problema]],TbNombres[Tecnología]&amp;TbNombres[Problema],TbNombres[Nombre])</f>
        <v>Advdiff1d</v>
      </c>
      <c r="Q139" s="21">
        <v>3</v>
      </c>
      <c r="R139" s="21">
        <v>3</v>
      </c>
      <c r="S139" s="21">
        <v>256</v>
      </c>
      <c r="T139" s="21">
        <v>175000</v>
      </c>
      <c r="U139" s="21">
        <v>175000</v>
      </c>
      <c r="V139" s="21">
        <v>69.477900000000005</v>
      </c>
      <c r="X139" s="2" t="str">
        <f>_xlfn.XLOOKUP(Bash3[[#This Row],[Metodo]],TbSolver[Metodo],TbSolver[Solver])</f>
        <v>Adams Bashford</v>
      </c>
      <c r="Y139" s="2" t="str">
        <f>_xlfn.XLOOKUP(Bash3[[#This Row],[Hebras]],TbTecnologia[Hebras],TbTecnologia[Tecnología])</f>
        <v>CUDA</v>
      </c>
      <c r="Z139" s="2" t="str" cm="1">
        <f t="array" ref="Z139">_xlfn.XLOOKUP(Bash3[[#This Row],[Tecnología]]&amp;Bash3[[#This Row],[Metodo]],TbTipos[Tecnología]&amp;TbTipos[Metodo],TbTipos[Tipo])</f>
        <v>CUDA sin graph</v>
      </c>
      <c r="AA139" s="2" t="str" cm="1">
        <f t="array" ref="AA139">_xlfn.XLOOKUP(Bash3[[#This Row],[Tecnología]]&amp;Bash3[[#This Row],[Problema]],TbNombres[Tecnología]&amp;TbNombres[Problema],TbNombres[Nombre])</f>
        <v>Brusselator1d</v>
      </c>
      <c r="AB139" s="2">
        <v>3</v>
      </c>
      <c r="AC139" s="2">
        <v>5</v>
      </c>
      <c r="AD139" s="2">
        <v>256</v>
      </c>
      <c r="AE139" s="2">
        <v>50000</v>
      </c>
      <c r="AF139" s="2">
        <v>100000</v>
      </c>
      <c r="AG139" s="2">
        <v>13.191000000000001</v>
      </c>
    </row>
    <row r="140" spans="2:33" x14ac:dyDescent="0.2">
      <c r="B140" s="1" t="str">
        <f>_xlfn.XLOOKUP(Bash1[[#This Row],[Metodo]],TbSolver[Metodo],TbSolver[Solver])</f>
        <v>Adams Bashford</v>
      </c>
      <c r="C140" s="1" t="str">
        <f>_xlfn.XLOOKUP(Bash1[[#This Row],[Hebras]],TbTecnologia[Hebras],TbTecnologia[Tecnología])</f>
        <v>CUDA</v>
      </c>
      <c r="D140" s="1" t="str" cm="1">
        <f t="array" ref="D140">_xlfn.XLOOKUP(Bash1[[#This Row],[Tecnología]]&amp;Bash1[[#This Row],[Metodo]],TbTipos[Tecnología]&amp;TbTipos[Metodo],TbTipos[Tipo])</f>
        <v>CUDA con graph</v>
      </c>
      <c r="E140" s="1" t="str" cm="1">
        <f t="array" ref="E140">_xlfn.XLOOKUP(Bash1[[#This Row],[Tecnología]]&amp;Bash1[[#This Row],[Problema]],TbNombres[Tecnología]&amp;TbNombres[Problema],TbNombres[Nombre])</f>
        <v>Simple Advdiff</v>
      </c>
      <c r="F140" s="20">
        <v>4</v>
      </c>
      <c r="G140" s="20">
        <v>1</v>
      </c>
      <c r="H140" s="20">
        <v>256</v>
      </c>
      <c r="I140" s="20">
        <v>175000</v>
      </c>
      <c r="J140" s="20">
        <v>175000</v>
      </c>
      <c r="K140" s="20">
        <v>49.551499999999997</v>
      </c>
      <c r="M140" s="2" t="str">
        <f>_xlfn.XLOOKUP(Bash2[[#This Row],[Metodo]],TbSolver[Metodo],TbSolver[Solver])</f>
        <v>Adams Bashford</v>
      </c>
      <c r="N140" s="2" t="str">
        <f>_xlfn.XLOOKUP(Bash2[[#This Row],[Hebras]],TbTecnologia[Hebras],TbTecnologia[Tecnología])</f>
        <v>CUDA</v>
      </c>
      <c r="O140" s="6" t="str" cm="1">
        <f t="array" ref="O140">_xlfn.XLOOKUP(Bash2[[#This Row],[Tecnología]]&amp;Bash2[[#This Row],[Metodo]],TbTipos[Tecnología]&amp;TbTipos[Metodo],TbTipos[Tipo])</f>
        <v>CUDA con graph</v>
      </c>
      <c r="P140" s="6" t="str" cm="1">
        <f t="array" ref="P140">_xlfn.XLOOKUP(Bash2[[#This Row],[Tecnología]]&amp;Bash2[[#This Row],[Problema]],TbNombres[Tecnología]&amp;TbNombres[Problema],TbNombres[Nombre])</f>
        <v>Advdiff1d</v>
      </c>
      <c r="Q140" s="21">
        <v>4</v>
      </c>
      <c r="R140" s="21">
        <v>3</v>
      </c>
      <c r="S140" s="21">
        <v>256</v>
      </c>
      <c r="T140" s="21">
        <v>175000</v>
      </c>
      <c r="U140" s="21">
        <v>175000</v>
      </c>
      <c r="V140" s="21">
        <v>96.189300000000003</v>
      </c>
      <c r="X140" s="2" t="str">
        <f>_xlfn.XLOOKUP(Bash3[[#This Row],[Metodo]],TbSolver[Metodo],TbSolver[Solver])</f>
        <v>Adams Bashford</v>
      </c>
      <c r="Y140" s="2" t="str">
        <f>_xlfn.XLOOKUP(Bash3[[#This Row],[Hebras]],TbTecnologia[Hebras],TbTecnologia[Tecnología])</f>
        <v>CUDA</v>
      </c>
      <c r="Z140" s="2" t="str" cm="1">
        <f t="array" ref="Z140">_xlfn.XLOOKUP(Bash3[[#This Row],[Tecnología]]&amp;Bash3[[#This Row],[Metodo]],TbTipos[Tecnología]&amp;TbTipos[Metodo],TbTipos[Tipo])</f>
        <v>CUDA sin graph</v>
      </c>
      <c r="AA140" s="2" t="str" cm="1">
        <f t="array" ref="AA140">_xlfn.XLOOKUP(Bash3[[#This Row],[Tecnología]]&amp;Bash3[[#This Row],[Problema]],TbNombres[Tecnología]&amp;TbNombres[Problema],TbNombres[Nombre])</f>
        <v>Brusselator1d</v>
      </c>
      <c r="AB140" s="2">
        <v>3</v>
      </c>
      <c r="AC140" s="2">
        <v>5</v>
      </c>
      <c r="AD140" s="2">
        <v>256</v>
      </c>
      <c r="AE140" s="2">
        <v>50000</v>
      </c>
      <c r="AF140" s="2">
        <v>100000</v>
      </c>
      <c r="AG140" s="2">
        <v>13.288</v>
      </c>
    </row>
    <row r="141" spans="2:33" x14ac:dyDescent="0.2">
      <c r="B141" s="1" t="str">
        <f>_xlfn.XLOOKUP(Bash1[[#This Row],[Metodo]],TbSolver[Metodo],TbSolver[Solver])</f>
        <v>Adams Bashford</v>
      </c>
      <c r="C141" s="1" t="str">
        <f>_xlfn.XLOOKUP(Bash1[[#This Row],[Hebras]],TbTecnologia[Hebras],TbTecnologia[Tecnología])</f>
        <v>CUDA</v>
      </c>
      <c r="D141" s="1" t="str" cm="1">
        <f t="array" ref="D141">_xlfn.XLOOKUP(Bash1[[#This Row],[Tecnología]]&amp;Bash1[[#This Row],[Metodo]],TbTipos[Tecnología]&amp;TbTipos[Metodo],TbTipos[Tipo])</f>
        <v>CUDA sin graph</v>
      </c>
      <c r="E141" s="1" t="str" cm="1">
        <f t="array" ref="E141">_xlfn.XLOOKUP(Bash1[[#This Row],[Tecnología]]&amp;Bash1[[#This Row],[Problema]],TbNombres[Tecnología]&amp;TbNombres[Problema],TbNombres[Nombre])</f>
        <v>Simple Advdiff</v>
      </c>
      <c r="F141" s="1">
        <v>3</v>
      </c>
      <c r="G141" s="1">
        <v>1</v>
      </c>
      <c r="H141" s="1">
        <v>256</v>
      </c>
      <c r="I141" s="1">
        <v>200000</v>
      </c>
      <c r="J141" s="1">
        <v>200000</v>
      </c>
      <c r="K141" s="1">
        <v>26.289300000000001</v>
      </c>
      <c r="M141" s="2" t="str">
        <f>_xlfn.XLOOKUP(Bash2[[#This Row],[Metodo]],TbSolver[Metodo],TbSolver[Solver])</f>
        <v>Adams Bashford</v>
      </c>
      <c r="N141" s="2" t="str">
        <f>_xlfn.XLOOKUP(Bash2[[#This Row],[Hebras]],TbTecnologia[Hebras],TbTecnologia[Tecnología])</f>
        <v>CUDA</v>
      </c>
      <c r="O141" s="6" t="str" cm="1">
        <f t="array" ref="O141">_xlfn.XLOOKUP(Bash2[[#This Row],[Tecnología]]&amp;Bash2[[#This Row],[Metodo]],TbTipos[Tecnología]&amp;TbTipos[Metodo],TbTipos[Tipo])</f>
        <v>CUDA sin graph</v>
      </c>
      <c r="P141" s="6" t="str" cm="1">
        <f t="array" ref="P141">_xlfn.XLOOKUP(Bash2[[#This Row],[Tecnología]]&amp;Bash2[[#This Row],[Problema]],TbNombres[Tecnología]&amp;TbNombres[Problema],TbNombres[Nombre])</f>
        <v>Advdiff1d</v>
      </c>
      <c r="Q141" s="2">
        <v>3</v>
      </c>
      <c r="R141" s="2">
        <v>3</v>
      </c>
      <c r="S141" s="2">
        <v>256</v>
      </c>
      <c r="T141" s="2">
        <v>200000</v>
      </c>
      <c r="U141" s="2">
        <v>200000</v>
      </c>
      <c r="V141" s="2">
        <v>75.826099999999997</v>
      </c>
      <c r="X141" s="2" t="str">
        <f>_xlfn.XLOOKUP(Bash3[[#This Row],[Metodo]],TbSolver[Metodo],TbSolver[Solver])</f>
        <v>Adams Bashford</v>
      </c>
      <c r="Y141" s="2" t="str">
        <f>_xlfn.XLOOKUP(Bash3[[#This Row],[Hebras]],TbTecnologia[Hebras],TbTecnologia[Tecnología])</f>
        <v>OMP</v>
      </c>
      <c r="Z141" s="2" t="str" cm="1">
        <f t="array" ref="Z141">_xlfn.XLOOKUP(Bash3[[#This Row],[Tecnología]]&amp;Bash3[[#This Row],[Metodo]],TbTipos[Tecnología]&amp;TbTipos[Metodo],TbTipos[Tipo])</f>
        <v>OMP Elementos</v>
      </c>
      <c r="AA141" s="2" t="str" cm="1">
        <f t="array" ref="AA141">_xlfn.XLOOKUP(Bash3[[#This Row],[Tecnología]]&amp;Bash3[[#This Row],[Problema]],TbNombres[Tecnología]&amp;TbNombres[Problema],TbNombres[Nombre])</f>
        <v>Brusselator1d</v>
      </c>
      <c r="AB141" s="21">
        <v>4</v>
      </c>
      <c r="AC141" s="21">
        <v>3</v>
      </c>
      <c r="AD141" s="21">
        <v>16</v>
      </c>
      <c r="AE141" s="21">
        <v>50000</v>
      </c>
      <c r="AF141" s="21">
        <v>100000</v>
      </c>
      <c r="AG141" s="21">
        <v>56.517400000000002</v>
      </c>
    </row>
    <row r="142" spans="2:33" x14ac:dyDescent="0.2">
      <c r="B142" s="1" t="str">
        <f>_xlfn.XLOOKUP(Bash1[[#This Row],[Metodo]],TbSolver[Metodo],TbSolver[Solver])</f>
        <v>Adams Bashford</v>
      </c>
      <c r="C142" s="1" t="str">
        <f>_xlfn.XLOOKUP(Bash1[[#This Row],[Hebras]],TbTecnologia[Hebras],TbTecnologia[Tecnología])</f>
        <v>CUDA</v>
      </c>
      <c r="D142" s="1" t="str" cm="1">
        <f t="array" ref="D142">_xlfn.XLOOKUP(Bash1[[#This Row],[Tecnología]]&amp;Bash1[[#This Row],[Metodo]],TbTipos[Tecnología]&amp;TbTipos[Metodo],TbTipos[Tipo])</f>
        <v>CUDA sin graph</v>
      </c>
      <c r="E142" s="1" t="str" cm="1">
        <f t="array" ref="E142">_xlfn.XLOOKUP(Bash1[[#This Row],[Tecnología]]&amp;Bash1[[#This Row],[Problema]],TbNombres[Tecnología]&amp;TbNombres[Problema],TbNombres[Nombre])</f>
        <v>Simple Advdiff shuffle</v>
      </c>
      <c r="F142" s="1">
        <v>3</v>
      </c>
      <c r="G142" s="1">
        <v>2</v>
      </c>
      <c r="H142" s="1">
        <v>256</v>
      </c>
      <c r="I142" s="1">
        <v>200000</v>
      </c>
      <c r="J142" s="1">
        <v>200000</v>
      </c>
      <c r="K142" s="1">
        <v>26.349699999999999</v>
      </c>
      <c r="M142" s="2" t="str">
        <f>_xlfn.XLOOKUP(Bash2[[#This Row],[Metodo]],TbSolver[Metodo],TbSolver[Solver])</f>
        <v>Adams Bashford</v>
      </c>
      <c r="N142" s="2" t="str">
        <f>_xlfn.XLOOKUP(Bash2[[#This Row],[Hebras]],TbTecnologia[Hebras],TbTecnologia[Tecnología])</f>
        <v>CUDA</v>
      </c>
      <c r="O142" s="6" t="str" cm="1">
        <f t="array" ref="O142">_xlfn.XLOOKUP(Bash2[[#This Row],[Tecnología]]&amp;Bash2[[#This Row],[Metodo]],TbTipos[Tecnología]&amp;TbTipos[Metodo],TbTipos[Tipo])</f>
        <v>CUDA sin graph</v>
      </c>
      <c r="P142" s="6" t="str" cm="1">
        <f t="array" ref="P142">_xlfn.XLOOKUP(Bash2[[#This Row],[Tecnología]]&amp;Bash2[[#This Row],[Problema]],TbNombres[Tecnología]&amp;TbNombres[Problema],TbNombres[Nombre])</f>
        <v>Advdiff1d shuffle</v>
      </c>
      <c r="Q142" s="2">
        <v>3</v>
      </c>
      <c r="R142" s="2">
        <v>4</v>
      </c>
      <c r="S142" s="2">
        <v>256</v>
      </c>
      <c r="T142" s="2">
        <v>200000</v>
      </c>
      <c r="U142" s="2">
        <v>200000</v>
      </c>
      <c r="V142" s="2">
        <v>76.363900000000001</v>
      </c>
      <c r="X142" s="2" t="str">
        <f>_xlfn.XLOOKUP(Bash3[[#This Row],[Metodo]],TbSolver[Metodo],TbSolver[Solver])</f>
        <v>Adams Bashford</v>
      </c>
      <c r="Y142" s="2" t="str">
        <f>_xlfn.XLOOKUP(Bash3[[#This Row],[Hebras]],TbTecnologia[Hebras],TbTecnologia[Tecnología])</f>
        <v>OMP</v>
      </c>
      <c r="Z142" s="2" t="str" cm="1">
        <f t="array" ref="Z142">_xlfn.XLOOKUP(Bash3[[#This Row],[Tecnología]]&amp;Bash3[[#This Row],[Metodo]],TbTipos[Tecnología]&amp;TbTipos[Metodo],TbTipos[Tipo])</f>
        <v>OMP Operaciones</v>
      </c>
      <c r="AA142" s="2" t="str" cm="1">
        <f t="array" ref="AA142">_xlfn.XLOOKUP(Bash3[[#This Row],[Tecnología]]&amp;Bash3[[#This Row],[Problema]],TbNombres[Tecnología]&amp;TbNombres[Problema],TbNombres[Nombre])</f>
        <v>Brusselator1d</v>
      </c>
      <c r="AB142" s="21">
        <v>3</v>
      </c>
      <c r="AC142" s="21">
        <v>3</v>
      </c>
      <c r="AD142" s="21">
        <v>16</v>
      </c>
      <c r="AE142" s="21">
        <v>50000</v>
      </c>
      <c r="AF142" s="21">
        <v>100000</v>
      </c>
      <c r="AG142" s="21">
        <v>66.148499999999999</v>
      </c>
    </row>
    <row r="143" spans="2:33" x14ac:dyDescent="0.2">
      <c r="B143" s="1" t="str">
        <f>_xlfn.XLOOKUP(Bash1[[#This Row],[Metodo]],TbSolver[Metodo],TbSolver[Solver])</f>
        <v>Adams Bashford</v>
      </c>
      <c r="C143" s="1" t="str">
        <f>_xlfn.XLOOKUP(Bash1[[#This Row],[Hebras]],TbTecnologia[Hebras],TbTecnologia[Tecnología])</f>
        <v>CUDA</v>
      </c>
      <c r="D143" s="1" t="str" cm="1">
        <f t="array" ref="D143">_xlfn.XLOOKUP(Bash1[[#This Row],[Tecnología]]&amp;Bash1[[#This Row],[Metodo]],TbTipos[Tecnología]&amp;TbTipos[Metodo],TbTipos[Tipo])</f>
        <v>CUDA sin graph</v>
      </c>
      <c r="E143" s="1" t="str" cm="1">
        <f t="array" ref="E143">_xlfn.XLOOKUP(Bash1[[#This Row],[Tecnología]]&amp;Bash1[[#This Row],[Problema]],TbNombres[Tecnología]&amp;TbNombres[Problema],TbNombres[Nombre])</f>
        <v>Simple Advdiff</v>
      </c>
      <c r="F143" s="1">
        <v>3</v>
      </c>
      <c r="G143" s="1">
        <v>1</v>
      </c>
      <c r="H143" s="1">
        <v>256</v>
      </c>
      <c r="I143" s="1">
        <v>200000</v>
      </c>
      <c r="J143" s="1">
        <v>200000</v>
      </c>
      <c r="K143" s="1">
        <v>26.668099999999999</v>
      </c>
      <c r="M143" s="2" t="str">
        <f>_xlfn.XLOOKUP(Bash2[[#This Row],[Metodo]],TbSolver[Metodo],TbSolver[Solver])</f>
        <v>Adams Bashford</v>
      </c>
      <c r="N143" s="2" t="str">
        <f>_xlfn.XLOOKUP(Bash2[[#This Row],[Hebras]],TbTecnologia[Hebras],TbTecnologia[Tecnología])</f>
        <v>CUDA</v>
      </c>
      <c r="O143" s="6" t="str" cm="1">
        <f t="array" ref="O143">_xlfn.XLOOKUP(Bash2[[#This Row],[Tecnología]]&amp;Bash2[[#This Row],[Metodo]],TbTipos[Tecnología]&amp;TbTipos[Metodo],TbTipos[Tipo])</f>
        <v>CUDA sin graph</v>
      </c>
      <c r="P143" s="6" t="str" cm="1">
        <f t="array" ref="P143">_xlfn.XLOOKUP(Bash2[[#This Row],[Tecnología]]&amp;Bash2[[#This Row],[Problema]],TbNombres[Tecnología]&amp;TbNombres[Problema],TbNombres[Nombre])</f>
        <v>Advdiff1d</v>
      </c>
      <c r="Q143" s="2">
        <v>3</v>
      </c>
      <c r="R143" s="2">
        <v>3</v>
      </c>
      <c r="S143" s="2">
        <v>256</v>
      </c>
      <c r="T143" s="2">
        <v>200000</v>
      </c>
      <c r="U143" s="2">
        <v>200000</v>
      </c>
      <c r="V143" s="2">
        <v>76.447900000000004</v>
      </c>
      <c r="X143" s="2" t="str">
        <f>_xlfn.XLOOKUP(Bash3[[#This Row],[Metodo]],TbSolver[Metodo],TbSolver[Solver])</f>
        <v>Adams Bashford</v>
      </c>
      <c r="Y143" s="2" t="str">
        <f>_xlfn.XLOOKUP(Bash3[[#This Row],[Hebras]],TbTecnologia[Hebras],TbTecnologia[Tecnología])</f>
        <v>OMP</v>
      </c>
      <c r="Z143" s="2" t="str" cm="1">
        <f t="array" ref="Z143">_xlfn.XLOOKUP(Bash3[[#This Row],[Tecnología]]&amp;Bash3[[#This Row],[Metodo]],TbTipos[Tecnología]&amp;TbTipos[Metodo],TbTipos[Tipo])</f>
        <v>OMP Operaciones</v>
      </c>
      <c r="AA143" s="2" t="str" cm="1">
        <f t="array" ref="AA143">_xlfn.XLOOKUP(Bash3[[#This Row],[Tecnología]]&amp;Bash3[[#This Row],[Problema]],TbNombres[Tecnología]&amp;TbNombres[Problema],TbNombres[Nombre])</f>
        <v>Brusselator1d</v>
      </c>
      <c r="AB143" s="21">
        <v>3</v>
      </c>
      <c r="AC143" s="21">
        <v>3</v>
      </c>
      <c r="AD143" s="21">
        <v>4</v>
      </c>
      <c r="AE143" s="21">
        <v>50000</v>
      </c>
      <c r="AF143" s="21">
        <v>100000</v>
      </c>
      <c r="AG143" s="21">
        <v>130.99299999999999</v>
      </c>
    </row>
    <row r="144" spans="2:33" x14ac:dyDescent="0.2">
      <c r="B144" s="1" t="str">
        <f>_xlfn.XLOOKUP(Bash1[[#This Row],[Metodo]],TbSolver[Metodo],TbSolver[Solver])</f>
        <v>Adams Bashford</v>
      </c>
      <c r="C144" s="1" t="str">
        <f>_xlfn.XLOOKUP(Bash1[[#This Row],[Hebras]],TbTecnologia[Hebras],TbTecnologia[Tecnología])</f>
        <v>CUDA</v>
      </c>
      <c r="D144" s="1" t="str" cm="1">
        <f t="array" ref="D144">_xlfn.XLOOKUP(Bash1[[#This Row],[Tecnología]]&amp;Bash1[[#This Row],[Metodo]],TbTipos[Tecnología]&amp;TbTipos[Metodo],TbTipos[Tipo])</f>
        <v>CUDA sin graph</v>
      </c>
      <c r="E144" s="1" t="str" cm="1">
        <f t="array" ref="E144">_xlfn.XLOOKUP(Bash1[[#This Row],[Tecnología]]&amp;Bash1[[#This Row],[Problema]],TbNombres[Tecnología]&amp;TbNombres[Problema],TbNombres[Nombre])</f>
        <v>Simple Advdiff</v>
      </c>
      <c r="F144" s="20">
        <v>3</v>
      </c>
      <c r="G144" s="20">
        <v>1</v>
      </c>
      <c r="H144" s="20">
        <v>256</v>
      </c>
      <c r="I144" s="20">
        <v>750000</v>
      </c>
      <c r="J144" s="20">
        <v>750000</v>
      </c>
      <c r="K144" s="20">
        <v>105.512</v>
      </c>
      <c r="M144" s="2" t="str">
        <f>_xlfn.XLOOKUP(Bash2[[#This Row],[Metodo]],TbSolver[Metodo],TbSolver[Solver])</f>
        <v>Adams Bashford</v>
      </c>
      <c r="N144" s="2" t="str">
        <f>_xlfn.XLOOKUP(Bash2[[#This Row],[Hebras]],TbTecnologia[Hebras],TbTecnologia[Tecnología])</f>
        <v>CUDA</v>
      </c>
      <c r="O144" s="6" t="str" cm="1">
        <f t="array" ref="O144">_xlfn.XLOOKUP(Bash2[[#This Row],[Tecnología]]&amp;Bash2[[#This Row],[Metodo]],TbTipos[Tecnología]&amp;TbTipos[Metodo],TbTipos[Tipo])</f>
        <v>CUDA sin graph</v>
      </c>
      <c r="P144" s="6" t="str" cm="1">
        <f t="array" ref="P144">_xlfn.XLOOKUP(Bash2[[#This Row],[Tecnología]]&amp;Bash2[[#This Row],[Problema]],TbNombres[Tecnología]&amp;TbNombres[Problema],TbNombres[Nombre])</f>
        <v>Advdiff1d</v>
      </c>
      <c r="Q144" s="21">
        <v>3</v>
      </c>
      <c r="R144" s="21">
        <v>3</v>
      </c>
      <c r="S144" s="21">
        <v>256</v>
      </c>
      <c r="T144" s="21">
        <v>750000</v>
      </c>
      <c r="U144" s="21">
        <v>750000</v>
      </c>
      <c r="V144" s="21">
        <v>288.84800000000001</v>
      </c>
      <c r="X144" s="2" t="str">
        <f>_xlfn.XLOOKUP(Bash3[[#This Row],[Metodo]],TbSolver[Metodo],TbSolver[Solver])</f>
        <v>Adams Bashford</v>
      </c>
      <c r="Y144" s="2" t="str">
        <f>_xlfn.XLOOKUP(Bash3[[#This Row],[Hebras]],TbTecnologia[Hebras],TbTecnologia[Tecnología])</f>
        <v>OMP</v>
      </c>
      <c r="Z144" s="2" t="str" cm="1">
        <f t="array" ref="Z144">_xlfn.XLOOKUP(Bash3[[#This Row],[Tecnología]]&amp;Bash3[[#This Row],[Metodo]],TbTipos[Tecnología]&amp;TbTipos[Metodo],TbTipos[Tipo])</f>
        <v>OMP Elementos</v>
      </c>
      <c r="AA144" s="2" t="str" cm="1">
        <f t="array" ref="AA144">_xlfn.XLOOKUP(Bash3[[#This Row],[Tecnología]]&amp;Bash3[[#This Row],[Problema]],TbNombres[Tecnología]&amp;TbNombres[Problema],TbNombres[Nombre])</f>
        <v>Brusselator1d</v>
      </c>
      <c r="AB144" s="21">
        <v>4</v>
      </c>
      <c r="AC144" s="21">
        <v>3</v>
      </c>
      <c r="AD144" s="21">
        <v>4</v>
      </c>
      <c r="AE144" s="21">
        <v>50000</v>
      </c>
      <c r="AF144" s="21">
        <v>100000</v>
      </c>
      <c r="AG144" s="21">
        <v>179.559</v>
      </c>
    </row>
    <row r="145" spans="2:33" x14ac:dyDescent="0.2">
      <c r="B145" s="1" t="str">
        <f>_xlfn.XLOOKUP(Bash1[[#This Row],[Metodo]],TbSolver[Metodo],TbSolver[Solver])</f>
        <v>Adams Bashford</v>
      </c>
      <c r="C145" s="1" t="str">
        <f>_xlfn.XLOOKUP(Bash1[[#This Row],[Hebras]],TbTecnologia[Hebras],TbTecnologia[Tecnología])</f>
        <v>CUDA</v>
      </c>
      <c r="D145" s="1" t="str" cm="1">
        <f t="array" ref="D145">_xlfn.XLOOKUP(Bash1[[#This Row],[Tecnología]]&amp;Bash1[[#This Row],[Metodo]],TbTipos[Tecnología]&amp;TbTipos[Metodo],TbTipos[Tipo])</f>
        <v>CUDA con graph</v>
      </c>
      <c r="E145" s="1" t="str" cm="1">
        <f t="array" ref="E145">_xlfn.XLOOKUP(Bash1[[#This Row],[Tecnología]]&amp;Bash1[[#This Row],[Problema]],TbNombres[Tecnología]&amp;TbNombres[Problema],TbNombres[Nombre])</f>
        <v>Simple Advdiff</v>
      </c>
      <c r="F145" s="20">
        <v>4</v>
      </c>
      <c r="G145" s="20">
        <v>1</v>
      </c>
      <c r="H145" s="20">
        <v>256</v>
      </c>
      <c r="I145" s="20">
        <v>750000</v>
      </c>
      <c r="J145" s="20">
        <v>750000</v>
      </c>
      <c r="K145" s="20">
        <v>217.596</v>
      </c>
      <c r="M145" s="2" t="str">
        <f>_xlfn.XLOOKUP(Bash2[[#This Row],[Metodo]],TbSolver[Metodo],TbSolver[Solver])</f>
        <v>Adams Bashford</v>
      </c>
      <c r="N145" s="2" t="str">
        <f>_xlfn.XLOOKUP(Bash2[[#This Row],[Hebras]],TbTecnologia[Hebras],TbTecnologia[Tecnología])</f>
        <v>CUDA</v>
      </c>
      <c r="O145" s="6" t="str" cm="1">
        <f t="array" ref="O145">_xlfn.XLOOKUP(Bash2[[#This Row],[Tecnología]]&amp;Bash2[[#This Row],[Metodo]],TbTipos[Tecnología]&amp;TbTipos[Metodo],TbTipos[Tipo])</f>
        <v>CUDA con graph</v>
      </c>
      <c r="P145" s="6" t="str" cm="1">
        <f t="array" ref="P145">_xlfn.XLOOKUP(Bash2[[#This Row],[Tecnología]]&amp;Bash2[[#This Row],[Problema]],TbNombres[Tecnología]&amp;TbNombres[Problema],TbNombres[Nombre])</f>
        <v>Advdiff1d</v>
      </c>
      <c r="Q145" s="21">
        <v>4</v>
      </c>
      <c r="R145" s="21">
        <v>3</v>
      </c>
      <c r="S145" s="21">
        <v>256</v>
      </c>
      <c r="T145" s="21">
        <v>750000</v>
      </c>
      <c r="U145" s="21">
        <v>750000</v>
      </c>
      <c r="V145" s="21">
        <v>403.53300000000002</v>
      </c>
      <c r="X145" s="2" t="str">
        <f>_xlfn.XLOOKUP(Bash3[[#This Row],[Metodo]],TbSolver[Metodo],TbSolver[Solver])</f>
        <v>Adams Bashford</v>
      </c>
      <c r="Y145" s="2" t="str">
        <f>_xlfn.XLOOKUP(Bash3[[#This Row],[Hebras]],TbTecnologia[Hebras],TbTecnologia[Tecnología])</f>
        <v>OMP</v>
      </c>
      <c r="Z145" s="2" t="str" cm="1">
        <f t="array" ref="Z145">_xlfn.XLOOKUP(Bash3[[#This Row],[Tecnología]]&amp;Bash3[[#This Row],[Metodo]],TbTipos[Tecnología]&amp;TbTipos[Metodo],TbTipos[Tipo])</f>
        <v>OMP Operaciones</v>
      </c>
      <c r="AA145" s="2" t="str" cm="1">
        <f t="array" ref="AA145">_xlfn.XLOOKUP(Bash3[[#This Row],[Tecnología]]&amp;Bash3[[#This Row],[Problema]],TbNombres[Tecnología]&amp;TbNombres[Problema],TbNombres[Nombre])</f>
        <v>Brusselator1d</v>
      </c>
      <c r="AB145" s="21">
        <v>3</v>
      </c>
      <c r="AC145" s="21">
        <v>3</v>
      </c>
      <c r="AD145" s="21">
        <v>1</v>
      </c>
      <c r="AE145" s="21">
        <v>50000</v>
      </c>
      <c r="AF145" s="21">
        <v>100000</v>
      </c>
      <c r="AG145" s="21">
        <v>556.05100000000004</v>
      </c>
    </row>
    <row r="146" spans="2:33" x14ac:dyDescent="0.2">
      <c r="B146" s="1" t="str">
        <f>_xlfn.XLOOKUP(Bash1[[#This Row],[Metodo]],TbSolver[Metodo],TbSolver[Solver])</f>
        <v>Adams Bashford</v>
      </c>
      <c r="C146" s="1" t="str">
        <f>_xlfn.XLOOKUP(Bash1[[#This Row],[Hebras]],TbTecnologia[Hebras],TbTecnologia[Tecnología])</f>
        <v>CUDA</v>
      </c>
      <c r="D146" s="1" t="str" cm="1">
        <f t="array" ref="D146">_xlfn.XLOOKUP(Bash1[[#This Row],[Tecnología]]&amp;Bash1[[#This Row],[Metodo]],TbTipos[Tecnología]&amp;TbTipos[Metodo],TbTipos[Tipo])</f>
        <v>CUDA sin graph</v>
      </c>
      <c r="E146" s="1" t="str" cm="1">
        <f t="array" ref="E146">_xlfn.XLOOKUP(Bash1[[#This Row],[Tecnología]]&amp;Bash1[[#This Row],[Problema]],TbNombres[Tecnología]&amp;TbNombres[Problema],TbNombres[Nombre])</f>
        <v>Simple Advdiff</v>
      </c>
      <c r="F146" s="20">
        <v>3</v>
      </c>
      <c r="G146" s="20">
        <v>1</v>
      </c>
      <c r="H146" s="20">
        <v>256</v>
      </c>
      <c r="I146" s="20">
        <v>1000000</v>
      </c>
      <c r="J146" s="20">
        <v>1000000</v>
      </c>
      <c r="K146" s="20">
        <v>138.239</v>
      </c>
      <c r="M146" s="2" t="str">
        <f>_xlfn.XLOOKUP(Bash2[[#This Row],[Metodo]],TbSolver[Metodo],TbSolver[Solver])</f>
        <v>Adams Bashford</v>
      </c>
      <c r="N146" s="2" t="str">
        <f>_xlfn.XLOOKUP(Bash2[[#This Row],[Hebras]],TbTecnologia[Hebras],TbTecnologia[Tecnología])</f>
        <v>CUDA</v>
      </c>
      <c r="O146" s="6" t="str" cm="1">
        <f t="array" ref="O146">_xlfn.XLOOKUP(Bash2[[#This Row],[Tecnología]]&amp;Bash2[[#This Row],[Metodo]],TbTipos[Tecnología]&amp;TbTipos[Metodo],TbTipos[Tipo])</f>
        <v>CUDA sin graph</v>
      </c>
      <c r="P146" s="6" t="str" cm="1">
        <f t="array" ref="P146">_xlfn.XLOOKUP(Bash2[[#This Row],[Tecnología]]&amp;Bash2[[#This Row],[Problema]],TbNombres[Tecnología]&amp;TbNombres[Problema],TbNombres[Nombre])</f>
        <v>Advdiff1d</v>
      </c>
      <c r="Q146" s="21">
        <v>3</v>
      </c>
      <c r="R146" s="21">
        <v>3</v>
      </c>
      <c r="S146" s="21">
        <v>256</v>
      </c>
      <c r="T146" s="21">
        <v>1000000</v>
      </c>
      <c r="U146" s="21">
        <v>1000000</v>
      </c>
      <c r="V146" s="21">
        <v>379.97399999999999</v>
      </c>
      <c r="X146" s="2" t="str">
        <f>_xlfn.XLOOKUP(Bash3[[#This Row],[Metodo]],TbSolver[Metodo],TbSolver[Solver])</f>
        <v>Adams Bashford</v>
      </c>
      <c r="Y146" s="2" t="str">
        <f>_xlfn.XLOOKUP(Bash3[[#This Row],[Hebras]],TbTecnologia[Hebras],TbTecnologia[Tecnología])</f>
        <v>OMP</v>
      </c>
      <c r="Z146" s="2" t="str" cm="1">
        <f t="array" ref="Z146">_xlfn.XLOOKUP(Bash3[[#This Row],[Tecnología]]&amp;Bash3[[#This Row],[Metodo]],TbTipos[Tecnología]&amp;TbTipos[Metodo],TbTipos[Tipo])</f>
        <v>OMP Elementos</v>
      </c>
      <c r="AA146" s="2" t="str" cm="1">
        <f t="array" ref="AA146">_xlfn.XLOOKUP(Bash3[[#This Row],[Tecnología]]&amp;Bash3[[#This Row],[Problema]],TbNombres[Tecnología]&amp;TbNombres[Problema],TbNombres[Nombre])</f>
        <v>Brusselator1d</v>
      </c>
      <c r="AB146" s="21">
        <v>4</v>
      </c>
      <c r="AC146" s="21">
        <v>3</v>
      </c>
      <c r="AD146" s="21">
        <v>1</v>
      </c>
      <c r="AE146" s="21">
        <v>50000</v>
      </c>
      <c r="AF146" s="21">
        <v>100000</v>
      </c>
      <c r="AG146" s="21">
        <v>707.63400000000001</v>
      </c>
    </row>
    <row r="147" spans="2:33" x14ac:dyDescent="0.2">
      <c r="B147" s="1" t="str">
        <f>_xlfn.XLOOKUP(Bash1[[#This Row],[Metodo]],TbSolver[Metodo],TbSolver[Solver])</f>
        <v>Adams Bashford</v>
      </c>
      <c r="C147" s="1" t="str">
        <f>_xlfn.XLOOKUP(Bash1[[#This Row],[Hebras]],TbTecnologia[Hebras],TbTecnologia[Tecnología])</f>
        <v>CUDA</v>
      </c>
      <c r="D147" s="1" t="str" cm="1">
        <f t="array" ref="D147">_xlfn.XLOOKUP(Bash1[[#This Row],[Tecnología]]&amp;Bash1[[#This Row],[Metodo]],TbTipos[Tecnología]&amp;TbTipos[Metodo],TbTipos[Tipo])</f>
        <v>CUDA con graph</v>
      </c>
      <c r="E147" s="1" t="str" cm="1">
        <f t="array" ref="E147">_xlfn.XLOOKUP(Bash1[[#This Row],[Tecnología]]&amp;Bash1[[#This Row],[Problema]],TbNombres[Tecnología]&amp;TbNombres[Problema],TbNombres[Nombre])</f>
        <v>Simple Advdiff</v>
      </c>
      <c r="F147" s="20">
        <v>4</v>
      </c>
      <c r="G147" s="20">
        <v>1</v>
      </c>
      <c r="H147" s="20">
        <v>256</v>
      </c>
      <c r="I147" s="20">
        <v>1000000</v>
      </c>
      <c r="J147" s="20">
        <v>1000000</v>
      </c>
      <c r="K147" s="20">
        <v>287.529</v>
      </c>
      <c r="M147" s="2" t="str">
        <f>_xlfn.XLOOKUP(Bash2[[#This Row],[Metodo]],TbSolver[Metodo],TbSolver[Solver])</f>
        <v>Adams Bashford</v>
      </c>
      <c r="N147" s="2" t="str">
        <f>_xlfn.XLOOKUP(Bash2[[#This Row],[Hebras]],TbTecnologia[Hebras],TbTecnologia[Tecnología])</f>
        <v>CUDA</v>
      </c>
      <c r="O147" s="9" t="str" cm="1">
        <f t="array" ref="O147">_xlfn.XLOOKUP(Bash2[[#This Row],[Tecnología]]&amp;Bash2[[#This Row],[Metodo]],TbTipos[Tecnología]&amp;TbTipos[Metodo],TbTipos[Tipo])</f>
        <v>CUDA con graph</v>
      </c>
      <c r="P147" s="9" t="str" cm="1">
        <f t="array" ref="P147">_xlfn.XLOOKUP(Bash2[[#This Row],[Tecnología]]&amp;Bash2[[#This Row],[Problema]],TbNombres[Tecnología]&amp;TbNombres[Problema],TbNombres[Nombre])</f>
        <v>Advdiff1d</v>
      </c>
      <c r="Q147" s="21">
        <v>4</v>
      </c>
      <c r="R147" s="21">
        <v>3</v>
      </c>
      <c r="S147" s="21">
        <v>256</v>
      </c>
      <c r="T147" s="21">
        <v>1000000</v>
      </c>
      <c r="U147" s="21">
        <v>1000000</v>
      </c>
      <c r="V147" s="21">
        <v>533.70600000000002</v>
      </c>
      <c r="X147" s="2" t="str">
        <f>_xlfn.XLOOKUP(Bash3[[#This Row],[Metodo]],TbSolver[Metodo],TbSolver[Solver])</f>
        <v>Adams Bashford</v>
      </c>
      <c r="Y147" s="2" t="str">
        <f>_xlfn.XLOOKUP(Bash3[[#This Row],[Hebras]],TbTecnologia[Hebras],TbTecnologia[Tecnología])</f>
        <v>CUDA</v>
      </c>
      <c r="Z147" s="2" t="str" cm="1">
        <f t="array" ref="Z147">_xlfn.XLOOKUP(Bash3[[#This Row],[Tecnología]]&amp;Bash3[[#This Row],[Metodo]],TbTipos[Tecnología]&amp;TbTipos[Metodo],TbTipos[Tipo])</f>
        <v>CUDA sin graph</v>
      </c>
      <c r="AA147" s="2" t="str" cm="1">
        <f t="array" ref="AA147">_xlfn.XLOOKUP(Bash3[[#This Row],[Tecnología]]&amp;Bash3[[#This Row],[Problema]],TbNombres[Tecnología]&amp;TbNombres[Problema],TbNombres[Nombre])</f>
        <v>Brusselator1d</v>
      </c>
      <c r="AB147" s="21">
        <v>3</v>
      </c>
      <c r="AC147" s="21">
        <v>5</v>
      </c>
      <c r="AD147" s="21">
        <v>256</v>
      </c>
      <c r="AE147" s="21">
        <v>75000</v>
      </c>
      <c r="AF147" s="21">
        <v>150000</v>
      </c>
      <c r="AG147" s="21">
        <v>23.0747</v>
      </c>
    </row>
    <row r="148" spans="2:33" x14ac:dyDescent="0.2">
      <c r="X148" s="2" t="str">
        <f>_xlfn.XLOOKUP(Bash3[[#This Row],[Metodo]],TbSolver[Metodo],TbSolver[Solver])</f>
        <v>Adams Bashford</v>
      </c>
      <c r="Y148" s="2" t="str">
        <f>_xlfn.XLOOKUP(Bash3[[#This Row],[Hebras]],TbTecnologia[Hebras],TbTecnologia[Tecnología])</f>
        <v>CUDA</v>
      </c>
      <c r="Z148" s="2" t="str" cm="1">
        <f t="array" ref="Z148">_xlfn.XLOOKUP(Bash3[[#This Row],[Tecnología]]&amp;Bash3[[#This Row],[Metodo]],TbTipos[Tecnología]&amp;TbTipos[Metodo],TbTipos[Tipo])</f>
        <v>CUDA con graph</v>
      </c>
      <c r="AA148" s="2" t="str" cm="1">
        <f t="array" ref="AA148">_xlfn.XLOOKUP(Bash3[[#This Row],[Tecnología]]&amp;Bash3[[#This Row],[Problema]],TbNombres[Tecnología]&amp;TbNombres[Problema],TbNombres[Nombre])</f>
        <v>Brusselator1d</v>
      </c>
      <c r="AB148" s="21">
        <v>4</v>
      </c>
      <c r="AC148" s="21">
        <v>5</v>
      </c>
      <c r="AD148" s="21">
        <v>256</v>
      </c>
      <c r="AE148" s="21">
        <v>75000</v>
      </c>
      <c r="AF148" s="21">
        <v>150000</v>
      </c>
      <c r="AG148" s="21">
        <v>42.592700000000001</v>
      </c>
    </row>
    <row r="149" spans="2:33" x14ac:dyDescent="0.2">
      <c r="X149" s="2" t="str">
        <f>_xlfn.XLOOKUP(Bash3[[#This Row],[Metodo]],TbSolver[Metodo],TbSolver[Solver])</f>
        <v>Adams Bashford</v>
      </c>
      <c r="Y149" s="2" t="str">
        <f>_xlfn.XLOOKUP(Bash3[[#This Row],[Hebras]],TbTecnologia[Hebras],TbTecnologia[Tecnología])</f>
        <v>CUDA</v>
      </c>
      <c r="Z149" s="2" t="str" cm="1">
        <f t="array" ref="Z149">_xlfn.XLOOKUP(Bash3[[#This Row],[Tecnología]]&amp;Bash3[[#This Row],[Metodo]],TbTipos[Tecnología]&amp;TbTipos[Metodo],TbTipos[Tipo])</f>
        <v>CUDA sin graph</v>
      </c>
      <c r="AA149" s="2" t="str" cm="1">
        <f t="array" ref="AA149">_xlfn.XLOOKUP(Bash3[[#This Row],[Tecnología]]&amp;Bash3[[#This Row],[Problema]],TbNombres[Tecnología]&amp;TbNombres[Problema],TbNombres[Nombre])</f>
        <v>Brusselator1d shuffle</v>
      </c>
      <c r="AB149" s="2">
        <v>3</v>
      </c>
      <c r="AC149" s="2">
        <v>6</v>
      </c>
      <c r="AD149" s="2">
        <v>256</v>
      </c>
      <c r="AE149" s="2">
        <v>100000</v>
      </c>
      <c r="AF149" s="2">
        <v>200000</v>
      </c>
      <c r="AG149" s="2">
        <v>29.034800000000001</v>
      </c>
    </row>
    <row r="150" spans="2:33" x14ac:dyDescent="0.2">
      <c r="X150" s="2" t="str">
        <f>_xlfn.XLOOKUP(Bash3[[#This Row],[Metodo]],TbSolver[Metodo],TbSolver[Solver])</f>
        <v>Adams Bashford</v>
      </c>
      <c r="Y150" s="2" t="str">
        <f>_xlfn.XLOOKUP(Bash3[[#This Row],[Hebras]],TbTecnologia[Hebras],TbTecnologia[Tecnología])</f>
        <v>CUDA</v>
      </c>
      <c r="Z150" s="2" t="str" cm="1">
        <f t="array" ref="Z150">_xlfn.XLOOKUP(Bash3[[#This Row],[Tecnología]]&amp;Bash3[[#This Row],[Metodo]],TbTipos[Tecnología]&amp;TbTipos[Metodo],TbTipos[Tipo])</f>
        <v>CUDA sin graph</v>
      </c>
      <c r="AA150" s="2" t="str" cm="1">
        <f t="array" ref="AA150">_xlfn.XLOOKUP(Bash3[[#This Row],[Tecnología]]&amp;Bash3[[#This Row],[Problema]],TbNombres[Tecnología]&amp;TbNombres[Problema],TbNombres[Nombre])</f>
        <v>Brusselator1d grid</v>
      </c>
      <c r="AB150" s="2">
        <v>3</v>
      </c>
      <c r="AC150" s="2">
        <v>7</v>
      </c>
      <c r="AD150" s="2">
        <v>256</v>
      </c>
      <c r="AE150" s="2">
        <v>100000</v>
      </c>
      <c r="AF150" s="2">
        <v>200000</v>
      </c>
      <c r="AG150" s="2">
        <v>29.699200000000001</v>
      </c>
    </row>
    <row r="151" spans="2:33" x14ac:dyDescent="0.2">
      <c r="X151" s="2" t="str">
        <f>_xlfn.XLOOKUP(Bash3[[#This Row],[Metodo]],TbSolver[Metodo],TbSolver[Solver])</f>
        <v>Adams Bashford</v>
      </c>
      <c r="Y151" s="2" t="str">
        <f>_xlfn.XLOOKUP(Bash3[[#This Row],[Hebras]],TbTecnologia[Hebras],TbTecnologia[Tecnología])</f>
        <v>CUDA</v>
      </c>
      <c r="Z151" s="2" t="str" cm="1">
        <f t="array" ref="Z151">_xlfn.XLOOKUP(Bash3[[#This Row],[Tecnología]]&amp;Bash3[[#This Row],[Metodo]],TbTipos[Tecnología]&amp;TbTipos[Metodo],TbTipos[Tipo])</f>
        <v>CUDA sin graph</v>
      </c>
      <c r="AA151" s="2" t="str" cm="1">
        <f t="array" ref="AA151">_xlfn.XLOOKUP(Bash3[[#This Row],[Tecnología]]&amp;Bash3[[#This Row],[Problema]],TbNombres[Tecnología]&amp;TbNombres[Problema],TbNombres[Nombre])</f>
        <v>Brusselator1d</v>
      </c>
      <c r="AB151" s="2">
        <v>3</v>
      </c>
      <c r="AC151" s="2">
        <v>5</v>
      </c>
      <c r="AD151" s="2">
        <v>256</v>
      </c>
      <c r="AE151" s="2">
        <v>100000</v>
      </c>
      <c r="AF151" s="2">
        <v>200000</v>
      </c>
      <c r="AG151" s="2">
        <v>30.912700000000001</v>
      </c>
    </row>
    <row r="152" spans="2:33" x14ac:dyDescent="0.2">
      <c r="X152" s="2" t="str">
        <f>_xlfn.XLOOKUP(Bash3[[#This Row],[Metodo]],TbSolver[Metodo],TbSolver[Solver])</f>
        <v>Adams Bashford</v>
      </c>
      <c r="Y152" s="2" t="str">
        <f>_xlfn.XLOOKUP(Bash3[[#This Row],[Hebras]],TbTecnologia[Hebras],TbTecnologia[Tecnología])</f>
        <v>CUDA</v>
      </c>
      <c r="Z152" s="2" t="str" cm="1">
        <f t="array" ref="Z152">_xlfn.XLOOKUP(Bash3[[#This Row],[Tecnología]]&amp;Bash3[[#This Row],[Metodo]],TbTipos[Tecnología]&amp;TbTipos[Metodo],TbTipos[Tipo])</f>
        <v>CUDA sin graph</v>
      </c>
      <c r="AA152" s="2" t="str" cm="1">
        <f t="array" ref="AA152">_xlfn.XLOOKUP(Bash3[[#This Row],[Tecnología]]&amp;Bash3[[#This Row],[Problema]],TbNombres[Tecnología]&amp;TbNombres[Problema],TbNombres[Nombre])</f>
        <v>Brusselator1d</v>
      </c>
      <c r="AB152" s="2">
        <v>3</v>
      </c>
      <c r="AC152" s="2">
        <v>5</v>
      </c>
      <c r="AD152" s="2">
        <v>256</v>
      </c>
      <c r="AE152" s="2">
        <v>100000</v>
      </c>
      <c r="AF152" s="2">
        <v>200000</v>
      </c>
      <c r="AG152" s="2">
        <v>31.215399999999999</v>
      </c>
    </row>
    <row r="153" spans="2:33" x14ac:dyDescent="0.2">
      <c r="X153" s="2" t="str">
        <f>_xlfn.XLOOKUP(Bash3[[#This Row],[Metodo]],TbSolver[Metodo],TbSolver[Solver])</f>
        <v>Adams Bashford</v>
      </c>
      <c r="Y153" s="2" t="str">
        <f>_xlfn.XLOOKUP(Bash3[[#This Row],[Hebras]],TbTecnologia[Hebras],TbTecnologia[Tecnología])</f>
        <v>CUDA</v>
      </c>
      <c r="Z153" s="2" t="str" cm="1">
        <f t="array" ref="Z153">_xlfn.XLOOKUP(Bash3[[#This Row],[Tecnología]]&amp;Bash3[[#This Row],[Metodo]],TbTipos[Tecnología]&amp;TbTipos[Metodo],TbTipos[Tipo])</f>
        <v>CUDA sin graph</v>
      </c>
      <c r="AA153" s="2" t="str" cm="1">
        <f t="array" ref="AA153">_xlfn.XLOOKUP(Bash3[[#This Row],[Tecnología]]&amp;Bash3[[#This Row],[Problema]],TbNombres[Tecnología]&amp;TbNombres[Problema],TbNombres[Nombre])</f>
        <v>Brusselator1d</v>
      </c>
      <c r="AB153" s="21">
        <v>3</v>
      </c>
      <c r="AC153" s="21">
        <v>5</v>
      </c>
      <c r="AD153" s="21">
        <v>256</v>
      </c>
      <c r="AE153" s="21">
        <v>125000</v>
      </c>
      <c r="AF153" s="21">
        <v>250000</v>
      </c>
      <c r="AG153" s="21">
        <v>41.323999999999998</v>
      </c>
    </row>
    <row r="154" spans="2:33" x14ac:dyDescent="0.2">
      <c r="X154" s="2" t="str">
        <f>_xlfn.XLOOKUP(Bash3[[#This Row],[Metodo]],TbSolver[Metodo],TbSolver[Solver])</f>
        <v>Adams Bashford</v>
      </c>
      <c r="Y154" s="2" t="str">
        <f>_xlfn.XLOOKUP(Bash3[[#This Row],[Hebras]],TbTecnologia[Hebras],TbTecnologia[Tecnología])</f>
        <v>CUDA</v>
      </c>
      <c r="Z154" s="2" t="str" cm="1">
        <f t="array" ref="Z154">_xlfn.XLOOKUP(Bash3[[#This Row],[Tecnología]]&amp;Bash3[[#This Row],[Metodo]],TbTipos[Tecnología]&amp;TbTipos[Metodo],TbTipos[Tipo])</f>
        <v>CUDA con graph</v>
      </c>
      <c r="AA154" s="2" t="str" cm="1">
        <f t="array" ref="AA154">_xlfn.XLOOKUP(Bash3[[#This Row],[Tecnología]]&amp;Bash3[[#This Row],[Problema]],TbNombres[Tecnología]&amp;TbNombres[Problema],TbNombres[Nombre])</f>
        <v>Brusselator1d</v>
      </c>
      <c r="AB154" s="21">
        <v>4</v>
      </c>
      <c r="AC154" s="21">
        <v>5</v>
      </c>
      <c r="AD154" s="21">
        <v>256</v>
      </c>
      <c r="AE154" s="21">
        <v>125000</v>
      </c>
      <c r="AF154" s="21">
        <v>250000</v>
      </c>
      <c r="AG154" s="21">
        <v>79.988299999999995</v>
      </c>
    </row>
    <row r="155" spans="2:33" x14ac:dyDescent="0.2">
      <c r="X155" s="2" t="str">
        <f>_xlfn.XLOOKUP(Bash3[[#This Row],[Metodo]],TbSolver[Metodo],TbSolver[Solver])</f>
        <v>Adams Bashford</v>
      </c>
      <c r="Y155" s="2" t="str">
        <f>_xlfn.XLOOKUP(Bash3[[#This Row],[Hebras]],TbTecnologia[Hebras],TbTecnologia[Tecnología])</f>
        <v>CUDA</v>
      </c>
      <c r="Z155" s="2" t="str" cm="1">
        <f t="array" ref="Z155">_xlfn.XLOOKUP(Bash3[[#This Row],[Tecnología]]&amp;Bash3[[#This Row],[Metodo]],TbTipos[Tecnología]&amp;TbTipos[Metodo],TbTipos[Tipo])</f>
        <v>CUDA sin graph</v>
      </c>
      <c r="AA155" s="2" t="str" cm="1">
        <f t="array" ref="AA155">_xlfn.XLOOKUP(Bash3[[#This Row],[Tecnología]]&amp;Bash3[[#This Row],[Problema]],TbNombres[Tecnología]&amp;TbNombres[Problema],TbNombres[Nombre])</f>
        <v>Brusselator1d</v>
      </c>
      <c r="AB155" s="21">
        <v>3</v>
      </c>
      <c r="AC155" s="21">
        <v>5</v>
      </c>
      <c r="AD155" s="21">
        <v>256</v>
      </c>
      <c r="AE155" s="21">
        <v>175000</v>
      </c>
      <c r="AF155" s="21">
        <v>350000</v>
      </c>
      <c r="AG155" s="21">
        <v>58.703600000000002</v>
      </c>
    </row>
    <row r="156" spans="2:33" x14ac:dyDescent="0.2">
      <c r="X156" s="2" t="str">
        <f>_xlfn.XLOOKUP(Bash3[[#This Row],[Metodo]],TbSolver[Metodo],TbSolver[Solver])</f>
        <v>Adams Bashford</v>
      </c>
      <c r="Y156" s="2" t="str">
        <f>_xlfn.XLOOKUP(Bash3[[#This Row],[Hebras]],TbTecnologia[Hebras],TbTecnologia[Tecnología])</f>
        <v>CUDA</v>
      </c>
      <c r="Z156" s="2" t="str" cm="1">
        <f t="array" ref="Z156">_xlfn.XLOOKUP(Bash3[[#This Row],[Tecnología]]&amp;Bash3[[#This Row],[Metodo]],TbTipos[Tecnología]&amp;TbTipos[Metodo],TbTipos[Tipo])</f>
        <v>CUDA con graph</v>
      </c>
      <c r="AA156" s="2" t="str" cm="1">
        <f t="array" ref="AA156">_xlfn.XLOOKUP(Bash3[[#This Row],[Tecnología]]&amp;Bash3[[#This Row],[Problema]],TbNombres[Tecnología]&amp;TbNombres[Problema],TbNombres[Nombre])</f>
        <v>Brusselator1d</v>
      </c>
      <c r="AB156" s="21">
        <v>4</v>
      </c>
      <c r="AC156" s="21">
        <v>5</v>
      </c>
      <c r="AD156" s="21">
        <v>256</v>
      </c>
      <c r="AE156" s="21">
        <v>175000</v>
      </c>
      <c r="AF156" s="21">
        <v>350000</v>
      </c>
      <c r="AG156" s="21">
        <v>111.56699999999999</v>
      </c>
    </row>
    <row r="157" spans="2:33" x14ac:dyDescent="0.2">
      <c r="X157" s="2" t="str">
        <f>_xlfn.XLOOKUP(Bash3[[#This Row],[Metodo]],TbSolver[Metodo],TbSolver[Solver])</f>
        <v>Adams Bashford</v>
      </c>
      <c r="Y157" s="2" t="str">
        <f>_xlfn.XLOOKUP(Bash3[[#This Row],[Hebras]],TbTecnologia[Hebras],TbTecnologia[Tecnología])</f>
        <v>CUDA</v>
      </c>
      <c r="Z157" s="2" t="str" cm="1">
        <f t="array" ref="Z157">_xlfn.XLOOKUP(Bash3[[#This Row],[Tecnología]]&amp;Bash3[[#This Row],[Metodo]],TbTipos[Tecnología]&amp;TbTipos[Metodo],TbTipos[Tipo])</f>
        <v>CUDA sin graph</v>
      </c>
      <c r="AA157" s="2" t="str" cm="1">
        <f t="array" ref="AA157">_xlfn.XLOOKUP(Bash3[[#This Row],[Tecnología]]&amp;Bash3[[#This Row],[Problema]],TbNombres[Tecnología]&amp;TbNombres[Problema],TbNombres[Nombre])</f>
        <v>Brusselator1d grid</v>
      </c>
      <c r="AB157" s="2">
        <v>3</v>
      </c>
      <c r="AC157" s="2">
        <v>7</v>
      </c>
      <c r="AD157" s="2">
        <v>256</v>
      </c>
      <c r="AE157" s="2">
        <v>200000</v>
      </c>
      <c r="AF157" s="2">
        <v>400000</v>
      </c>
      <c r="AG157" s="2">
        <v>62.265799999999999</v>
      </c>
    </row>
    <row r="158" spans="2:33" x14ac:dyDescent="0.2">
      <c r="X158" s="2" t="str">
        <f>_xlfn.XLOOKUP(Bash3[[#This Row],[Metodo]],TbSolver[Metodo],TbSolver[Solver])</f>
        <v>Adams Bashford</v>
      </c>
      <c r="Y158" s="2" t="str">
        <f>_xlfn.XLOOKUP(Bash3[[#This Row],[Hebras]],TbTecnologia[Hebras],TbTecnologia[Tecnología])</f>
        <v>CUDA</v>
      </c>
      <c r="Z158" s="2" t="str" cm="1">
        <f t="array" ref="Z158">_xlfn.XLOOKUP(Bash3[[#This Row],[Tecnología]]&amp;Bash3[[#This Row],[Metodo]],TbTipos[Tecnología]&amp;TbTipos[Metodo],TbTipos[Tipo])</f>
        <v>CUDA sin graph</v>
      </c>
      <c r="AA158" s="2" t="str" cm="1">
        <f t="array" ref="AA158">_xlfn.XLOOKUP(Bash3[[#This Row],[Tecnología]]&amp;Bash3[[#This Row],[Problema]],TbNombres[Tecnología]&amp;TbNombres[Problema],TbNombres[Nombre])</f>
        <v>Brusselator1d shuffle</v>
      </c>
      <c r="AB158" s="2">
        <v>3</v>
      </c>
      <c r="AC158" s="2">
        <v>6</v>
      </c>
      <c r="AD158" s="2">
        <v>256</v>
      </c>
      <c r="AE158" s="2">
        <v>200000</v>
      </c>
      <c r="AF158" s="2">
        <v>400000</v>
      </c>
      <c r="AG158" s="2">
        <v>64.066100000000006</v>
      </c>
    </row>
    <row r="159" spans="2:33" x14ac:dyDescent="0.2">
      <c r="X159" s="2" t="str">
        <f>_xlfn.XLOOKUP(Bash3[[#This Row],[Metodo]],TbSolver[Metodo],TbSolver[Solver])</f>
        <v>Adams Bashford</v>
      </c>
      <c r="Y159" s="2" t="str">
        <f>_xlfn.XLOOKUP(Bash3[[#This Row],[Hebras]],TbTecnologia[Hebras],TbTecnologia[Tecnología])</f>
        <v>CUDA</v>
      </c>
      <c r="Z159" s="2" t="str" cm="1">
        <f t="array" ref="Z159">_xlfn.XLOOKUP(Bash3[[#This Row],[Tecnología]]&amp;Bash3[[#This Row],[Metodo]],TbTipos[Tecnología]&amp;TbTipos[Metodo],TbTipos[Tipo])</f>
        <v>CUDA sin graph</v>
      </c>
      <c r="AA159" s="2" t="str" cm="1">
        <f t="array" ref="AA159">_xlfn.XLOOKUP(Bash3[[#This Row],[Tecnología]]&amp;Bash3[[#This Row],[Problema]],TbNombres[Tecnología]&amp;TbNombres[Problema],TbNombres[Nombre])</f>
        <v>Brusselator1d</v>
      </c>
      <c r="AB159" s="2">
        <v>3</v>
      </c>
      <c r="AC159" s="2">
        <v>5</v>
      </c>
      <c r="AD159" s="2">
        <v>256</v>
      </c>
      <c r="AE159" s="2">
        <v>200000</v>
      </c>
      <c r="AF159" s="2">
        <v>400000</v>
      </c>
      <c r="AG159" s="2">
        <v>64.316400000000002</v>
      </c>
    </row>
    <row r="160" spans="2:33" x14ac:dyDescent="0.2">
      <c r="X160" s="2" t="str">
        <f>_xlfn.XLOOKUP(Bash3[[#This Row],[Metodo]],TbSolver[Metodo],TbSolver[Solver])</f>
        <v>Adams Bashford</v>
      </c>
      <c r="Y160" s="2" t="str">
        <f>_xlfn.XLOOKUP(Bash3[[#This Row],[Hebras]],TbTecnologia[Hebras],TbTecnologia[Tecnología])</f>
        <v>CUDA</v>
      </c>
      <c r="Z160" s="2" t="str" cm="1">
        <f t="array" ref="Z160">_xlfn.XLOOKUP(Bash3[[#This Row],[Tecnología]]&amp;Bash3[[#This Row],[Metodo]],TbTipos[Tecnología]&amp;TbTipos[Metodo],TbTipos[Tipo])</f>
        <v>CUDA sin graph</v>
      </c>
      <c r="AA160" s="2" t="str" cm="1">
        <f t="array" ref="AA160">_xlfn.XLOOKUP(Bash3[[#This Row],[Tecnología]]&amp;Bash3[[#This Row],[Problema]],TbNombres[Tecnología]&amp;TbNombres[Problema],TbNombres[Nombre])</f>
        <v>Brusselator1d</v>
      </c>
      <c r="AB160" s="2">
        <v>3</v>
      </c>
      <c r="AC160" s="2">
        <v>5</v>
      </c>
      <c r="AD160" s="2">
        <v>256</v>
      </c>
      <c r="AE160" s="2">
        <v>200000</v>
      </c>
      <c r="AF160" s="2">
        <v>400000</v>
      </c>
      <c r="AG160" s="2">
        <v>64.938500000000005</v>
      </c>
    </row>
    <row r="161" spans="24:33" x14ac:dyDescent="0.2">
      <c r="X161" s="2" t="str">
        <f>_xlfn.XLOOKUP(Bash3[[#This Row],[Metodo]],TbSolver[Metodo],TbSolver[Solver])</f>
        <v>Adams Bashford</v>
      </c>
      <c r="Y161" s="2" t="str">
        <f>_xlfn.XLOOKUP(Bash3[[#This Row],[Hebras]],TbTecnologia[Hebras],TbTecnologia[Tecnología])</f>
        <v>CUDA</v>
      </c>
      <c r="Z161" s="2" t="str" cm="1">
        <f t="array" ref="Z161">_xlfn.XLOOKUP(Bash3[[#This Row],[Tecnología]]&amp;Bash3[[#This Row],[Metodo]],TbTipos[Tecnología]&amp;TbTipos[Metodo],TbTipos[Tipo])</f>
        <v>CUDA sin graph</v>
      </c>
      <c r="AA161" s="2" t="str" cm="1">
        <f t="array" ref="AA161">_xlfn.XLOOKUP(Bash3[[#This Row],[Tecnología]]&amp;Bash3[[#This Row],[Problema]],TbNombres[Tecnología]&amp;TbNombres[Problema],TbNombres[Nombre])</f>
        <v>Brusselator1d</v>
      </c>
      <c r="AB161" s="21">
        <v>3</v>
      </c>
      <c r="AC161" s="21">
        <v>5</v>
      </c>
      <c r="AD161" s="21">
        <v>256</v>
      </c>
      <c r="AE161" s="21">
        <v>750000</v>
      </c>
      <c r="AF161" s="21">
        <v>1500000</v>
      </c>
      <c r="AG161" s="21">
        <v>227.02</v>
      </c>
    </row>
    <row r="162" spans="24:33" x14ac:dyDescent="0.2">
      <c r="X162" s="2" t="str">
        <f>_xlfn.XLOOKUP(Bash3[[#This Row],[Metodo]],TbSolver[Metodo],TbSolver[Solver])</f>
        <v>Adams Bashford</v>
      </c>
      <c r="Y162" s="2" t="str">
        <f>_xlfn.XLOOKUP(Bash3[[#This Row],[Hebras]],TbTecnologia[Hebras],TbTecnologia[Tecnología])</f>
        <v>CUDA</v>
      </c>
      <c r="Z162" s="2" t="str" cm="1">
        <f t="array" ref="Z162">_xlfn.XLOOKUP(Bash3[[#This Row],[Tecnología]]&amp;Bash3[[#This Row],[Metodo]],TbTipos[Tecnología]&amp;TbTipos[Metodo],TbTipos[Tipo])</f>
        <v>CUDA con graph</v>
      </c>
      <c r="AA162" s="2" t="str" cm="1">
        <f t="array" ref="AA162">_xlfn.XLOOKUP(Bash3[[#This Row],[Tecnología]]&amp;Bash3[[#This Row],[Problema]],TbNombres[Tecnología]&amp;TbNombres[Problema],TbNombres[Nombre])</f>
        <v>Brusselator1d</v>
      </c>
      <c r="AB162" s="21">
        <v>4</v>
      </c>
      <c r="AC162" s="21">
        <v>5</v>
      </c>
      <c r="AD162" s="21">
        <v>256</v>
      </c>
      <c r="AE162" s="21">
        <v>750000</v>
      </c>
      <c r="AF162" s="21">
        <v>1500000</v>
      </c>
      <c r="AG162" s="21">
        <v>448.678</v>
      </c>
    </row>
    <row r="163" spans="24:33" x14ac:dyDescent="0.2">
      <c r="X163" s="2" t="str">
        <f>_xlfn.XLOOKUP(Bash3[[#This Row],[Metodo]],TbSolver[Metodo],TbSolver[Solver])</f>
        <v>Adams Bashford</v>
      </c>
      <c r="Y163" s="2" t="str">
        <f>_xlfn.XLOOKUP(Bash3[[#This Row],[Hebras]],TbTecnologia[Hebras],TbTecnologia[Tecnología])</f>
        <v>CUDA</v>
      </c>
      <c r="Z163" s="2" t="str" cm="1">
        <f t="array" ref="Z163">_xlfn.XLOOKUP(Bash3[[#This Row],[Tecnología]]&amp;Bash3[[#This Row],[Metodo]],TbTipos[Tecnología]&amp;TbTipos[Metodo],TbTipos[Tipo])</f>
        <v>CUDA sin graph</v>
      </c>
      <c r="AA163" s="2" t="str" cm="1">
        <f t="array" ref="AA163">_xlfn.XLOOKUP(Bash3[[#This Row],[Tecnología]]&amp;Bash3[[#This Row],[Problema]],TbNombres[Tecnología]&amp;TbNombres[Problema],TbNombres[Nombre])</f>
        <v>Brusselator1d</v>
      </c>
      <c r="AB163" s="21">
        <v>3</v>
      </c>
      <c r="AC163" s="21">
        <v>5</v>
      </c>
      <c r="AD163" s="21">
        <v>256</v>
      </c>
      <c r="AE163" s="21">
        <v>1000000</v>
      </c>
      <c r="AF163" s="21">
        <v>2000000</v>
      </c>
      <c r="AG163" s="21">
        <v>299.822</v>
      </c>
    </row>
    <row r="164" spans="24:33" x14ac:dyDescent="0.2">
      <c r="X164" s="2" t="str">
        <f>_xlfn.XLOOKUP(Bash3[[#This Row],[Metodo]],TbSolver[Metodo],TbSolver[Solver])</f>
        <v>Adams Bashford</v>
      </c>
      <c r="Y164" s="2" t="str">
        <f>_xlfn.XLOOKUP(Bash3[[#This Row],[Hebras]],TbTecnologia[Hebras],TbTecnologia[Tecnología])</f>
        <v>CUDA</v>
      </c>
      <c r="Z164" s="2" t="str" cm="1">
        <f t="array" ref="Z164">_xlfn.XLOOKUP(Bash3[[#This Row],[Tecnología]]&amp;Bash3[[#This Row],[Metodo]],TbTipos[Tecnología]&amp;TbTipos[Metodo],TbTipos[Tipo])</f>
        <v>CUDA con graph</v>
      </c>
      <c r="AA164" s="2" t="str" cm="1">
        <f t="array" ref="AA164">_xlfn.XLOOKUP(Bash3[[#This Row],[Tecnología]]&amp;Bash3[[#This Row],[Problema]],TbNombres[Tecnología]&amp;TbNombres[Problema],TbNombres[Nombre])</f>
        <v>Brusselator1d</v>
      </c>
      <c r="AB164" s="21">
        <v>4</v>
      </c>
      <c r="AC164" s="21">
        <v>5</v>
      </c>
      <c r="AD164" s="21">
        <v>256</v>
      </c>
      <c r="AE164" s="21">
        <v>1000000</v>
      </c>
      <c r="AF164" s="21">
        <v>2000000</v>
      </c>
      <c r="AG164" s="21">
        <v>595.05700000000002</v>
      </c>
    </row>
    <row r="165" spans="24:33" x14ac:dyDescent="0.2">
      <c r="X165" s="2" t="str">
        <f>_xlfn.XLOOKUP(Bash3[[#This Row],[Metodo]],TbSolver[Metodo],TbSolver[Solver])</f>
        <v>Adams Bashford</v>
      </c>
      <c r="Y165" s="2" t="str">
        <f>_xlfn.XLOOKUP(Bash3[[#This Row],[Hebras]],TbTecnologia[Hebras],TbTecnologia[Tecnología])</f>
        <v>CUDA</v>
      </c>
      <c r="Z165" s="2" t="str" cm="1">
        <f t="array" ref="Z165">_xlfn.XLOOKUP(Bash3[[#This Row],[Tecnología]]&amp;Bash3[[#This Row],[Metodo]],TbTipos[Tecnología]&amp;TbTipos[Metodo],TbTipos[Tipo])</f>
        <v>CUDA sin graph</v>
      </c>
      <c r="AA165" s="2" t="str" cm="1">
        <f t="array" ref="AA165">_xlfn.XLOOKUP(Bash3[[#This Row],[Tecnología]]&amp;Bash3[[#This Row],[Problema]],TbNombres[Tecnología]&amp;TbNombres[Problema],TbNombres[Nombre])</f>
        <v>Brusselator1d</v>
      </c>
      <c r="AB165" s="2">
        <v>3</v>
      </c>
      <c r="AC165" s="2">
        <v>5</v>
      </c>
      <c r="AD165" s="2">
        <v>256</v>
      </c>
      <c r="AE165" s="2">
        <v>300000</v>
      </c>
      <c r="AF165" s="2">
        <v>600000</v>
      </c>
      <c r="AG165" s="2">
        <v>92.214299999999994</v>
      </c>
    </row>
    <row r="166" spans="24:33" x14ac:dyDescent="0.2">
      <c r="X166" s="2" t="str">
        <f>_xlfn.XLOOKUP(Bash3[[#This Row],[Metodo]],TbSolver[Metodo],TbSolver[Solver])</f>
        <v>Adams Bashford</v>
      </c>
      <c r="Y166" s="2" t="str">
        <f>_xlfn.XLOOKUP(Bash3[[#This Row],[Hebras]],TbTecnologia[Hebras],TbTecnologia[Tecnología])</f>
        <v>CUDA</v>
      </c>
      <c r="Z166" s="2" t="str" cm="1">
        <f t="array" ref="Z166">_xlfn.XLOOKUP(Bash3[[#This Row],[Tecnología]]&amp;Bash3[[#This Row],[Metodo]],TbTipos[Tecnología]&amp;TbTipos[Metodo],TbTipos[Tipo])</f>
        <v>CUDA sin graph</v>
      </c>
      <c r="AA166" s="2" t="str" cm="1">
        <f t="array" ref="AA166">_xlfn.XLOOKUP(Bash3[[#This Row],[Tecnología]]&amp;Bash3[[#This Row],[Problema]],TbNombres[Tecnología]&amp;TbNombres[Problema],TbNombres[Nombre])</f>
        <v>Brusselator1d</v>
      </c>
      <c r="AB166" s="2">
        <v>3</v>
      </c>
      <c r="AC166" s="2">
        <v>5</v>
      </c>
      <c r="AD166" s="2">
        <v>256</v>
      </c>
      <c r="AE166" s="2">
        <v>500000</v>
      </c>
      <c r="AF166" s="2">
        <v>1000000</v>
      </c>
      <c r="AG166" s="2">
        <v>152.18700000000001</v>
      </c>
    </row>
    <row r="167" spans="24:33" x14ac:dyDescent="0.2">
      <c r="X167" s="2" t="str">
        <f>_xlfn.XLOOKUP(Bash3[[#This Row],[Metodo]],TbSolver[Metodo],TbSolver[Solver])</f>
        <v>Adams Bashford</v>
      </c>
      <c r="Y167" s="2" t="str">
        <f>_xlfn.XLOOKUP(Bash3[[#This Row],[Hebras]],TbTecnologia[Hebras],TbTecnologia[Tecnología])</f>
        <v>CUDA</v>
      </c>
      <c r="Z167" s="2" t="str" cm="1">
        <f t="array" ref="Z167">_xlfn.XLOOKUP(Bash3[[#This Row],[Tecnología]]&amp;Bash3[[#This Row],[Metodo]],TbTipos[Tecnología]&amp;TbTipos[Metodo],TbTipos[Tipo])</f>
        <v>CUDA sin graph</v>
      </c>
      <c r="AA167" s="2" t="str" cm="1">
        <f t="array" ref="AA167">_xlfn.XLOOKUP(Bash3[[#This Row],[Tecnología]]&amp;Bash3[[#This Row],[Problema]],TbNombres[Tecnología]&amp;TbNombres[Problema],TbNombres[Nombre])</f>
        <v>Brusselator1d</v>
      </c>
      <c r="AB167" s="2">
        <v>3</v>
      </c>
      <c r="AC167" s="2">
        <v>5</v>
      </c>
      <c r="AD167" s="2">
        <v>256</v>
      </c>
      <c r="AE167" s="2">
        <v>600000</v>
      </c>
      <c r="AF167" s="2">
        <v>1200000</v>
      </c>
      <c r="AG167" s="2">
        <v>180.57599999999999</v>
      </c>
    </row>
    <row r="168" spans="24:33" x14ac:dyDescent="0.2">
      <c r="X168" s="2" t="str">
        <f>_xlfn.XLOOKUP(Bash3[[#This Row],[Metodo]],TbSolver[Metodo],TbSolver[Solver])</f>
        <v>Adams Bashford</v>
      </c>
      <c r="Y168" s="2" t="str">
        <f>_xlfn.XLOOKUP(Bash3[[#This Row],[Hebras]],TbTecnologia[Hebras],TbTecnologia[Tecnología])</f>
        <v>CUDA</v>
      </c>
      <c r="Z168" s="2" t="str" cm="1">
        <f t="array" ref="Z168">_xlfn.XLOOKUP(Bash3[[#This Row],[Tecnología]]&amp;Bash3[[#This Row],[Metodo]],TbTipos[Tecnología]&amp;TbTipos[Metodo],TbTipos[Tipo])</f>
        <v>CUDA sin graph</v>
      </c>
      <c r="AA168" s="2" t="str" cm="1">
        <f t="array" ref="AA168">_xlfn.XLOOKUP(Bash3[[#This Row],[Tecnología]]&amp;Bash3[[#This Row],[Problema]],TbNombres[Tecnología]&amp;TbNombres[Problema],TbNombres[Nombre])</f>
        <v>Brusselator1d</v>
      </c>
      <c r="AB168" s="2">
        <v>3</v>
      </c>
      <c r="AC168" s="2">
        <v>5</v>
      </c>
      <c r="AD168" s="2">
        <v>256</v>
      </c>
      <c r="AE168" s="2">
        <v>700000</v>
      </c>
      <c r="AF168" s="2">
        <v>1400000</v>
      </c>
      <c r="AG168" s="2">
        <v>209.34700000000001</v>
      </c>
    </row>
    <row r="169" spans="24:33" x14ac:dyDescent="0.2">
      <c r="X169" s="2" t="str">
        <f>_xlfn.XLOOKUP(Bash3[[#This Row],[Metodo]],TbSolver[Metodo],TbSolver[Solver])</f>
        <v>Adams Bashford</v>
      </c>
      <c r="Y169" s="2" t="str">
        <f>_xlfn.XLOOKUP(Bash3[[#This Row],[Hebras]],TbTecnologia[Hebras],TbTecnologia[Tecnología])</f>
        <v>CUDA</v>
      </c>
      <c r="Z169" s="2" t="str" cm="1">
        <f t="array" ref="Z169">_xlfn.XLOOKUP(Bash3[[#This Row],[Tecnología]]&amp;Bash3[[#This Row],[Metodo]],TbTipos[Tecnología]&amp;TbTipos[Metodo],TbTipos[Tipo])</f>
        <v>CUDA sin graph</v>
      </c>
      <c r="AA169" s="2" t="str" cm="1">
        <f t="array" ref="AA169">_xlfn.XLOOKUP(Bash3[[#This Row],[Tecnología]]&amp;Bash3[[#This Row],[Problema]],TbNombres[Tecnología]&amp;TbNombres[Problema],TbNombres[Nombre])</f>
        <v>Brusselator1d</v>
      </c>
      <c r="AB169" s="2">
        <v>3</v>
      </c>
      <c r="AC169" s="2">
        <v>5</v>
      </c>
      <c r="AD169" s="2">
        <v>256</v>
      </c>
      <c r="AE169" s="2">
        <v>800000</v>
      </c>
      <c r="AF169" s="2">
        <v>1600000</v>
      </c>
      <c r="AG169" s="2">
        <v>238.00299999999999</v>
      </c>
    </row>
    <row r="170" spans="24:33" x14ac:dyDescent="0.2">
      <c r="X170" s="2" t="str">
        <f>_xlfn.XLOOKUP(Bash3[[#This Row],[Metodo]],TbSolver[Metodo],TbSolver[Solver])</f>
        <v>Adams Bashford</v>
      </c>
      <c r="Y170" s="2" t="str">
        <f>_xlfn.XLOOKUP(Bash3[[#This Row],[Hebras]],TbTecnologia[Hebras],TbTecnologia[Tecnología])</f>
        <v>CUDA</v>
      </c>
      <c r="Z170" s="2" t="str" cm="1">
        <f t="array" ref="Z170">_xlfn.XLOOKUP(Bash3[[#This Row],[Tecnología]]&amp;Bash3[[#This Row],[Metodo]],TbTipos[Tecnología]&amp;TbTipos[Metodo],TbTipos[Tipo])</f>
        <v>CUDA sin graph</v>
      </c>
      <c r="AA170" s="2" t="str" cm="1">
        <f t="array" ref="AA170">_xlfn.XLOOKUP(Bash3[[#This Row],[Tecnología]]&amp;Bash3[[#This Row],[Problema]],TbNombres[Tecnología]&amp;TbNombres[Problema],TbNombres[Nombre])</f>
        <v>Brusselator1d</v>
      </c>
      <c r="AB170" s="2">
        <v>3</v>
      </c>
      <c r="AC170" s="2">
        <v>5</v>
      </c>
      <c r="AD170" s="2">
        <v>256</v>
      </c>
      <c r="AE170" s="2">
        <v>900000</v>
      </c>
      <c r="AF170" s="2">
        <v>1800000</v>
      </c>
      <c r="AG170" s="2">
        <v>267.29599999999999</v>
      </c>
    </row>
    <row r="171" spans="24:33" x14ac:dyDescent="0.2">
      <c r="X171" s="2" t="str">
        <f>_xlfn.XLOOKUP(Bash3[[#This Row],[Metodo]],TbSolver[Metodo],TbSolver[Solver])</f>
        <v>Adams Bashford</v>
      </c>
      <c r="Y171" s="2" t="str">
        <f>_xlfn.XLOOKUP(Bash3[[#This Row],[Hebras]],TbTecnologia[Hebras],TbTecnologia[Tecnología])</f>
        <v>CUDA</v>
      </c>
      <c r="Z171" s="2" t="str" cm="1">
        <f t="array" ref="Z171">_xlfn.XLOOKUP(Bash3[[#This Row],[Tecnología]]&amp;Bash3[[#This Row],[Metodo]],TbTipos[Tecnología]&amp;TbTipos[Metodo],TbTipos[Tipo])</f>
        <v>CUDA sin graph</v>
      </c>
      <c r="AA171" s="2" t="str" cm="1">
        <f t="array" ref="AA171">_xlfn.XLOOKUP(Bash3[[#This Row],[Tecnología]]&amp;Bash3[[#This Row],[Problema]],TbNombres[Tecnología]&amp;TbNombres[Problema],TbNombres[Nombre])</f>
        <v>Brusselator1d</v>
      </c>
      <c r="AB171" s="2">
        <v>3</v>
      </c>
      <c r="AC171" s="2">
        <v>5</v>
      </c>
      <c r="AD171" s="2">
        <v>256</v>
      </c>
      <c r="AE171" s="2">
        <v>1000000</v>
      </c>
      <c r="AF171" s="2">
        <v>2000000</v>
      </c>
      <c r="AG171" s="2">
        <v>296.84699999999998</v>
      </c>
    </row>
    <row r="172" spans="24:33" x14ac:dyDescent="0.2">
      <c r="X172" s="44" t="str">
        <f>_xlfn.XLOOKUP(Bash3[[#This Row],[Metodo]],TbSolver[Metodo],TbSolver[Solver])</f>
        <v>Adams Bashford</v>
      </c>
      <c r="Y172" s="44" t="str">
        <f>_xlfn.XLOOKUP(Bash3[[#This Row],[Hebras]],TbTecnologia[Hebras],TbTecnologia[Tecnología])</f>
        <v>CUDA</v>
      </c>
      <c r="Z172" s="44" t="str" cm="1">
        <f t="array" ref="Z172">_xlfn.XLOOKUP(Bash3[[#This Row],[Tecnología]]&amp;Bash3[[#This Row],[Metodo]],TbTipos[Tecnología]&amp;TbTipos[Metodo],TbTipos[Tipo])</f>
        <v>CUDA sin graph</v>
      </c>
      <c r="AA172" s="44" t="str" cm="1">
        <f t="array" ref="AA172">_xlfn.XLOOKUP(Bash3[[#This Row],[Tecnología]]&amp;Bash3[[#This Row],[Problema]],TbNombres[Tecnología]&amp;TbNombres[Problema],TbNombres[Nombre])</f>
        <v>Brusselator1d</v>
      </c>
      <c r="AB172" s="45">
        <v>3</v>
      </c>
      <c r="AC172" s="45">
        <v>5</v>
      </c>
      <c r="AD172" s="45">
        <v>256</v>
      </c>
      <c r="AE172" s="45">
        <v>150000</v>
      </c>
      <c r="AF172" s="45">
        <v>300000</v>
      </c>
      <c r="AG172" s="45">
        <v>49.077300000000001</v>
      </c>
    </row>
    <row r="173" spans="24:33" x14ac:dyDescent="0.2">
      <c r="X173" s="44" t="str">
        <f>_xlfn.XLOOKUP(Bash3[[#This Row],[Metodo]],TbSolver[Metodo],TbSolver[Solver])</f>
        <v>Adams Bashford</v>
      </c>
      <c r="Y173" s="44" t="str">
        <f>_xlfn.XLOOKUP(Bash3[[#This Row],[Hebras]],TbTecnologia[Hebras],TbTecnologia[Tecnología])</f>
        <v>CUDA</v>
      </c>
      <c r="Z173" s="44" t="str" cm="1">
        <f t="array" ref="Z173">_xlfn.XLOOKUP(Bash3[[#This Row],[Tecnología]]&amp;Bash3[[#This Row],[Metodo]],TbTipos[Tecnología]&amp;TbTipos[Metodo],TbTipos[Tipo])</f>
        <v>CUDA sin graph</v>
      </c>
      <c r="AA173" s="44" t="str" cm="1">
        <f t="array" ref="AA173">_xlfn.XLOOKUP(Bash3[[#This Row],[Tecnología]]&amp;Bash3[[#This Row],[Problema]],TbNombres[Tecnología]&amp;TbNombres[Problema],TbNombres[Nombre])</f>
        <v>Brusselator1d</v>
      </c>
      <c r="AB173" s="45">
        <v>3</v>
      </c>
      <c r="AC173" s="45">
        <v>5</v>
      </c>
      <c r="AD173" s="45">
        <v>256</v>
      </c>
      <c r="AE173" s="45">
        <v>250000</v>
      </c>
      <c r="AF173" s="45">
        <v>500000</v>
      </c>
      <c r="AG173" s="45">
        <v>78.499799999999993</v>
      </c>
    </row>
    <row r="174" spans="24:33" x14ac:dyDescent="0.2">
      <c r="X174" s="44" t="str">
        <f>_xlfn.XLOOKUP(Bash3[[#This Row],[Metodo]],TbSolver[Metodo],TbSolver[Solver])</f>
        <v>Adams Bashford</v>
      </c>
      <c r="Y174" s="44" t="str">
        <f>_xlfn.XLOOKUP(Bash3[[#This Row],[Hebras]],TbTecnologia[Hebras],TbTecnologia[Tecnología])</f>
        <v>CUDA</v>
      </c>
      <c r="Z174" s="44" t="str" cm="1">
        <f t="array" ref="Z174">_xlfn.XLOOKUP(Bash3[[#This Row],[Tecnología]]&amp;Bash3[[#This Row],[Metodo]],TbTipos[Tecnología]&amp;TbTipos[Metodo],TbTipos[Tipo])</f>
        <v>CUDA sin graph</v>
      </c>
      <c r="AA174" s="44" t="str" cm="1">
        <f t="array" ref="AA174">_xlfn.XLOOKUP(Bash3[[#This Row],[Tecnología]]&amp;Bash3[[#This Row],[Problema]],TbNombres[Tecnología]&amp;TbNombres[Problema],TbNombres[Nombre])</f>
        <v>Brusselator1d</v>
      </c>
      <c r="AB174" s="45">
        <v>3</v>
      </c>
      <c r="AC174" s="45">
        <v>5</v>
      </c>
      <c r="AD174" s="45">
        <v>256</v>
      </c>
      <c r="AE174" s="45">
        <v>350000</v>
      </c>
      <c r="AF174" s="45">
        <v>700000</v>
      </c>
      <c r="AG174" s="45">
        <v>108.71599999999999</v>
      </c>
    </row>
    <row r="175" spans="24:33" x14ac:dyDescent="0.2">
      <c r="X175" s="44" t="str">
        <f>_xlfn.XLOOKUP(Bash3[[#This Row],[Metodo]],TbSolver[Metodo],TbSolver[Solver])</f>
        <v>Adams Bashford</v>
      </c>
      <c r="Y175" s="44" t="str">
        <f>_xlfn.XLOOKUP(Bash3[[#This Row],[Hebras]],TbTecnologia[Hebras],TbTecnologia[Tecnología])</f>
        <v>CUDA</v>
      </c>
      <c r="Z175" s="44" t="str" cm="1">
        <f t="array" ref="Z175">_xlfn.XLOOKUP(Bash3[[#This Row],[Tecnología]]&amp;Bash3[[#This Row],[Metodo]],TbTipos[Tecnología]&amp;TbTipos[Metodo],TbTipos[Tipo])</f>
        <v>CUDA sin graph</v>
      </c>
      <c r="AA175" s="44" t="str" cm="1">
        <f t="array" ref="AA175">_xlfn.XLOOKUP(Bash3[[#This Row],[Tecnología]]&amp;Bash3[[#This Row],[Problema]],TbNombres[Tecnología]&amp;TbNombres[Problema],TbNombres[Nombre])</f>
        <v>Brusselator1d</v>
      </c>
      <c r="AB175" s="45">
        <v>3</v>
      </c>
      <c r="AC175" s="45">
        <v>5</v>
      </c>
      <c r="AD175" s="45">
        <v>256</v>
      </c>
      <c r="AE175" s="45">
        <v>400000</v>
      </c>
      <c r="AF175" s="45">
        <v>800000</v>
      </c>
      <c r="AG175" s="45">
        <v>123.306</v>
      </c>
    </row>
    <row r="176" spans="24:33" x14ac:dyDescent="0.2">
      <c r="X176" s="44" t="str">
        <f>_xlfn.XLOOKUP(Bash3[[#This Row],[Metodo]],TbSolver[Metodo],TbSolver[Solver])</f>
        <v>Adams Bashford</v>
      </c>
      <c r="Y176" s="44" t="str">
        <f>_xlfn.XLOOKUP(Bash3[[#This Row],[Hebras]],TbTecnologia[Hebras],TbTecnologia[Tecnología])</f>
        <v>CUDA</v>
      </c>
      <c r="Z176" s="44" t="str" cm="1">
        <f t="array" ref="Z176">_xlfn.XLOOKUP(Bash3[[#This Row],[Tecnología]]&amp;Bash3[[#This Row],[Metodo]],TbTipos[Tecnología]&amp;TbTipos[Metodo],TbTipos[Tipo])</f>
        <v>CUDA sin graph</v>
      </c>
      <c r="AA176" s="44" t="str" cm="1">
        <f t="array" ref="AA176">_xlfn.XLOOKUP(Bash3[[#This Row],[Tecnología]]&amp;Bash3[[#This Row],[Problema]],TbNombres[Tecnología]&amp;TbNombres[Problema],TbNombres[Nombre])</f>
        <v>Brusselator1d</v>
      </c>
      <c r="AB176" s="45">
        <v>3</v>
      </c>
      <c r="AC176" s="45">
        <v>5</v>
      </c>
      <c r="AD176" s="45">
        <v>256</v>
      </c>
      <c r="AE176" s="45">
        <v>450000</v>
      </c>
      <c r="AF176" s="45">
        <v>900000</v>
      </c>
      <c r="AG176" s="45">
        <v>137.59899999999999</v>
      </c>
    </row>
    <row r="177" spans="24:33" x14ac:dyDescent="0.2">
      <c r="X177" s="44" t="str">
        <f>_xlfn.XLOOKUP(Bash3[[#This Row],[Metodo]],TbSolver[Metodo],TbSolver[Solver])</f>
        <v>Adams Bashford</v>
      </c>
      <c r="Y177" s="44" t="str">
        <f>_xlfn.XLOOKUP(Bash3[[#This Row],[Hebras]],TbTecnologia[Hebras],TbTecnologia[Tecnología])</f>
        <v>CUDA</v>
      </c>
      <c r="Z177" s="44" t="str" cm="1">
        <f t="array" ref="Z177">_xlfn.XLOOKUP(Bash3[[#This Row],[Tecnología]]&amp;Bash3[[#This Row],[Metodo]],TbTipos[Tecnología]&amp;TbTipos[Metodo],TbTipos[Tipo])</f>
        <v>CUDA sin graph</v>
      </c>
      <c r="AA177" s="44" t="str" cm="1">
        <f t="array" ref="AA177">_xlfn.XLOOKUP(Bash3[[#This Row],[Tecnología]]&amp;Bash3[[#This Row],[Problema]],TbNombres[Tecnología]&amp;TbNombres[Problema],TbNombres[Nombre])</f>
        <v>Brusselator1d shuffle</v>
      </c>
      <c r="AB177" s="45">
        <v>3</v>
      </c>
      <c r="AC177" s="45">
        <v>6</v>
      </c>
      <c r="AD177" s="45">
        <v>256</v>
      </c>
      <c r="AE177" s="45">
        <v>40000</v>
      </c>
      <c r="AF177" s="45">
        <v>80000</v>
      </c>
      <c r="AG177" s="45">
        <v>10.548500000000001</v>
      </c>
    </row>
    <row r="178" spans="24:33" x14ac:dyDescent="0.2">
      <c r="X178" s="44" t="str">
        <f>_xlfn.XLOOKUP(Bash3[[#This Row],[Metodo]],TbSolver[Metodo],TbSolver[Solver])</f>
        <v>Adams Bashford</v>
      </c>
      <c r="Y178" s="44" t="str">
        <f>_xlfn.XLOOKUP(Bash3[[#This Row],[Hebras]],TbTecnologia[Hebras],TbTecnologia[Tecnología])</f>
        <v>CUDA</v>
      </c>
      <c r="Z178" s="44" t="str" cm="1">
        <f t="array" ref="Z178">_xlfn.XLOOKUP(Bash3[[#This Row],[Tecnología]]&amp;Bash3[[#This Row],[Metodo]],TbTipos[Tecnología]&amp;TbTipos[Metodo],TbTipos[Tipo])</f>
        <v>CUDA sin graph</v>
      </c>
      <c r="AA178" s="44" t="str" cm="1">
        <f t="array" ref="AA178">_xlfn.XLOOKUP(Bash3[[#This Row],[Tecnología]]&amp;Bash3[[#This Row],[Problema]],TbNombres[Tecnología]&amp;TbNombres[Problema],TbNombres[Nombre])</f>
        <v>Brusselator1d shuffle</v>
      </c>
      <c r="AB178" s="45">
        <v>3</v>
      </c>
      <c r="AC178" s="45">
        <v>6</v>
      </c>
      <c r="AD178" s="45">
        <v>256</v>
      </c>
      <c r="AE178" s="45">
        <v>75000</v>
      </c>
      <c r="AF178" s="45">
        <v>150000</v>
      </c>
      <c r="AG178" s="45">
        <v>21.8507</v>
      </c>
    </row>
    <row r="179" spans="24:33" x14ac:dyDescent="0.2">
      <c r="X179" s="44" t="str">
        <f>_xlfn.XLOOKUP(Bash3[[#This Row],[Metodo]],TbSolver[Metodo],TbSolver[Solver])</f>
        <v>Adams Bashford</v>
      </c>
      <c r="Y179" s="44" t="str">
        <f>_xlfn.XLOOKUP(Bash3[[#This Row],[Hebras]],TbTecnologia[Hebras],TbTecnologia[Tecnología])</f>
        <v>CUDA</v>
      </c>
      <c r="Z179" s="44" t="str" cm="1">
        <f t="array" ref="Z179">_xlfn.XLOOKUP(Bash3[[#This Row],[Tecnología]]&amp;Bash3[[#This Row],[Metodo]],TbTipos[Tecnología]&amp;TbTipos[Metodo],TbTipos[Tipo])</f>
        <v>CUDA sin graph</v>
      </c>
      <c r="AA179" s="44" t="str" cm="1">
        <f t="array" ref="AA179">_xlfn.XLOOKUP(Bash3[[#This Row],[Tecnología]]&amp;Bash3[[#This Row],[Problema]],TbNombres[Tecnología]&amp;TbNombres[Problema],TbNombres[Nombre])</f>
        <v>Brusselator1d shuffle</v>
      </c>
      <c r="AB179" s="45">
        <v>3</v>
      </c>
      <c r="AC179" s="45">
        <v>6</v>
      </c>
      <c r="AD179" s="45">
        <v>256</v>
      </c>
      <c r="AE179" s="45">
        <v>125000</v>
      </c>
      <c r="AF179" s="45">
        <v>250000</v>
      </c>
      <c r="AG179" s="45">
        <v>37.765799999999999</v>
      </c>
    </row>
    <row r="180" spans="24:33" x14ac:dyDescent="0.2">
      <c r="X180" s="44" t="str">
        <f>_xlfn.XLOOKUP(Bash3[[#This Row],[Metodo]],TbSolver[Metodo],TbSolver[Solver])</f>
        <v>Adams Bashford</v>
      </c>
      <c r="Y180" s="44" t="str">
        <f>_xlfn.XLOOKUP(Bash3[[#This Row],[Hebras]],TbTecnologia[Hebras],TbTecnologia[Tecnología])</f>
        <v>CUDA</v>
      </c>
      <c r="Z180" s="44" t="str" cm="1">
        <f t="array" ref="Z180">_xlfn.XLOOKUP(Bash3[[#This Row],[Tecnología]]&amp;Bash3[[#This Row],[Metodo]],TbTipos[Tecnología]&amp;TbTipos[Metodo],TbTipos[Tipo])</f>
        <v>CUDA sin graph</v>
      </c>
      <c r="AA180" s="44" t="str" cm="1">
        <f t="array" ref="AA180">_xlfn.XLOOKUP(Bash3[[#This Row],[Tecnología]]&amp;Bash3[[#This Row],[Problema]],TbNombres[Tecnología]&amp;TbNombres[Problema],TbNombres[Nombre])</f>
        <v>Brusselator1d shuffle</v>
      </c>
      <c r="AB180" s="45">
        <v>3</v>
      </c>
      <c r="AC180" s="45">
        <v>6</v>
      </c>
      <c r="AD180" s="45">
        <v>256</v>
      </c>
      <c r="AE180" s="45">
        <v>150000</v>
      </c>
      <c r="AF180" s="45">
        <v>300000</v>
      </c>
      <c r="AG180" s="45">
        <v>47.618600000000001</v>
      </c>
    </row>
    <row r="181" spans="24:33" x14ac:dyDescent="0.2">
      <c r="X181" s="44" t="str">
        <f>_xlfn.XLOOKUP(Bash3[[#This Row],[Metodo]],TbSolver[Metodo],TbSolver[Solver])</f>
        <v>Adams Bashford</v>
      </c>
      <c r="Y181" s="44" t="str">
        <f>_xlfn.XLOOKUP(Bash3[[#This Row],[Hebras]],TbTecnologia[Hebras],TbTecnologia[Tecnología])</f>
        <v>CUDA</v>
      </c>
      <c r="Z181" s="44" t="str" cm="1">
        <f t="array" ref="Z181">_xlfn.XLOOKUP(Bash3[[#This Row],[Tecnología]]&amp;Bash3[[#This Row],[Metodo]],TbTipos[Tecnología]&amp;TbTipos[Metodo],TbTipos[Tipo])</f>
        <v>CUDA sin graph</v>
      </c>
      <c r="AA181" s="44" t="str" cm="1">
        <f t="array" ref="AA181">_xlfn.XLOOKUP(Bash3[[#This Row],[Tecnología]]&amp;Bash3[[#This Row],[Problema]],TbNombres[Tecnología]&amp;TbNombres[Problema],TbNombres[Nombre])</f>
        <v>Brusselator1d shuffle</v>
      </c>
      <c r="AB181" s="45">
        <v>3</v>
      </c>
      <c r="AC181" s="45">
        <v>6</v>
      </c>
      <c r="AD181" s="45">
        <v>256</v>
      </c>
      <c r="AE181" s="45">
        <v>175000</v>
      </c>
      <c r="AF181" s="45">
        <v>350000</v>
      </c>
      <c r="AG181" s="45">
        <v>56.924599999999998</v>
      </c>
    </row>
    <row r="182" spans="24:33" x14ac:dyDescent="0.2">
      <c r="X182" s="44" t="str">
        <f>_xlfn.XLOOKUP(Bash3[[#This Row],[Metodo]],TbSolver[Metodo],TbSolver[Solver])</f>
        <v>Adams Bashford</v>
      </c>
      <c r="Y182" s="44" t="str">
        <f>_xlfn.XLOOKUP(Bash3[[#This Row],[Hebras]],TbTecnologia[Hebras],TbTecnologia[Tecnología])</f>
        <v>CUDA</v>
      </c>
      <c r="Z182" s="44" t="str" cm="1">
        <f t="array" ref="Z182">_xlfn.XLOOKUP(Bash3[[#This Row],[Tecnología]]&amp;Bash3[[#This Row],[Metodo]],TbTipos[Tecnología]&amp;TbTipos[Metodo],TbTipos[Tipo])</f>
        <v>CUDA sin graph</v>
      </c>
      <c r="AA182" s="44" t="str" cm="1">
        <f t="array" ref="AA182">_xlfn.XLOOKUP(Bash3[[#This Row],[Tecnología]]&amp;Bash3[[#This Row],[Problema]],TbNombres[Tecnología]&amp;TbNombres[Problema],TbNombres[Nombre])</f>
        <v>Brusselator1d shuffle</v>
      </c>
      <c r="AB182" s="45">
        <v>3</v>
      </c>
      <c r="AC182" s="45">
        <v>6</v>
      </c>
      <c r="AD182" s="45">
        <v>256</v>
      </c>
      <c r="AE182" s="45">
        <v>250000</v>
      </c>
      <c r="AF182" s="45">
        <v>500000</v>
      </c>
      <c r="AG182" s="45">
        <v>79.241900000000001</v>
      </c>
    </row>
    <row r="183" spans="24:33" x14ac:dyDescent="0.2">
      <c r="X183" s="44" t="str">
        <f>_xlfn.XLOOKUP(Bash3[[#This Row],[Metodo]],TbSolver[Metodo],TbSolver[Solver])</f>
        <v>Adams Bashford</v>
      </c>
      <c r="Y183" s="44" t="str">
        <f>_xlfn.XLOOKUP(Bash3[[#This Row],[Hebras]],TbTecnologia[Hebras],TbTecnologia[Tecnología])</f>
        <v>CUDA</v>
      </c>
      <c r="Z183" s="44" t="str" cm="1">
        <f t="array" ref="Z183">_xlfn.XLOOKUP(Bash3[[#This Row],[Tecnología]]&amp;Bash3[[#This Row],[Metodo]],TbTipos[Tecnología]&amp;TbTipos[Metodo],TbTipos[Tipo])</f>
        <v>CUDA sin graph</v>
      </c>
      <c r="AA183" s="44" t="str" cm="1">
        <f t="array" ref="AA183">_xlfn.XLOOKUP(Bash3[[#This Row],[Tecnología]]&amp;Bash3[[#This Row],[Problema]],TbNombres[Tecnología]&amp;TbNombres[Problema],TbNombres[Nombre])</f>
        <v>Brusselator1d shuffle</v>
      </c>
      <c r="AB183" s="45">
        <v>3</v>
      </c>
      <c r="AC183" s="45">
        <v>6</v>
      </c>
      <c r="AD183" s="45">
        <v>256</v>
      </c>
      <c r="AE183" s="45">
        <v>300000</v>
      </c>
      <c r="AF183" s="45">
        <v>600000</v>
      </c>
      <c r="AG183" s="45">
        <v>93.808400000000006</v>
      </c>
    </row>
    <row r="184" spans="24:33" x14ac:dyDescent="0.2">
      <c r="X184" s="44" t="str">
        <f>_xlfn.XLOOKUP(Bash3[[#This Row],[Metodo]],TbSolver[Metodo],TbSolver[Solver])</f>
        <v>Adams Bashford</v>
      </c>
      <c r="Y184" s="44" t="str">
        <f>_xlfn.XLOOKUP(Bash3[[#This Row],[Hebras]],TbTecnologia[Hebras],TbTecnologia[Tecnología])</f>
        <v>CUDA</v>
      </c>
      <c r="Z184" s="44" t="str" cm="1">
        <f t="array" ref="Z184">_xlfn.XLOOKUP(Bash3[[#This Row],[Tecnología]]&amp;Bash3[[#This Row],[Metodo]],TbTipos[Tecnología]&amp;TbTipos[Metodo],TbTipos[Tipo])</f>
        <v>CUDA sin graph</v>
      </c>
      <c r="AA184" s="44" t="str" cm="1">
        <f t="array" ref="AA184">_xlfn.XLOOKUP(Bash3[[#This Row],[Tecnología]]&amp;Bash3[[#This Row],[Problema]],TbNombres[Tecnología]&amp;TbNombres[Problema],TbNombres[Nombre])</f>
        <v>Brusselator1d shuffle</v>
      </c>
      <c r="AB184" s="45">
        <v>3</v>
      </c>
      <c r="AC184" s="45">
        <v>6</v>
      </c>
      <c r="AD184" s="45">
        <v>256</v>
      </c>
      <c r="AE184" s="45">
        <v>350000</v>
      </c>
      <c r="AF184" s="45">
        <v>700000</v>
      </c>
      <c r="AG184" s="45">
        <v>108.27200000000001</v>
      </c>
    </row>
    <row r="185" spans="24:33" x14ac:dyDescent="0.2">
      <c r="X185" s="44" t="str">
        <f>_xlfn.XLOOKUP(Bash3[[#This Row],[Metodo]],TbSolver[Metodo],TbSolver[Solver])</f>
        <v>Adams Bashford</v>
      </c>
      <c r="Y185" s="44" t="str">
        <f>_xlfn.XLOOKUP(Bash3[[#This Row],[Hebras]],TbTecnologia[Hebras],TbTecnologia[Tecnología])</f>
        <v>CUDA</v>
      </c>
      <c r="Z185" s="44" t="str" cm="1">
        <f t="array" ref="Z185">_xlfn.XLOOKUP(Bash3[[#This Row],[Tecnología]]&amp;Bash3[[#This Row],[Metodo]],TbTipos[Tecnología]&amp;TbTipos[Metodo],TbTipos[Tipo])</f>
        <v>CUDA sin graph</v>
      </c>
      <c r="AA185" s="44" t="str" cm="1">
        <f t="array" ref="AA185">_xlfn.XLOOKUP(Bash3[[#This Row],[Tecnología]]&amp;Bash3[[#This Row],[Problema]],TbNombres[Tecnología]&amp;TbNombres[Problema],TbNombres[Nombre])</f>
        <v>Brusselator1d shuffle</v>
      </c>
      <c r="AB185" s="45">
        <v>3</v>
      </c>
      <c r="AC185" s="45">
        <v>6</v>
      </c>
      <c r="AD185" s="45">
        <v>256</v>
      </c>
      <c r="AE185" s="45">
        <v>400000</v>
      </c>
      <c r="AF185" s="45">
        <v>800000</v>
      </c>
      <c r="AG185" s="45">
        <v>122.247</v>
      </c>
    </row>
    <row r="186" spans="24:33" x14ac:dyDescent="0.2">
      <c r="X186" s="44" t="str">
        <f>_xlfn.XLOOKUP(Bash3[[#This Row],[Metodo]],TbSolver[Metodo],TbSolver[Solver])</f>
        <v>Adams Bashford</v>
      </c>
      <c r="Y186" s="44" t="str">
        <f>_xlfn.XLOOKUP(Bash3[[#This Row],[Hebras]],TbTecnologia[Hebras],TbTecnologia[Tecnología])</f>
        <v>CUDA</v>
      </c>
      <c r="Z186" s="44" t="str" cm="1">
        <f t="array" ref="Z186">_xlfn.XLOOKUP(Bash3[[#This Row],[Tecnología]]&amp;Bash3[[#This Row],[Metodo]],TbTipos[Tecnología]&amp;TbTipos[Metodo],TbTipos[Tipo])</f>
        <v>CUDA sin graph</v>
      </c>
      <c r="AA186" s="44" t="str" cm="1">
        <f t="array" ref="AA186">_xlfn.XLOOKUP(Bash3[[#This Row],[Tecnología]]&amp;Bash3[[#This Row],[Problema]],TbNombres[Tecnología]&amp;TbNombres[Problema],TbNombres[Nombre])</f>
        <v>Brusselator1d shuffle</v>
      </c>
      <c r="AB186" s="45">
        <v>3</v>
      </c>
      <c r="AC186" s="45">
        <v>6</v>
      </c>
      <c r="AD186" s="45">
        <v>256</v>
      </c>
      <c r="AE186" s="45">
        <v>450000</v>
      </c>
      <c r="AF186" s="45">
        <v>900000</v>
      </c>
      <c r="AG186" s="45">
        <v>136.72999999999999</v>
      </c>
    </row>
    <row r="187" spans="24:33" x14ac:dyDescent="0.2">
      <c r="X187" s="44" t="str">
        <f>_xlfn.XLOOKUP(Bash3[[#This Row],[Metodo]],TbSolver[Metodo],TbSolver[Solver])</f>
        <v>Adams Bashford</v>
      </c>
      <c r="Y187" s="44" t="str">
        <f>_xlfn.XLOOKUP(Bash3[[#This Row],[Hebras]],TbTecnologia[Hebras],TbTecnologia[Tecnología])</f>
        <v>CUDA</v>
      </c>
      <c r="Z187" s="44" t="str" cm="1">
        <f t="array" ref="Z187">_xlfn.XLOOKUP(Bash3[[#This Row],[Tecnología]]&amp;Bash3[[#This Row],[Metodo]],TbTipos[Tecnología]&amp;TbTipos[Metodo],TbTipos[Tipo])</f>
        <v>CUDA sin graph</v>
      </c>
      <c r="AA187" s="44" t="str" cm="1">
        <f t="array" ref="AA187">_xlfn.XLOOKUP(Bash3[[#This Row],[Tecnología]]&amp;Bash3[[#This Row],[Problema]],TbNombres[Tecnología]&amp;TbNombres[Problema],TbNombres[Nombre])</f>
        <v>Brusselator1d shuffle</v>
      </c>
      <c r="AB187" s="45">
        <v>3</v>
      </c>
      <c r="AC187" s="45">
        <v>6</v>
      </c>
      <c r="AD187" s="45">
        <v>256</v>
      </c>
      <c r="AE187" s="45">
        <v>500000</v>
      </c>
      <c r="AF187" s="45">
        <v>1000000</v>
      </c>
      <c r="AG187" s="45">
        <v>151.23500000000001</v>
      </c>
    </row>
    <row r="188" spans="24:33" x14ac:dyDescent="0.2">
      <c r="X188" s="44" t="str">
        <f>_xlfn.XLOOKUP(Bash3[[#This Row],[Metodo]],TbSolver[Metodo],TbSolver[Solver])</f>
        <v>Adams Bashford</v>
      </c>
      <c r="Y188" s="44" t="str">
        <f>_xlfn.XLOOKUP(Bash3[[#This Row],[Hebras]],TbTecnologia[Hebras],TbTecnologia[Tecnología])</f>
        <v>CUDA</v>
      </c>
      <c r="Z188" s="44" t="str" cm="1">
        <f t="array" ref="Z188">_xlfn.XLOOKUP(Bash3[[#This Row],[Tecnología]]&amp;Bash3[[#This Row],[Metodo]],TbTipos[Tecnología]&amp;TbTipos[Metodo],TbTipos[Tipo])</f>
        <v>CUDA sin graph</v>
      </c>
      <c r="AA188" s="44" t="str" cm="1">
        <f t="array" ref="AA188">_xlfn.XLOOKUP(Bash3[[#This Row],[Tecnología]]&amp;Bash3[[#This Row],[Problema]],TbNombres[Tecnología]&amp;TbNombres[Problema],TbNombres[Nombre])</f>
        <v>Brusselator1d shuffle</v>
      </c>
      <c r="AB188" s="45">
        <v>3</v>
      </c>
      <c r="AC188" s="45">
        <v>6</v>
      </c>
      <c r="AD188" s="45">
        <v>256</v>
      </c>
      <c r="AE188" s="45">
        <v>600000</v>
      </c>
      <c r="AF188" s="45">
        <v>1200000</v>
      </c>
      <c r="AG188" s="45">
        <v>179.84100000000001</v>
      </c>
    </row>
    <row r="189" spans="24:33" x14ac:dyDescent="0.2">
      <c r="X189" s="44" t="str">
        <f>_xlfn.XLOOKUP(Bash3[[#This Row],[Metodo]],TbSolver[Metodo],TbSolver[Solver])</f>
        <v>Adams Bashford</v>
      </c>
      <c r="Y189" s="44" t="str">
        <f>_xlfn.XLOOKUP(Bash3[[#This Row],[Hebras]],TbTecnologia[Hebras],TbTecnologia[Tecnología])</f>
        <v>CUDA</v>
      </c>
      <c r="Z189" s="44" t="str" cm="1">
        <f t="array" ref="Z189">_xlfn.XLOOKUP(Bash3[[#This Row],[Tecnología]]&amp;Bash3[[#This Row],[Metodo]],TbTipos[Tecnología]&amp;TbTipos[Metodo],TbTipos[Tipo])</f>
        <v>CUDA sin graph</v>
      </c>
      <c r="AA189" s="44" t="str" cm="1">
        <f t="array" ref="AA189">_xlfn.XLOOKUP(Bash3[[#This Row],[Tecnología]]&amp;Bash3[[#This Row],[Problema]],TbNombres[Tecnología]&amp;TbNombres[Problema],TbNombres[Nombre])</f>
        <v>Brusselator1d shuffle</v>
      </c>
      <c r="AB189" s="45">
        <v>3</v>
      </c>
      <c r="AC189" s="45">
        <v>6</v>
      </c>
      <c r="AD189" s="45">
        <v>256</v>
      </c>
      <c r="AE189" s="45">
        <v>700000</v>
      </c>
      <c r="AF189" s="45">
        <v>1400000</v>
      </c>
      <c r="AG189" s="45">
        <v>208.619</v>
      </c>
    </row>
    <row r="190" spans="24:33" x14ac:dyDescent="0.2">
      <c r="X190" s="44" t="str">
        <f>_xlfn.XLOOKUP(Bash3[[#This Row],[Metodo]],TbSolver[Metodo],TbSolver[Solver])</f>
        <v>Adams Bashford</v>
      </c>
      <c r="Y190" s="44" t="str">
        <f>_xlfn.XLOOKUP(Bash3[[#This Row],[Hebras]],TbTecnologia[Hebras],TbTecnologia[Tecnología])</f>
        <v>CUDA</v>
      </c>
      <c r="Z190" s="44" t="str" cm="1">
        <f t="array" ref="Z190">_xlfn.XLOOKUP(Bash3[[#This Row],[Tecnología]]&amp;Bash3[[#This Row],[Metodo]],TbTipos[Tecnología]&amp;TbTipos[Metodo],TbTipos[Tipo])</f>
        <v>CUDA sin graph</v>
      </c>
      <c r="AA190" s="44" t="str" cm="1">
        <f t="array" ref="AA190">_xlfn.XLOOKUP(Bash3[[#This Row],[Tecnología]]&amp;Bash3[[#This Row],[Problema]],TbNombres[Tecnología]&amp;TbNombres[Problema],TbNombres[Nombre])</f>
        <v>Brusselator1d shuffle</v>
      </c>
      <c r="AB190" s="45">
        <v>3</v>
      </c>
      <c r="AC190" s="45">
        <v>6</v>
      </c>
      <c r="AD190" s="45">
        <v>256</v>
      </c>
      <c r="AE190" s="45">
        <v>800000</v>
      </c>
      <c r="AF190" s="45">
        <v>1600000</v>
      </c>
      <c r="AG190" s="45">
        <v>237.40600000000001</v>
      </c>
    </row>
    <row r="191" spans="24:33" x14ac:dyDescent="0.2">
      <c r="X191" s="44" t="str">
        <f>_xlfn.XLOOKUP(Bash3[[#This Row],[Metodo]],TbSolver[Metodo],TbSolver[Solver])</f>
        <v>Adams Bashford</v>
      </c>
      <c r="Y191" s="44" t="str">
        <f>_xlfn.XLOOKUP(Bash3[[#This Row],[Hebras]],TbTecnologia[Hebras],TbTecnologia[Tecnología])</f>
        <v>CUDA</v>
      </c>
      <c r="Z191" s="44" t="str" cm="1">
        <f t="array" ref="Z191">_xlfn.XLOOKUP(Bash3[[#This Row],[Tecnología]]&amp;Bash3[[#This Row],[Metodo]],TbTipos[Tecnología]&amp;TbTipos[Metodo],TbTipos[Tipo])</f>
        <v>CUDA sin graph</v>
      </c>
      <c r="AA191" s="44" t="str" cm="1">
        <f t="array" ref="AA191">_xlfn.XLOOKUP(Bash3[[#This Row],[Tecnología]]&amp;Bash3[[#This Row],[Problema]],TbNombres[Tecnología]&amp;TbNombres[Problema],TbNombres[Nombre])</f>
        <v>Brusselator1d shuffle</v>
      </c>
      <c r="AB191" s="45">
        <v>3</v>
      </c>
      <c r="AC191" s="45">
        <v>6</v>
      </c>
      <c r="AD191" s="45">
        <v>256</v>
      </c>
      <c r="AE191" s="45">
        <v>900000</v>
      </c>
      <c r="AF191" s="45">
        <v>1800000</v>
      </c>
      <c r="AG191" s="45">
        <v>266.38499999999999</v>
      </c>
    </row>
    <row r="192" spans="24:33" x14ac:dyDescent="0.2">
      <c r="X192" s="44" t="str">
        <f>_xlfn.XLOOKUP(Bash3[[#This Row],[Metodo]],TbSolver[Metodo],TbSolver[Solver])</f>
        <v>Adams Bashford</v>
      </c>
      <c r="Y192" s="44" t="str">
        <f>_xlfn.XLOOKUP(Bash3[[#This Row],[Hebras]],TbTecnologia[Hebras],TbTecnologia[Tecnología])</f>
        <v>CUDA</v>
      </c>
      <c r="Z192" s="44" t="str" cm="1">
        <f t="array" ref="Z192">_xlfn.XLOOKUP(Bash3[[#This Row],[Tecnología]]&amp;Bash3[[#This Row],[Metodo]],TbTipos[Tecnología]&amp;TbTipos[Metodo],TbTipos[Tipo])</f>
        <v>CUDA sin graph</v>
      </c>
      <c r="AA192" s="44" t="str" cm="1">
        <f t="array" ref="AA192">_xlfn.XLOOKUP(Bash3[[#This Row],[Tecnología]]&amp;Bash3[[#This Row],[Problema]],TbNombres[Tecnología]&amp;TbNombres[Problema],TbNombres[Nombre])</f>
        <v>Brusselator1d shuffle</v>
      </c>
      <c r="AB192" s="45">
        <v>3</v>
      </c>
      <c r="AC192" s="45">
        <v>6</v>
      </c>
      <c r="AD192" s="45">
        <v>256</v>
      </c>
      <c r="AE192" s="45">
        <v>1000000</v>
      </c>
      <c r="AF192" s="45">
        <v>2000000</v>
      </c>
      <c r="AG192" s="45">
        <v>294.94799999999998</v>
      </c>
    </row>
    <row r="193" spans="24:33" x14ac:dyDescent="0.2">
      <c r="X193" s="44" t="str">
        <f>_xlfn.XLOOKUP(Bash3[[#This Row],[Metodo]],TbSolver[Metodo],TbSolver[Solver])</f>
        <v>Adams Bashford</v>
      </c>
      <c r="Y193" s="44" t="str">
        <f>_xlfn.XLOOKUP(Bash3[[#This Row],[Hebras]],TbTecnologia[Hebras],TbTecnologia[Tecnología])</f>
        <v>CUDA</v>
      </c>
      <c r="Z193" s="44" t="str" cm="1">
        <f t="array" ref="Z193">_xlfn.XLOOKUP(Bash3[[#This Row],[Tecnología]]&amp;Bash3[[#This Row],[Metodo]],TbTipos[Tecnología]&amp;TbTipos[Metodo],TbTipos[Tipo])</f>
        <v>CUDA sin graph</v>
      </c>
      <c r="AA193" s="44" t="str" cm="1">
        <f t="array" ref="AA193">_xlfn.XLOOKUP(Bash3[[#This Row],[Tecnología]]&amp;Bash3[[#This Row],[Problema]],TbNombres[Tecnología]&amp;TbNombres[Problema],TbNombres[Nombre])</f>
        <v>Brusselator1d grid</v>
      </c>
      <c r="AB193" s="45">
        <v>3</v>
      </c>
      <c r="AC193" s="45">
        <v>7</v>
      </c>
      <c r="AD193" s="45">
        <v>256</v>
      </c>
      <c r="AE193" s="45">
        <v>40000</v>
      </c>
      <c r="AF193" s="45">
        <v>80000</v>
      </c>
      <c r="AG193" s="45">
        <v>10.6911</v>
      </c>
    </row>
    <row r="194" spans="24:33" x14ac:dyDescent="0.2">
      <c r="X194" s="44" t="str">
        <f>_xlfn.XLOOKUP(Bash3[[#This Row],[Metodo]],TbSolver[Metodo],TbSolver[Solver])</f>
        <v>Adams Bashford</v>
      </c>
      <c r="Y194" s="44" t="str">
        <f>_xlfn.XLOOKUP(Bash3[[#This Row],[Hebras]],TbTecnologia[Hebras],TbTecnologia[Tecnología])</f>
        <v>CUDA</v>
      </c>
      <c r="Z194" s="44" t="str" cm="1">
        <f t="array" ref="Z194">_xlfn.XLOOKUP(Bash3[[#This Row],[Tecnología]]&amp;Bash3[[#This Row],[Metodo]],TbTipos[Tecnología]&amp;TbTipos[Metodo],TbTipos[Tipo])</f>
        <v>CUDA sin graph</v>
      </c>
      <c r="AA194" s="44" t="str" cm="1">
        <f t="array" ref="AA194">_xlfn.XLOOKUP(Bash3[[#This Row],[Tecnología]]&amp;Bash3[[#This Row],[Problema]],TbNombres[Tecnología]&amp;TbNombres[Problema],TbNombres[Nombre])</f>
        <v>Brusselator1d grid</v>
      </c>
      <c r="AB194" s="45">
        <v>3</v>
      </c>
      <c r="AC194" s="45">
        <v>7</v>
      </c>
      <c r="AD194" s="45">
        <v>256</v>
      </c>
      <c r="AE194" s="45">
        <v>75000</v>
      </c>
      <c r="AF194" s="45">
        <v>150000</v>
      </c>
      <c r="AG194" s="45">
        <v>22.024799999999999</v>
      </c>
    </row>
    <row r="195" spans="24:33" x14ac:dyDescent="0.2">
      <c r="X195" s="44" t="str">
        <f>_xlfn.XLOOKUP(Bash3[[#This Row],[Metodo]],TbSolver[Metodo],TbSolver[Solver])</f>
        <v>Adams Bashford</v>
      </c>
      <c r="Y195" s="44" t="str">
        <f>_xlfn.XLOOKUP(Bash3[[#This Row],[Hebras]],TbTecnologia[Hebras],TbTecnologia[Tecnología])</f>
        <v>CUDA</v>
      </c>
      <c r="Z195" s="44" t="str" cm="1">
        <f t="array" ref="Z195">_xlfn.XLOOKUP(Bash3[[#This Row],[Tecnología]]&amp;Bash3[[#This Row],[Metodo]],TbTipos[Tecnología]&amp;TbTipos[Metodo],TbTipos[Tipo])</f>
        <v>CUDA sin graph</v>
      </c>
      <c r="AA195" s="44" t="str" cm="1">
        <f t="array" ref="AA195">_xlfn.XLOOKUP(Bash3[[#This Row],[Tecnología]]&amp;Bash3[[#This Row],[Problema]],TbNombres[Tecnología]&amp;TbNombres[Problema],TbNombres[Nombre])</f>
        <v>Brusselator1d grid</v>
      </c>
      <c r="AB195" s="45">
        <v>3</v>
      </c>
      <c r="AC195" s="45">
        <v>7</v>
      </c>
      <c r="AD195" s="45">
        <v>256</v>
      </c>
      <c r="AE195" s="45">
        <v>125000</v>
      </c>
      <c r="AF195" s="45">
        <v>250000</v>
      </c>
      <c r="AG195" s="45">
        <v>38.727499999999999</v>
      </c>
    </row>
    <row r="196" spans="24:33" x14ac:dyDescent="0.2">
      <c r="X196" s="44" t="str">
        <f>_xlfn.XLOOKUP(Bash3[[#This Row],[Metodo]],TbSolver[Metodo],TbSolver[Solver])</f>
        <v>Adams Bashford</v>
      </c>
      <c r="Y196" s="44" t="str">
        <f>_xlfn.XLOOKUP(Bash3[[#This Row],[Hebras]],TbTecnologia[Hebras],TbTecnologia[Tecnología])</f>
        <v>CUDA</v>
      </c>
      <c r="Z196" s="44" t="str" cm="1">
        <f t="array" ref="Z196">_xlfn.XLOOKUP(Bash3[[#This Row],[Tecnología]]&amp;Bash3[[#This Row],[Metodo]],TbTipos[Tecnología]&amp;TbTipos[Metodo],TbTipos[Tipo])</f>
        <v>CUDA sin graph</v>
      </c>
      <c r="AA196" s="44" t="str" cm="1">
        <f t="array" ref="AA196">_xlfn.XLOOKUP(Bash3[[#This Row],[Tecnología]]&amp;Bash3[[#This Row],[Problema]],TbNombres[Tecnología]&amp;TbNombres[Problema],TbNombres[Nombre])</f>
        <v>Brusselator1d grid</v>
      </c>
      <c r="AB196" s="45">
        <v>3</v>
      </c>
      <c r="AC196" s="45">
        <v>7</v>
      </c>
      <c r="AD196" s="45">
        <v>256</v>
      </c>
      <c r="AE196" s="45">
        <v>150000</v>
      </c>
      <c r="AF196" s="45">
        <v>300000</v>
      </c>
      <c r="AG196" s="45">
        <v>47.109400000000001</v>
      </c>
    </row>
    <row r="197" spans="24:33" x14ac:dyDescent="0.2">
      <c r="X197" s="44" t="str">
        <f>_xlfn.XLOOKUP(Bash3[[#This Row],[Metodo]],TbSolver[Metodo],TbSolver[Solver])</f>
        <v>Adams Bashford</v>
      </c>
      <c r="Y197" s="44" t="str">
        <f>_xlfn.XLOOKUP(Bash3[[#This Row],[Hebras]],TbTecnologia[Hebras],TbTecnologia[Tecnología])</f>
        <v>CUDA</v>
      </c>
      <c r="Z197" s="44" t="str" cm="1">
        <f t="array" ref="Z197">_xlfn.XLOOKUP(Bash3[[#This Row],[Tecnología]]&amp;Bash3[[#This Row],[Metodo]],TbTipos[Tecnología]&amp;TbTipos[Metodo],TbTipos[Tipo])</f>
        <v>CUDA sin graph</v>
      </c>
      <c r="AA197" s="44" t="str" cm="1">
        <f t="array" ref="AA197">_xlfn.XLOOKUP(Bash3[[#This Row],[Tecnología]]&amp;Bash3[[#This Row],[Problema]],TbNombres[Tecnología]&amp;TbNombres[Problema],TbNombres[Nombre])</f>
        <v>Brusselator1d grid</v>
      </c>
      <c r="AB197" s="45">
        <v>3</v>
      </c>
      <c r="AC197" s="45">
        <v>7</v>
      </c>
      <c r="AD197" s="45">
        <v>256</v>
      </c>
      <c r="AE197" s="45">
        <v>175000</v>
      </c>
      <c r="AF197" s="45">
        <v>350000</v>
      </c>
      <c r="AG197" s="45">
        <v>55.116900000000001</v>
      </c>
    </row>
    <row r="198" spans="24:33" x14ac:dyDescent="0.2">
      <c r="X198" s="44" t="str">
        <f>_xlfn.XLOOKUP(Bash3[[#This Row],[Metodo]],TbSolver[Metodo],TbSolver[Solver])</f>
        <v>Adams Bashford</v>
      </c>
      <c r="Y198" s="44" t="str">
        <f>_xlfn.XLOOKUP(Bash3[[#This Row],[Hebras]],TbTecnologia[Hebras],TbTecnologia[Tecnología])</f>
        <v>CUDA</v>
      </c>
      <c r="Z198" s="44" t="str" cm="1">
        <f t="array" ref="Z198">_xlfn.XLOOKUP(Bash3[[#This Row],[Tecnología]]&amp;Bash3[[#This Row],[Metodo]],TbTipos[Tecnología]&amp;TbTipos[Metodo],TbTipos[Tipo])</f>
        <v>CUDA sin graph</v>
      </c>
      <c r="AA198" s="44" t="str" cm="1">
        <f t="array" ref="AA198">_xlfn.XLOOKUP(Bash3[[#This Row],[Tecnología]]&amp;Bash3[[#This Row],[Problema]],TbNombres[Tecnología]&amp;TbNombres[Problema],TbNombres[Nombre])</f>
        <v>Brusselator1d grid</v>
      </c>
      <c r="AB198" s="45">
        <v>3</v>
      </c>
      <c r="AC198" s="45">
        <v>7</v>
      </c>
      <c r="AD198" s="45">
        <v>256</v>
      </c>
      <c r="AE198" s="45">
        <v>250000</v>
      </c>
      <c r="AF198" s="45">
        <v>500000</v>
      </c>
      <c r="AG198" s="45">
        <v>79.390100000000004</v>
      </c>
    </row>
    <row r="199" spans="24:33" x14ac:dyDescent="0.2">
      <c r="X199" s="44" t="str">
        <f>_xlfn.XLOOKUP(Bash3[[#This Row],[Metodo]],TbSolver[Metodo],TbSolver[Solver])</f>
        <v>Adams Bashford</v>
      </c>
      <c r="Y199" s="44" t="str">
        <f>_xlfn.XLOOKUP(Bash3[[#This Row],[Hebras]],TbTecnologia[Hebras],TbTecnologia[Tecnología])</f>
        <v>CUDA</v>
      </c>
      <c r="Z199" s="44" t="str" cm="1">
        <f t="array" ref="Z199">_xlfn.XLOOKUP(Bash3[[#This Row],[Tecnología]]&amp;Bash3[[#This Row],[Metodo]],TbTipos[Tecnología]&amp;TbTipos[Metodo],TbTipos[Tipo])</f>
        <v>CUDA sin graph</v>
      </c>
      <c r="AA199" s="44" t="str" cm="1">
        <f t="array" ref="AA199">_xlfn.XLOOKUP(Bash3[[#This Row],[Tecnología]]&amp;Bash3[[#This Row],[Problema]],TbNombres[Tecnología]&amp;TbNombres[Problema],TbNombres[Nombre])</f>
        <v>Brusselator1d grid</v>
      </c>
      <c r="AB199" s="45">
        <v>3</v>
      </c>
      <c r="AC199" s="45">
        <v>7</v>
      </c>
      <c r="AD199" s="45">
        <v>256</v>
      </c>
      <c r="AE199" s="45">
        <v>300000</v>
      </c>
      <c r="AF199" s="45">
        <v>600000</v>
      </c>
      <c r="AG199" s="45">
        <v>94.276300000000006</v>
      </c>
    </row>
    <row r="200" spans="24:33" x14ac:dyDescent="0.2">
      <c r="X200" s="44" t="str">
        <f>_xlfn.XLOOKUP(Bash3[[#This Row],[Metodo]],TbSolver[Metodo],TbSolver[Solver])</f>
        <v>Adams Bashford</v>
      </c>
      <c r="Y200" s="44" t="str">
        <f>_xlfn.XLOOKUP(Bash3[[#This Row],[Hebras]],TbTecnologia[Hebras],TbTecnologia[Tecnología])</f>
        <v>CUDA</v>
      </c>
      <c r="Z200" s="44" t="str" cm="1">
        <f t="array" ref="Z200">_xlfn.XLOOKUP(Bash3[[#This Row],[Tecnología]]&amp;Bash3[[#This Row],[Metodo]],TbTipos[Tecnología]&amp;TbTipos[Metodo],TbTipos[Tipo])</f>
        <v>CUDA sin graph</v>
      </c>
      <c r="AA200" s="44" t="str" cm="1">
        <f t="array" ref="AA200">_xlfn.XLOOKUP(Bash3[[#This Row],[Tecnología]]&amp;Bash3[[#This Row],[Problema]],TbNombres[Tecnología]&amp;TbNombres[Problema],TbNombres[Nombre])</f>
        <v>Brusselator1d grid</v>
      </c>
      <c r="AB200" s="45">
        <v>3</v>
      </c>
      <c r="AC200" s="45">
        <v>7</v>
      </c>
      <c r="AD200" s="45">
        <v>256</v>
      </c>
      <c r="AE200" s="45">
        <v>350000</v>
      </c>
      <c r="AF200" s="45">
        <v>700000</v>
      </c>
      <c r="AG200" s="45">
        <v>108.879</v>
      </c>
    </row>
    <row r="201" spans="24:33" x14ac:dyDescent="0.2">
      <c r="X201" s="44" t="str">
        <f>_xlfn.XLOOKUP(Bash3[[#This Row],[Metodo]],TbSolver[Metodo],TbSolver[Solver])</f>
        <v>Adams Bashford</v>
      </c>
      <c r="Y201" s="44" t="str">
        <f>_xlfn.XLOOKUP(Bash3[[#This Row],[Hebras]],TbTecnologia[Hebras],TbTecnologia[Tecnología])</f>
        <v>CUDA</v>
      </c>
      <c r="Z201" s="44" t="str" cm="1">
        <f t="array" ref="Z201">_xlfn.XLOOKUP(Bash3[[#This Row],[Tecnología]]&amp;Bash3[[#This Row],[Metodo]],TbTipos[Tecnología]&amp;TbTipos[Metodo],TbTipos[Tipo])</f>
        <v>CUDA sin graph</v>
      </c>
      <c r="AA201" s="44" t="str" cm="1">
        <f t="array" ref="AA201">_xlfn.XLOOKUP(Bash3[[#This Row],[Tecnología]]&amp;Bash3[[#This Row],[Problema]],TbNombres[Tecnología]&amp;TbNombres[Problema],TbNombres[Nombre])</f>
        <v>Brusselator1d grid</v>
      </c>
      <c r="AB201" s="45">
        <v>3</v>
      </c>
      <c r="AC201" s="45">
        <v>7</v>
      </c>
      <c r="AD201" s="45">
        <v>256</v>
      </c>
      <c r="AE201" s="45">
        <v>400000</v>
      </c>
      <c r="AF201" s="45">
        <v>800000</v>
      </c>
      <c r="AG201" s="45">
        <v>122.502</v>
      </c>
    </row>
    <row r="202" spans="24:33" x14ac:dyDescent="0.2">
      <c r="X202" s="44" t="str">
        <f>_xlfn.XLOOKUP(Bash3[[#This Row],[Metodo]],TbSolver[Metodo],TbSolver[Solver])</f>
        <v>Adams Bashford</v>
      </c>
      <c r="Y202" s="44" t="str">
        <f>_xlfn.XLOOKUP(Bash3[[#This Row],[Hebras]],TbTecnologia[Hebras],TbTecnologia[Tecnología])</f>
        <v>CUDA</v>
      </c>
      <c r="Z202" s="44" t="str" cm="1">
        <f t="array" ref="Z202">_xlfn.XLOOKUP(Bash3[[#This Row],[Tecnología]]&amp;Bash3[[#This Row],[Metodo]],TbTipos[Tecnología]&amp;TbTipos[Metodo],TbTipos[Tipo])</f>
        <v>CUDA sin graph</v>
      </c>
      <c r="AA202" s="44" t="str" cm="1">
        <f t="array" ref="AA202">_xlfn.XLOOKUP(Bash3[[#This Row],[Tecnología]]&amp;Bash3[[#This Row],[Problema]],TbNombres[Tecnología]&amp;TbNombres[Problema],TbNombres[Nombre])</f>
        <v>Brusselator1d grid</v>
      </c>
      <c r="AB202" s="45">
        <v>3</v>
      </c>
      <c r="AC202" s="45">
        <v>7</v>
      </c>
      <c r="AD202" s="45">
        <v>256</v>
      </c>
      <c r="AE202" s="45">
        <v>450000</v>
      </c>
      <c r="AF202" s="45">
        <v>900000</v>
      </c>
      <c r="AG202" s="45">
        <v>137.17400000000001</v>
      </c>
    </row>
    <row r="203" spans="24:33" x14ac:dyDescent="0.2">
      <c r="X203" s="44" t="str">
        <f>_xlfn.XLOOKUP(Bash3[[#This Row],[Metodo]],TbSolver[Metodo],TbSolver[Solver])</f>
        <v>Adams Bashford</v>
      </c>
      <c r="Y203" s="44" t="str">
        <f>_xlfn.XLOOKUP(Bash3[[#This Row],[Hebras]],TbTecnologia[Hebras],TbTecnologia[Tecnología])</f>
        <v>CUDA</v>
      </c>
      <c r="Z203" s="44" t="str" cm="1">
        <f t="array" ref="Z203">_xlfn.XLOOKUP(Bash3[[#This Row],[Tecnología]]&amp;Bash3[[#This Row],[Metodo]],TbTipos[Tecnología]&amp;TbTipos[Metodo],TbTipos[Tipo])</f>
        <v>CUDA sin graph</v>
      </c>
      <c r="AA203" s="44" t="str" cm="1">
        <f t="array" ref="AA203">_xlfn.XLOOKUP(Bash3[[#This Row],[Tecnología]]&amp;Bash3[[#This Row],[Problema]],TbNombres[Tecnología]&amp;TbNombres[Problema],TbNombres[Nombre])</f>
        <v>Brusselator1d grid</v>
      </c>
      <c r="AB203" s="45">
        <v>3</v>
      </c>
      <c r="AC203" s="45">
        <v>7</v>
      </c>
      <c r="AD203" s="45">
        <v>256</v>
      </c>
      <c r="AE203" s="45">
        <v>500000</v>
      </c>
      <c r="AF203" s="45">
        <v>1000000</v>
      </c>
      <c r="AG203" s="45">
        <v>151.697</v>
      </c>
    </row>
    <row r="204" spans="24:33" x14ac:dyDescent="0.2">
      <c r="X204" s="44" t="str">
        <f>_xlfn.XLOOKUP(Bash3[[#This Row],[Metodo]],TbSolver[Metodo],TbSolver[Solver])</f>
        <v>Adams Bashford</v>
      </c>
      <c r="Y204" s="44" t="str">
        <f>_xlfn.XLOOKUP(Bash3[[#This Row],[Hebras]],TbTecnologia[Hebras],TbTecnologia[Tecnología])</f>
        <v>CUDA</v>
      </c>
      <c r="Z204" s="44" t="str" cm="1">
        <f t="array" ref="Z204">_xlfn.XLOOKUP(Bash3[[#This Row],[Tecnología]]&amp;Bash3[[#This Row],[Metodo]],TbTipos[Tecnología]&amp;TbTipos[Metodo],TbTipos[Tipo])</f>
        <v>CUDA sin graph</v>
      </c>
      <c r="AA204" s="44" t="str" cm="1">
        <f t="array" ref="AA204">_xlfn.XLOOKUP(Bash3[[#This Row],[Tecnología]]&amp;Bash3[[#This Row],[Problema]],TbNombres[Tecnología]&amp;TbNombres[Problema],TbNombres[Nombre])</f>
        <v>Brusselator1d grid</v>
      </c>
      <c r="AB204" s="45">
        <v>3</v>
      </c>
      <c r="AC204" s="45">
        <v>7</v>
      </c>
      <c r="AD204" s="45">
        <v>256</v>
      </c>
      <c r="AE204" s="45">
        <v>600000</v>
      </c>
      <c r="AF204" s="45">
        <v>1200000</v>
      </c>
      <c r="AG204" s="45">
        <v>180.08</v>
      </c>
    </row>
    <row r="205" spans="24:33" x14ac:dyDescent="0.2">
      <c r="X205" s="44" t="str">
        <f>_xlfn.XLOOKUP(Bash3[[#This Row],[Metodo]],TbSolver[Metodo],TbSolver[Solver])</f>
        <v>Adams Bashford</v>
      </c>
      <c r="Y205" s="44" t="str">
        <f>_xlfn.XLOOKUP(Bash3[[#This Row],[Hebras]],TbTecnologia[Hebras],TbTecnologia[Tecnología])</f>
        <v>CUDA</v>
      </c>
      <c r="Z205" s="44" t="str" cm="1">
        <f t="array" ref="Z205">_xlfn.XLOOKUP(Bash3[[#This Row],[Tecnología]]&amp;Bash3[[#This Row],[Metodo]],TbTipos[Tecnología]&amp;TbTipos[Metodo],TbTipos[Tipo])</f>
        <v>CUDA sin graph</v>
      </c>
      <c r="AA205" s="44" t="str" cm="1">
        <f t="array" ref="AA205">_xlfn.XLOOKUP(Bash3[[#This Row],[Tecnología]]&amp;Bash3[[#This Row],[Problema]],TbNombres[Tecnología]&amp;TbNombres[Problema],TbNombres[Nombre])</f>
        <v>Brusselator1d grid</v>
      </c>
      <c r="AB205" s="45">
        <v>3</v>
      </c>
      <c r="AC205" s="45">
        <v>7</v>
      </c>
      <c r="AD205" s="45">
        <v>256</v>
      </c>
      <c r="AE205" s="45">
        <v>700000</v>
      </c>
      <c r="AF205" s="45">
        <v>1400000</v>
      </c>
      <c r="AG205" s="45">
        <v>209.053</v>
      </c>
    </row>
    <row r="206" spans="24:33" x14ac:dyDescent="0.2">
      <c r="X206" s="44" t="str">
        <f>_xlfn.XLOOKUP(Bash3[[#This Row],[Metodo]],TbSolver[Metodo],TbSolver[Solver])</f>
        <v>Adams Bashford</v>
      </c>
      <c r="Y206" s="44" t="str">
        <f>_xlfn.XLOOKUP(Bash3[[#This Row],[Hebras]],TbTecnologia[Hebras],TbTecnologia[Tecnología])</f>
        <v>CUDA</v>
      </c>
      <c r="Z206" s="44" t="str" cm="1">
        <f t="array" ref="Z206">_xlfn.XLOOKUP(Bash3[[#This Row],[Tecnología]]&amp;Bash3[[#This Row],[Metodo]],TbTipos[Tecnología]&amp;TbTipos[Metodo],TbTipos[Tipo])</f>
        <v>CUDA sin graph</v>
      </c>
      <c r="AA206" s="44" t="str" cm="1">
        <f t="array" ref="AA206">_xlfn.XLOOKUP(Bash3[[#This Row],[Tecnología]]&amp;Bash3[[#This Row],[Problema]],TbNombres[Tecnología]&amp;TbNombres[Problema],TbNombres[Nombre])</f>
        <v>Brusselator1d grid</v>
      </c>
      <c r="AB206" s="45">
        <v>3</v>
      </c>
      <c r="AC206" s="45">
        <v>7</v>
      </c>
      <c r="AD206" s="45">
        <v>256</v>
      </c>
      <c r="AE206" s="45">
        <v>800000</v>
      </c>
      <c r="AF206" s="45">
        <v>1600000</v>
      </c>
      <c r="AG206" s="45">
        <v>237.44800000000001</v>
      </c>
    </row>
    <row r="207" spans="24:33" x14ac:dyDescent="0.2">
      <c r="X207" s="44" t="str">
        <f>_xlfn.XLOOKUP(Bash3[[#This Row],[Metodo]],TbSolver[Metodo],TbSolver[Solver])</f>
        <v>Adams Bashford</v>
      </c>
      <c r="Y207" s="44" t="str">
        <f>_xlfn.XLOOKUP(Bash3[[#This Row],[Hebras]],TbTecnologia[Hebras],TbTecnologia[Tecnología])</f>
        <v>CUDA</v>
      </c>
      <c r="Z207" s="44" t="str" cm="1">
        <f t="array" ref="Z207">_xlfn.XLOOKUP(Bash3[[#This Row],[Tecnología]]&amp;Bash3[[#This Row],[Metodo]],TbTipos[Tecnología]&amp;TbTipos[Metodo],TbTipos[Tipo])</f>
        <v>CUDA sin graph</v>
      </c>
      <c r="AA207" s="44" t="str" cm="1">
        <f t="array" ref="AA207">_xlfn.XLOOKUP(Bash3[[#This Row],[Tecnología]]&amp;Bash3[[#This Row],[Problema]],TbNombres[Tecnología]&amp;TbNombres[Problema],TbNombres[Nombre])</f>
        <v>Brusselator1d grid</v>
      </c>
      <c r="AB207" s="45">
        <v>3</v>
      </c>
      <c r="AC207" s="45">
        <v>7</v>
      </c>
      <c r="AD207" s="45">
        <v>256</v>
      </c>
      <c r="AE207" s="45">
        <v>900000</v>
      </c>
      <c r="AF207" s="45">
        <v>1800000</v>
      </c>
      <c r="AG207" s="45">
        <v>266.49</v>
      </c>
    </row>
    <row r="208" spans="24:33" x14ac:dyDescent="0.2">
      <c r="X208" s="44" t="str">
        <f>_xlfn.XLOOKUP(Bash3[[#This Row],[Metodo]],TbSolver[Metodo],TbSolver[Solver])</f>
        <v>Adams Bashford</v>
      </c>
      <c r="Y208" s="44" t="str">
        <f>_xlfn.XLOOKUP(Bash3[[#This Row],[Hebras]],TbTecnologia[Hebras],TbTecnologia[Tecnología])</f>
        <v>CUDA</v>
      </c>
      <c r="Z208" s="44" t="str" cm="1">
        <f t="array" ref="Z208">_xlfn.XLOOKUP(Bash3[[#This Row],[Tecnología]]&amp;Bash3[[#This Row],[Metodo]],TbTipos[Tecnología]&amp;TbTipos[Metodo],TbTipos[Tipo])</f>
        <v>CUDA sin graph</v>
      </c>
      <c r="AA208" s="44" t="str" cm="1">
        <f t="array" ref="AA208">_xlfn.XLOOKUP(Bash3[[#This Row],[Tecnología]]&amp;Bash3[[#This Row],[Problema]],TbNombres[Tecnología]&amp;TbNombres[Problema],TbNombres[Nombre])</f>
        <v>Brusselator1d grid</v>
      </c>
      <c r="AB208" s="45">
        <v>3</v>
      </c>
      <c r="AC208" s="45">
        <v>7</v>
      </c>
      <c r="AD208" s="45">
        <v>256</v>
      </c>
      <c r="AE208" s="45">
        <v>1000000</v>
      </c>
      <c r="AF208" s="45">
        <v>2000000</v>
      </c>
      <c r="AG208" s="45">
        <v>295.24200000000002</v>
      </c>
    </row>
  </sheetData>
  <mergeCells count="8">
    <mergeCell ref="AI3:AR3"/>
    <mergeCell ref="AI4:AR4"/>
    <mergeCell ref="B3:K3"/>
    <mergeCell ref="B4:K4"/>
    <mergeCell ref="M3:V3"/>
    <mergeCell ref="M4:V4"/>
    <mergeCell ref="X3:AG3"/>
    <mergeCell ref="X4:AG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6AE8-0E56-499B-B324-8D4F5372B2C3}">
  <dimension ref="B1:AR156"/>
  <sheetViews>
    <sheetView topLeftCell="S134" zoomScaleNormal="100" workbookViewId="0">
      <selection activeCell="Z161" sqref="Z161"/>
    </sheetView>
  </sheetViews>
  <sheetFormatPr baseColWidth="10" defaultColWidth="10" defaultRowHeight="12.75" x14ac:dyDescent="0.2"/>
  <cols>
    <col min="2" max="2" width="22.28515625" bestFit="1" customWidth="1"/>
    <col min="3" max="3" width="10" customWidth="1"/>
    <col min="4" max="4" width="16.42578125" bestFit="1" customWidth="1"/>
    <col min="5" max="5" width="12.7109375" bestFit="1" customWidth="1"/>
    <col min="13" max="13" width="22.28515625" bestFit="1" customWidth="1"/>
    <col min="14" max="14" width="10" customWidth="1"/>
    <col min="15" max="15" width="16.42578125" bestFit="1" customWidth="1"/>
    <col min="16" max="16" width="12.7109375" bestFit="1" customWidth="1"/>
    <col min="24" max="24" width="22.28515625" bestFit="1" customWidth="1"/>
    <col min="25" max="25" width="7.7109375" customWidth="1"/>
    <col min="26" max="26" width="16.42578125" bestFit="1" customWidth="1"/>
    <col min="27" max="27" width="12.7109375" bestFit="1" customWidth="1"/>
    <col min="35" max="35" width="22.28515625" bestFit="1" customWidth="1"/>
    <col min="37" max="37" width="16.42578125" bestFit="1" customWidth="1"/>
    <col min="38" max="38" width="18.5703125" bestFit="1" customWidth="1"/>
  </cols>
  <sheetData>
    <row r="1" spans="2:44" ht="27.75" x14ac:dyDescent="0.2">
      <c r="L1" s="3" t="s">
        <v>18</v>
      </c>
    </row>
    <row r="3" spans="2:44" x14ac:dyDescent="0.2">
      <c r="B3" s="27" t="s">
        <v>7</v>
      </c>
      <c r="C3" s="27"/>
      <c r="D3" s="27"/>
      <c r="E3" s="27"/>
      <c r="F3" s="27"/>
      <c r="G3" s="27"/>
      <c r="H3" s="27"/>
      <c r="I3" s="27"/>
      <c r="J3" s="27"/>
      <c r="K3" s="27"/>
      <c r="M3" s="27" t="s">
        <v>15</v>
      </c>
      <c r="N3" s="27"/>
      <c r="O3" s="27"/>
      <c r="P3" s="27"/>
      <c r="Q3" s="27"/>
      <c r="R3" s="27"/>
      <c r="S3" s="27"/>
      <c r="T3" s="27"/>
      <c r="U3" s="27"/>
      <c r="V3" s="27"/>
      <c r="W3" s="7"/>
      <c r="X3" s="27" t="s">
        <v>11</v>
      </c>
      <c r="Y3" s="27"/>
      <c r="Z3" s="27"/>
      <c r="AA3" s="27"/>
      <c r="AB3" s="27"/>
      <c r="AC3" s="27"/>
      <c r="AD3" s="27"/>
      <c r="AE3" s="27"/>
      <c r="AF3" s="27"/>
      <c r="AG3" s="27"/>
      <c r="AH3" s="7"/>
      <c r="AI3" s="27" t="s">
        <v>13</v>
      </c>
      <c r="AJ3" s="27"/>
      <c r="AK3" s="27"/>
      <c r="AL3" s="27"/>
      <c r="AM3" s="27"/>
      <c r="AN3" s="27"/>
      <c r="AO3" s="27"/>
      <c r="AP3" s="27"/>
      <c r="AQ3" s="27"/>
      <c r="AR3" s="27"/>
    </row>
    <row r="4" spans="2:44" x14ac:dyDescent="0.2">
      <c r="B4" s="27" t="s">
        <v>8</v>
      </c>
      <c r="C4" s="27"/>
      <c r="D4" s="27"/>
      <c r="E4" s="27"/>
      <c r="F4" s="27"/>
      <c r="G4" s="27"/>
      <c r="H4" s="27"/>
      <c r="I4" s="27"/>
      <c r="J4" s="27"/>
      <c r="K4" s="27"/>
      <c r="M4" s="27" t="s">
        <v>10</v>
      </c>
      <c r="N4" s="27"/>
      <c r="O4" s="27"/>
      <c r="P4" s="27"/>
      <c r="Q4" s="27"/>
      <c r="R4" s="27"/>
      <c r="S4" s="27"/>
      <c r="T4" s="27"/>
      <c r="U4" s="27"/>
      <c r="V4" s="27"/>
      <c r="W4" s="7"/>
      <c r="X4" s="27" t="s">
        <v>12</v>
      </c>
      <c r="Y4" s="27"/>
      <c r="Z4" s="27"/>
      <c r="AA4" s="27"/>
      <c r="AB4" s="27"/>
      <c r="AC4" s="27"/>
      <c r="AD4" s="27"/>
      <c r="AE4" s="27"/>
      <c r="AF4" s="27"/>
      <c r="AG4" s="27"/>
      <c r="AH4" s="7"/>
      <c r="AI4" s="27" t="s">
        <v>14</v>
      </c>
      <c r="AJ4" s="27"/>
      <c r="AK4" s="27"/>
      <c r="AL4" s="27"/>
      <c r="AM4" s="27"/>
      <c r="AN4" s="27"/>
      <c r="AO4" s="27"/>
      <c r="AP4" s="27"/>
      <c r="AQ4" s="27"/>
      <c r="AR4" s="27"/>
    </row>
    <row r="5" spans="2:44" x14ac:dyDescent="0.2">
      <c r="B5" s="1"/>
      <c r="C5" s="1"/>
      <c r="D5" s="1"/>
      <c r="E5" s="1"/>
      <c r="F5" s="1"/>
      <c r="G5" s="1"/>
      <c r="H5" s="1"/>
    </row>
    <row r="6" spans="2:44" x14ac:dyDescent="0.2">
      <c r="B6" s="1" t="s">
        <v>31</v>
      </c>
      <c r="C6" s="1" t="s">
        <v>23</v>
      </c>
      <c r="D6" s="1" t="s">
        <v>6</v>
      </c>
      <c r="E6" s="1" t="s">
        <v>30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0</v>
      </c>
      <c r="K6" s="1" t="s">
        <v>5</v>
      </c>
      <c r="M6" s="1" t="s">
        <v>31</v>
      </c>
      <c r="N6" s="1" t="s">
        <v>23</v>
      </c>
      <c r="O6" s="1" t="s">
        <v>6</v>
      </c>
      <c r="P6" s="1" t="s">
        <v>30</v>
      </c>
      <c r="Q6" s="1" t="s">
        <v>1</v>
      </c>
      <c r="R6" s="1" t="s">
        <v>2</v>
      </c>
      <c r="S6" s="1" t="s">
        <v>3</v>
      </c>
      <c r="T6" s="1" t="s">
        <v>4</v>
      </c>
      <c r="U6" s="1" t="s">
        <v>0</v>
      </c>
      <c r="V6" s="1" t="s">
        <v>5</v>
      </c>
      <c r="X6" s="1" t="s">
        <v>31</v>
      </c>
      <c r="Y6" s="1" t="s">
        <v>23</v>
      </c>
      <c r="Z6" s="1" t="s">
        <v>6</v>
      </c>
      <c r="AA6" s="1" t="s">
        <v>30</v>
      </c>
      <c r="AB6" s="1" t="s">
        <v>1</v>
      </c>
      <c r="AC6" s="1" t="s">
        <v>2</v>
      </c>
      <c r="AD6" s="1" t="s">
        <v>3</v>
      </c>
      <c r="AE6" s="1" t="s">
        <v>4</v>
      </c>
      <c r="AF6" s="1" t="s">
        <v>0</v>
      </c>
      <c r="AG6" s="1" t="s">
        <v>5</v>
      </c>
      <c r="AI6" s="1" t="s">
        <v>31</v>
      </c>
      <c r="AJ6" s="1" t="s">
        <v>23</v>
      </c>
      <c r="AK6" s="1" t="s">
        <v>6</v>
      </c>
      <c r="AL6" s="1" t="s">
        <v>30</v>
      </c>
      <c r="AM6" s="1" t="s">
        <v>1</v>
      </c>
      <c r="AN6" s="1" t="s">
        <v>2</v>
      </c>
      <c r="AO6" s="1" t="s">
        <v>3</v>
      </c>
      <c r="AP6" s="1" t="s">
        <v>4</v>
      </c>
      <c r="AQ6" s="1" t="s">
        <v>0</v>
      </c>
      <c r="AR6" s="1" t="s">
        <v>5</v>
      </c>
    </row>
    <row r="7" spans="2:44" x14ac:dyDescent="0.2">
      <c r="B7" s="2" t="str">
        <f>_xlfn.XLOOKUP(Moult1[[#This Row],[Metodo]],TbSolver[Metodo],TbSolver[Solver])</f>
        <v>Adams Bashford Moulton</v>
      </c>
      <c r="C7" s="2" t="str">
        <f>_xlfn.XLOOKUP(Moult1[[#This Row],[Hebras]],TbTecnologia[Hebras],TbTecnologia[Tecnología])</f>
        <v>OMP</v>
      </c>
      <c r="D7" s="2" t="str" cm="1">
        <f t="array" ref="D7">_xlfn.XLOOKUP(Moult1[[#This Row],[Tecnología]]&amp;Moult1[[#This Row],[Metodo]],TbTipos[Tecnología]&amp;TbTipos[Metodo],TbTipos[Tipo])</f>
        <v>OMP Elementos</v>
      </c>
      <c r="E7" s="2" t="str" cm="1">
        <f t="array" ref="E7">_xlfn.XLOOKUP(Moult1[[#This Row],[Tecnología]]&amp;Moult1[[#This Row],[Problema]],TbNombres[Tecnología]&amp;TbNombres[Problema],TbNombres[Nombre])</f>
        <v>Simple Advdiff</v>
      </c>
      <c r="F7" s="2">
        <v>6</v>
      </c>
      <c r="G7" s="2">
        <v>1</v>
      </c>
      <c r="H7" s="2">
        <v>1</v>
      </c>
      <c r="I7" s="2">
        <v>100</v>
      </c>
      <c r="J7" s="2">
        <v>100</v>
      </c>
      <c r="K7" s="2">
        <v>3.1528900000000002</v>
      </c>
      <c r="M7" s="2" t="str">
        <f>_xlfn.XLOOKUP(Moult2[[#This Row],[Metodo]],TbSolver[Metodo],TbSolver[Solver])</f>
        <v>Adams Bashford Moulton</v>
      </c>
      <c r="N7" s="2" t="str">
        <f>_xlfn.XLOOKUP(Moult2[[#This Row],[Hebras]],TbTecnologia[Hebras],TbTecnologia[Tecnología])</f>
        <v>OMP</v>
      </c>
      <c r="O7" s="2" t="str" cm="1">
        <f t="array" ref="O7">_xlfn.XLOOKUP(Moult2[[#This Row],[Tecnología]]&amp;Moult2[[#This Row],[Metodo]],TbTipos[Tecnología]&amp;TbTipos[Metodo],TbTipos[Tipo])</f>
        <v>OMP Elementos</v>
      </c>
      <c r="P7" s="2" t="str" cm="1">
        <f t="array" ref="P7">_xlfn.XLOOKUP(Moult2[[#This Row],[Tecnología]]&amp;Moult2[[#This Row],[Problema]],TbNombres[Tecnología]&amp;TbNombres[Problema],TbNombres[Nombre])</f>
        <v>Advdiff1d</v>
      </c>
      <c r="Q7" s="2">
        <v>6</v>
      </c>
      <c r="R7" s="2">
        <v>2</v>
      </c>
      <c r="S7" s="2">
        <v>1</v>
      </c>
      <c r="T7" s="2">
        <v>100</v>
      </c>
      <c r="U7" s="2">
        <v>100</v>
      </c>
      <c r="V7" s="2">
        <v>10.048400000000001</v>
      </c>
      <c r="X7" s="2" t="str">
        <f>_xlfn.XLOOKUP(Moult3[[#This Row],[Metodo]],TbSolver[Metodo],TbSolver[Solver])</f>
        <v>Adams Bashford Moulton</v>
      </c>
      <c r="Y7" s="2" t="str">
        <f>_xlfn.XLOOKUP(Moult3[[#This Row],[Hebras]],TbTecnologia[Hebras],TbTecnologia[Tecnología])</f>
        <v>OMP</v>
      </c>
      <c r="Z7" s="2" t="str" cm="1">
        <f t="array" ref="Z7">_xlfn.XLOOKUP(Moult3[[#This Row],[Tecnología]]&amp;Moult3[[#This Row],[Metodo]],TbTipos[Tecnología]&amp;TbTipos[Metodo],TbTipos[Tipo])</f>
        <v>OMP Elementos</v>
      </c>
      <c r="AA7" s="2" t="str" cm="1">
        <f t="array" ref="AA7">_xlfn.XLOOKUP(Moult3[[#This Row],[Tecnología]]&amp;Moult3[[#This Row],[Problema]],TbNombres[Tecnología]&amp;TbNombres[Problema],TbNombres[Nombre])</f>
        <v>Brusselator1d</v>
      </c>
      <c r="AB7" s="2">
        <v>6</v>
      </c>
      <c r="AC7" s="2">
        <v>3</v>
      </c>
      <c r="AD7" s="2">
        <v>1</v>
      </c>
      <c r="AE7" s="2">
        <v>100</v>
      </c>
      <c r="AF7" s="2">
        <v>200</v>
      </c>
      <c r="AG7" s="2">
        <v>5.8336199999999998</v>
      </c>
      <c r="AI7" s="2" t="str">
        <f>_xlfn.XLOOKUP(Moult4[[#This Row],[Metodo]],TbSolver[Metodo],TbSolver[Solver])</f>
        <v>Adams Bashford Moulton</v>
      </c>
      <c r="AJ7" s="2" t="str">
        <f>_xlfn.XLOOKUP(Moult4[[#This Row],[Hebras]],TbTecnologia[Hebras],TbTecnologia[Tecnología])</f>
        <v>CUDA</v>
      </c>
      <c r="AK7" s="2" t="str" cm="1">
        <f t="array" ref="AK7">_xlfn.XLOOKUP(Moult4[[#This Row],[Tecnología]]&amp;Moult4[[#This Row],[Metodo]],TbTipos[Tecnología]&amp;TbTipos[Metodo],TbTipos[Tipo])</f>
        <v>CUDA con graph</v>
      </c>
      <c r="AL7" s="2" t="str" cm="1">
        <f t="array" ref="AL7">_xlfn.XLOOKUP(Moult4[[#This Row],[Tecnología]]&amp;Moult4[[#This Row],[Problema]],TbNombres[Tecnología]&amp;TbNombres[Problema],TbNombres[Nombre])</f>
        <v>Brusselator2d</v>
      </c>
      <c r="AM7" s="21">
        <v>6</v>
      </c>
      <c r="AN7" s="21">
        <v>8</v>
      </c>
      <c r="AO7" s="21">
        <v>256</v>
      </c>
      <c r="AP7" s="21">
        <v>25</v>
      </c>
      <c r="AQ7" s="21">
        <v>1250</v>
      </c>
      <c r="AR7" s="21">
        <v>15.6045</v>
      </c>
    </row>
    <row r="8" spans="2:44" x14ac:dyDescent="0.2">
      <c r="B8" s="2" t="str">
        <f>_xlfn.XLOOKUP(Moult1[[#This Row],[Metodo]],TbSolver[Metodo],TbSolver[Solver])</f>
        <v>Adams Bashford Moulton</v>
      </c>
      <c r="C8" s="2" t="str">
        <f>_xlfn.XLOOKUP(Moult1[[#This Row],[Hebras]],TbTecnologia[Hebras],TbTecnologia[Tecnología])</f>
        <v>OMP</v>
      </c>
      <c r="D8" s="2" t="str" cm="1">
        <f t="array" ref="D8">_xlfn.XLOOKUP(Moult1[[#This Row],[Tecnología]]&amp;Moult1[[#This Row],[Metodo]],TbTipos[Tecnología]&amp;TbTipos[Metodo],TbTipos[Tipo])</f>
        <v>OMP Operaciones</v>
      </c>
      <c r="E8" s="2" t="str" cm="1">
        <f t="array" ref="E8">_xlfn.XLOOKUP(Moult1[[#This Row],[Tecnología]]&amp;Moult1[[#This Row],[Problema]],TbNombres[Tecnología]&amp;TbNombres[Problema],TbNombres[Nombre])</f>
        <v>Simple Advdiff</v>
      </c>
      <c r="F8" s="2">
        <v>5</v>
      </c>
      <c r="G8" s="2">
        <v>1</v>
      </c>
      <c r="H8" s="2">
        <v>1</v>
      </c>
      <c r="I8" s="2">
        <v>100</v>
      </c>
      <c r="J8" s="2">
        <v>100</v>
      </c>
      <c r="K8" s="2">
        <v>4.5551399999999997</v>
      </c>
      <c r="M8" s="2" t="str">
        <f>_xlfn.XLOOKUP(Moult2[[#This Row],[Metodo]],TbSolver[Metodo],TbSolver[Solver])</f>
        <v>Adams Bashford Moulton</v>
      </c>
      <c r="N8" s="2" t="str">
        <f>_xlfn.XLOOKUP(Moult2[[#This Row],[Hebras]],TbTecnologia[Hebras],TbTecnologia[Tecnología])</f>
        <v>OMP</v>
      </c>
      <c r="O8" s="2" t="str" cm="1">
        <f t="array" ref="O8">_xlfn.XLOOKUP(Moult2[[#This Row],[Tecnología]]&amp;Moult2[[#This Row],[Metodo]],TbTipos[Tecnología]&amp;TbTipos[Metodo],TbTipos[Tipo])</f>
        <v>OMP Operaciones</v>
      </c>
      <c r="P8" s="2" t="str" cm="1">
        <f t="array" ref="P8">_xlfn.XLOOKUP(Moult2[[#This Row],[Tecnología]]&amp;Moult2[[#This Row],[Problema]],TbNombres[Tecnología]&amp;TbNombres[Problema],TbNombres[Nombre])</f>
        <v>Advdiff1d</v>
      </c>
      <c r="Q8" s="2">
        <v>5</v>
      </c>
      <c r="R8" s="2">
        <v>2</v>
      </c>
      <c r="S8" s="2">
        <v>1</v>
      </c>
      <c r="T8" s="2">
        <v>100</v>
      </c>
      <c r="U8" s="2">
        <v>100</v>
      </c>
      <c r="V8" s="2">
        <v>11.7964</v>
      </c>
      <c r="X8" s="2" t="str">
        <f>_xlfn.XLOOKUP(Moult3[[#This Row],[Metodo]],TbSolver[Metodo],TbSolver[Solver])</f>
        <v>Adams Bashford Moulton</v>
      </c>
      <c r="Y8" s="2" t="str">
        <f>_xlfn.XLOOKUP(Moult3[[#This Row],[Hebras]],TbTecnologia[Hebras],TbTecnologia[Tecnología])</f>
        <v>OMP</v>
      </c>
      <c r="Z8" s="2" t="str" cm="1">
        <f t="array" ref="Z8">_xlfn.XLOOKUP(Moult3[[#This Row],[Tecnología]]&amp;Moult3[[#This Row],[Metodo]],TbTipos[Tecnología]&amp;TbTipos[Metodo],TbTipos[Tipo])</f>
        <v>OMP Operaciones</v>
      </c>
      <c r="AA8" s="2" t="str" cm="1">
        <f t="array" ref="AA8">_xlfn.XLOOKUP(Moult3[[#This Row],[Tecnología]]&amp;Moult3[[#This Row],[Problema]],TbNombres[Tecnología]&amp;TbNombres[Problema],TbNombres[Nombre])</f>
        <v>Brusselator1d</v>
      </c>
      <c r="AB8" s="2">
        <v>5</v>
      </c>
      <c r="AC8" s="2">
        <v>3</v>
      </c>
      <c r="AD8" s="2">
        <v>1</v>
      </c>
      <c r="AE8" s="2">
        <v>100</v>
      </c>
      <c r="AF8" s="2">
        <v>200</v>
      </c>
      <c r="AG8" s="2">
        <v>6.8280700000000003</v>
      </c>
      <c r="AI8" s="2" t="str">
        <f>_xlfn.XLOOKUP(Moult4[[#This Row],[Metodo]],TbSolver[Metodo],TbSolver[Solver])</f>
        <v>Adams Bashford Moulton</v>
      </c>
      <c r="AJ8" s="2" t="str">
        <f>_xlfn.XLOOKUP(Moult4[[#This Row],[Hebras]],TbTecnologia[Hebras],TbTecnologia[Tecnología])</f>
        <v>CUDA</v>
      </c>
      <c r="AK8" s="2" t="str" cm="1">
        <f t="array" ref="AK8">_xlfn.XLOOKUP(Moult4[[#This Row],[Tecnología]]&amp;Moult4[[#This Row],[Metodo]],TbTipos[Tecnología]&amp;TbTipos[Metodo],TbTipos[Tipo])</f>
        <v>CUDA sin graph</v>
      </c>
      <c r="AL8" s="2" t="str" cm="1">
        <f t="array" ref="AL8">_xlfn.XLOOKUP(Moult4[[#This Row],[Tecnología]]&amp;Moult4[[#This Row],[Problema]],TbNombres[Tecnología]&amp;TbNombres[Problema],TbNombres[Nombre])</f>
        <v>Brusselator2d</v>
      </c>
      <c r="AM8" s="21">
        <v>5</v>
      </c>
      <c r="AN8" s="21">
        <v>8</v>
      </c>
      <c r="AO8" s="21">
        <v>256</v>
      </c>
      <c r="AP8" s="21">
        <v>25</v>
      </c>
      <c r="AQ8" s="21">
        <v>1250</v>
      </c>
      <c r="AR8" s="21">
        <v>15.772399999999999</v>
      </c>
    </row>
    <row r="9" spans="2:44" x14ac:dyDescent="0.2">
      <c r="B9" s="2" t="str">
        <f>_xlfn.XLOOKUP(Moult1[[#This Row],[Metodo]],TbSolver[Metodo],TbSolver[Solver])</f>
        <v>Adams Bashford Moulton</v>
      </c>
      <c r="C9" s="2" t="str">
        <f>_xlfn.XLOOKUP(Moult1[[#This Row],[Hebras]],TbTecnologia[Hebras],TbTecnologia[Tecnología])</f>
        <v>OMP</v>
      </c>
      <c r="D9" s="2" t="str" cm="1">
        <f t="array" ref="D9">_xlfn.XLOOKUP(Moult1[[#This Row],[Tecnología]]&amp;Moult1[[#This Row],[Metodo]],TbTipos[Tecnología]&amp;TbTipos[Metodo],TbTipos[Tipo])</f>
        <v>OMP Elementos</v>
      </c>
      <c r="E9" s="2" t="str" cm="1">
        <f t="array" ref="E9">_xlfn.XLOOKUP(Moult1[[#This Row],[Tecnología]]&amp;Moult1[[#This Row],[Problema]],TbNombres[Tecnología]&amp;TbNombres[Problema],TbNombres[Nombre])</f>
        <v>Simple Advdiff</v>
      </c>
      <c r="F9" s="2">
        <v>6</v>
      </c>
      <c r="G9" s="2">
        <v>1</v>
      </c>
      <c r="H9" s="2">
        <v>4</v>
      </c>
      <c r="I9" s="2">
        <v>100</v>
      </c>
      <c r="J9" s="2">
        <v>100</v>
      </c>
      <c r="K9" s="2">
        <v>9.6583900000000007</v>
      </c>
      <c r="M9" s="2" t="str">
        <f>_xlfn.XLOOKUP(Moult2[[#This Row],[Metodo]],TbSolver[Metodo],TbSolver[Solver])</f>
        <v>Adams Bashford Moulton</v>
      </c>
      <c r="N9" s="2" t="str">
        <f>_xlfn.XLOOKUP(Moult2[[#This Row],[Hebras]],TbTecnologia[Hebras],TbTecnologia[Tecnología])</f>
        <v>OMP</v>
      </c>
      <c r="O9" s="2" t="str" cm="1">
        <f t="array" ref="O9">_xlfn.XLOOKUP(Moult2[[#This Row],[Tecnología]]&amp;Moult2[[#This Row],[Metodo]],TbTipos[Tecnología]&amp;TbTipos[Metodo],TbTipos[Tipo])</f>
        <v>OMP Elementos</v>
      </c>
      <c r="P9" s="2" t="str" cm="1">
        <f t="array" ref="P9">_xlfn.XLOOKUP(Moult2[[#This Row],[Tecnología]]&amp;Moult2[[#This Row],[Problema]],TbNombres[Tecnología]&amp;TbNombres[Problema],TbNombres[Nombre])</f>
        <v>Advdiff1d</v>
      </c>
      <c r="Q9" s="2">
        <v>6</v>
      </c>
      <c r="R9" s="2">
        <v>2</v>
      </c>
      <c r="S9" s="2">
        <v>4</v>
      </c>
      <c r="T9" s="2">
        <v>100</v>
      </c>
      <c r="U9" s="2">
        <v>100</v>
      </c>
      <c r="V9" s="2">
        <v>12.5639</v>
      </c>
      <c r="X9" s="2" t="str">
        <f>_xlfn.XLOOKUP(Moult3[[#This Row],[Metodo]],TbSolver[Metodo],TbSolver[Solver])</f>
        <v>Adams Bashford Moulton</v>
      </c>
      <c r="Y9" s="2" t="str">
        <f>_xlfn.XLOOKUP(Moult3[[#This Row],[Hebras]],TbTecnologia[Hebras],TbTecnologia[Tecnología])</f>
        <v>OMP</v>
      </c>
      <c r="Z9" s="2" t="str" cm="1">
        <f t="array" ref="Z9">_xlfn.XLOOKUP(Moult3[[#This Row],[Tecnología]]&amp;Moult3[[#This Row],[Metodo]],TbTipos[Tecnología]&amp;TbTipos[Metodo],TbTipos[Tipo])</f>
        <v>OMP Elementos</v>
      </c>
      <c r="AA9" s="2" t="str" cm="1">
        <f t="array" ref="AA9">_xlfn.XLOOKUP(Moult3[[#This Row],[Tecnología]]&amp;Moult3[[#This Row],[Problema]],TbNombres[Tecnología]&amp;TbNombres[Problema],TbNombres[Nombre])</f>
        <v>Brusselator1d</v>
      </c>
      <c r="AB9" s="2">
        <v>6</v>
      </c>
      <c r="AC9" s="2">
        <v>3</v>
      </c>
      <c r="AD9" s="2">
        <v>4</v>
      </c>
      <c r="AE9" s="2">
        <v>100</v>
      </c>
      <c r="AF9" s="2">
        <v>200</v>
      </c>
      <c r="AG9" s="2">
        <v>9.4379600000000003</v>
      </c>
      <c r="AI9" s="2" t="str">
        <f>_xlfn.XLOOKUP(Moult4[[#This Row],[Metodo]],TbSolver[Metodo],TbSolver[Solver])</f>
        <v>Adams Bashford Moulton</v>
      </c>
      <c r="AJ9" s="2" t="str">
        <f>_xlfn.XLOOKUP(Moult4[[#This Row],[Hebras]],TbTecnologia[Hebras],TbTecnologia[Tecnología])</f>
        <v>OMP</v>
      </c>
      <c r="AK9" s="2" t="str" cm="1">
        <f t="array" ref="AK9">_xlfn.XLOOKUP(Moult4[[#This Row],[Tecnología]]&amp;Moult4[[#This Row],[Metodo]],TbTipos[Tecnología]&amp;TbTipos[Metodo],TbTipos[Tipo])</f>
        <v>OMP Elementos</v>
      </c>
      <c r="AL9" s="2" t="str" cm="1">
        <f t="array" ref="AL9">_xlfn.XLOOKUP(Moult4[[#This Row],[Tecnología]]&amp;Moult4[[#This Row],[Problema]],TbNombres[Tecnología]&amp;TbNombres[Problema],TbNombres[Nombre])</f>
        <v>Brusselator2d</v>
      </c>
      <c r="AM9" s="4">
        <v>6</v>
      </c>
      <c r="AN9" s="4">
        <v>4</v>
      </c>
      <c r="AO9" s="4">
        <v>4</v>
      </c>
      <c r="AP9" s="4">
        <v>25</v>
      </c>
      <c r="AQ9" s="4">
        <v>1250</v>
      </c>
      <c r="AR9" s="4">
        <v>23.072399999999998</v>
      </c>
    </row>
    <row r="10" spans="2:44" x14ac:dyDescent="0.2">
      <c r="B10" s="2" t="str">
        <f>_xlfn.XLOOKUP(Moult1[[#This Row],[Metodo]],TbSolver[Metodo],TbSolver[Solver])</f>
        <v>Adams Bashford Moulton</v>
      </c>
      <c r="C10" s="2" t="str">
        <f>_xlfn.XLOOKUP(Moult1[[#This Row],[Hebras]],TbTecnologia[Hebras],TbTecnologia[Tecnología])</f>
        <v>CUDA</v>
      </c>
      <c r="D10" s="2" t="str" cm="1">
        <f t="array" ref="D10">_xlfn.XLOOKUP(Moult1[[#This Row],[Tecnología]]&amp;Moult1[[#This Row],[Metodo]],TbTipos[Tecnología]&amp;TbTipos[Metodo],TbTipos[Tipo])</f>
        <v>CUDA con graph</v>
      </c>
      <c r="E10" s="2" t="str" cm="1">
        <f t="array" ref="E10">_xlfn.XLOOKUP(Moult1[[#This Row],[Tecnología]]&amp;Moult1[[#This Row],[Problema]],TbNombres[Tecnología]&amp;TbNombres[Problema],TbNombres[Nombre])</f>
        <v>Simple Advdiff</v>
      </c>
      <c r="F10" s="2">
        <v>6</v>
      </c>
      <c r="G10" s="2">
        <v>1</v>
      </c>
      <c r="H10" s="2">
        <v>256</v>
      </c>
      <c r="I10" s="2">
        <v>100</v>
      </c>
      <c r="J10" s="2">
        <v>100</v>
      </c>
      <c r="K10" s="2">
        <v>10.407299999999999</v>
      </c>
      <c r="M10" s="2" t="str">
        <f>_xlfn.XLOOKUP(Moult2[[#This Row],[Metodo]],TbSolver[Metodo],TbSolver[Solver])</f>
        <v>Adams Bashford Moulton</v>
      </c>
      <c r="N10" s="2" t="str">
        <f>_xlfn.XLOOKUP(Moult2[[#This Row],[Hebras]],TbTecnologia[Hebras],TbTecnologia[Tecnología])</f>
        <v>CUDA</v>
      </c>
      <c r="O10" s="2" t="str" cm="1">
        <f t="array" ref="O10">_xlfn.XLOOKUP(Moult2[[#This Row],[Tecnología]]&amp;Moult2[[#This Row],[Metodo]],TbTipos[Tecnología]&amp;TbTipos[Metodo],TbTipos[Tipo])</f>
        <v>CUDA con graph</v>
      </c>
      <c r="P10" s="2" t="str" cm="1">
        <f t="array" ref="P10">_xlfn.XLOOKUP(Moult2[[#This Row],[Tecnología]]&amp;Moult2[[#This Row],[Problema]],TbNombres[Tecnología]&amp;TbNombres[Problema],TbNombres[Nombre])</f>
        <v>Advdiff1d</v>
      </c>
      <c r="Q10" s="2">
        <v>6</v>
      </c>
      <c r="R10" s="2">
        <v>3</v>
      </c>
      <c r="S10" s="2">
        <v>256</v>
      </c>
      <c r="T10" s="2">
        <v>100</v>
      </c>
      <c r="U10" s="2">
        <v>100</v>
      </c>
      <c r="V10" s="2">
        <v>16.264299999999999</v>
      </c>
      <c r="X10" s="2" t="str">
        <f>_xlfn.XLOOKUP(Moult3[[#This Row],[Metodo]],TbSolver[Metodo],TbSolver[Solver])</f>
        <v>Adams Bashford Moulton</v>
      </c>
      <c r="Y10" s="2" t="str">
        <f>_xlfn.XLOOKUP(Moult3[[#This Row],[Hebras]],TbTecnologia[Hebras],TbTecnologia[Tecnología])</f>
        <v>CUDA</v>
      </c>
      <c r="Z10" s="2" t="str" cm="1">
        <f t="array" ref="Z10">_xlfn.XLOOKUP(Moult3[[#This Row],[Tecnología]]&amp;Moult3[[#This Row],[Metodo]],TbTipos[Tecnología]&amp;TbTipos[Metodo],TbTipos[Tipo])</f>
        <v>CUDA con graph</v>
      </c>
      <c r="AA10" s="2" t="str" cm="1">
        <f t="array" ref="AA10">_xlfn.XLOOKUP(Moult3[[#This Row],[Tecnología]]&amp;Moult3[[#This Row],[Problema]],TbNombres[Tecnología]&amp;TbNombres[Problema],TbNombres[Nombre])</f>
        <v>Brusselator1d</v>
      </c>
      <c r="AB10" s="2">
        <v>6</v>
      </c>
      <c r="AC10" s="2">
        <v>5</v>
      </c>
      <c r="AD10" s="2">
        <v>256</v>
      </c>
      <c r="AE10" s="2">
        <v>100</v>
      </c>
      <c r="AF10" s="2">
        <v>200</v>
      </c>
      <c r="AG10" s="2">
        <v>12.3178</v>
      </c>
      <c r="AI10" s="2" t="str">
        <f>_xlfn.XLOOKUP(Moult4[[#This Row],[Metodo]],TbSolver[Metodo],TbSolver[Solver])</f>
        <v>Adams Bashford Moulton</v>
      </c>
      <c r="AJ10" s="2" t="str">
        <f>_xlfn.XLOOKUP(Moult4[[#This Row],[Hebras]],TbTecnologia[Hebras],TbTecnologia[Tecnología])</f>
        <v>OMP</v>
      </c>
      <c r="AK10" s="2" t="str" cm="1">
        <f t="array" ref="AK10">_xlfn.XLOOKUP(Moult4[[#This Row],[Tecnología]]&amp;Moult4[[#This Row],[Metodo]],TbTipos[Tecnología]&amp;TbTipos[Metodo],TbTipos[Tipo])</f>
        <v>OMP Operaciones</v>
      </c>
      <c r="AL10" s="2" t="str" cm="1">
        <f t="array" ref="AL10">_xlfn.XLOOKUP(Moult4[[#This Row],[Tecnología]]&amp;Moult4[[#This Row],[Problema]],TbNombres[Tecnología]&amp;TbNombres[Problema],TbNombres[Nombre])</f>
        <v>Brusselator2d</v>
      </c>
      <c r="AM10" s="4">
        <v>5</v>
      </c>
      <c r="AN10" s="4">
        <v>4</v>
      </c>
      <c r="AO10" s="4">
        <v>1</v>
      </c>
      <c r="AP10" s="4">
        <v>25</v>
      </c>
      <c r="AQ10" s="4">
        <v>1250</v>
      </c>
      <c r="AR10" s="4">
        <v>26.5702</v>
      </c>
    </row>
    <row r="11" spans="2:44" x14ac:dyDescent="0.2">
      <c r="B11" s="2" t="str">
        <f>_xlfn.XLOOKUP(Moult1[[#This Row],[Metodo]],TbSolver[Metodo],TbSolver[Solver])</f>
        <v>Adams Bashford Moulton</v>
      </c>
      <c r="C11" s="2" t="str">
        <f>_xlfn.XLOOKUP(Moult1[[#This Row],[Hebras]],TbTecnologia[Hebras],TbTecnologia[Tecnología])</f>
        <v>CUDA</v>
      </c>
      <c r="D11" s="2" t="str" cm="1">
        <f t="array" ref="D11">_xlfn.XLOOKUP(Moult1[[#This Row],[Tecnología]]&amp;Moult1[[#This Row],[Metodo]],TbTipos[Tecnología]&amp;TbTipos[Metodo],TbTipos[Tipo])</f>
        <v>CUDA con graph</v>
      </c>
      <c r="E11" s="2" t="str" cm="1">
        <f t="array" ref="E11">_xlfn.XLOOKUP(Moult1[[#This Row],[Tecnología]]&amp;Moult1[[#This Row],[Problema]],TbNombres[Tecnología]&amp;TbNombres[Problema],TbNombres[Nombre])</f>
        <v>Simple Advdiff shuffle</v>
      </c>
      <c r="F11" s="2">
        <v>6</v>
      </c>
      <c r="G11" s="2">
        <v>2</v>
      </c>
      <c r="H11" s="2">
        <v>256</v>
      </c>
      <c r="I11" s="2">
        <v>100</v>
      </c>
      <c r="J11" s="2">
        <v>100</v>
      </c>
      <c r="K11" s="2">
        <v>10.632999999999999</v>
      </c>
      <c r="M11" s="2" t="str">
        <f>_xlfn.XLOOKUP(Moult2[[#This Row],[Metodo]],TbSolver[Metodo],TbSolver[Solver])</f>
        <v>Adams Bashford Moulton</v>
      </c>
      <c r="N11" s="2" t="str">
        <f>_xlfn.XLOOKUP(Moult2[[#This Row],[Hebras]],TbTecnologia[Hebras],TbTecnologia[Tecnología])</f>
        <v>CUDA</v>
      </c>
      <c r="O11" s="2" t="str" cm="1">
        <f t="array" ref="O11">_xlfn.XLOOKUP(Moult2[[#This Row],[Tecnología]]&amp;Moult2[[#This Row],[Metodo]],TbTipos[Tecnología]&amp;TbTipos[Metodo],TbTipos[Tipo])</f>
        <v>CUDA con graph</v>
      </c>
      <c r="P11" s="2" t="str" cm="1">
        <f t="array" ref="P11">_xlfn.XLOOKUP(Moult2[[#This Row],[Tecnología]]&amp;Moult2[[#This Row],[Problema]],TbNombres[Tecnología]&amp;TbNombres[Problema],TbNombres[Nombre])</f>
        <v>Advdiff1d shuffle</v>
      </c>
      <c r="Q11" s="2">
        <v>6</v>
      </c>
      <c r="R11" s="2">
        <v>4</v>
      </c>
      <c r="S11" s="2">
        <v>256</v>
      </c>
      <c r="T11" s="2">
        <v>100</v>
      </c>
      <c r="U11" s="2">
        <v>100</v>
      </c>
      <c r="V11" s="2">
        <v>16.634699999999999</v>
      </c>
      <c r="X11" s="2" t="str">
        <f>_xlfn.XLOOKUP(Moult3[[#This Row],[Metodo]],TbSolver[Metodo],TbSolver[Solver])</f>
        <v>Adams Bashford Moulton</v>
      </c>
      <c r="Y11" s="2" t="str">
        <f>_xlfn.XLOOKUP(Moult3[[#This Row],[Hebras]],TbTecnologia[Hebras],TbTecnologia[Tecnología])</f>
        <v>CUDA</v>
      </c>
      <c r="Z11" s="2" t="str" cm="1">
        <f t="array" ref="Z11">_xlfn.XLOOKUP(Moult3[[#This Row],[Tecnología]]&amp;Moult3[[#This Row],[Metodo]],TbTipos[Tecnología]&amp;TbTipos[Metodo],TbTipos[Tipo])</f>
        <v>CUDA con graph</v>
      </c>
      <c r="AA11" s="2" t="str" cm="1">
        <f t="array" ref="AA11">_xlfn.XLOOKUP(Moult3[[#This Row],[Tecnología]]&amp;Moult3[[#This Row],[Problema]],TbNombres[Tecnología]&amp;TbNombres[Problema],TbNombres[Nombre])</f>
        <v>Brusselator1d shuffle</v>
      </c>
      <c r="AB11" s="2">
        <v>6</v>
      </c>
      <c r="AC11" s="2">
        <v>6</v>
      </c>
      <c r="AD11" s="2">
        <v>256</v>
      </c>
      <c r="AE11" s="2">
        <v>100</v>
      </c>
      <c r="AF11" s="2">
        <v>200</v>
      </c>
      <c r="AG11" s="2">
        <v>12.413600000000001</v>
      </c>
      <c r="AI11" s="2" t="str">
        <f>_xlfn.XLOOKUP(Moult4[[#This Row],[Metodo]],TbSolver[Metodo],TbSolver[Solver])</f>
        <v>Adams Bashford Moulton</v>
      </c>
      <c r="AJ11" s="2" t="str">
        <f>_xlfn.XLOOKUP(Moult4[[#This Row],[Hebras]],TbTecnologia[Hebras],TbTecnologia[Tecnología])</f>
        <v>OMP</v>
      </c>
      <c r="AK11" s="2" t="str" cm="1">
        <f t="array" ref="AK11">_xlfn.XLOOKUP(Moult4[[#This Row],[Tecnología]]&amp;Moult4[[#This Row],[Metodo]],TbTipos[Tecnología]&amp;TbTipos[Metodo],TbTipos[Tipo])</f>
        <v>OMP Elementos</v>
      </c>
      <c r="AL11" s="2" t="str" cm="1">
        <f t="array" ref="AL11">_xlfn.XLOOKUP(Moult4[[#This Row],[Tecnología]]&amp;Moult4[[#This Row],[Problema]],TbNombres[Tecnología]&amp;TbNombres[Problema],TbNombres[Nombre])</f>
        <v>Brusselator2d</v>
      </c>
      <c r="AM11" s="4">
        <v>6</v>
      </c>
      <c r="AN11" s="4">
        <v>4</v>
      </c>
      <c r="AO11" s="4">
        <v>16</v>
      </c>
      <c r="AP11" s="4">
        <v>25</v>
      </c>
      <c r="AQ11" s="4">
        <v>1250</v>
      </c>
      <c r="AR11" s="4">
        <v>42.152700000000003</v>
      </c>
    </row>
    <row r="12" spans="2:44" x14ac:dyDescent="0.2">
      <c r="B12" s="2" t="str">
        <f>_xlfn.XLOOKUP(Moult1[[#This Row],[Metodo]],TbSolver[Metodo],TbSolver[Solver])</f>
        <v>Adams Bashford Moulton</v>
      </c>
      <c r="C12" s="2" t="str">
        <f>_xlfn.XLOOKUP(Moult1[[#This Row],[Hebras]],TbTecnologia[Hebras],TbTecnologia[Tecnología])</f>
        <v>CUDA</v>
      </c>
      <c r="D12" s="2" t="str" cm="1">
        <f t="array" ref="D12">_xlfn.XLOOKUP(Moult1[[#This Row],[Tecnología]]&amp;Moult1[[#This Row],[Metodo]],TbTipos[Tecnología]&amp;TbTipos[Metodo],TbTipos[Tipo])</f>
        <v>CUDA sin graph</v>
      </c>
      <c r="E12" s="2" t="str" cm="1">
        <f t="array" ref="E12">_xlfn.XLOOKUP(Moult1[[#This Row],[Tecnología]]&amp;Moult1[[#This Row],[Problema]],TbNombres[Tecnología]&amp;TbNombres[Problema],TbNombres[Nombre])</f>
        <v>Simple Advdiff</v>
      </c>
      <c r="F12" s="2">
        <v>5</v>
      </c>
      <c r="G12" s="2">
        <v>1</v>
      </c>
      <c r="H12" s="2">
        <v>256</v>
      </c>
      <c r="I12" s="2">
        <v>100</v>
      </c>
      <c r="J12" s="2">
        <v>100</v>
      </c>
      <c r="K12" s="2">
        <v>11.0381</v>
      </c>
      <c r="M12" s="2" t="str">
        <f>_xlfn.XLOOKUP(Moult2[[#This Row],[Metodo]],TbSolver[Metodo],TbSolver[Solver])</f>
        <v>Adams Bashford Moulton</v>
      </c>
      <c r="N12" s="2" t="str">
        <f>_xlfn.XLOOKUP(Moult2[[#This Row],[Hebras]],TbTecnologia[Hebras],TbTecnologia[Tecnología])</f>
        <v>CUDA</v>
      </c>
      <c r="O12" s="2" t="str" cm="1">
        <f t="array" ref="O12">_xlfn.XLOOKUP(Moult2[[#This Row],[Tecnología]]&amp;Moult2[[#This Row],[Metodo]],TbTipos[Tecnología]&amp;TbTipos[Metodo],TbTipos[Tipo])</f>
        <v>CUDA sin graph</v>
      </c>
      <c r="P12" s="2" t="str" cm="1">
        <f t="array" ref="P12">_xlfn.XLOOKUP(Moult2[[#This Row],[Tecnología]]&amp;Moult2[[#This Row],[Problema]],TbNombres[Tecnología]&amp;TbNombres[Problema],TbNombres[Nombre])</f>
        <v>Advdiff1d</v>
      </c>
      <c r="Q12" s="2">
        <v>5</v>
      </c>
      <c r="R12" s="2">
        <v>3</v>
      </c>
      <c r="S12" s="2">
        <v>256</v>
      </c>
      <c r="T12" s="2">
        <v>100</v>
      </c>
      <c r="U12" s="2">
        <v>100</v>
      </c>
      <c r="V12" s="2">
        <v>16.738600000000002</v>
      </c>
      <c r="X12" s="2" t="str">
        <f>_xlfn.XLOOKUP(Moult3[[#This Row],[Metodo]],TbSolver[Metodo],TbSolver[Solver])</f>
        <v>Adams Bashford Moulton</v>
      </c>
      <c r="Y12" s="2" t="str">
        <f>_xlfn.XLOOKUP(Moult3[[#This Row],[Hebras]],TbTecnologia[Hebras],TbTecnologia[Tecnología])</f>
        <v>CUDA</v>
      </c>
      <c r="Z12" s="2" t="str" cm="1">
        <f t="array" ref="Z12">_xlfn.XLOOKUP(Moult3[[#This Row],[Tecnología]]&amp;Moult3[[#This Row],[Metodo]],TbTipos[Tecnología]&amp;TbTipos[Metodo],TbTipos[Tipo])</f>
        <v>CUDA con graph</v>
      </c>
      <c r="AA12" s="2" t="str" cm="1">
        <f t="array" ref="AA12">_xlfn.XLOOKUP(Moult3[[#This Row],[Tecnología]]&amp;Moult3[[#This Row],[Problema]],TbNombres[Tecnología]&amp;TbNombres[Problema],TbNombres[Nombre])</f>
        <v>Brusselator1d grid</v>
      </c>
      <c r="AB12" s="2">
        <v>6</v>
      </c>
      <c r="AC12" s="2">
        <v>7</v>
      </c>
      <c r="AD12" s="2">
        <v>256</v>
      </c>
      <c r="AE12" s="2">
        <v>100</v>
      </c>
      <c r="AF12" s="2">
        <v>200</v>
      </c>
      <c r="AG12" s="2">
        <v>12.7349</v>
      </c>
      <c r="AI12" s="2" t="str">
        <f>_xlfn.XLOOKUP(Moult4[[#This Row],[Metodo]],TbSolver[Metodo],TbSolver[Solver])</f>
        <v>Adams Bashford Moulton</v>
      </c>
      <c r="AJ12" s="2" t="str">
        <f>_xlfn.XLOOKUP(Moult4[[#This Row],[Hebras]],TbTecnologia[Hebras],TbTecnologia[Tecnología])</f>
        <v>OMP</v>
      </c>
      <c r="AK12" s="2" t="str" cm="1">
        <f t="array" ref="AK12">_xlfn.XLOOKUP(Moult4[[#This Row],[Tecnología]]&amp;Moult4[[#This Row],[Metodo]],TbTipos[Tecnología]&amp;TbTipos[Metodo],TbTipos[Tipo])</f>
        <v>OMP Operaciones</v>
      </c>
      <c r="AL12" s="2" t="str" cm="1">
        <f t="array" ref="AL12">_xlfn.XLOOKUP(Moult4[[#This Row],[Tecnología]]&amp;Moult4[[#This Row],[Problema]],TbNombres[Tecnología]&amp;TbNombres[Problema],TbNombres[Nombre])</f>
        <v>Brusselator2d</v>
      </c>
      <c r="AM12" s="4">
        <v>5</v>
      </c>
      <c r="AN12" s="4">
        <v>4</v>
      </c>
      <c r="AO12" s="4">
        <v>4</v>
      </c>
      <c r="AP12" s="4">
        <v>25</v>
      </c>
      <c r="AQ12" s="4">
        <v>1250</v>
      </c>
      <c r="AR12" s="4">
        <v>45.296900000000001</v>
      </c>
    </row>
    <row r="13" spans="2:44" x14ac:dyDescent="0.2">
      <c r="B13" s="2" t="str">
        <f>_xlfn.XLOOKUP(Moult1[[#This Row],[Metodo]],TbSolver[Metodo],TbSolver[Solver])</f>
        <v>Adams Bashford Moulton</v>
      </c>
      <c r="C13" s="2" t="str">
        <f>_xlfn.XLOOKUP(Moult1[[#This Row],[Hebras]],TbTecnologia[Hebras],TbTecnologia[Tecnología])</f>
        <v>CUDA</v>
      </c>
      <c r="D13" s="2" t="str" cm="1">
        <f t="array" ref="D13">_xlfn.XLOOKUP(Moult1[[#This Row],[Tecnología]]&amp;Moult1[[#This Row],[Metodo]],TbTipos[Tecnología]&amp;TbTipos[Metodo],TbTipos[Tipo])</f>
        <v>CUDA sin graph</v>
      </c>
      <c r="E13" s="2" t="str" cm="1">
        <f t="array" ref="E13">_xlfn.XLOOKUP(Moult1[[#This Row],[Tecnología]]&amp;Moult1[[#This Row],[Problema]],TbNombres[Tecnología]&amp;TbNombres[Problema],TbNombres[Nombre])</f>
        <v>Simple Advdiff shuffle</v>
      </c>
      <c r="F13" s="2">
        <v>5</v>
      </c>
      <c r="G13" s="2">
        <v>2</v>
      </c>
      <c r="H13" s="2">
        <v>256</v>
      </c>
      <c r="I13" s="2">
        <v>100</v>
      </c>
      <c r="J13" s="2">
        <v>100</v>
      </c>
      <c r="K13" s="2">
        <v>11.2033</v>
      </c>
      <c r="M13" s="2" t="str">
        <f>_xlfn.XLOOKUP(Moult2[[#This Row],[Metodo]],TbSolver[Metodo],TbSolver[Solver])</f>
        <v>Adams Bashford Moulton</v>
      </c>
      <c r="N13" s="2" t="str">
        <f>_xlfn.XLOOKUP(Moult2[[#This Row],[Hebras]],TbTecnologia[Hebras],TbTecnologia[Tecnología])</f>
        <v>CUDA</v>
      </c>
      <c r="O13" s="2" t="str" cm="1">
        <f t="array" ref="O13">_xlfn.XLOOKUP(Moult2[[#This Row],[Tecnología]]&amp;Moult2[[#This Row],[Metodo]],TbTipos[Tecnología]&amp;TbTipos[Metodo],TbTipos[Tipo])</f>
        <v>CUDA sin graph</v>
      </c>
      <c r="P13" s="2" t="str" cm="1">
        <f t="array" ref="P13">_xlfn.XLOOKUP(Moult2[[#This Row],[Tecnología]]&amp;Moult2[[#This Row],[Problema]],TbNombres[Tecnología]&amp;TbNombres[Problema],TbNombres[Nombre])</f>
        <v>Advdiff1d shuffle</v>
      </c>
      <c r="Q13" s="2">
        <v>5</v>
      </c>
      <c r="R13" s="2">
        <v>4</v>
      </c>
      <c r="S13" s="2">
        <v>256</v>
      </c>
      <c r="T13" s="2">
        <v>100</v>
      </c>
      <c r="U13" s="2">
        <v>100</v>
      </c>
      <c r="V13" s="2">
        <v>17.1296</v>
      </c>
      <c r="X13" s="2" t="str">
        <f>_xlfn.XLOOKUP(Moult3[[#This Row],[Metodo]],TbSolver[Metodo],TbSolver[Solver])</f>
        <v>Adams Bashford Moulton</v>
      </c>
      <c r="Y13" s="2" t="str">
        <f>_xlfn.XLOOKUP(Moult3[[#This Row],[Hebras]],TbTecnologia[Hebras],TbTecnologia[Tecnología])</f>
        <v>CUDA</v>
      </c>
      <c r="Z13" s="2" t="str" cm="1">
        <f t="array" ref="Z13">_xlfn.XLOOKUP(Moult3[[#This Row],[Tecnología]]&amp;Moult3[[#This Row],[Metodo]],TbTipos[Tecnología]&amp;TbTipos[Metodo],TbTipos[Tipo])</f>
        <v>CUDA sin graph</v>
      </c>
      <c r="AA13" s="2" t="str" cm="1">
        <f t="array" ref="AA13">_xlfn.XLOOKUP(Moult3[[#This Row],[Tecnología]]&amp;Moult3[[#This Row],[Problema]],TbNombres[Tecnología]&amp;TbNombres[Problema],TbNombres[Nombre])</f>
        <v>Brusselator1d</v>
      </c>
      <c r="AB13" s="2">
        <v>5</v>
      </c>
      <c r="AC13" s="2">
        <v>5</v>
      </c>
      <c r="AD13" s="2">
        <v>256</v>
      </c>
      <c r="AE13" s="2">
        <v>100</v>
      </c>
      <c r="AF13" s="2">
        <v>200</v>
      </c>
      <c r="AG13" s="2">
        <v>14.4727</v>
      </c>
      <c r="AI13" s="2" t="str">
        <f>_xlfn.XLOOKUP(Moult4[[#This Row],[Metodo]],TbSolver[Metodo],TbSolver[Solver])</f>
        <v>Adams Bashford Moulton</v>
      </c>
      <c r="AJ13" s="2" t="str">
        <f>_xlfn.XLOOKUP(Moult4[[#This Row],[Hebras]],TbTecnologia[Hebras],TbTecnologia[Tecnología])</f>
        <v>OMP</v>
      </c>
      <c r="AK13" s="2" t="str" cm="1">
        <f t="array" ref="AK13">_xlfn.XLOOKUP(Moult4[[#This Row],[Tecnología]]&amp;Moult4[[#This Row],[Metodo]],TbTipos[Tecnología]&amp;TbTipos[Metodo],TbTipos[Tipo])</f>
        <v>OMP Elementos</v>
      </c>
      <c r="AL13" s="2" t="str" cm="1">
        <f t="array" ref="AL13">_xlfn.XLOOKUP(Moult4[[#This Row],[Tecnología]]&amp;Moult4[[#This Row],[Problema]],TbNombres[Tecnología]&amp;TbNombres[Problema],TbNombres[Nombre])</f>
        <v>Brusselator2d</v>
      </c>
      <c r="AM13" s="4">
        <v>6</v>
      </c>
      <c r="AN13" s="4">
        <v>4</v>
      </c>
      <c r="AO13" s="4">
        <v>1</v>
      </c>
      <c r="AP13" s="4">
        <v>25</v>
      </c>
      <c r="AQ13" s="4">
        <v>1250</v>
      </c>
      <c r="AR13" s="4">
        <v>58.719200000000001</v>
      </c>
    </row>
    <row r="14" spans="2:44" x14ac:dyDescent="0.2">
      <c r="B14" s="2" t="str">
        <f>_xlfn.XLOOKUP(Moult1[[#This Row],[Metodo]],TbSolver[Metodo],TbSolver[Solver])</f>
        <v>Adams Bashford Moulton</v>
      </c>
      <c r="C14" s="2" t="str">
        <f>_xlfn.XLOOKUP(Moult1[[#This Row],[Hebras]],TbTecnologia[Hebras],TbTecnologia[Tecnología])</f>
        <v>OMP</v>
      </c>
      <c r="D14" s="2" t="str" cm="1">
        <f t="array" ref="D14">_xlfn.XLOOKUP(Moult1[[#This Row],[Tecnología]]&amp;Moult1[[#This Row],[Metodo]],TbTipos[Tecnología]&amp;TbTipos[Metodo],TbTipos[Tipo])</f>
        <v>OMP Elementos</v>
      </c>
      <c r="E14" s="2" t="str" cm="1">
        <f t="array" ref="E14">_xlfn.XLOOKUP(Moult1[[#This Row],[Tecnología]]&amp;Moult1[[#This Row],[Problema]],TbNombres[Tecnología]&amp;TbNombres[Problema],TbNombres[Nombre])</f>
        <v>Simple Advdiff</v>
      </c>
      <c r="F14" s="2">
        <v>6</v>
      </c>
      <c r="G14" s="2">
        <v>1</v>
      </c>
      <c r="H14" s="2">
        <v>16</v>
      </c>
      <c r="I14" s="2">
        <v>100</v>
      </c>
      <c r="J14" s="2">
        <v>100</v>
      </c>
      <c r="K14" s="2">
        <v>39.554499999999997</v>
      </c>
      <c r="M14" s="2" t="str">
        <f>_xlfn.XLOOKUP(Moult2[[#This Row],[Metodo]],TbSolver[Metodo],TbSolver[Solver])</f>
        <v>Adams Bashford Moulton</v>
      </c>
      <c r="N14" s="2" t="str">
        <f>_xlfn.XLOOKUP(Moult2[[#This Row],[Hebras]],TbTecnologia[Hebras],TbTecnologia[Tecnología])</f>
        <v>OMP</v>
      </c>
      <c r="O14" s="2" t="str" cm="1">
        <f t="array" ref="O14">_xlfn.XLOOKUP(Moult2[[#This Row],[Tecnología]]&amp;Moult2[[#This Row],[Metodo]],TbTipos[Tecnología]&amp;TbTipos[Metodo],TbTipos[Tipo])</f>
        <v>OMP Elementos</v>
      </c>
      <c r="P14" s="2" t="str" cm="1">
        <f t="array" ref="P14">_xlfn.XLOOKUP(Moult2[[#This Row],[Tecnología]]&amp;Moult2[[#This Row],[Problema]],TbNombres[Tecnología]&amp;TbNombres[Problema],TbNombres[Nombre])</f>
        <v>Advdiff1d</v>
      </c>
      <c r="Q14" s="2">
        <v>6</v>
      </c>
      <c r="R14" s="2">
        <v>2</v>
      </c>
      <c r="S14" s="2">
        <v>16</v>
      </c>
      <c r="T14" s="2">
        <v>100</v>
      </c>
      <c r="U14" s="2">
        <v>100</v>
      </c>
      <c r="V14" s="2">
        <v>33.165700000000001</v>
      </c>
      <c r="X14" s="2" t="str">
        <f>_xlfn.XLOOKUP(Moult3[[#This Row],[Metodo]],TbSolver[Metodo],TbSolver[Solver])</f>
        <v>Adams Bashford Moulton</v>
      </c>
      <c r="Y14" s="2" t="str">
        <f>_xlfn.XLOOKUP(Moult3[[#This Row],[Hebras]],TbTecnologia[Hebras],TbTecnologia[Tecnología])</f>
        <v>CUDA</v>
      </c>
      <c r="Z14" s="2" t="str" cm="1">
        <f t="array" ref="Z14">_xlfn.XLOOKUP(Moult3[[#This Row],[Tecnología]]&amp;Moult3[[#This Row],[Metodo]],TbTipos[Tecnología]&amp;TbTipos[Metodo],TbTipos[Tipo])</f>
        <v>CUDA sin graph</v>
      </c>
      <c r="AA14" s="2" t="str" cm="1">
        <f t="array" ref="AA14">_xlfn.XLOOKUP(Moult3[[#This Row],[Tecnología]]&amp;Moult3[[#This Row],[Problema]],TbNombres[Tecnología]&amp;TbNombres[Problema],TbNombres[Nombre])</f>
        <v>Brusselator1d grid</v>
      </c>
      <c r="AB14" s="2">
        <v>5</v>
      </c>
      <c r="AC14" s="2">
        <v>7</v>
      </c>
      <c r="AD14" s="2">
        <v>256</v>
      </c>
      <c r="AE14" s="2">
        <v>100</v>
      </c>
      <c r="AF14" s="2">
        <v>200</v>
      </c>
      <c r="AG14" s="2">
        <v>14.5009</v>
      </c>
      <c r="AI14" s="2" t="str">
        <f>_xlfn.XLOOKUP(Moult4[[#This Row],[Metodo]],TbSolver[Metodo],TbSolver[Solver])</f>
        <v>Adams Bashford Moulton</v>
      </c>
      <c r="AJ14" s="2" t="str">
        <f>_xlfn.XLOOKUP(Moult4[[#This Row],[Hebras]],TbTecnologia[Hebras],TbTecnologia[Tecnología])</f>
        <v>OMP</v>
      </c>
      <c r="AK14" s="2" t="str" cm="1">
        <f t="array" ref="AK14">_xlfn.XLOOKUP(Moult4[[#This Row],[Tecnología]]&amp;Moult4[[#This Row],[Metodo]],TbTipos[Tecnología]&amp;TbTipos[Metodo],TbTipos[Tipo])</f>
        <v>OMP Operaciones</v>
      </c>
      <c r="AL14" s="2" t="str" cm="1">
        <f t="array" ref="AL14">_xlfn.XLOOKUP(Moult4[[#This Row],[Tecnología]]&amp;Moult4[[#This Row],[Problema]],TbNombres[Tecnología]&amp;TbNombres[Problema],TbNombres[Nombre])</f>
        <v>Brusselator2d</v>
      </c>
      <c r="AM14" s="4">
        <v>5</v>
      </c>
      <c r="AN14" s="4">
        <v>4</v>
      </c>
      <c r="AO14" s="4">
        <v>16</v>
      </c>
      <c r="AP14" s="4">
        <v>25</v>
      </c>
      <c r="AQ14" s="4">
        <v>1250</v>
      </c>
      <c r="AR14" s="4">
        <v>92.138099999999994</v>
      </c>
    </row>
    <row r="15" spans="2:44" x14ac:dyDescent="0.2">
      <c r="B15" s="2" t="str">
        <f>_xlfn.XLOOKUP(Moult1[[#This Row],[Metodo]],TbSolver[Metodo],TbSolver[Solver])</f>
        <v>Adams Bashford Moulton</v>
      </c>
      <c r="C15" s="2" t="str">
        <f>_xlfn.XLOOKUP(Moult1[[#This Row],[Hebras]],TbTecnologia[Hebras],TbTecnologia[Tecnología])</f>
        <v>OMP</v>
      </c>
      <c r="D15" s="2" t="str" cm="1">
        <f t="array" ref="D15">_xlfn.XLOOKUP(Moult1[[#This Row],[Tecnología]]&amp;Moult1[[#This Row],[Metodo]],TbTipos[Tecnología]&amp;TbTipos[Metodo],TbTipos[Tipo])</f>
        <v>OMP Operaciones</v>
      </c>
      <c r="E15" s="2" t="str" cm="1">
        <f t="array" ref="E15">_xlfn.XLOOKUP(Moult1[[#This Row],[Tecnología]]&amp;Moult1[[#This Row],[Problema]],TbNombres[Tecnología]&amp;TbNombres[Problema],TbNombres[Nombre])</f>
        <v>Simple Advdiff</v>
      </c>
      <c r="F15" s="2">
        <v>5</v>
      </c>
      <c r="G15" s="2">
        <v>1</v>
      </c>
      <c r="H15" s="2">
        <v>4</v>
      </c>
      <c r="I15" s="2">
        <v>100</v>
      </c>
      <c r="J15" s="2">
        <v>100</v>
      </c>
      <c r="K15" s="2">
        <v>43.716000000000001</v>
      </c>
      <c r="M15" s="2" t="str">
        <f>_xlfn.XLOOKUP(Moult2[[#This Row],[Metodo]],TbSolver[Metodo],TbSolver[Solver])</f>
        <v>Adams Bashford Moulton</v>
      </c>
      <c r="N15" s="2" t="str">
        <f>_xlfn.XLOOKUP(Moult2[[#This Row],[Hebras]],TbTecnologia[Hebras],TbTecnologia[Tecnología])</f>
        <v>OMP</v>
      </c>
      <c r="O15" s="2" t="str" cm="1">
        <f t="array" ref="O15">_xlfn.XLOOKUP(Moult2[[#This Row],[Tecnología]]&amp;Moult2[[#This Row],[Metodo]],TbTipos[Tecnología]&amp;TbTipos[Metodo],TbTipos[Tipo])</f>
        <v>OMP Operaciones</v>
      </c>
      <c r="P15" s="2" t="str" cm="1">
        <f t="array" ref="P15">_xlfn.XLOOKUP(Moult2[[#This Row],[Tecnología]]&amp;Moult2[[#This Row],[Problema]],TbNombres[Tecnología]&amp;TbNombres[Problema],TbNombres[Nombre])</f>
        <v>Advdiff1d</v>
      </c>
      <c r="Q15" s="2">
        <v>5</v>
      </c>
      <c r="R15" s="2">
        <v>2</v>
      </c>
      <c r="S15" s="2">
        <v>4</v>
      </c>
      <c r="T15" s="2">
        <v>100</v>
      </c>
      <c r="U15" s="2">
        <v>100</v>
      </c>
      <c r="V15" s="2">
        <v>59.247900000000001</v>
      </c>
      <c r="X15" s="2" t="str">
        <f>_xlfn.XLOOKUP(Moult3[[#This Row],[Metodo]],TbSolver[Metodo],TbSolver[Solver])</f>
        <v>Adams Bashford Moulton</v>
      </c>
      <c r="Y15" s="2" t="str">
        <f>_xlfn.XLOOKUP(Moult3[[#This Row],[Hebras]],TbTecnologia[Hebras],TbTecnologia[Tecnología])</f>
        <v>CUDA</v>
      </c>
      <c r="Z15" s="2" t="str" cm="1">
        <f t="array" ref="Z15">_xlfn.XLOOKUP(Moult3[[#This Row],[Tecnología]]&amp;Moult3[[#This Row],[Metodo]],TbTipos[Tecnología]&amp;TbTipos[Metodo],TbTipos[Tipo])</f>
        <v>CUDA sin graph</v>
      </c>
      <c r="AA15" s="2" t="str" cm="1">
        <f t="array" ref="AA15">_xlfn.XLOOKUP(Moult3[[#This Row],[Tecnología]]&amp;Moult3[[#This Row],[Problema]],TbNombres[Tecnología]&amp;TbNombres[Problema],TbNombres[Nombre])</f>
        <v>Brusselator1d shuffle</v>
      </c>
      <c r="AB15" s="2">
        <v>5</v>
      </c>
      <c r="AC15" s="2">
        <v>6</v>
      </c>
      <c r="AD15" s="2">
        <v>256</v>
      </c>
      <c r="AE15" s="2">
        <v>100</v>
      </c>
      <c r="AF15" s="2">
        <v>200</v>
      </c>
      <c r="AG15" s="2">
        <v>14.540699999999999</v>
      </c>
      <c r="AI15" s="2" t="str">
        <f>_xlfn.XLOOKUP(Moult4[[#This Row],[Metodo]],TbSolver[Metodo],TbSolver[Solver])</f>
        <v>Adams Bashford Moulton</v>
      </c>
      <c r="AJ15" s="2" t="str">
        <f>_xlfn.XLOOKUP(Moult4[[#This Row],[Hebras]],TbTecnologia[Hebras],TbTecnologia[Tecnología])</f>
        <v>CUDA</v>
      </c>
      <c r="AK15" s="2" t="str" cm="1">
        <f t="array" ref="AK15">_xlfn.XLOOKUP(Moult4[[#This Row],[Tecnología]]&amp;Moult4[[#This Row],[Metodo]],TbTipos[Tecnología]&amp;TbTipos[Metodo],TbTipos[Tipo])</f>
        <v>CUDA con graph</v>
      </c>
      <c r="AL15" s="2" t="str" cm="1">
        <f t="array" ref="AL15">_xlfn.XLOOKUP(Moult4[[#This Row],[Tecnología]]&amp;Moult4[[#This Row],[Problema]],TbNombres[Tecnología]&amp;TbNombres[Problema],TbNombres[Nombre])</f>
        <v>Brusselator2d</v>
      </c>
      <c r="AM15" s="2">
        <v>6</v>
      </c>
      <c r="AN15" s="2">
        <v>8</v>
      </c>
      <c r="AO15" s="2">
        <v>256</v>
      </c>
      <c r="AP15" s="2">
        <v>50</v>
      </c>
      <c r="AQ15" s="2">
        <v>5000</v>
      </c>
      <c r="AR15" s="2">
        <v>15.341100000000001</v>
      </c>
    </row>
    <row r="16" spans="2:44" x14ac:dyDescent="0.2">
      <c r="B16" s="2" t="str">
        <f>_xlfn.XLOOKUP(Moult1[[#This Row],[Metodo]],TbSolver[Metodo],TbSolver[Solver])</f>
        <v>Adams Bashford Moulton</v>
      </c>
      <c r="C16" s="2" t="str">
        <f>_xlfn.XLOOKUP(Moult1[[#This Row],[Hebras]],TbTecnologia[Hebras],TbTecnologia[Tecnología])</f>
        <v>OMP</v>
      </c>
      <c r="D16" s="2" t="str" cm="1">
        <f t="array" ref="D16">_xlfn.XLOOKUP(Moult1[[#This Row],[Tecnología]]&amp;Moult1[[#This Row],[Metodo]],TbTipos[Tecnología]&amp;TbTipos[Metodo],TbTipos[Tipo])</f>
        <v>OMP Operaciones</v>
      </c>
      <c r="E16" s="2" t="str" cm="1">
        <f t="array" ref="E16">_xlfn.XLOOKUP(Moult1[[#This Row],[Tecnología]]&amp;Moult1[[#This Row],[Problema]],TbNombres[Tecnología]&amp;TbNombres[Problema],TbNombres[Nombre])</f>
        <v>Simple Advdiff</v>
      </c>
      <c r="F16" s="2">
        <v>5</v>
      </c>
      <c r="G16" s="2">
        <v>1</v>
      </c>
      <c r="H16" s="2">
        <v>16</v>
      </c>
      <c r="I16" s="2">
        <v>100</v>
      </c>
      <c r="J16" s="2">
        <v>100</v>
      </c>
      <c r="K16" s="2">
        <v>112.265</v>
      </c>
      <c r="M16" s="2" t="str">
        <f>_xlfn.XLOOKUP(Moult2[[#This Row],[Metodo]],TbSolver[Metodo],TbSolver[Solver])</f>
        <v>Adams Bashford Moulton</v>
      </c>
      <c r="N16" s="2" t="str">
        <f>_xlfn.XLOOKUP(Moult2[[#This Row],[Hebras]],TbTecnologia[Hebras],TbTecnologia[Tecnología])</f>
        <v>OMP</v>
      </c>
      <c r="O16" s="2" t="str" cm="1">
        <f t="array" ref="O16">_xlfn.XLOOKUP(Moult2[[#This Row],[Tecnología]]&amp;Moult2[[#This Row],[Metodo]],TbTipos[Tecnología]&amp;TbTipos[Metodo],TbTipos[Tipo])</f>
        <v>OMP Operaciones</v>
      </c>
      <c r="P16" s="2" t="str" cm="1">
        <f t="array" ref="P16">_xlfn.XLOOKUP(Moult2[[#This Row],[Tecnología]]&amp;Moult2[[#This Row],[Problema]],TbNombres[Tecnología]&amp;TbNombres[Problema],TbNombres[Nombre])</f>
        <v>Advdiff1d</v>
      </c>
      <c r="Q16" s="2">
        <v>5</v>
      </c>
      <c r="R16" s="2">
        <v>2</v>
      </c>
      <c r="S16" s="2">
        <v>16</v>
      </c>
      <c r="T16" s="2">
        <v>100</v>
      </c>
      <c r="U16" s="2">
        <v>100</v>
      </c>
      <c r="V16" s="2">
        <v>139.191</v>
      </c>
      <c r="X16" s="2" t="str">
        <f>_xlfn.XLOOKUP(Moult3[[#This Row],[Metodo]],TbSolver[Metodo],TbSolver[Solver])</f>
        <v>Adams Bashford Moulton</v>
      </c>
      <c r="Y16" s="2" t="str">
        <f>_xlfn.XLOOKUP(Moult3[[#This Row],[Hebras]],TbTecnologia[Hebras],TbTecnologia[Tecnología])</f>
        <v>OMP</v>
      </c>
      <c r="Z16" s="2" t="str" cm="1">
        <f t="array" ref="Z16">_xlfn.XLOOKUP(Moult3[[#This Row],[Tecnología]]&amp;Moult3[[#This Row],[Metodo]],TbTipos[Tecnología]&amp;TbTipos[Metodo],TbTipos[Tipo])</f>
        <v>OMP Elementos</v>
      </c>
      <c r="AA16" s="2" t="str" cm="1">
        <f t="array" ref="AA16">_xlfn.XLOOKUP(Moult3[[#This Row],[Tecnología]]&amp;Moult3[[#This Row],[Problema]],TbNombres[Tecnología]&amp;TbNombres[Problema],TbNombres[Nombre])</f>
        <v>Brusselator1d</v>
      </c>
      <c r="AB16" s="2">
        <v>6</v>
      </c>
      <c r="AC16" s="2">
        <v>3</v>
      </c>
      <c r="AD16" s="2">
        <v>16</v>
      </c>
      <c r="AE16" s="2">
        <v>100</v>
      </c>
      <c r="AF16" s="2">
        <v>200</v>
      </c>
      <c r="AG16" s="2">
        <v>38.313299999999998</v>
      </c>
      <c r="AI16" s="2" t="str">
        <f>_xlfn.XLOOKUP(Moult4[[#This Row],[Metodo]],TbSolver[Metodo],TbSolver[Solver])</f>
        <v>Adams Bashford Moulton</v>
      </c>
      <c r="AJ16" s="2" t="str">
        <f>_xlfn.XLOOKUP(Moult4[[#This Row],[Hebras]],TbTecnologia[Hebras],TbTecnologia[Tecnología])</f>
        <v>CUDA</v>
      </c>
      <c r="AK16" s="2" t="str" cm="1">
        <f t="array" ref="AK16">_xlfn.XLOOKUP(Moult4[[#This Row],[Tecnología]]&amp;Moult4[[#This Row],[Metodo]],TbTipos[Tecnología]&amp;TbTipos[Metodo],TbTipos[Tipo])</f>
        <v>CUDA con graph</v>
      </c>
      <c r="AL16" s="2" t="str" cm="1">
        <f t="array" ref="AL16">_xlfn.XLOOKUP(Moult4[[#This Row],[Tecnología]]&amp;Moult4[[#This Row],[Problema]],TbNombres[Tecnología]&amp;TbNombres[Problema],TbNombres[Nombre])</f>
        <v>Brusselator2d shuffle</v>
      </c>
      <c r="AM16" s="2">
        <v>6</v>
      </c>
      <c r="AN16" s="2">
        <v>9</v>
      </c>
      <c r="AO16" s="2">
        <v>256</v>
      </c>
      <c r="AP16" s="2">
        <v>50</v>
      </c>
      <c r="AQ16" s="2">
        <v>5000</v>
      </c>
      <c r="AR16" s="2">
        <v>15.3935</v>
      </c>
    </row>
    <row r="17" spans="2:44" x14ac:dyDescent="0.2">
      <c r="B17" s="2" t="str">
        <f>_xlfn.XLOOKUP(Moult1[[#This Row],[Metodo]],TbSolver[Metodo],TbSolver[Solver])</f>
        <v>Adams Bashford Moulton</v>
      </c>
      <c r="C17" s="2" t="str">
        <f>_xlfn.XLOOKUP(Moult1[[#This Row],[Hebras]],TbTecnologia[Hebras],TbTecnologia[Tecnología])</f>
        <v>OMP</v>
      </c>
      <c r="D17" s="2" t="str" cm="1">
        <f t="array" ref="D17">_xlfn.XLOOKUP(Moult1[[#This Row],[Tecnología]]&amp;Moult1[[#This Row],[Metodo]],TbTipos[Tecnología]&amp;TbTipos[Metodo],TbTipos[Tipo])</f>
        <v>OMP Operaciones</v>
      </c>
      <c r="E17" s="2" t="str" cm="1">
        <f t="array" ref="E17">_xlfn.XLOOKUP(Moult1[[#This Row],[Tecnología]]&amp;Moult1[[#This Row],[Problema]],TbNombres[Tecnología]&amp;TbNombres[Problema],TbNombres[Nombre])</f>
        <v>Simple Advdiff</v>
      </c>
      <c r="F17" s="2">
        <v>5</v>
      </c>
      <c r="G17" s="2">
        <v>1</v>
      </c>
      <c r="H17" s="2">
        <v>1</v>
      </c>
      <c r="I17" s="2">
        <v>200</v>
      </c>
      <c r="J17" s="2">
        <v>200</v>
      </c>
      <c r="K17" s="2">
        <v>5.1783299999999999</v>
      </c>
      <c r="M17" s="2" t="str">
        <f>_xlfn.XLOOKUP(Moult2[[#This Row],[Metodo]],TbSolver[Metodo],TbSolver[Solver])</f>
        <v>Adams Bashford Moulton</v>
      </c>
      <c r="N17" s="2" t="str">
        <f>_xlfn.XLOOKUP(Moult2[[#This Row],[Hebras]],TbTecnologia[Hebras],TbTecnologia[Tecnología])</f>
        <v>OMP</v>
      </c>
      <c r="O17" s="2" t="str" cm="1">
        <f t="array" ref="O17">_xlfn.XLOOKUP(Moult2[[#This Row],[Tecnología]]&amp;Moult2[[#This Row],[Metodo]],TbTipos[Tecnología]&amp;TbTipos[Metodo],TbTipos[Tipo])</f>
        <v>OMP Elementos</v>
      </c>
      <c r="P17" s="2" t="str" cm="1">
        <f t="array" ref="P17">_xlfn.XLOOKUP(Moult2[[#This Row],[Tecnología]]&amp;Moult2[[#This Row],[Problema]],TbNombres[Tecnología]&amp;TbNombres[Problema],TbNombres[Nombre])</f>
        <v>Advdiff1d</v>
      </c>
      <c r="Q17" s="2">
        <v>6</v>
      </c>
      <c r="R17" s="2">
        <v>2</v>
      </c>
      <c r="S17" s="2">
        <v>4</v>
      </c>
      <c r="T17" s="2">
        <v>200</v>
      </c>
      <c r="U17" s="2">
        <v>200</v>
      </c>
      <c r="V17" s="2">
        <v>13.9816</v>
      </c>
      <c r="X17" s="2" t="str">
        <f>_xlfn.XLOOKUP(Moult3[[#This Row],[Metodo]],TbSolver[Metodo],TbSolver[Solver])</f>
        <v>Adams Bashford Moulton</v>
      </c>
      <c r="Y17" s="2" t="str">
        <f>_xlfn.XLOOKUP(Moult3[[#This Row],[Hebras]],TbTecnologia[Hebras],TbTecnologia[Tecnología])</f>
        <v>OMP</v>
      </c>
      <c r="Z17" s="2" t="str" cm="1">
        <f t="array" ref="Z17">_xlfn.XLOOKUP(Moult3[[#This Row],[Tecnología]]&amp;Moult3[[#This Row],[Metodo]],TbTipos[Tecnología]&amp;TbTipos[Metodo],TbTipos[Tipo])</f>
        <v>OMP Operaciones</v>
      </c>
      <c r="AA17" s="2" t="str" cm="1">
        <f t="array" ref="AA17">_xlfn.XLOOKUP(Moult3[[#This Row],[Tecnología]]&amp;Moult3[[#This Row],[Problema]],TbNombres[Tecnología]&amp;TbNombres[Problema],TbNombres[Nombre])</f>
        <v>Brusselator1d</v>
      </c>
      <c r="AB17" s="2">
        <v>5</v>
      </c>
      <c r="AC17" s="2">
        <v>3</v>
      </c>
      <c r="AD17" s="2">
        <v>4</v>
      </c>
      <c r="AE17" s="2">
        <v>100</v>
      </c>
      <c r="AF17" s="2">
        <v>200</v>
      </c>
      <c r="AG17" s="2">
        <v>45.3827</v>
      </c>
      <c r="AI17" s="2" t="str">
        <f>_xlfn.XLOOKUP(Moult4[[#This Row],[Metodo]],TbSolver[Metodo],TbSolver[Solver])</f>
        <v>Adams Bashford Moulton</v>
      </c>
      <c r="AJ17" s="2" t="str">
        <f>_xlfn.XLOOKUP(Moult4[[#This Row],[Hebras]],TbTecnologia[Hebras],TbTecnologia[Tecnología])</f>
        <v>CUDA</v>
      </c>
      <c r="AK17" s="2" t="str" cm="1">
        <f t="array" ref="AK17">_xlfn.XLOOKUP(Moult4[[#This Row],[Tecnología]]&amp;Moult4[[#This Row],[Metodo]],TbTipos[Tecnología]&amp;TbTipos[Metodo],TbTipos[Tipo])</f>
        <v>CUDA sin graph</v>
      </c>
      <c r="AL17" s="2" t="str" cm="1">
        <f t="array" ref="AL17">_xlfn.XLOOKUP(Moult4[[#This Row],[Tecnología]]&amp;Moult4[[#This Row],[Problema]],TbNombres[Tecnología]&amp;TbNombres[Problema],TbNombres[Nombre])</f>
        <v>Brusselator2d shuffle</v>
      </c>
      <c r="AM17" s="2">
        <v>5</v>
      </c>
      <c r="AN17" s="2">
        <v>9</v>
      </c>
      <c r="AO17" s="2">
        <v>256</v>
      </c>
      <c r="AP17" s="2">
        <v>50</v>
      </c>
      <c r="AQ17" s="2">
        <v>5000</v>
      </c>
      <c r="AR17" s="2">
        <v>15.685700000000001</v>
      </c>
    </row>
    <row r="18" spans="2:44" x14ac:dyDescent="0.2">
      <c r="B18" s="2" t="str">
        <f>_xlfn.XLOOKUP(Moult1[[#This Row],[Metodo]],TbSolver[Metodo],TbSolver[Solver])</f>
        <v>Adams Bashford Moulton</v>
      </c>
      <c r="C18" s="2" t="str">
        <f>_xlfn.XLOOKUP(Moult1[[#This Row],[Hebras]],TbTecnologia[Hebras],TbTecnologia[Tecnología])</f>
        <v>OMP</v>
      </c>
      <c r="D18" s="2" t="str" cm="1">
        <f t="array" ref="D18">_xlfn.XLOOKUP(Moult1[[#This Row],[Tecnología]]&amp;Moult1[[#This Row],[Metodo]],TbTipos[Tecnología]&amp;TbTipos[Metodo],TbTipos[Tipo])</f>
        <v>OMP Elementos</v>
      </c>
      <c r="E18" s="2" t="str" cm="1">
        <f t="array" ref="E18">_xlfn.XLOOKUP(Moult1[[#This Row],[Tecnología]]&amp;Moult1[[#This Row],[Problema]],TbNombres[Tecnología]&amp;TbNombres[Problema],TbNombres[Nombre])</f>
        <v>Simple Advdiff</v>
      </c>
      <c r="F18" s="2">
        <v>6</v>
      </c>
      <c r="G18" s="2">
        <v>1</v>
      </c>
      <c r="H18" s="2">
        <v>1</v>
      </c>
      <c r="I18" s="2">
        <v>200</v>
      </c>
      <c r="J18" s="2">
        <v>200</v>
      </c>
      <c r="K18" s="2">
        <v>5.5153400000000001</v>
      </c>
      <c r="M18" s="2" t="str">
        <f>_xlfn.XLOOKUP(Moult2[[#This Row],[Metodo]],TbSolver[Metodo],TbSolver[Solver])</f>
        <v>Adams Bashford Moulton</v>
      </c>
      <c r="N18" s="2" t="str">
        <f>_xlfn.XLOOKUP(Moult2[[#This Row],[Hebras]],TbTecnologia[Hebras],TbTecnologia[Tecnología])</f>
        <v>OMP</v>
      </c>
      <c r="O18" s="2" t="str" cm="1">
        <f t="array" ref="O18">_xlfn.XLOOKUP(Moult2[[#This Row],[Tecnología]]&amp;Moult2[[#This Row],[Metodo]],TbTipos[Tecnología]&amp;TbTipos[Metodo],TbTipos[Tipo])</f>
        <v>OMP Operaciones</v>
      </c>
      <c r="P18" s="2" t="str" cm="1">
        <f t="array" ref="P18">_xlfn.XLOOKUP(Moult2[[#This Row],[Tecnología]]&amp;Moult2[[#This Row],[Problema]],TbNombres[Tecnología]&amp;TbNombres[Problema],TbNombres[Nombre])</f>
        <v>Advdiff1d</v>
      </c>
      <c r="Q18" s="2">
        <v>5</v>
      </c>
      <c r="R18" s="2">
        <v>2</v>
      </c>
      <c r="S18" s="2">
        <v>1</v>
      </c>
      <c r="T18" s="2">
        <v>200</v>
      </c>
      <c r="U18" s="2">
        <v>200</v>
      </c>
      <c r="V18" s="2">
        <v>18.9529</v>
      </c>
      <c r="X18" s="2" t="str">
        <f>_xlfn.XLOOKUP(Moult3[[#This Row],[Metodo]],TbSolver[Metodo],TbSolver[Solver])</f>
        <v>Adams Bashford Moulton</v>
      </c>
      <c r="Y18" s="2" t="str">
        <f>_xlfn.XLOOKUP(Moult3[[#This Row],[Hebras]],TbTecnologia[Hebras],TbTecnologia[Tecnología])</f>
        <v>OMP</v>
      </c>
      <c r="Z18" s="2" t="str" cm="1">
        <f t="array" ref="Z18">_xlfn.XLOOKUP(Moult3[[#This Row],[Tecnología]]&amp;Moult3[[#This Row],[Metodo]],TbTipos[Tecnología]&amp;TbTipos[Metodo],TbTipos[Tipo])</f>
        <v>OMP Operaciones</v>
      </c>
      <c r="AA18" s="2" t="str" cm="1">
        <f t="array" ref="AA18">_xlfn.XLOOKUP(Moult3[[#This Row],[Tecnología]]&amp;Moult3[[#This Row],[Problema]],TbNombres[Tecnología]&amp;TbNombres[Problema],TbNombres[Nombre])</f>
        <v>Brusselator1d</v>
      </c>
      <c r="AB18" s="2">
        <v>5</v>
      </c>
      <c r="AC18" s="2">
        <v>3</v>
      </c>
      <c r="AD18" s="2">
        <v>16</v>
      </c>
      <c r="AE18" s="2">
        <v>100</v>
      </c>
      <c r="AF18" s="2">
        <v>200</v>
      </c>
      <c r="AG18" s="2">
        <v>103.395</v>
      </c>
      <c r="AI18" s="2" t="str">
        <f>_xlfn.XLOOKUP(Moult4[[#This Row],[Metodo]],TbSolver[Metodo],TbSolver[Solver])</f>
        <v>Adams Bashford Moulton</v>
      </c>
      <c r="AJ18" s="2" t="str">
        <f>_xlfn.XLOOKUP(Moult4[[#This Row],[Hebras]],TbTecnologia[Hebras],TbTecnologia[Tecnología])</f>
        <v>CUDA</v>
      </c>
      <c r="AK18" s="2" t="str" cm="1">
        <f t="array" ref="AK18">_xlfn.XLOOKUP(Moult4[[#This Row],[Tecnología]]&amp;Moult4[[#This Row],[Metodo]],TbTipos[Tecnología]&amp;TbTipos[Metodo],TbTipos[Tipo])</f>
        <v>CUDA sin graph</v>
      </c>
      <c r="AL18" s="2" t="str" cm="1">
        <f t="array" ref="AL18">_xlfn.XLOOKUP(Moult4[[#This Row],[Tecnología]]&amp;Moult4[[#This Row],[Problema]],TbNombres[Tecnología]&amp;TbNombres[Problema],TbNombres[Nombre])</f>
        <v>Brusselator2d</v>
      </c>
      <c r="AM18" s="2">
        <v>5</v>
      </c>
      <c r="AN18" s="2">
        <v>8</v>
      </c>
      <c r="AO18" s="2">
        <v>256</v>
      </c>
      <c r="AP18" s="2">
        <v>50</v>
      </c>
      <c r="AQ18" s="2">
        <v>5000</v>
      </c>
      <c r="AR18" s="2">
        <v>15.7544</v>
      </c>
    </row>
    <row r="19" spans="2:44" x14ac:dyDescent="0.2">
      <c r="B19" s="2" t="str">
        <f>_xlfn.XLOOKUP(Moult1[[#This Row],[Metodo]],TbSolver[Metodo],TbSolver[Solver])</f>
        <v>Adams Bashford Moulton</v>
      </c>
      <c r="C19" s="2" t="str">
        <f>_xlfn.XLOOKUP(Moult1[[#This Row],[Hebras]],TbTecnologia[Hebras],TbTecnologia[Tecnología])</f>
        <v>OMP</v>
      </c>
      <c r="D19" s="2" t="str" cm="1">
        <f t="array" ref="D19">_xlfn.XLOOKUP(Moult1[[#This Row],[Tecnología]]&amp;Moult1[[#This Row],[Metodo]],TbTipos[Tecnología]&amp;TbTipos[Metodo],TbTipos[Tipo])</f>
        <v>OMP Elementos</v>
      </c>
      <c r="E19" s="2" t="str" cm="1">
        <f t="array" ref="E19">_xlfn.XLOOKUP(Moult1[[#This Row],[Tecnología]]&amp;Moult1[[#This Row],[Problema]],TbNombres[Tecnología]&amp;TbNombres[Problema],TbNombres[Nombre])</f>
        <v>Simple Advdiff</v>
      </c>
      <c r="F19" s="2">
        <v>6</v>
      </c>
      <c r="G19" s="2">
        <v>1</v>
      </c>
      <c r="H19" s="2">
        <v>4</v>
      </c>
      <c r="I19" s="2">
        <v>200</v>
      </c>
      <c r="J19" s="2">
        <v>200</v>
      </c>
      <c r="K19" s="2">
        <v>9.2685300000000002</v>
      </c>
      <c r="M19" s="2" t="str">
        <f>_xlfn.XLOOKUP(Moult2[[#This Row],[Metodo]],TbSolver[Metodo],TbSolver[Solver])</f>
        <v>Adams Bashford Moulton</v>
      </c>
      <c r="N19" s="2" t="str">
        <f>_xlfn.XLOOKUP(Moult2[[#This Row],[Hebras]],TbTecnologia[Hebras],TbTecnologia[Tecnología])</f>
        <v>OMP</v>
      </c>
      <c r="O19" s="2" t="str" cm="1">
        <f t="array" ref="O19">_xlfn.XLOOKUP(Moult2[[#This Row],[Tecnología]]&amp;Moult2[[#This Row],[Metodo]],TbTipos[Tecnología]&amp;TbTipos[Metodo],TbTipos[Tipo])</f>
        <v>OMP Elementos</v>
      </c>
      <c r="P19" s="2" t="str" cm="1">
        <f t="array" ref="P19">_xlfn.XLOOKUP(Moult2[[#This Row],[Tecnología]]&amp;Moult2[[#This Row],[Problema]],TbNombres[Tecnología]&amp;TbNombres[Problema],TbNombres[Nombre])</f>
        <v>Advdiff1d</v>
      </c>
      <c r="Q19" s="2">
        <v>6</v>
      </c>
      <c r="R19" s="2">
        <v>2</v>
      </c>
      <c r="S19" s="2">
        <v>1</v>
      </c>
      <c r="T19" s="2">
        <v>200</v>
      </c>
      <c r="U19" s="2">
        <v>200</v>
      </c>
      <c r="V19" s="2">
        <v>19.096499999999999</v>
      </c>
      <c r="X19" s="2" t="str">
        <f>_xlfn.XLOOKUP(Moult3[[#This Row],[Metodo]],TbSolver[Metodo],TbSolver[Solver])</f>
        <v>Adams Bashford Moulton</v>
      </c>
      <c r="Y19" s="2" t="str">
        <f>_xlfn.XLOOKUP(Moult3[[#This Row],[Hebras]],TbTecnologia[Hebras],TbTecnologia[Tecnología])</f>
        <v>OMP</v>
      </c>
      <c r="Z19" s="2" t="str" cm="1">
        <f t="array" ref="Z19">_xlfn.XLOOKUP(Moult3[[#This Row],[Tecnología]]&amp;Moult3[[#This Row],[Metodo]],TbTipos[Tecnología]&amp;TbTipos[Metodo],TbTipos[Tipo])</f>
        <v>OMP Operaciones</v>
      </c>
      <c r="AA19" s="2" t="str" cm="1">
        <f t="array" ref="AA19">_xlfn.XLOOKUP(Moult3[[#This Row],[Tecnología]]&amp;Moult3[[#This Row],[Problema]],TbNombres[Tecnología]&amp;TbNombres[Problema],TbNombres[Nombre])</f>
        <v>Brusselator1d</v>
      </c>
      <c r="AB19" s="2">
        <v>5</v>
      </c>
      <c r="AC19" s="2">
        <v>3</v>
      </c>
      <c r="AD19" s="2">
        <v>1</v>
      </c>
      <c r="AE19" s="2">
        <v>200</v>
      </c>
      <c r="AF19" s="2">
        <v>400</v>
      </c>
      <c r="AG19" s="2">
        <v>8.7159899999999997</v>
      </c>
      <c r="AI19" s="4" t="str">
        <f>_xlfn.XLOOKUP(Moult4[[#This Row],[Metodo]],TbSolver[Metodo],TbSolver[Solver])</f>
        <v>Adams Bashford Moulton</v>
      </c>
      <c r="AJ19" s="4" t="str">
        <f>_xlfn.XLOOKUP(Moult4[[#This Row],[Hebras]],TbTecnologia[Hebras],TbTecnologia[Tecnología])</f>
        <v>OMP</v>
      </c>
      <c r="AK19" s="4" t="str" cm="1">
        <f t="array" ref="AK19">_xlfn.XLOOKUP(Moult4[[#This Row],[Tecnología]]&amp;Moult4[[#This Row],[Metodo]],TbTipos[Tecnología]&amp;TbTipos[Metodo],TbTipos[Tipo])</f>
        <v>OMP Operaciones</v>
      </c>
      <c r="AL19" s="4" t="str" cm="1">
        <f t="array" ref="AL19">_xlfn.XLOOKUP(Moult4[[#This Row],[Tecnología]]&amp;Moult4[[#This Row],[Problema]],TbNombres[Tecnología]&amp;TbNombres[Problema],TbNombres[Nombre])</f>
        <v>Brusselator2d</v>
      </c>
      <c r="AM19" s="4">
        <v>5</v>
      </c>
      <c r="AN19" s="4">
        <v>4</v>
      </c>
      <c r="AO19" s="4">
        <v>4</v>
      </c>
      <c r="AP19" s="4">
        <v>50</v>
      </c>
      <c r="AQ19" s="4">
        <v>5000</v>
      </c>
      <c r="AR19" s="4">
        <v>66.832300000000004</v>
      </c>
    </row>
    <row r="20" spans="2:44" x14ac:dyDescent="0.2">
      <c r="B20" s="2" t="str">
        <f>_xlfn.XLOOKUP(Moult1[[#This Row],[Metodo]],TbSolver[Metodo],TbSolver[Solver])</f>
        <v>Adams Bashford Moulton</v>
      </c>
      <c r="C20" s="2" t="str">
        <f>_xlfn.XLOOKUP(Moult1[[#This Row],[Hebras]],TbTecnologia[Hebras],TbTecnologia[Tecnología])</f>
        <v>CUDA</v>
      </c>
      <c r="D20" s="2" t="str" cm="1">
        <f t="array" ref="D20">_xlfn.XLOOKUP(Moult1[[#This Row],[Tecnología]]&amp;Moult1[[#This Row],[Metodo]],TbTipos[Tecnología]&amp;TbTipos[Metodo],TbTipos[Tipo])</f>
        <v>CUDA con graph</v>
      </c>
      <c r="E20" s="2" t="str" cm="1">
        <f t="array" ref="E20">_xlfn.XLOOKUP(Moult1[[#This Row],[Tecnología]]&amp;Moult1[[#This Row],[Problema]],TbNombres[Tecnología]&amp;TbNombres[Problema],TbNombres[Nombre])</f>
        <v>Simple Advdiff</v>
      </c>
      <c r="F20" s="2">
        <v>6</v>
      </c>
      <c r="G20" s="2">
        <v>1</v>
      </c>
      <c r="H20" s="2">
        <v>256</v>
      </c>
      <c r="I20" s="2">
        <v>200</v>
      </c>
      <c r="J20" s="2">
        <v>200</v>
      </c>
      <c r="K20" s="2">
        <v>11.706899999999999</v>
      </c>
      <c r="M20" s="2" t="str">
        <f>_xlfn.XLOOKUP(Moult2[[#This Row],[Metodo]],TbSolver[Metodo],TbSolver[Solver])</f>
        <v>Adams Bashford Moulton</v>
      </c>
      <c r="N20" s="2" t="str">
        <f>_xlfn.XLOOKUP(Moult2[[#This Row],[Hebras]],TbTecnologia[Hebras],TbTecnologia[Tecnología])</f>
        <v>CUDA</v>
      </c>
      <c r="O20" s="2" t="str" cm="1">
        <f t="array" ref="O20">_xlfn.XLOOKUP(Moult2[[#This Row],[Tecnología]]&amp;Moult2[[#This Row],[Metodo]],TbTipos[Tecnología]&amp;TbTipos[Metodo],TbTipos[Tipo])</f>
        <v>CUDA con graph</v>
      </c>
      <c r="P20" s="2" t="str" cm="1">
        <f t="array" ref="P20">_xlfn.XLOOKUP(Moult2[[#This Row],[Tecnología]]&amp;Moult2[[#This Row],[Problema]],TbNombres[Tecnología]&amp;TbNombres[Problema],TbNombres[Nombre])</f>
        <v>Advdiff1d</v>
      </c>
      <c r="Q20" s="2">
        <v>6</v>
      </c>
      <c r="R20" s="2">
        <v>3</v>
      </c>
      <c r="S20" s="2">
        <v>256</v>
      </c>
      <c r="T20" s="2">
        <v>200</v>
      </c>
      <c r="U20" s="2">
        <v>200</v>
      </c>
      <c r="V20" s="2">
        <v>21.918600000000001</v>
      </c>
      <c r="X20" s="2" t="str">
        <f>_xlfn.XLOOKUP(Moult3[[#This Row],[Metodo]],TbSolver[Metodo],TbSolver[Solver])</f>
        <v>Adams Bashford Moulton</v>
      </c>
      <c r="Y20" s="2" t="str">
        <f>_xlfn.XLOOKUP(Moult3[[#This Row],[Hebras]],TbTecnologia[Hebras],TbTecnologia[Tecnología])</f>
        <v>OMP</v>
      </c>
      <c r="Z20" s="2" t="str" cm="1">
        <f t="array" ref="Z20">_xlfn.XLOOKUP(Moult3[[#This Row],[Tecnología]]&amp;Moult3[[#This Row],[Metodo]],TbTipos[Tecnología]&amp;TbTipos[Metodo],TbTipos[Tipo])</f>
        <v>OMP Elementos</v>
      </c>
      <c r="AA20" s="2" t="str" cm="1">
        <f t="array" ref="AA20">_xlfn.XLOOKUP(Moult3[[#This Row],[Tecnología]]&amp;Moult3[[#This Row],[Problema]],TbNombres[Tecnología]&amp;TbNombres[Problema],TbNombres[Nombre])</f>
        <v>Brusselator1d</v>
      </c>
      <c r="AB20" s="2">
        <v>6</v>
      </c>
      <c r="AC20" s="2">
        <v>3</v>
      </c>
      <c r="AD20" s="2">
        <v>1</v>
      </c>
      <c r="AE20" s="2">
        <v>200</v>
      </c>
      <c r="AF20" s="2">
        <v>400</v>
      </c>
      <c r="AG20" s="2">
        <v>10.9026</v>
      </c>
      <c r="AI20" s="4" t="str">
        <f>_xlfn.XLOOKUP(Moult4[[#This Row],[Metodo]],TbSolver[Metodo],TbSolver[Solver])</f>
        <v>Adams Bashford Moulton</v>
      </c>
      <c r="AJ20" s="4" t="str">
        <f>_xlfn.XLOOKUP(Moult4[[#This Row],[Hebras]],TbTecnologia[Hebras],TbTecnologia[Tecnología])</f>
        <v>OMP</v>
      </c>
      <c r="AK20" s="4" t="str" cm="1">
        <f t="array" ref="AK20">_xlfn.XLOOKUP(Moult4[[#This Row],[Tecnología]]&amp;Moult4[[#This Row],[Metodo]],TbTipos[Tecnología]&amp;TbTipos[Metodo],TbTipos[Tipo])</f>
        <v>OMP Elementos</v>
      </c>
      <c r="AL20" s="4" t="str" cm="1">
        <f t="array" ref="AL20">_xlfn.XLOOKUP(Moult4[[#This Row],[Tecnología]]&amp;Moult4[[#This Row],[Problema]],TbNombres[Tecnología]&amp;TbNombres[Problema],TbNombres[Nombre])</f>
        <v>Brusselator2d</v>
      </c>
      <c r="AM20" s="4">
        <v>6</v>
      </c>
      <c r="AN20" s="4">
        <v>4</v>
      </c>
      <c r="AO20" s="4">
        <v>4</v>
      </c>
      <c r="AP20" s="4">
        <v>50</v>
      </c>
      <c r="AQ20" s="4">
        <v>5000</v>
      </c>
      <c r="AR20" s="4">
        <v>68.414500000000004</v>
      </c>
    </row>
    <row r="21" spans="2:44" x14ac:dyDescent="0.2">
      <c r="B21" s="2" t="str">
        <f>_xlfn.XLOOKUP(Moult1[[#This Row],[Metodo]],TbSolver[Metodo],TbSolver[Solver])</f>
        <v>Adams Bashford Moulton</v>
      </c>
      <c r="C21" s="2" t="str">
        <f>_xlfn.XLOOKUP(Moult1[[#This Row],[Hebras]],TbTecnologia[Hebras],TbTecnologia[Tecnología])</f>
        <v>CUDA</v>
      </c>
      <c r="D21" s="2" t="str" cm="1">
        <f t="array" ref="D21">_xlfn.XLOOKUP(Moult1[[#This Row],[Tecnología]]&amp;Moult1[[#This Row],[Metodo]],TbTipos[Tecnología]&amp;TbTipos[Metodo],TbTipos[Tipo])</f>
        <v>CUDA con graph</v>
      </c>
      <c r="E21" s="2" t="str" cm="1">
        <f t="array" ref="E21">_xlfn.XLOOKUP(Moult1[[#This Row],[Tecnología]]&amp;Moult1[[#This Row],[Problema]],TbNombres[Tecnología]&amp;TbNombres[Problema],TbNombres[Nombre])</f>
        <v>Simple Advdiff shuffle</v>
      </c>
      <c r="F21" s="2">
        <v>6</v>
      </c>
      <c r="G21" s="2">
        <v>2</v>
      </c>
      <c r="H21" s="2">
        <v>256</v>
      </c>
      <c r="I21" s="2">
        <v>200</v>
      </c>
      <c r="J21" s="2">
        <v>200</v>
      </c>
      <c r="K21" s="2">
        <v>11.7073</v>
      </c>
      <c r="M21" s="2" t="str">
        <f>_xlfn.XLOOKUP(Moult2[[#This Row],[Metodo]],TbSolver[Metodo],TbSolver[Solver])</f>
        <v>Adams Bashford Moulton</v>
      </c>
      <c r="N21" s="2" t="str">
        <f>_xlfn.XLOOKUP(Moult2[[#This Row],[Hebras]],TbTecnologia[Hebras],TbTecnologia[Tecnología])</f>
        <v>CUDA</v>
      </c>
      <c r="O21" s="2" t="str" cm="1">
        <f t="array" ref="O21">_xlfn.XLOOKUP(Moult2[[#This Row],[Tecnología]]&amp;Moult2[[#This Row],[Metodo]],TbTipos[Tecnología]&amp;TbTipos[Metodo],TbTipos[Tipo])</f>
        <v>CUDA sin graph</v>
      </c>
      <c r="P21" s="2" t="str" cm="1">
        <f t="array" ref="P21">_xlfn.XLOOKUP(Moult2[[#This Row],[Tecnología]]&amp;Moult2[[#This Row],[Problema]],TbNombres[Tecnología]&amp;TbNombres[Problema],TbNombres[Nombre])</f>
        <v>Advdiff1d</v>
      </c>
      <c r="Q21" s="2">
        <v>5</v>
      </c>
      <c r="R21" s="2">
        <v>3</v>
      </c>
      <c r="S21" s="2">
        <v>256</v>
      </c>
      <c r="T21" s="2">
        <v>200</v>
      </c>
      <c r="U21" s="2">
        <v>200</v>
      </c>
      <c r="V21" s="2">
        <v>22.3888</v>
      </c>
      <c r="X21" s="2" t="str">
        <f>_xlfn.XLOOKUP(Moult3[[#This Row],[Metodo]],TbSolver[Metodo],TbSolver[Solver])</f>
        <v>Adams Bashford Moulton</v>
      </c>
      <c r="Y21" s="2" t="str">
        <f>_xlfn.XLOOKUP(Moult3[[#This Row],[Hebras]],TbTecnologia[Hebras],TbTecnologia[Tecnología])</f>
        <v>OMP</v>
      </c>
      <c r="Z21" s="2" t="str" cm="1">
        <f t="array" ref="Z21">_xlfn.XLOOKUP(Moult3[[#This Row],[Tecnología]]&amp;Moult3[[#This Row],[Metodo]],TbTipos[Tecnología]&amp;TbTipos[Metodo],TbTipos[Tipo])</f>
        <v>OMP Elementos</v>
      </c>
      <c r="AA21" s="2" t="str" cm="1">
        <f t="array" ref="AA21">_xlfn.XLOOKUP(Moult3[[#This Row],[Tecnología]]&amp;Moult3[[#This Row],[Problema]],TbNombres[Tecnología]&amp;TbNombres[Problema],TbNombres[Nombre])</f>
        <v>Brusselator1d</v>
      </c>
      <c r="AB21" s="2">
        <v>6</v>
      </c>
      <c r="AC21" s="2">
        <v>3</v>
      </c>
      <c r="AD21" s="2">
        <v>4</v>
      </c>
      <c r="AE21" s="2">
        <v>200</v>
      </c>
      <c r="AF21" s="2">
        <v>400</v>
      </c>
      <c r="AG21" s="2">
        <v>11.3154</v>
      </c>
      <c r="AI21" s="4" t="str">
        <f>_xlfn.XLOOKUP(Moult4[[#This Row],[Metodo]],TbSolver[Metodo],TbSolver[Solver])</f>
        <v>Adams Bashford Moulton</v>
      </c>
      <c r="AJ21" s="4" t="str">
        <f>_xlfn.XLOOKUP(Moult4[[#This Row],[Hebras]],TbTecnologia[Hebras],TbTecnologia[Tecnología])</f>
        <v>OMP</v>
      </c>
      <c r="AK21" s="4" t="str" cm="1">
        <f t="array" ref="AK21">_xlfn.XLOOKUP(Moult4[[#This Row],[Tecnología]]&amp;Moult4[[#This Row],[Metodo]],TbTipos[Tecnología]&amp;TbTipos[Metodo],TbTipos[Tipo])</f>
        <v>OMP Elementos</v>
      </c>
      <c r="AL21" s="4" t="str" cm="1">
        <f t="array" ref="AL21">_xlfn.XLOOKUP(Moult4[[#This Row],[Tecnología]]&amp;Moult4[[#This Row],[Problema]],TbNombres[Tecnología]&amp;TbNombres[Problema],TbNombres[Nombre])</f>
        <v>Brusselator2d</v>
      </c>
      <c r="AM21" s="4">
        <v>6</v>
      </c>
      <c r="AN21" s="4">
        <v>4</v>
      </c>
      <c r="AO21" s="4">
        <v>16</v>
      </c>
      <c r="AP21" s="4">
        <v>50</v>
      </c>
      <c r="AQ21" s="4">
        <v>5000</v>
      </c>
      <c r="AR21" s="4">
        <v>91.386899999999997</v>
      </c>
    </row>
    <row r="22" spans="2:44" x14ac:dyDescent="0.2">
      <c r="B22" s="2" t="str">
        <f>_xlfn.XLOOKUP(Moult1[[#This Row],[Metodo]],TbSolver[Metodo],TbSolver[Solver])</f>
        <v>Adams Bashford Moulton</v>
      </c>
      <c r="C22" s="2" t="str">
        <f>_xlfn.XLOOKUP(Moult1[[#This Row],[Hebras]],TbTecnologia[Hebras],TbTecnologia[Tecnología])</f>
        <v>CUDA</v>
      </c>
      <c r="D22" s="2" t="str" cm="1">
        <f t="array" ref="D22">_xlfn.XLOOKUP(Moult1[[#This Row],[Tecnología]]&amp;Moult1[[#This Row],[Metodo]],TbTipos[Tecnología]&amp;TbTipos[Metodo],TbTipos[Tipo])</f>
        <v>CUDA sin graph</v>
      </c>
      <c r="E22" s="2" t="str" cm="1">
        <f t="array" ref="E22">_xlfn.XLOOKUP(Moult1[[#This Row],[Tecnología]]&amp;Moult1[[#This Row],[Problema]],TbNombres[Tecnología]&amp;TbNombres[Problema],TbNombres[Nombre])</f>
        <v>Simple Advdiff</v>
      </c>
      <c r="F22" s="2">
        <v>5</v>
      </c>
      <c r="G22" s="2">
        <v>1</v>
      </c>
      <c r="H22" s="2">
        <v>256</v>
      </c>
      <c r="I22" s="2">
        <v>200</v>
      </c>
      <c r="J22" s="2">
        <v>200</v>
      </c>
      <c r="K22" s="2">
        <v>14.282400000000001</v>
      </c>
      <c r="M22" s="2" t="str">
        <f>_xlfn.XLOOKUP(Moult2[[#This Row],[Metodo]],TbSolver[Metodo],TbSolver[Solver])</f>
        <v>Adams Bashford Moulton</v>
      </c>
      <c r="N22" s="2" t="str">
        <f>_xlfn.XLOOKUP(Moult2[[#This Row],[Hebras]],TbTecnologia[Hebras],TbTecnologia[Tecnología])</f>
        <v>CUDA</v>
      </c>
      <c r="O22" s="2" t="str" cm="1">
        <f t="array" ref="O22">_xlfn.XLOOKUP(Moult2[[#This Row],[Tecnología]]&amp;Moult2[[#This Row],[Metodo]],TbTipos[Tecnología]&amp;TbTipos[Metodo],TbTipos[Tipo])</f>
        <v>CUDA con graph</v>
      </c>
      <c r="P22" s="2" t="str" cm="1">
        <f t="array" ref="P22">_xlfn.XLOOKUP(Moult2[[#This Row],[Tecnología]]&amp;Moult2[[#This Row],[Problema]],TbNombres[Tecnología]&amp;TbNombres[Problema],TbNombres[Nombre])</f>
        <v>Advdiff1d shuffle</v>
      </c>
      <c r="Q22" s="2">
        <v>6</v>
      </c>
      <c r="R22" s="2">
        <v>4</v>
      </c>
      <c r="S22" s="2">
        <v>256</v>
      </c>
      <c r="T22" s="2">
        <v>200</v>
      </c>
      <c r="U22" s="2">
        <v>200</v>
      </c>
      <c r="V22" s="2">
        <v>22.496400000000001</v>
      </c>
      <c r="X22" s="2" t="str">
        <f>_xlfn.XLOOKUP(Moult3[[#This Row],[Metodo]],TbSolver[Metodo],TbSolver[Solver])</f>
        <v>Adams Bashford Moulton</v>
      </c>
      <c r="Y22" s="2" t="str">
        <f>_xlfn.XLOOKUP(Moult3[[#This Row],[Hebras]],TbTecnologia[Hebras],TbTecnologia[Tecnología])</f>
        <v>CUDA</v>
      </c>
      <c r="Z22" s="2" t="str" cm="1">
        <f t="array" ref="Z22">_xlfn.XLOOKUP(Moult3[[#This Row],[Tecnología]]&amp;Moult3[[#This Row],[Metodo]],TbTipos[Tecnología]&amp;TbTipos[Metodo],TbTipos[Tipo])</f>
        <v>CUDA con graph</v>
      </c>
      <c r="AA22" s="2" t="str" cm="1">
        <f t="array" ref="AA22">_xlfn.XLOOKUP(Moult3[[#This Row],[Tecnología]]&amp;Moult3[[#This Row],[Problema]],TbNombres[Tecnología]&amp;TbNombres[Problema],TbNombres[Nombre])</f>
        <v>Brusselator1d</v>
      </c>
      <c r="AB22" s="2">
        <v>6</v>
      </c>
      <c r="AC22" s="2">
        <v>5</v>
      </c>
      <c r="AD22" s="2">
        <v>256</v>
      </c>
      <c r="AE22" s="2">
        <v>200</v>
      </c>
      <c r="AF22" s="2">
        <v>400</v>
      </c>
      <c r="AG22" s="2">
        <v>12.8804</v>
      </c>
      <c r="AI22" s="4" t="str">
        <f>_xlfn.XLOOKUP(Moult4[[#This Row],[Metodo]],TbSolver[Metodo],TbSolver[Solver])</f>
        <v>Adams Bashford Moulton</v>
      </c>
      <c r="AJ22" s="4" t="str">
        <f>_xlfn.XLOOKUP(Moult4[[#This Row],[Hebras]],TbTecnologia[Hebras],TbTecnologia[Tecnología])</f>
        <v>OMP</v>
      </c>
      <c r="AK22" s="4" t="str" cm="1">
        <f t="array" ref="AK22">_xlfn.XLOOKUP(Moult4[[#This Row],[Tecnología]]&amp;Moult4[[#This Row],[Metodo]],TbTipos[Tecnología]&amp;TbTipos[Metodo],TbTipos[Tipo])</f>
        <v>OMP Operaciones</v>
      </c>
      <c r="AL22" s="4" t="str" cm="1">
        <f t="array" ref="AL22">_xlfn.XLOOKUP(Moult4[[#This Row],[Tecnología]]&amp;Moult4[[#This Row],[Problema]],TbNombres[Tecnología]&amp;TbNombres[Problema],TbNombres[Nombre])</f>
        <v>Brusselator2d</v>
      </c>
      <c r="AM22" s="4">
        <v>5</v>
      </c>
      <c r="AN22" s="4">
        <v>4</v>
      </c>
      <c r="AO22" s="4">
        <v>1</v>
      </c>
      <c r="AP22" s="4">
        <v>50</v>
      </c>
      <c r="AQ22" s="4">
        <v>5000</v>
      </c>
      <c r="AR22" s="4">
        <v>92.678600000000003</v>
      </c>
    </row>
    <row r="23" spans="2:44" x14ac:dyDescent="0.2">
      <c r="B23" s="2" t="str">
        <f>_xlfn.XLOOKUP(Moult1[[#This Row],[Metodo]],TbSolver[Metodo],TbSolver[Solver])</f>
        <v>Adams Bashford Moulton</v>
      </c>
      <c r="C23" s="2" t="str">
        <f>_xlfn.XLOOKUP(Moult1[[#This Row],[Hebras]],TbTecnologia[Hebras],TbTecnologia[Tecnología])</f>
        <v>CUDA</v>
      </c>
      <c r="D23" s="2" t="str" cm="1">
        <f t="array" ref="D23">_xlfn.XLOOKUP(Moult1[[#This Row],[Tecnología]]&amp;Moult1[[#This Row],[Metodo]],TbTipos[Tecnología]&amp;TbTipos[Metodo],TbTipos[Tipo])</f>
        <v>CUDA sin graph</v>
      </c>
      <c r="E23" s="2" t="str" cm="1">
        <f t="array" ref="E23">_xlfn.XLOOKUP(Moult1[[#This Row],[Tecnología]]&amp;Moult1[[#This Row],[Problema]],TbNombres[Tecnología]&amp;TbNombres[Problema],TbNombres[Nombre])</f>
        <v>Simple Advdiff shuffle</v>
      </c>
      <c r="F23" s="2">
        <v>5</v>
      </c>
      <c r="G23" s="2">
        <v>2</v>
      </c>
      <c r="H23" s="2">
        <v>256</v>
      </c>
      <c r="I23" s="2">
        <v>200</v>
      </c>
      <c r="J23" s="2">
        <v>200</v>
      </c>
      <c r="K23" s="2">
        <v>14.307499999999999</v>
      </c>
      <c r="M23" s="2" t="str">
        <f>_xlfn.XLOOKUP(Moult2[[#This Row],[Metodo]],TbSolver[Metodo],TbSolver[Solver])</f>
        <v>Adams Bashford Moulton</v>
      </c>
      <c r="N23" s="2" t="str">
        <f>_xlfn.XLOOKUP(Moult2[[#This Row],[Hebras]],TbTecnologia[Hebras],TbTecnologia[Tecnología])</f>
        <v>CUDA</v>
      </c>
      <c r="O23" s="2" t="str" cm="1">
        <f t="array" ref="O23">_xlfn.XLOOKUP(Moult2[[#This Row],[Tecnología]]&amp;Moult2[[#This Row],[Metodo]],TbTipos[Tecnología]&amp;TbTipos[Metodo],TbTipos[Tipo])</f>
        <v>CUDA sin graph</v>
      </c>
      <c r="P23" s="2" t="str" cm="1">
        <f t="array" ref="P23">_xlfn.XLOOKUP(Moult2[[#This Row],[Tecnología]]&amp;Moult2[[#This Row],[Problema]],TbNombres[Tecnología]&amp;TbNombres[Problema],TbNombres[Nombre])</f>
        <v>Advdiff1d shuffle</v>
      </c>
      <c r="Q23" s="2">
        <v>5</v>
      </c>
      <c r="R23" s="2">
        <v>4</v>
      </c>
      <c r="S23" s="2">
        <v>256</v>
      </c>
      <c r="T23" s="2">
        <v>200</v>
      </c>
      <c r="U23" s="2">
        <v>200</v>
      </c>
      <c r="V23" s="2">
        <v>22.726900000000001</v>
      </c>
      <c r="X23" s="2" t="str">
        <f>_xlfn.XLOOKUP(Moult3[[#This Row],[Metodo]],TbSolver[Metodo],TbSolver[Solver])</f>
        <v>Adams Bashford Moulton</v>
      </c>
      <c r="Y23" s="2" t="str">
        <f>_xlfn.XLOOKUP(Moult3[[#This Row],[Hebras]],TbTecnologia[Hebras],TbTecnologia[Tecnología])</f>
        <v>CUDA</v>
      </c>
      <c r="Z23" s="2" t="str" cm="1">
        <f t="array" ref="Z23">_xlfn.XLOOKUP(Moult3[[#This Row],[Tecnología]]&amp;Moult3[[#This Row],[Metodo]],TbTipos[Tecnología]&amp;TbTipos[Metodo],TbTipos[Tipo])</f>
        <v>CUDA con graph</v>
      </c>
      <c r="AA23" s="2" t="str" cm="1">
        <f t="array" ref="AA23">_xlfn.XLOOKUP(Moult3[[#This Row],[Tecnología]]&amp;Moult3[[#This Row],[Problema]],TbNombres[Tecnología]&amp;TbNombres[Problema],TbNombres[Nombre])</f>
        <v>Brusselator1d shuffle</v>
      </c>
      <c r="AB23" s="2">
        <v>6</v>
      </c>
      <c r="AC23" s="2">
        <v>6</v>
      </c>
      <c r="AD23" s="2">
        <v>256</v>
      </c>
      <c r="AE23" s="2">
        <v>200</v>
      </c>
      <c r="AF23" s="2">
        <v>400</v>
      </c>
      <c r="AG23" s="2">
        <v>12.9756</v>
      </c>
      <c r="AI23" s="4" t="str">
        <f>_xlfn.XLOOKUP(Moult4[[#This Row],[Metodo]],TbSolver[Metodo],TbSolver[Solver])</f>
        <v>Adams Bashford Moulton</v>
      </c>
      <c r="AJ23" s="4" t="str">
        <f>_xlfn.XLOOKUP(Moult4[[#This Row],[Hebras]],TbTecnologia[Hebras],TbTecnologia[Tecnología])</f>
        <v>OMP</v>
      </c>
      <c r="AK23" s="4" t="str" cm="1">
        <f t="array" ref="AK23">_xlfn.XLOOKUP(Moult4[[#This Row],[Tecnología]]&amp;Moult4[[#This Row],[Metodo]],TbTipos[Tecnología]&amp;TbTipos[Metodo],TbTipos[Tipo])</f>
        <v>OMP Operaciones</v>
      </c>
      <c r="AL23" s="4" t="str" cm="1">
        <f t="array" ref="AL23">_xlfn.XLOOKUP(Moult4[[#This Row],[Tecnología]]&amp;Moult4[[#This Row],[Problema]],TbNombres[Tecnología]&amp;TbNombres[Problema],TbNombres[Nombre])</f>
        <v>Brusselator2d</v>
      </c>
      <c r="AM23" s="4">
        <v>5</v>
      </c>
      <c r="AN23" s="4">
        <v>4</v>
      </c>
      <c r="AO23" s="4">
        <v>16</v>
      </c>
      <c r="AP23" s="4">
        <v>50</v>
      </c>
      <c r="AQ23" s="4">
        <v>5000</v>
      </c>
      <c r="AR23" s="4">
        <v>100.818</v>
      </c>
    </row>
    <row r="24" spans="2:44" x14ac:dyDescent="0.2">
      <c r="B24" s="2" t="str">
        <f>_xlfn.XLOOKUP(Moult1[[#This Row],[Metodo]],TbSolver[Metodo],TbSolver[Solver])</f>
        <v>Adams Bashford Moulton</v>
      </c>
      <c r="C24" s="2" t="str">
        <f>_xlfn.XLOOKUP(Moult1[[#This Row],[Hebras]],TbTecnologia[Hebras],TbTecnologia[Tecnología])</f>
        <v>OMP</v>
      </c>
      <c r="D24" s="2" t="str" cm="1">
        <f t="array" ref="D24">_xlfn.XLOOKUP(Moult1[[#This Row],[Tecnología]]&amp;Moult1[[#This Row],[Metodo]],TbTipos[Tecnología]&amp;TbTipos[Metodo],TbTipos[Tipo])</f>
        <v>OMP Operaciones</v>
      </c>
      <c r="E24" s="2" t="str" cm="1">
        <f t="array" ref="E24">_xlfn.XLOOKUP(Moult1[[#This Row],[Tecnología]]&amp;Moult1[[#This Row],[Problema]],TbNombres[Tecnología]&amp;TbNombres[Problema],TbNombres[Nombre])</f>
        <v>Simple Advdiff</v>
      </c>
      <c r="F24" s="2">
        <v>5</v>
      </c>
      <c r="G24" s="2">
        <v>1</v>
      </c>
      <c r="H24" s="2">
        <v>4</v>
      </c>
      <c r="I24" s="2">
        <v>200</v>
      </c>
      <c r="J24" s="2">
        <v>200</v>
      </c>
      <c r="K24" s="2">
        <v>38.086300000000001</v>
      </c>
      <c r="M24" s="2" t="str">
        <f>_xlfn.XLOOKUP(Moult2[[#This Row],[Metodo]],TbSolver[Metodo],TbSolver[Solver])</f>
        <v>Adams Bashford Moulton</v>
      </c>
      <c r="N24" s="2" t="str">
        <f>_xlfn.XLOOKUP(Moult2[[#This Row],[Hebras]],TbTecnologia[Hebras],TbTecnologia[Tecnología])</f>
        <v>OMP</v>
      </c>
      <c r="O24" s="2" t="str" cm="1">
        <f t="array" ref="O24">_xlfn.XLOOKUP(Moult2[[#This Row],[Tecnología]]&amp;Moult2[[#This Row],[Metodo]],TbTipos[Tecnología]&amp;TbTipos[Metodo],TbTipos[Tipo])</f>
        <v>OMP Elementos</v>
      </c>
      <c r="P24" s="2" t="str" cm="1">
        <f t="array" ref="P24">_xlfn.XLOOKUP(Moult2[[#This Row],[Tecnología]]&amp;Moult2[[#This Row],[Problema]],TbNombres[Tecnología]&amp;TbNombres[Problema],TbNombres[Nombre])</f>
        <v>Advdiff1d</v>
      </c>
      <c r="Q24" s="2">
        <v>6</v>
      </c>
      <c r="R24" s="2">
        <v>2</v>
      </c>
      <c r="S24" s="2">
        <v>16</v>
      </c>
      <c r="T24" s="2">
        <v>200</v>
      </c>
      <c r="U24" s="2">
        <v>200</v>
      </c>
      <c r="V24" s="2">
        <v>41.667099999999998</v>
      </c>
      <c r="X24" s="2" t="str">
        <f>_xlfn.XLOOKUP(Moult3[[#This Row],[Metodo]],TbSolver[Metodo],TbSolver[Solver])</f>
        <v>Adams Bashford Moulton</v>
      </c>
      <c r="Y24" s="2" t="str">
        <f>_xlfn.XLOOKUP(Moult3[[#This Row],[Hebras]],TbTecnologia[Hebras],TbTecnologia[Tecnología])</f>
        <v>CUDA</v>
      </c>
      <c r="Z24" s="2" t="str" cm="1">
        <f t="array" ref="Z24">_xlfn.XLOOKUP(Moult3[[#This Row],[Tecnología]]&amp;Moult3[[#This Row],[Metodo]],TbTipos[Tecnología]&amp;TbTipos[Metodo],TbTipos[Tipo])</f>
        <v>CUDA con graph</v>
      </c>
      <c r="AA24" s="2" t="str" cm="1">
        <f t="array" ref="AA24">_xlfn.XLOOKUP(Moult3[[#This Row],[Tecnología]]&amp;Moult3[[#This Row],[Problema]],TbNombres[Tecnología]&amp;TbNombres[Problema],TbNombres[Nombre])</f>
        <v>Brusselator1d grid</v>
      </c>
      <c r="AB24" s="2">
        <v>6</v>
      </c>
      <c r="AC24" s="2">
        <v>7</v>
      </c>
      <c r="AD24" s="2">
        <v>256</v>
      </c>
      <c r="AE24" s="2">
        <v>200</v>
      </c>
      <c r="AF24" s="2">
        <v>400</v>
      </c>
      <c r="AG24" s="2">
        <v>12.983700000000001</v>
      </c>
      <c r="AI24" s="4" t="str">
        <f>_xlfn.XLOOKUP(Moult4[[#This Row],[Metodo]],TbSolver[Metodo],TbSolver[Solver])</f>
        <v>Adams Bashford Moulton</v>
      </c>
      <c r="AJ24" s="4" t="str">
        <f>_xlfn.XLOOKUP(Moult4[[#This Row],[Hebras]],TbTecnologia[Hebras],TbTecnologia[Tecnología])</f>
        <v>OMP</v>
      </c>
      <c r="AK24" s="4" t="str" cm="1">
        <f t="array" ref="AK24">_xlfn.XLOOKUP(Moult4[[#This Row],[Tecnología]]&amp;Moult4[[#This Row],[Metodo]],TbTipos[Tecnología]&amp;TbTipos[Metodo],TbTipos[Tipo])</f>
        <v>OMP Elementos</v>
      </c>
      <c r="AL24" s="4" t="str" cm="1">
        <f t="array" ref="AL24">_xlfn.XLOOKUP(Moult4[[#This Row],[Tecnología]]&amp;Moult4[[#This Row],[Problema]],TbNombres[Tecnología]&amp;TbNombres[Problema],TbNombres[Nombre])</f>
        <v>Brusselator2d</v>
      </c>
      <c r="AM24" s="4">
        <v>6</v>
      </c>
      <c r="AN24" s="4">
        <v>4</v>
      </c>
      <c r="AO24" s="4">
        <v>1</v>
      </c>
      <c r="AP24" s="4">
        <v>50</v>
      </c>
      <c r="AQ24" s="4">
        <v>5000</v>
      </c>
      <c r="AR24" s="4">
        <v>231.11699999999999</v>
      </c>
    </row>
    <row r="25" spans="2:44" x14ac:dyDescent="0.2">
      <c r="B25" s="2" t="str">
        <f>_xlfn.XLOOKUP(Moult1[[#This Row],[Metodo]],TbSolver[Metodo],TbSolver[Solver])</f>
        <v>Adams Bashford Moulton</v>
      </c>
      <c r="C25" s="2" t="str">
        <f>_xlfn.XLOOKUP(Moult1[[#This Row],[Hebras]],TbTecnologia[Hebras],TbTecnologia[Tecnología])</f>
        <v>OMP</v>
      </c>
      <c r="D25" s="2" t="str" cm="1">
        <f t="array" ref="D25">_xlfn.XLOOKUP(Moult1[[#This Row],[Tecnología]]&amp;Moult1[[#This Row],[Metodo]],TbTipos[Tecnología]&amp;TbTipos[Metodo],TbTipos[Tipo])</f>
        <v>OMP Elementos</v>
      </c>
      <c r="E25" s="2" t="str" cm="1">
        <f t="array" ref="E25">_xlfn.XLOOKUP(Moult1[[#This Row],[Tecnología]]&amp;Moult1[[#This Row],[Problema]],TbNombres[Tecnología]&amp;TbNombres[Problema],TbNombres[Nombre])</f>
        <v>Simple Advdiff</v>
      </c>
      <c r="F25" s="2">
        <v>6</v>
      </c>
      <c r="G25" s="2">
        <v>1</v>
      </c>
      <c r="H25" s="2">
        <v>16</v>
      </c>
      <c r="I25" s="2">
        <v>200</v>
      </c>
      <c r="J25" s="2">
        <v>200</v>
      </c>
      <c r="K25" s="2">
        <v>56.233899999999998</v>
      </c>
      <c r="M25" s="2" t="str">
        <f>_xlfn.XLOOKUP(Moult2[[#This Row],[Metodo]],TbSolver[Metodo],TbSolver[Solver])</f>
        <v>Adams Bashford Moulton</v>
      </c>
      <c r="N25" s="2" t="str">
        <f>_xlfn.XLOOKUP(Moult2[[#This Row],[Hebras]],TbTecnologia[Hebras],TbTecnologia[Tecnología])</f>
        <v>OMP</v>
      </c>
      <c r="O25" s="2" t="str" cm="1">
        <f t="array" ref="O25">_xlfn.XLOOKUP(Moult2[[#This Row],[Tecnología]]&amp;Moult2[[#This Row],[Metodo]],TbTipos[Tecnología]&amp;TbTipos[Metodo],TbTipos[Tipo])</f>
        <v>OMP Operaciones</v>
      </c>
      <c r="P25" s="2" t="str" cm="1">
        <f t="array" ref="P25">_xlfn.XLOOKUP(Moult2[[#This Row],[Tecnología]]&amp;Moult2[[#This Row],[Problema]],TbNombres[Tecnología]&amp;TbNombres[Problema],TbNombres[Nombre])</f>
        <v>Advdiff1d</v>
      </c>
      <c r="Q25" s="2">
        <v>5</v>
      </c>
      <c r="R25" s="2">
        <v>2</v>
      </c>
      <c r="S25" s="2">
        <v>4</v>
      </c>
      <c r="T25" s="2">
        <v>200</v>
      </c>
      <c r="U25" s="2">
        <v>200</v>
      </c>
      <c r="V25" s="2">
        <v>50.182699999999997</v>
      </c>
      <c r="X25" s="2" t="str">
        <f>_xlfn.XLOOKUP(Moult3[[#This Row],[Metodo]],TbSolver[Metodo],TbSolver[Solver])</f>
        <v>Adams Bashford Moulton</v>
      </c>
      <c r="Y25" s="2" t="str">
        <f>_xlfn.XLOOKUP(Moult3[[#This Row],[Hebras]],TbTecnologia[Hebras],TbTecnologia[Tecnología])</f>
        <v>CUDA</v>
      </c>
      <c r="Z25" s="2" t="str" cm="1">
        <f t="array" ref="Z25">_xlfn.XLOOKUP(Moult3[[#This Row],[Tecnología]]&amp;Moult3[[#This Row],[Metodo]],TbTipos[Tecnología]&amp;TbTipos[Metodo],TbTipos[Tipo])</f>
        <v>CUDA sin graph</v>
      </c>
      <c r="AA25" s="2" t="str" cm="1">
        <f t="array" ref="AA25">_xlfn.XLOOKUP(Moult3[[#This Row],[Tecnología]]&amp;Moult3[[#This Row],[Problema]],TbNombres[Tecnología]&amp;TbNombres[Problema],TbNombres[Nombre])</f>
        <v>Brusselator1d</v>
      </c>
      <c r="AB25" s="2">
        <v>5</v>
      </c>
      <c r="AC25" s="2">
        <v>5</v>
      </c>
      <c r="AD25" s="2">
        <v>256</v>
      </c>
      <c r="AE25" s="2">
        <v>200</v>
      </c>
      <c r="AF25" s="2">
        <v>400</v>
      </c>
      <c r="AG25" s="2">
        <v>14.583500000000001</v>
      </c>
      <c r="AI25" s="2" t="str">
        <f>_xlfn.XLOOKUP(Moult4[[#This Row],[Metodo]],TbSolver[Metodo],TbSolver[Solver])</f>
        <v>Adams Bashford Moulton</v>
      </c>
      <c r="AJ25" s="2" t="str">
        <f>_xlfn.XLOOKUP(Moult4[[#This Row],[Hebras]],TbTecnologia[Hebras],TbTecnologia[Tecnología])</f>
        <v>CUDA</v>
      </c>
      <c r="AK25" s="2" t="str" cm="1">
        <f t="array" ref="AK25">_xlfn.XLOOKUP(Moult4[[#This Row],[Tecnología]]&amp;Moult4[[#This Row],[Metodo]],TbTipos[Tecnología]&amp;TbTipos[Metodo],TbTipos[Tipo])</f>
        <v>CUDA con graph</v>
      </c>
      <c r="AL25" s="2" t="str" cm="1">
        <f t="array" ref="AL25">_xlfn.XLOOKUP(Moult4[[#This Row],[Tecnología]]&amp;Moult4[[#This Row],[Problema]],TbNombres[Tecnología]&amp;TbNombres[Problema],TbNombres[Nombre])</f>
        <v>Brusselator2d</v>
      </c>
      <c r="AM25" s="21">
        <v>6</v>
      </c>
      <c r="AN25" s="21">
        <v>8</v>
      </c>
      <c r="AO25" s="21">
        <v>256</v>
      </c>
      <c r="AP25" s="21">
        <v>75</v>
      </c>
      <c r="AQ25" s="21">
        <v>11250</v>
      </c>
      <c r="AR25" s="21">
        <v>15.9351</v>
      </c>
    </row>
    <row r="26" spans="2:44" x14ac:dyDescent="0.2">
      <c r="B26" s="2" t="str">
        <f>_xlfn.XLOOKUP(Moult1[[#This Row],[Metodo]],TbSolver[Metodo],TbSolver[Solver])</f>
        <v>Adams Bashford Moulton</v>
      </c>
      <c r="C26" s="2" t="str">
        <f>_xlfn.XLOOKUP(Moult1[[#This Row],[Hebras]],TbTecnologia[Hebras],TbTecnologia[Tecnología])</f>
        <v>OMP</v>
      </c>
      <c r="D26" s="2" t="str" cm="1">
        <f t="array" ref="D26">_xlfn.XLOOKUP(Moult1[[#This Row],[Tecnología]]&amp;Moult1[[#This Row],[Metodo]],TbTipos[Tecnología]&amp;TbTipos[Metodo],TbTipos[Tipo])</f>
        <v>OMP Operaciones</v>
      </c>
      <c r="E26" s="2" t="str" cm="1">
        <f t="array" ref="E26">_xlfn.XLOOKUP(Moult1[[#This Row],[Tecnología]]&amp;Moult1[[#This Row],[Problema]],TbNombres[Tecnología]&amp;TbNombres[Problema],TbNombres[Nombre])</f>
        <v>Simple Advdiff</v>
      </c>
      <c r="F26" s="2">
        <v>5</v>
      </c>
      <c r="G26" s="2">
        <v>1</v>
      </c>
      <c r="H26" s="2">
        <v>16</v>
      </c>
      <c r="I26" s="2">
        <v>200</v>
      </c>
      <c r="J26" s="2">
        <v>200</v>
      </c>
      <c r="K26" s="2">
        <v>89.890199999999993</v>
      </c>
      <c r="M26" s="2" t="str">
        <f>_xlfn.XLOOKUP(Moult2[[#This Row],[Metodo]],TbSolver[Metodo],TbSolver[Solver])</f>
        <v>Adams Bashford Moulton</v>
      </c>
      <c r="N26" s="2" t="str">
        <f>_xlfn.XLOOKUP(Moult2[[#This Row],[Hebras]],TbTecnologia[Hebras],TbTecnologia[Tecnología])</f>
        <v>OMP</v>
      </c>
      <c r="O26" s="2" t="str" cm="1">
        <f t="array" ref="O26">_xlfn.XLOOKUP(Moult2[[#This Row],[Tecnología]]&amp;Moult2[[#This Row],[Metodo]],TbTipos[Tecnología]&amp;TbTipos[Metodo],TbTipos[Tipo])</f>
        <v>OMP Operaciones</v>
      </c>
      <c r="P26" s="2" t="str" cm="1">
        <f t="array" ref="P26">_xlfn.XLOOKUP(Moult2[[#This Row],[Tecnología]]&amp;Moult2[[#This Row],[Problema]],TbNombres[Tecnología]&amp;TbNombres[Problema],TbNombres[Nombre])</f>
        <v>Advdiff1d</v>
      </c>
      <c r="Q26" s="2">
        <v>5</v>
      </c>
      <c r="R26" s="2">
        <v>2</v>
      </c>
      <c r="S26" s="2">
        <v>16</v>
      </c>
      <c r="T26" s="2">
        <v>200</v>
      </c>
      <c r="U26" s="2">
        <v>200</v>
      </c>
      <c r="V26" s="2">
        <v>107.85299999999999</v>
      </c>
      <c r="X26" s="2" t="str">
        <f>_xlfn.XLOOKUP(Moult3[[#This Row],[Metodo]],TbSolver[Metodo],TbSolver[Solver])</f>
        <v>Adams Bashford Moulton</v>
      </c>
      <c r="Y26" s="2" t="str">
        <f>_xlfn.XLOOKUP(Moult3[[#This Row],[Hebras]],TbTecnologia[Hebras],TbTecnologia[Tecnología])</f>
        <v>CUDA</v>
      </c>
      <c r="Z26" s="2" t="str" cm="1">
        <f t="array" ref="Z26">_xlfn.XLOOKUP(Moult3[[#This Row],[Tecnología]]&amp;Moult3[[#This Row],[Metodo]],TbTipos[Tecnología]&amp;TbTipos[Metodo],TbTipos[Tipo])</f>
        <v>CUDA sin graph</v>
      </c>
      <c r="AA26" s="2" t="str" cm="1">
        <f t="array" ref="AA26">_xlfn.XLOOKUP(Moult3[[#This Row],[Tecnología]]&amp;Moult3[[#This Row],[Problema]],TbNombres[Tecnología]&amp;TbNombres[Problema],TbNombres[Nombre])</f>
        <v>Brusselator1d grid</v>
      </c>
      <c r="AB26" s="2">
        <v>5</v>
      </c>
      <c r="AC26" s="2">
        <v>7</v>
      </c>
      <c r="AD26" s="2">
        <v>256</v>
      </c>
      <c r="AE26" s="2">
        <v>200</v>
      </c>
      <c r="AF26" s="2">
        <v>400</v>
      </c>
      <c r="AG26" s="2">
        <v>14.6775</v>
      </c>
      <c r="AI26" s="2" t="str">
        <f>_xlfn.XLOOKUP(Moult4[[#This Row],[Metodo]],TbSolver[Metodo],TbSolver[Solver])</f>
        <v>Adams Bashford Moulton</v>
      </c>
      <c r="AJ26" s="2" t="str">
        <f>_xlfn.XLOOKUP(Moult4[[#This Row],[Hebras]],TbTecnologia[Hebras],TbTecnologia[Tecnología])</f>
        <v>CUDA</v>
      </c>
      <c r="AK26" s="2" t="str" cm="1">
        <f t="array" ref="AK26">_xlfn.XLOOKUP(Moult4[[#This Row],[Tecnología]]&amp;Moult4[[#This Row],[Metodo]],TbTipos[Tecnología]&amp;TbTipos[Metodo],TbTipos[Tipo])</f>
        <v>CUDA sin graph</v>
      </c>
      <c r="AL26" s="2" t="str" cm="1">
        <f t="array" ref="AL26">_xlfn.XLOOKUP(Moult4[[#This Row],[Tecnología]]&amp;Moult4[[#This Row],[Problema]],TbNombres[Tecnología]&amp;TbNombres[Problema],TbNombres[Nombre])</f>
        <v>Brusselator2d</v>
      </c>
      <c r="AM26" s="21">
        <v>5</v>
      </c>
      <c r="AN26" s="21">
        <v>8</v>
      </c>
      <c r="AO26" s="21">
        <v>256</v>
      </c>
      <c r="AP26" s="21">
        <v>75</v>
      </c>
      <c r="AQ26" s="21">
        <v>11250</v>
      </c>
      <c r="AR26" s="21">
        <v>16.156099999999999</v>
      </c>
    </row>
    <row r="27" spans="2:44" x14ac:dyDescent="0.2">
      <c r="B27" s="2" t="str">
        <f>_xlfn.XLOOKUP(Moult1[[#This Row],[Metodo]],TbSolver[Metodo],TbSolver[Solver])</f>
        <v>Adams Bashford Moulton</v>
      </c>
      <c r="C27" s="2" t="str">
        <f>_xlfn.XLOOKUP(Moult1[[#This Row],[Hebras]],TbTecnologia[Hebras],TbTecnologia[Tecnología])</f>
        <v>OMP</v>
      </c>
      <c r="D27" s="2" t="str" cm="1">
        <f t="array" ref="D27">_xlfn.XLOOKUP(Moult1[[#This Row],[Tecnología]]&amp;Moult1[[#This Row],[Metodo]],TbTipos[Tecnología]&amp;TbTipos[Metodo],TbTipos[Tipo])</f>
        <v>OMP Operaciones</v>
      </c>
      <c r="E27" s="2" t="str" cm="1">
        <f t="array" ref="E27">_xlfn.XLOOKUP(Moult1[[#This Row],[Tecnología]]&amp;Moult1[[#This Row],[Problema]],TbNombres[Tecnología]&amp;TbNombres[Problema],TbNombres[Nombre])</f>
        <v>Simple Advdiff</v>
      </c>
      <c r="F27" s="2">
        <v>5</v>
      </c>
      <c r="G27" s="2">
        <v>1</v>
      </c>
      <c r="H27" s="2">
        <v>1</v>
      </c>
      <c r="I27" s="2">
        <v>500</v>
      </c>
      <c r="J27" s="2">
        <v>500</v>
      </c>
      <c r="K27" s="2">
        <v>6.8080400000000001</v>
      </c>
      <c r="M27" s="2" t="str">
        <f>_xlfn.XLOOKUP(Moult2[[#This Row],[Metodo]],TbSolver[Metodo],TbSolver[Solver])</f>
        <v>Adams Bashford Moulton</v>
      </c>
      <c r="N27" s="2" t="str">
        <f>_xlfn.XLOOKUP(Moult2[[#This Row],[Hebras]],TbTecnologia[Hebras],TbTecnologia[Tecnología])</f>
        <v>OMP</v>
      </c>
      <c r="O27" s="2" t="str" cm="1">
        <f t="array" ref="O27">_xlfn.XLOOKUP(Moult2[[#This Row],[Tecnología]]&amp;Moult2[[#This Row],[Metodo]],TbTipos[Tecnología]&amp;TbTipos[Metodo],TbTipos[Tipo])</f>
        <v>OMP Elementos</v>
      </c>
      <c r="P27" s="2" t="str" cm="1">
        <f t="array" ref="P27">_xlfn.XLOOKUP(Moult2[[#This Row],[Tecnología]]&amp;Moult2[[#This Row],[Problema]],TbNombres[Tecnología]&amp;TbNombres[Problema],TbNombres[Nombre])</f>
        <v>Advdiff1d</v>
      </c>
      <c r="Q27" s="2">
        <v>6</v>
      </c>
      <c r="R27" s="2">
        <v>2</v>
      </c>
      <c r="S27" s="2">
        <v>4</v>
      </c>
      <c r="T27" s="2">
        <v>500</v>
      </c>
      <c r="U27" s="2">
        <v>500</v>
      </c>
      <c r="V27" s="2">
        <v>21.6614</v>
      </c>
      <c r="X27" s="2" t="str">
        <f>_xlfn.XLOOKUP(Moult3[[#This Row],[Metodo]],TbSolver[Metodo],TbSolver[Solver])</f>
        <v>Adams Bashford Moulton</v>
      </c>
      <c r="Y27" s="2" t="str">
        <f>_xlfn.XLOOKUP(Moult3[[#This Row],[Hebras]],TbTecnologia[Hebras],TbTecnologia[Tecnología])</f>
        <v>CUDA</v>
      </c>
      <c r="Z27" s="2" t="str" cm="1">
        <f t="array" ref="Z27">_xlfn.XLOOKUP(Moult3[[#This Row],[Tecnología]]&amp;Moult3[[#This Row],[Metodo]],TbTipos[Tecnología]&amp;TbTipos[Metodo],TbTipos[Tipo])</f>
        <v>CUDA sin graph</v>
      </c>
      <c r="AA27" s="2" t="str" cm="1">
        <f t="array" ref="AA27">_xlfn.XLOOKUP(Moult3[[#This Row],[Tecnología]]&amp;Moult3[[#This Row],[Problema]],TbNombres[Tecnología]&amp;TbNombres[Problema],TbNombres[Nombre])</f>
        <v>Brusselator1d shuffle</v>
      </c>
      <c r="AB27" s="2">
        <v>5</v>
      </c>
      <c r="AC27" s="2">
        <v>6</v>
      </c>
      <c r="AD27" s="2">
        <v>256</v>
      </c>
      <c r="AE27" s="2">
        <v>200</v>
      </c>
      <c r="AF27" s="2">
        <v>400</v>
      </c>
      <c r="AG27" s="2">
        <v>14.7171</v>
      </c>
      <c r="AI27" s="2" t="str">
        <f>_xlfn.XLOOKUP(Moult4[[#This Row],[Metodo]],TbSolver[Metodo],TbSolver[Solver])</f>
        <v>Adams Bashford Moulton</v>
      </c>
      <c r="AJ27" s="2" t="str">
        <f>_xlfn.XLOOKUP(Moult4[[#This Row],[Hebras]],TbTecnologia[Hebras],TbTecnologia[Tecnología])</f>
        <v>OMP</v>
      </c>
      <c r="AK27" s="2" t="str" cm="1">
        <f t="array" ref="AK27">_xlfn.XLOOKUP(Moult4[[#This Row],[Tecnología]]&amp;Moult4[[#This Row],[Metodo]],TbTipos[Tecnología]&amp;TbTipos[Metodo],TbTipos[Tipo])</f>
        <v>OMP Elementos</v>
      </c>
      <c r="AL27" s="2" t="str" cm="1">
        <f t="array" ref="AL27">_xlfn.XLOOKUP(Moult4[[#This Row],[Tecnología]]&amp;Moult4[[#This Row],[Problema]],TbNombres[Tecnología]&amp;TbNombres[Problema],TbNombres[Nombre])</f>
        <v>Brusselator2d</v>
      </c>
      <c r="AM27" s="4">
        <v>6</v>
      </c>
      <c r="AN27" s="4">
        <v>4</v>
      </c>
      <c r="AO27" s="4">
        <v>16</v>
      </c>
      <c r="AP27" s="4">
        <v>75</v>
      </c>
      <c r="AQ27" s="4">
        <v>11250</v>
      </c>
      <c r="AR27" s="4">
        <v>68.871600000000001</v>
      </c>
    </row>
    <row r="28" spans="2:44" x14ac:dyDescent="0.2">
      <c r="B28" s="2" t="str">
        <f>_xlfn.XLOOKUP(Moult1[[#This Row],[Metodo]],TbSolver[Metodo],TbSolver[Solver])</f>
        <v>Adams Bashford Moulton</v>
      </c>
      <c r="C28" s="2" t="str">
        <f>_xlfn.XLOOKUP(Moult1[[#This Row],[Hebras]],TbTecnologia[Hebras],TbTecnologia[Tecnología])</f>
        <v>OMP</v>
      </c>
      <c r="D28" s="2" t="str" cm="1">
        <f t="array" ref="D28">_xlfn.XLOOKUP(Moult1[[#This Row],[Tecnología]]&amp;Moult1[[#This Row],[Metodo]],TbTipos[Tecnología]&amp;TbTipos[Metodo],TbTipos[Tipo])</f>
        <v>OMP Elementos</v>
      </c>
      <c r="E28" s="2" t="str" cm="1">
        <f t="array" ref="E28">_xlfn.XLOOKUP(Moult1[[#This Row],[Tecnología]]&amp;Moult1[[#This Row],[Problema]],TbNombres[Tecnología]&amp;TbNombres[Problema],TbNombres[Nombre])</f>
        <v>Simple Advdiff</v>
      </c>
      <c r="F28" s="2">
        <v>6</v>
      </c>
      <c r="G28" s="2">
        <v>1</v>
      </c>
      <c r="H28" s="2">
        <v>4</v>
      </c>
      <c r="I28" s="2">
        <v>500</v>
      </c>
      <c r="J28" s="2">
        <v>500</v>
      </c>
      <c r="K28" s="2">
        <v>11.7508</v>
      </c>
      <c r="M28" s="2" t="str">
        <f>_xlfn.XLOOKUP(Moult2[[#This Row],[Metodo]],TbSolver[Metodo],TbSolver[Solver])</f>
        <v>Adams Bashford Moulton</v>
      </c>
      <c r="N28" s="2" t="str">
        <f>_xlfn.XLOOKUP(Moult2[[#This Row],[Hebras]],TbTecnologia[Hebras],TbTecnologia[Tecnología])</f>
        <v>CUDA</v>
      </c>
      <c r="O28" s="2" t="str" cm="1">
        <f t="array" ref="O28">_xlfn.XLOOKUP(Moult2[[#This Row],[Tecnología]]&amp;Moult2[[#This Row],[Metodo]],TbTipos[Tecnología]&amp;TbTipos[Metodo],TbTipos[Tipo])</f>
        <v>CUDA con graph</v>
      </c>
      <c r="P28" s="2" t="str" cm="1">
        <f t="array" ref="P28">_xlfn.XLOOKUP(Moult2[[#This Row],[Tecnología]]&amp;Moult2[[#This Row],[Problema]],TbNombres[Tecnología]&amp;TbNombres[Problema],TbNombres[Nombre])</f>
        <v>Advdiff1d</v>
      </c>
      <c r="Q28" s="2">
        <v>6</v>
      </c>
      <c r="R28" s="2">
        <v>3</v>
      </c>
      <c r="S28" s="2">
        <v>256</v>
      </c>
      <c r="T28" s="2">
        <v>500</v>
      </c>
      <c r="U28" s="2">
        <v>500</v>
      </c>
      <c r="V28" s="2">
        <v>23.690100000000001</v>
      </c>
      <c r="X28" s="2" t="str">
        <f>_xlfn.XLOOKUP(Moult3[[#This Row],[Metodo]],TbSolver[Metodo],TbSolver[Solver])</f>
        <v>Adams Bashford Moulton</v>
      </c>
      <c r="Y28" s="2" t="str">
        <f>_xlfn.XLOOKUP(Moult3[[#This Row],[Hebras]],TbTecnologia[Hebras],TbTecnologia[Tecnología])</f>
        <v>OMP</v>
      </c>
      <c r="Z28" s="2" t="str" cm="1">
        <f t="array" ref="Z28">_xlfn.XLOOKUP(Moult3[[#This Row],[Tecnología]]&amp;Moult3[[#This Row],[Metodo]],TbTipos[Tecnología]&amp;TbTipos[Metodo],TbTipos[Tipo])</f>
        <v>OMP Elementos</v>
      </c>
      <c r="AA28" s="2" t="str" cm="1">
        <f t="array" ref="AA28">_xlfn.XLOOKUP(Moult3[[#This Row],[Tecnología]]&amp;Moult3[[#This Row],[Problema]],TbNombres[Tecnología]&amp;TbNombres[Problema],TbNombres[Nombre])</f>
        <v>Brusselator1d</v>
      </c>
      <c r="AB28" s="2">
        <v>6</v>
      </c>
      <c r="AC28" s="2">
        <v>3</v>
      </c>
      <c r="AD28" s="2">
        <v>16</v>
      </c>
      <c r="AE28" s="2">
        <v>200</v>
      </c>
      <c r="AF28" s="2">
        <v>400</v>
      </c>
      <c r="AG28" s="2">
        <v>31.756699999999999</v>
      </c>
      <c r="AI28" s="2" t="str">
        <f>_xlfn.XLOOKUP(Moult4[[#This Row],[Metodo]],TbSolver[Metodo],TbSolver[Solver])</f>
        <v>Adams Bashford Moulton</v>
      </c>
      <c r="AJ28" s="2" t="str">
        <f>_xlfn.XLOOKUP(Moult4[[#This Row],[Hebras]],TbTecnologia[Hebras],TbTecnologia[Tecnología])</f>
        <v>OMP</v>
      </c>
      <c r="AK28" s="2" t="str" cm="1">
        <f t="array" ref="AK28">_xlfn.XLOOKUP(Moult4[[#This Row],[Tecnología]]&amp;Moult4[[#This Row],[Metodo]],TbTipos[Tecnología]&amp;TbTipos[Metodo],TbTipos[Tipo])</f>
        <v>OMP Operaciones</v>
      </c>
      <c r="AL28" s="2" t="str" cm="1">
        <f t="array" ref="AL28">_xlfn.XLOOKUP(Moult4[[#This Row],[Tecnología]]&amp;Moult4[[#This Row],[Problema]],TbNombres[Tecnología]&amp;TbNombres[Problema],TbNombres[Nombre])</f>
        <v>Brusselator2d</v>
      </c>
      <c r="AM28" s="4">
        <v>5</v>
      </c>
      <c r="AN28" s="4">
        <v>4</v>
      </c>
      <c r="AO28" s="4">
        <v>4</v>
      </c>
      <c r="AP28" s="4">
        <v>75</v>
      </c>
      <c r="AQ28" s="4">
        <v>11250</v>
      </c>
      <c r="AR28" s="4">
        <v>99.210700000000003</v>
      </c>
    </row>
    <row r="29" spans="2:44" x14ac:dyDescent="0.2">
      <c r="B29" s="2" t="str">
        <f>_xlfn.XLOOKUP(Moult1[[#This Row],[Metodo]],TbSolver[Metodo],TbSolver[Solver])</f>
        <v>Adams Bashford Moulton</v>
      </c>
      <c r="C29" s="2" t="str">
        <f>_xlfn.XLOOKUP(Moult1[[#This Row],[Hebras]],TbTecnologia[Hebras],TbTecnologia[Tecnología])</f>
        <v>CUDA</v>
      </c>
      <c r="D29" s="2" t="str" cm="1">
        <f t="array" ref="D29">_xlfn.XLOOKUP(Moult1[[#This Row],[Tecnología]]&amp;Moult1[[#This Row],[Metodo]],TbTipos[Tecnología]&amp;TbTipos[Metodo],TbTipos[Tipo])</f>
        <v>CUDA con graph</v>
      </c>
      <c r="E29" s="2" t="str" cm="1">
        <f t="array" ref="E29">_xlfn.XLOOKUP(Moult1[[#This Row],[Tecnología]]&amp;Moult1[[#This Row],[Problema]],TbNombres[Tecnología]&amp;TbNombres[Problema],TbNombres[Nombre])</f>
        <v>Simple Advdiff</v>
      </c>
      <c r="F29" s="2">
        <v>6</v>
      </c>
      <c r="G29" s="2">
        <v>1</v>
      </c>
      <c r="H29" s="2">
        <v>256</v>
      </c>
      <c r="I29" s="2">
        <v>500</v>
      </c>
      <c r="J29" s="2">
        <v>500</v>
      </c>
      <c r="K29" s="2">
        <v>12.135899999999999</v>
      </c>
      <c r="M29" s="2" t="str">
        <f>_xlfn.XLOOKUP(Moult2[[#This Row],[Metodo]],TbSolver[Metodo],TbSolver[Solver])</f>
        <v>Adams Bashford Moulton</v>
      </c>
      <c r="N29" s="2" t="str">
        <f>_xlfn.XLOOKUP(Moult2[[#This Row],[Hebras]],TbTecnologia[Hebras],TbTecnologia[Tecnología])</f>
        <v>CUDA</v>
      </c>
      <c r="O29" s="2" t="str" cm="1">
        <f t="array" ref="O29">_xlfn.XLOOKUP(Moult2[[#This Row],[Tecnología]]&amp;Moult2[[#This Row],[Metodo]],TbTipos[Tecnología]&amp;TbTipos[Metodo],TbTipos[Tipo])</f>
        <v>CUDA sin graph</v>
      </c>
      <c r="P29" s="2" t="str" cm="1">
        <f t="array" ref="P29">_xlfn.XLOOKUP(Moult2[[#This Row],[Tecnología]]&amp;Moult2[[#This Row],[Problema]],TbNombres[Tecnología]&amp;TbNombres[Problema],TbNombres[Nombre])</f>
        <v>Advdiff1d</v>
      </c>
      <c r="Q29" s="2">
        <v>5</v>
      </c>
      <c r="R29" s="2">
        <v>3</v>
      </c>
      <c r="S29" s="2">
        <v>256</v>
      </c>
      <c r="T29" s="2">
        <v>500</v>
      </c>
      <c r="U29" s="2">
        <v>500</v>
      </c>
      <c r="V29" s="2">
        <v>24.028400000000001</v>
      </c>
      <c r="X29" s="2" t="str">
        <f>_xlfn.XLOOKUP(Moult3[[#This Row],[Metodo]],TbSolver[Metodo],TbSolver[Solver])</f>
        <v>Adams Bashford Moulton</v>
      </c>
      <c r="Y29" s="2" t="str">
        <f>_xlfn.XLOOKUP(Moult3[[#This Row],[Hebras]],TbTecnologia[Hebras],TbTecnologia[Tecnología])</f>
        <v>OMP</v>
      </c>
      <c r="Z29" s="2" t="str" cm="1">
        <f t="array" ref="Z29">_xlfn.XLOOKUP(Moult3[[#This Row],[Tecnología]]&amp;Moult3[[#This Row],[Metodo]],TbTipos[Tecnología]&amp;TbTipos[Metodo],TbTipos[Tipo])</f>
        <v>OMP Operaciones</v>
      </c>
      <c r="AA29" s="2" t="str" cm="1">
        <f t="array" ref="AA29">_xlfn.XLOOKUP(Moult3[[#This Row],[Tecnología]]&amp;Moult3[[#This Row],[Problema]],TbNombres[Tecnología]&amp;TbNombres[Problema],TbNombres[Nombre])</f>
        <v>Brusselator1d</v>
      </c>
      <c r="AB29" s="2">
        <v>5</v>
      </c>
      <c r="AC29" s="2">
        <v>3</v>
      </c>
      <c r="AD29" s="2">
        <v>4</v>
      </c>
      <c r="AE29" s="2">
        <v>200</v>
      </c>
      <c r="AF29" s="2">
        <v>400</v>
      </c>
      <c r="AG29" s="2">
        <v>52.7333</v>
      </c>
      <c r="AI29" s="2" t="str">
        <f>_xlfn.XLOOKUP(Moult4[[#This Row],[Metodo]],TbSolver[Metodo],TbSolver[Solver])</f>
        <v>Adams Bashford Moulton</v>
      </c>
      <c r="AJ29" s="2" t="str">
        <f>_xlfn.XLOOKUP(Moult4[[#This Row],[Hebras]],TbTecnologia[Hebras],TbTecnologia[Tecnología])</f>
        <v>OMP</v>
      </c>
      <c r="AK29" s="2" t="str" cm="1">
        <f t="array" ref="AK29">_xlfn.XLOOKUP(Moult4[[#This Row],[Tecnología]]&amp;Moult4[[#This Row],[Metodo]],TbTipos[Tecnología]&amp;TbTipos[Metodo],TbTipos[Tipo])</f>
        <v>OMP Operaciones</v>
      </c>
      <c r="AL29" s="2" t="str" cm="1">
        <f t="array" ref="AL29">_xlfn.XLOOKUP(Moult4[[#This Row],[Tecnología]]&amp;Moult4[[#This Row],[Problema]],TbNombres[Tecnología]&amp;TbNombres[Problema],TbNombres[Nombre])</f>
        <v>Brusselator2d</v>
      </c>
      <c r="AM29" s="4">
        <v>5</v>
      </c>
      <c r="AN29" s="4">
        <v>4</v>
      </c>
      <c r="AO29" s="4">
        <v>16</v>
      </c>
      <c r="AP29" s="4">
        <v>75</v>
      </c>
      <c r="AQ29" s="4">
        <v>11250</v>
      </c>
      <c r="AR29" s="4">
        <v>133.9</v>
      </c>
    </row>
    <row r="30" spans="2:44" x14ac:dyDescent="0.2">
      <c r="B30" s="2" t="str">
        <f>_xlfn.XLOOKUP(Moult1[[#This Row],[Metodo]],TbSolver[Metodo],TbSolver[Solver])</f>
        <v>Adams Bashford Moulton</v>
      </c>
      <c r="C30" s="2" t="str">
        <f>_xlfn.XLOOKUP(Moult1[[#This Row],[Hebras]],TbTecnologia[Hebras],TbTecnologia[Tecnología])</f>
        <v>CUDA</v>
      </c>
      <c r="D30" s="2" t="str" cm="1">
        <f t="array" ref="D30">_xlfn.XLOOKUP(Moult1[[#This Row],[Tecnología]]&amp;Moult1[[#This Row],[Metodo]],TbTipos[Tecnología]&amp;TbTipos[Metodo],TbTipos[Tipo])</f>
        <v>CUDA con graph</v>
      </c>
      <c r="E30" s="2" t="str" cm="1">
        <f t="array" ref="E30">_xlfn.XLOOKUP(Moult1[[#This Row],[Tecnología]]&amp;Moult1[[#This Row],[Problema]],TbNombres[Tecnología]&amp;TbNombres[Problema],TbNombres[Nombre])</f>
        <v>Simple Advdiff shuffle</v>
      </c>
      <c r="F30" s="2">
        <v>6</v>
      </c>
      <c r="G30" s="2">
        <v>2</v>
      </c>
      <c r="H30" s="2">
        <v>256</v>
      </c>
      <c r="I30" s="2">
        <v>500</v>
      </c>
      <c r="J30" s="2">
        <v>500</v>
      </c>
      <c r="K30" s="2">
        <v>12.163600000000001</v>
      </c>
      <c r="M30" s="2" t="str">
        <f>_xlfn.XLOOKUP(Moult2[[#This Row],[Metodo]],TbSolver[Metodo],TbSolver[Solver])</f>
        <v>Adams Bashford Moulton</v>
      </c>
      <c r="N30" s="2" t="str">
        <f>_xlfn.XLOOKUP(Moult2[[#This Row],[Hebras]],TbTecnologia[Hebras],TbTecnologia[Tecnología])</f>
        <v>OMP</v>
      </c>
      <c r="O30" s="2" t="str" cm="1">
        <f t="array" ref="O30">_xlfn.XLOOKUP(Moult2[[#This Row],[Tecnología]]&amp;Moult2[[#This Row],[Metodo]],TbTipos[Tecnología]&amp;TbTipos[Metodo],TbTipos[Tipo])</f>
        <v>OMP Elementos</v>
      </c>
      <c r="P30" s="2" t="str" cm="1">
        <f t="array" ref="P30">_xlfn.XLOOKUP(Moult2[[#This Row],[Tecnología]]&amp;Moult2[[#This Row],[Problema]],TbNombres[Tecnología]&amp;TbNombres[Problema],TbNombres[Nombre])</f>
        <v>Advdiff1d</v>
      </c>
      <c r="Q30" s="2">
        <v>6</v>
      </c>
      <c r="R30" s="2">
        <v>2</v>
      </c>
      <c r="S30" s="2">
        <v>16</v>
      </c>
      <c r="T30" s="2">
        <v>500</v>
      </c>
      <c r="U30" s="2">
        <v>500</v>
      </c>
      <c r="V30" s="2">
        <v>24.327500000000001</v>
      </c>
      <c r="X30" s="2" t="str">
        <f>_xlfn.XLOOKUP(Moult3[[#This Row],[Metodo]],TbSolver[Metodo],TbSolver[Solver])</f>
        <v>Adams Bashford Moulton</v>
      </c>
      <c r="Y30" s="2" t="str">
        <f>_xlfn.XLOOKUP(Moult3[[#This Row],[Hebras]],TbTecnologia[Hebras],TbTecnologia[Tecnología])</f>
        <v>OMP</v>
      </c>
      <c r="Z30" s="2" t="str" cm="1">
        <f t="array" ref="Z30">_xlfn.XLOOKUP(Moult3[[#This Row],[Tecnología]]&amp;Moult3[[#This Row],[Metodo]],TbTipos[Tecnología]&amp;TbTipos[Metodo],TbTipos[Tipo])</f>
        <v>OMP Operaciones</v>
      </c>
      <c r="AA30" s="2" t="str" cm="1">
        <f t="array" ref="AA30">_xlfn.XLOOKUP(Moult3[[#This Row],[Tecnología]]&amp;Moult3[[#This Row],[Problema]],TbNombres[Tecnología]&amp;TbNombres[Problema],TbNombres[Nombre])</f>
        <v>Brusselator1d</v>
      </c>
      <c r="AB30" s="2">
        <v>5</v>
      </c>
      <c r="AC30" s="2">
        <v>3</v>
      </c>
      <c r="AD30" s="2">
        <v>16</v>
      </c>
      <c r="AE30" s="2">
        <v>200</v>
      </c>
      <c r="AF30" s="2">
        <v>400</v>
      </c>
      <c r="AG30" s="2">
        <v>132.62700000000001</v>
      </c>
      <c r="AI30" s="2" t="str">
        <f>_xlfn.XLOOKUP(Moult4[[#This Row],[Metodo]],TbSolver[Metodo],TbSolver[Solver])</f>
        <v>Adams Bashford Moulton</v>
      </c>
      <c r="AJ30" s="2" t="str">
        <f>_xlfn.XLOOKUP(Moult4[[#This Row],[Hebras]],TbTecnologia[Hebras],TbTecnologia[Tecnología])</f>
        <v>OMP</v>
      </c>
      <c r="AK30" s="2" t="str" cm="1">
        <f t="array" ref="AK30">_xlfn.XLOOKUP(Moult4[[#This Row],[Tecnología]]&amp;Moult4[[#This Row],[Metodo]],TbTipos[Tecnología]&amp;TbTipos[Metodo],TbTipos[Tipo])</f>
        <v>OMP Elementos</v>
      </c>
      <c r="AL30" s="2" t="str" cm="1">
        <f t="array" ref="AL30">_xlfn.XLOOKUP(Moult4[[#This Row],[Tecnología]]&amp;Moult4[[#This Row],[Problema]],TbNombres[Tecnología]&amp;TbNombres[Problema],TbNombres[Nombre])</f>
        <v>Brusselator2d</v>
      </c>
      <c r="AM30" s="4">
        <v>6</v>
      </c>
      <c r="AN30" s="4">
        <v>4</v>
      </c>
      <c r="AO30" s="4">
        <v>4</v>
      </c>
      <c r="AP30" s="4">
        <v>75</v>
      </c>
      <c r="AQ30" s="4">
        <v>11250</v>
      </c>
      <c r="AR30" s="4">
        <v>142.66800000000001</v>
      </c>
    </row>
    <row r="31" spans="2:44" x14ac:dyDescent="0.2">
      <c r="B31" s="2" t="str">
        <f>_xlfn.XLOOKUP(Moult1[[#This Row],[Metodo]],TbSolver[Metodo],TbSolver[Solver])</f>
        <v>Adams Bashford Moulton</v>
      </c>
      <c r="C31" s="2" t="str">
        <f>_xlfn.XLOOKUP(Moult1[[#This Row],[Hebras]],TbTecnologia[Hebras],TbTecnologia[Tecnología])</f>
        <v>OMP</v>
      </c>
      <c r="D31" s="2" t="str" cm="1">
        <f t="array" ref="D31">_xlfn.XLOOKUP(Moult1[[#This Row],[Tecnología]]&amp;Moult1[[#This Row],[Metodo]],TbTipos[Tecnología]&amp;TbTipos[Metodo],TbTipos[Tipo])</f>
        <v>OMP Elementos</v>
      </c>
      <c r="E31" s="2" t="str" cm="1">
        <f t="array" ref="E31">_xlfn.XLOOKUP(Moult1[[#This Row],[Tecnología]]&amp;Moult1[[#This Row],[Problema]],TbNombres[Tecnología]&amp;TbNombres[Problema],TbNombres[Nombre])</f>
        <v>Simple Advdiff</v>
      </c>
      <c r="F31" s="2">
        <v>6</v>
      </c>
      <c r="G31" s="2">
        <v>1</v>
      </c>
      <c r="H31" s="2">
        <v>1</v>
      </c>
      <c r="I31" s="2">
        <v>500</v>
      </c>
      <c r="J31" s="2">
        <v>500</v>
      </c>
      <c r="K31" s="2">
        <v>12.668699999999999</v>
      </c>
      <c r="M31" s="2" t="str">
        <f>_xlfn.XLOOKUP(Moult2[[#This Row],[Metodo]],TbSolver[Metodo],TbSolver[Solver])</f>
        <v>Adams Bashford Moulton</v>
      </c>
      <c r="N31" s="2" t="str">
        <f>_xlfn.XLOOKUP(Moult2[[#This Row],[Hebras]],TbTecnologia[Hebras],TbTecnologia[Tecnología])</f>
        <v>CUDA</v>
      </c>
      <c r="O31" s="2" t="str" cm="1">
        <f t="array" ref="O31">_xlfn.XLOOKUP(Moult2[[#This Row],[Tecnología]]&amp;Moult2[[#This Row],[Metodo]],TbTipos[Tecnología]&amp;TbTipos[Metodo],TbTipos[Tipo])</f>
        <v>CUDA con graph</v>
      </c>
      <c r="P31" s="2" t="str" cm="1">
        <f t="array" ref="P31">_xlfn.XLOOKUP(Moult2[[#This Row],[Tecnología]]&amp;Moult2[[#This Row],[Problema]],TbNombres[Tecnología]&amp;TbNombres[Problema],TbNombres[Nombre])</f>
        <v>Advdiff1d shuffle</v>
      </c>
      <c r="Q31" s="2">
        <v>6</v>
      </c>
      <c r="R31" s="2">
        <v>4</v>
      </c>
      <c r="S31" s="2">
        <v>256</v>
      </c>
      <c r="T31" s="2">
        <v>500</v>
      </c>
      <c r="U31" s="2">
        <v>500</v>
      </c>
      <c r="V31" s="2">
        <v>24.4192</v>
      </c>
      <c r="X31" s="2" t="str">
        <f>_xlfn.XLOOKUP(Moult3[[#This Row],[Metodo]],TbSolver[Metodo],TbSolver[Solver])</f>
        <v>Adams Bashford Moulton</v>
      </c>
      <c r="Y31" s="2" t="str">
        <f>_xlfn.XLOOKUP(Moult3[[#This Row],[Hebras]],TbTecnologia[Hebras],TbTecnologia[Tecnología])</f>
        <v>CUDA</v>
      </c>
      <c r="Z31" s="2" t="str" cm="1">
        <f t="array" ref="Z31">_xlfn.XLOOKUP(Moult3[[#This Row],[Tecnología]]&amp;Moult3[[#This Row],[Metodo]],TbTipos[Tecnología]&amp;TbTipos[Metodo],TbTipos[Tipo])</f>
        <v>CUDA con graph</v>
      </c>
      <c r="AA31" s="2" t="str" cm="1">
        <f t="array" ref="AA31">_xlfn.XLOOKUP(Moult3[[#This Row],[Tecnología]]&amp;Moult3[[#This Row],[Problema]],TbNombres[Tecnología]&amp;TbNombres[Problema],TbNombres[Nombre])</f>
        <v>Brusselator1d</v>
      </c>
      <c r="AB31" s="2">
        <v>6</v>
      </c>
      <c r="AC31" s="2">
        <v>5</v>
      </c>
      <c r="AD31" s="2">
        <v>256</v>
      </c>
      <c r="AE31" s="2">
        <v>500</v>
      </c>
      <c r="AF31" s="2">
        <v>1000</v>
      </c>
      <c r="AG31" s="2">
        <v>12.9506</v>
      </c>
      <c r="AI31" s="2" t="str">
        <f>_xlfn.XLOOKUP(Moult4[[#This Row],[Metodo]],TbSolver[Metodo],TbSolver[Solver])</f>
        <v>Adams Bashford Moulton</v>
      </c>
      <c r="AJ31" s="2" t="str">
        <f>_xlfn.XLOOKUP(Moult4[[#This Row],[Hebras]],TbTecnologia[Hebras],TbTecnologia[Tecnología])</f>
        <v>OMP</v>
      </c>
      <c r="AK31" s="2" t="str" cm="1">
        <f t="array" ref="AK31">_xlfn.XLOOKUP(Moult4[[#This Row],[Tecnología]]&amp;Moult4[[#This Row],[Metodo]],TbTipos[Tecnología]&amp;TbTipos[Metodo],TbTipos[Tipo])</f>
        <v>OMP Operaciones</v>
      </c>
      <c r="AL31" s="2" t="str" cm="1">
        <f t="array" ref="AL31">_xlfn.XLOOKUP(Moult4[[#This Row],[Tecnología]]&amp;Moult4[[#This Row],[Problema]],TbNombres[Tecnología]&amp;TbNombres[Problema],TbNombres[Nombre])</f>
        <v>Brusselator2d</v>
      </c>
      <c r="AM31" s="4">
        <v>5</v>
      </c>
      <c r="AN31" s="4">
        <v>4</v>
      </c>
      <c r="AO31" s="4">
        <v>1</v>
      </c>
      <c r="AP31" s="4">
        <v>75</v>
      </c>
      <c r="AQ31" s="4">
        <v>11250</v>
      </c>
      <c r="AR31" s="4">
        <v>207.28700000000001</v>
      </c>
    </row>
    <row r="32" spans="2:44" x14ac:dyDescent="0.2">
      <c r="B32" s="2" t="str">
        <f>_xlfn.XLOOKUP(Moult1[[#This Row],[Metodo]],TbSolver[Metodo],TbSolver[Solver])</f>
        <v>Adams Bashford Moulton</v>
      </c>
      <c r="C32" s="2" t="str">
        <f>_xlfn.XLOOKUP(Moult1[[#This Row],[Hebras]],TbTecnologia[Hebras],TbTecnologia[Tecnología])</f>
        <v>CUDA</v>
      </c>
      <c r="D32" s="2" t="str" cm="1">
        <f t="array" ref="D32">_xlfn.XLOOKUP(Moult1[[#This Row],[Tecnología]]&amp;Moult1[[#This Row],[Metodo]],TbTipos[Tecnología]&amp;TbTipos[Metodo],TbTipos[Tipo])</f>
        <v>CUDA sin graph</v>
      </c>
      <c r="E32" s="2" t="str" cm="1">
        <f t="array" ref="E32">_xlfn.XLOOKUP(Moult1[[#This Row],[Tecnología]]&amp;Moult1[[#This Row],[Problema]],TbNombres[Tecnología]&amp;TbNombres[Problema],TbNombres[Nombre])</f>
        <v>Simple Advdiff</v>
      </c>
      <c r="F32" s="2">
        <v>5</v>
      </c>
      <c r="G32" s="2">
        <v>1</v>
      </c>
      <c r="H32" s="2">
        <v>256</v>
      </c>
      <c r="I32" s="2">
        <v>500</v>
      </c>
      <c r="J32" s="2">
        <v>500</v>
      </c>
      <c r="K32" s="2">
        <v>12.7247</v>
      </c>
      <c r="M32" s="2" t="str">
        <f>_xlfn.XLOOKUP(Moult2[[#This Row],[Metodo]],TbSolver[Metodo],TbSolver[Solver])</f>
        <v>Adams Bashford Moulton</v>
      </c>
      <c r="N32" s="2" t="str">
        <f>_xlfn.XLOOKUP(Moult2[[#This Row],[Hebras]],TbTecnologia[Hebras],TbTecnologia[Tecnología])</f>
        <v>CUDA</v>
      </c>
      <c r="O32" s="2" t="str" cm="1">
        <f t="array" ref="O32">_xlfn.XLOOKUP(Moult2[[#This Row],[Tecnología]]&amp;Moult2[[#This Row],[Metodo]],TbTipos[Tecnología]&amp;TbTipos[Metodo],TbTipos[Tipo])</f>
        <v>CUDA sin graph</v>
      </c>
      <c r="P32" s="2" t="str" cm="1">
        <f t="array" ref="P32">_xlfn.XLOOKUP(Moult2[[#This Row],[Tecnología]]&amp;Moult2[[#This Row],[Problema]],TbNombres[Tecnología]&amp;TbNombres[Problema],TbNombres[Nombre])</f>
        <v>Advdiff1d shuffle</v>
      </c>
      <c r="Q32" s="2">
        <v>5</v>
      </c>
      <c r="R32" s="2">
        <v>4</v>
      </c>
      <c r="S32" s="2">
        <v>256</v>
      </c>
      <c r="T32" s="2">
        <v>500</v>
      </c>
      <c r="U32" s="2">
        <v>500</v>
      </c>
      <c r="V32" s="2">
        <v>24.748799999999999</v>
      </c>
      <c r="X32" s="2" t="str">
        <f>_xlfn.XLOOKUP(Moult3[[#This Row],[Metodo]],TbSolver[Metodo],TbSolver[Solver])</f>
        <v>Adams Bashford Moulton</v>
      </c>
      <c r="Y32" s="2" t="str">
        <f>_xlfn.XLOOKUP(Moult3[[#This Row],[Hebras]],TbTecnologia[Hebras],TbTecnologia[Tecnología])</f>
        <v>CUDA</v>
      </c>
      <c r="Z32" s="2" t="str" cm="1">
        <f t="array" ref="Z32">_xlfn.XLOOKUP(Moult3[[#This Row],[Tecnología]]&amp;Moult3[[#This Row],[Metodo]],TbTipos[Tecnología]&amp;TbTipos[Metodo],TbTipos[Tipo])</f>
        <v>CUDA con graph</v>
      </c>
      <c r="AA32" s="2" t="str" cm="1">
        <f t="array" ref="AA32">_xlfn.XLOOKUP(Moult3[[#This Row],[Tecnología]]&amp;Moult3[[#This Row],[Problema]],TbNombres[Tecnología]&amp;TbNombres[Problema],TbNombres[Nombre])</f>
        <v>Brusselator1d grid</v>
      </c>
      <c r="AB32" s="2">
        <v>6</v>
      </c>
      <c r="AC32" s="2">
        <v>7</v>
      </c>
      <c r="AD32" s="2">
        <v>256</v>
      </c>
      <c r="AE32" s="2">
        <v>500</v>
      </c>
      <c r="AF32" s="2">
        <v>1000</v>
      </c>
      <c r="AG32" s="2">
        <v>13.004200000000001</v>
      </c>
      <c r="AI32" s="2" t="str">
        <f>_xlfn.XLOOKUP(Moult4[[#This Row],[Metodo]],TbSolver[Metodo],TbSolver[Solver])</f>
        <v>Adams Bashford Moulton</v>
      </c>
      <c r="AJ32" s="2" t="str">
        <f>_xlfn.XLOOKUP(Moult4[[#This Row],[Hebras]],TbTecnologia[Hebras],TbTecnologia[Tecnología])</f>
        <v>OMP</v>
      </c>
      <c r="AK32" s="2" t="str" cm="1">
        <f t="array" ref="AK32">_xlfn.XLOOKUP(Moult4[[#This Row],[Tecnología]]&amp;Moult4[[#This Row],[Metodo]],TbTipos[Tecnología]&amp;TbTipos[Metodo],TbTipos[Tipo])</f>
        <v>OMP Elementos</v>
      </c>
      <c r="AL32" s="2" t="str" cm="1">
        <f t="array" ref="AL32">_xlfn.XLOOKUP(Moult4[[#This Row],[Tecnología]]&amp;Moult4[[#This Row],[Problema]],TbNombres[Tecnología]&amp;TbNombres[Problema],TbNombres[Nombre])</f>
        <v>Brusselator2d</v>
      </c>
      <c r="AM32" s="4">
        <v>6</v>
      </c>
      <c r="AN32" s="4">
        <v>4</v>
      </c>
      <c r="AO32" s="4">
        <v>1</v>
      </c>
      <c r="AP32" s="4">
        <v>75</v>
      </c>
      <c r="AQ32" s="4">
        <v>11250</v>
      </c>
      <c r="AR32" s="4">
        <v>519.00199999999995</v>
      </c>
    </row>
    <row r="33" spans="2:44" x14ac:dyDescent="0.2">
      <c r="B33" s="2" t="str">
        <f>_xlfn.XLOOKUP(Moult1[[#This Row],[Metodo]],TbSolver[Metodo],TbSolver[Solver])</f>
        <v>Adams Bashford Moulton</v>
      </c>
      <c r="C33" s="2" t="str">
        <f>_xlfn.XLOOKUP(Moult1[[#This Row],[Hebras]],TbTecnologia[Hebras],TbTecnologia[Tecnología])</f>
        <v>CUDA</v>
      </c>
      <c r="D33" s="2" t="str" cm="1">
        <f t="array" ref="D33">_xlfn.XLOOKUP(Moult1[[#This Row],[Tecnología]]&amp;Moult1[[#This Row],[Metodo]],TbTipos[Tecnología]&amp;TbTipos[Metodo],TbTipos[Tipo])</f>
        <v>CUDA sin graph</v>
      </c>
      <c r="E33" s="2" t="str" cm="1">
        <f t="array" ref="E33">_xlfn.XLOOKUP(Moult1[[#This Row],[Tecnología]]&amp;Moult1[[#This Row],[Problema]],TbNombres[Tecnología]&amp;TbNombres[Problema],TbNombres[Nombre])</f>
        <v>Simple Advdiff shuffle</v>
      </c>
      <c r="F33" s="2">
        <v>5</v>
      </c>
      <c r="G33" s="2">
        <v>2</v>
      </c>
      <c r="H33" s="2">
        <v>256</v>
      </c>
      <c r="I33" s="2">
        <v>500</v>
      </c>
      <c r="J33" s="2">
        <v>500</v>
      </c>
      <c r="K33" s="2">
        <v>12.746700000000001</v>
      </c>
      <c r="M33" s="2" t="str">
        <f>_xlfn.XLOOKUP(Moult2[[#This Row],[Metodo]],TbSolver[Metodo],TbSolver[Solver])</f>
        <v>Adams Bashford Moulton</v>
      </c>
      <c r="N33" s="2" t="str">
        <f>_xlfn.XLOOKUP(Moult2[[#This Row],[Hebras]],TbTecnologia[Hebras],TbTecnologia[Tecnología])</f>
        <v>OMP</v>
      </c>
      <c r="O33" s="2" t="str" cm="1">
        <f t="array" ref="O33">_xlfn.XLOOKUP(Moult2[[#This Row],[Tecnología]]&amp;Moult2[[#This Row],[Metodo]],TbTipos[Tecnología]&amp;TbTipos[Metodo],TbTipos[Tipo])</f>
        <v>OMP Operaciones</v>
      </c>
      <c r="P33" s="2" t="str" cm="1">
        <f t="array" ref="P33">_xlfn.XLOOKUP(Moult2[[#This Row],[Tecnología]]&amp;Moult2[[#This Row],[Problema]],TbNombres[Tecnología]&amp;TbNombres[Problema],TbNombres[Nombre])</f>
        <v>Advdiff1d</v>
      </c>
      <c r="Q33" s="2">
        <v>5</v>
      </c>
      <c r="R33" s="2">
        <v>2</v>
      </c>
      <c r="S33" s="2">
        <v>1</v>
      </c>
      <c r="T33" s="2">
        <v>500</v>
      </c>
      <c r="U33" s="2">
        <v>500</v>
      </c>
      <c r="V33" s="2">
        <v>38.900799999999997</v>
      </c>
      <c r="X33" s="2" t="str">
        <f>_xlfn.XLOOKUP(Moult3[[#This Row],[Metodo]],TbSolver[Metodo],TbSolver[Solver])</f>
        <v>Adams Bashford Moulton</v>
      </c>
      <c r="Y33" s="2" t="str">
        <f>_xlfn.XLOOKUP(Moult3[[#This Row],[Hebras]],TbTecnologia[Hebras],TbTecnologia[Tecnología])</f>
        <v>CUDA</v>
      </c>
      <c r="Z33" s="2" t="str" cm="1">
        <f t="array" ref="Z33">_xlfn.XLOOKUP(Moult3[[#This Row],[Tecnología]]&amp;Moult3[[#This Row],[Metodo]],TbTipos[Tecnología]&amp;TbTipos[Metodo],TbTipos[Tipo])</f>
        <v>CUDA con graph</v>
      </c>
      <c r="AA33" s="2" t="str" cm="1">
        <f t="array" ref="AA33">_xlfn.XLOOKUP(Moult3[[#This Row],[Tecnología]]&amp;Moult3[[#This Row],[Problema]],TbNombres[Tecnología]&amp;TbNombres[Problema],TbNombres[Nombre])</f>
        <v>Brusselator1d shuffle</v>
      </c>
      <c r="AB33" s="2">
        <v>6</v>
      </c>
      <c r="AC33" s="2">
        <v>6</v>
      </c>
      <c r="AD33" s="2">
        <v>256</v>
      </c>
      <c r="AE33" s="2">
        <v>500</v>
      </c>
      <c r="AF33" s="2">
        <v>1000</v>
      </c>
      <c r="AG33" s="2">
        <v>13.020300000000001</v>
      </c>
      <c r="AI33" s="2" t="str">
        <f>_xlfn.XLOOKUP(Moult4[[#This Row],[Metodo]],TbSolver[Metodo],TbSolver[Solver])</f>
        <v>Adams Bashford Moulton</v>
      </c>
      <c r="AJ33" s="2" t="str">
        <f>_xlfn.XLOOKUP(Moult4[[#This Row],[Hebras]],TbTecnologia[Hebras],TbTecnologia[Tecnología])</f>
        <v>CUDA</v>
      </c>
      <c r="AK33" s="2" t="str" cm="1">
        <f t="array" ref="AK33">_xlfn.XLOOKUP(Moult4[[#This Row],[Tecnología]]&amp;Moult4[[#This Row],[Metodo]],TbTipos[Tecnología]&amp;TbTipos[Metodo],TbTipos[Tipo])</f>
        <v>CUDA con graph</v>
      </c>
      <c r="AL33" s="2" t="str" cm="1">
        <f t="array" ref="AL33">_xlfn.XLOOKUP(Moult4[[#This Row],[Tecnología]]&amp;Moult4[[#This Row],[Problema]],TbNombres[Tecnología]&amp;TbNombres[Problema],TbNombres[Nombre])</f>
        <v>Brusselator2d shuffle</v>
      </c>
      <c r="AM33" s="2">
        <v>6</v>
      </c>
      <c r="AN33" s="2">
        <v>9</v>
      </c>
      <c r="AO33" s="2">
        <v>256</v>
      </c>
      <c r="AP33" s="2">
        <v>100</v>
      </c>
      <c r="AQ33" s="2">
        <v>20000</v>
      </c>
      <c r="AR33" s="2">
        <v>22.558299999999999</v>
      </c>
    </row>
    <row r="34" spans="2:44" x14ac:dyDescent="0.2">
      <c r="B34" s="2" t="str">
        <f>_xlfn.XLOOKUP(Moult1[[#This Row],[Metodo]],TbSolver[Metodo],TbSolver[Solver])</f>
        <v>Adams Bashford Moulton</v>
      </c>
      <c r="C34" s="2" t="str">
        <f>_xlfn.XLOOKUP(Moult1[[#This Row],[Hebras]],TbTecnologia[Hebras],TbTecnologia[Tecnología])</f>
        <v>OMP</v>
      </c>
      <c r="D34" s="2" t="str" cm="1">
        <f t="array" ref="D34">_xlfn.XLOOKUP(Moult1[[#This Row],[Tecnología]]&amp;Moult1[[#This Row],[Metodo]],TbTipos[Tecnología]&amp;TbTipos[Metodo],TbTipos[Tipo])</f>
        <v>OMP Elementos</v>
      </c>
      <c r="E34" s="2" t="str" cm="1">
        <f t="array" ref="E34">_xlfn.XLOOKUP(Moult1[[#This Row],[Tecnología]]&amp;Moult1[[#This Row],[Problema]],TbNombres[Tecnología]&amp;TbNombres[Problema],TbNombres[Nombre])</f>
        <v>Simple Advdiff</v>
      </c>
      <c r="F34" s="2">
        <v>6</v>
      </c>
      <c r="G34" s="2">
        <v>1</v>
      </c>
      <c r="H34" s="2">
        <v>16</v>
      </c>
      <c r="I34" s="2">
        <v>500</v>
      </c>
      <c r="J34" s="2">
        <v>500</v>
      </c>
      <c r="K34" s="2">
        <v>28.921399999999998</v>
      </c>
      <c r="M34" s="2" t="str">
        <f>_xlfn.XLOOKUP(Moult2[[#This Row],[Metodo]],TbSolver[Metodo],TbSolver[Solver])</f>
        <v>Adams Bashford Moulton</v>
      </c>
      <c r="N34" s="2" t="str">
        <f>_xlfn.XLOOKUP(Moult2[[#This Row],[Hebras]],TbTecnologia[Hebras],TbTecnologia[Tecnología])</f>
        <v>OMP</v>
      </c>
      <c r="O34" s="2" t="str" cm="1">
        <f t="array" ref="O34">_xlfn.XLOOKUP(Moult2[[#This Row],[Tecnología]]&amp;Moult2[[#This Row],[Metodo]],TbTipos[Tecnología]&amp;TbTipos[Metodo],TbTipos[Tipo])</f>
        <v>OMP Elementos</v>
      </c>
      <c r="P34" s="2" t="str" cm="1">
        <f t="array" ref="P34">_xlfn.XLOOKUP(Moult2[[#This Row],[Tecnología]]&amp;Moult2[[#This Row],[Problema]],TbNombres[Tecnología]&amp;TbNombres[Problema],TbNombres[Nombre])</f>
        <v>Advdiff1d</v>
      </c>
      <c r="Q34" s="2">
        <v>6</v>
      </c>
      <c r="R34" s="2">
        <v>2</v>
      </c>
      <c r="S34" s="2">
        <v>1</v>
      </c>
      <c r="T34" s="2">
        <v>500</v>
      </c>
      <c r="U34" s="2">
        <v>500</v>
      </c>
      <c r="V34" s="2">
        <v>46.477200000000003</v>
      </c>
      <c r="X34" s="2" t="str">
        <f>_xlfn.XLOOKUP(Moult3[[#This Row],[Metodo]],TbSolver[Metodo],TbSolver[Solver])</f>
        <v>Adams Bashford Moulton</v>
      </c>
      <c r="Y34" s="2" t="str">
        <f>_xlfn.XLOOKUP(Moult3[[#This Row],[Hebras]],TbTecnologia[Hebras],TbTecnologia[Tecnología])</f>
        <v>CUDA</v>
      </c>
      <c r="Z34" s="2" t="str" cm="1">
        <f t="array" ref="Z34">_xlfn.XLOOKUP(Moult3[[#This Row],[Tecnología]]&amp;Moult3[[#This Row],[Metodo]],TbTipos[Tecnología]&amp;TbTipos[Metodo],TbTipos[Tipo])</f>
        <v>CUDA sin graph</v>
      </c>
      <c r="AA34" s="2" t="str" cm="1">
        <f t="array" ref="AA34">_xlfn.XLOOKUP(Moult3[[#This Row],[Tecnología]]&amp;Moult3[[#This Row],[Problema]],TbNombres[Tecnología]&amp;TbNombres[Problema],TbNombres[Nombre])</f>
        <v>Brusselator1d shuffle</v>
      </c>
      <c r="AB34" s="2">
        <v>5</v>
      </c>
      <c r="AC34" s="2">
        <v>6</v>
      </c>
      <c r="AD34" s="2">
        <v>256</v>
      </c>
      <c r="AE34" s="2">
        <v>500</v>
      </c>
      <c r="AF34" s="2">
        <v>1000</v>
      </c>
      <c r="AG34" s="2">
        <v>13.5906</v>
      </c>
      <c r="AI34" s="2" t="str">
        <f>_xlfn.XLOOKUP(Moult4[[#This Row],[Metodo]],TbSolver[Metodo],TbSolver[Solver])</f>
        <v>Adams Bashford Moulton</v>
      </c>
      <c r="AJ34" s="2" t="str">
        <f>_xlfn.XLOOKUP(Moult4[[#This Row],[Hebras]],TbTecnologia[Hebras],TbTecnologia[Tecnología])</f>
        <v>CUDA</v>
      </c>
      <c r="AK34" s="2" t="str" cm="1">
        <f t="array" ref="AK34">_xlfn.XLOOKUP(Moult4[[#This Row],[Tecnología]]&amp;Moult4[[#This Row],[Metodo]],TbTipos[Tecnología]&amp;TbTipos[Metodo],TbTipos[Tipo])</f>
        <v>CUDA con graph</v>
      </c>
      <c r="AL34" s="2" t="str" cm="1">
        <f t="array" ref="AL34">_xlfn.XLOOKUP(Moult4[[#This Row],[Tecnología]]&amp;Moult4[[#This Row],[Problema]],TbNombres[Tecnología]&amp;TbNombres[Problema],TbNombres[Nombre])</f>
        <v>Brusselator2d</v>
      </c>
      <c r="AM34" s="2">
        <v>6</v>
      </c>
      <c r="AN34" s="2">
        <v>8</v>
      </c>
      <c r="AO34" s="2">
        <v>256</v>
      </c>
      <c r="AP34" s="2">
        <v>100</v>
      </c>
      <c r="AQ34" s="2">
        <v>20000</v>
      </c>
      <c r="AR34" s="2">
        <v>22.657800000000002</v>
      </c>
    </row>
    <row r="35" spans="2:44" x14ac:dyDescent="0.2">
      <c r="B35" s="2" t="str">
        <f>_xlfn.XLOOKUP(Moult1[[#This Row],[Metodo]],TbSolver[Metodo],TbSolver[Solver])</f>
        <v>Adams Bashford Moulton</v>
      </c>
      <c r="C35" s="2" t="str">
        <f>_xlfn.XLOOKUP(Moult1[[#This Row],[Hebras]],TbTecnologia[Hebras],TbTecnologia[Tecnología])</f>
        <v>OMP</v>
      </c>
      <c r="D35" s="2" t="str" cm="1">
        <f t="array" ref="D35">_xlfn.XLOOKUP(Moult1[[#This Row],[Tecnología]]&amp;Moult1[[#This Row],[Metodo]],TbTipos[Tecnología]&amp;TbTipos[Metodo],TbTipos[Tipo])</f>
        <v>OMP Operaciones</v>
      </c>
      <c r="E35" s="2" t="str" cm="1">
        <f t="array" ref="E35">_xlfn.XLOOKUP(Moult1[[#This Row],[Tecnología]]&amp;Moult1[[#This Row],[Problema]],TbNombres[Tecnología]&amp;TbNombres[Problema],TbNombres[Nombre])</f>
        <v>Simple Advdiff</v>
      </c>
      <c r="F35" s="2">
        <v>5</v>
      </c>
      <c r="G35" s="2">
        <v>1</v>
      </c>
      <c r="H35" s="2">
        <v>4</v>
      </c>
      <c r="I35" s="2">
        <v>500</v>
      </c>
      <c r="J35" s="2">
        <v>500</v>
      </c>
      <c r="K35" s="2">
        <v>50.9985</v>
      </c>
      <c r="M35" s="2" t="str">
        <f>_xlfn.XLOOKUP(Moult2[[#This Row],[Metodo]],TbSolver[Metodo],TbSolver[Solver])</f>
        <v>Adams Bashford Moulton</v>
      </c>
      <c r="N35" s="2" t="str">
        <f>_xlfn.XLOOKUP(Moult2[[#This Row],[Hebras]],TbTecnologia[Hebras],TbTecnologia[Tecnología])</f>
        <v>OMP</v>
      </c>
      <c r="O35" s="2" t="str" cm="1">
        <f t="array" ref="O35">_xlfn.XLOOKUP(Moult2[[#This Row],[Tecnología]]&amp;Moult2[[#This Row],[Metodo]],TbTipos[Tecnología]&amp;TbTipos[Metodo],TbTipos[Tipo])</f>
        <v>OMP Operaciones</v>
      </c>
      <c r="P35" s="2" t="str" cm="1">
        <f t="array" ref="P35">_xlfn.XLOOKUP(Moult2[[#This Row],[Tecnología]]&amp;Moult2[[#This Row],[Problema]],TbNombres[Tecnología]&amp;TbNombres[Problema],TbNombres[Nombre])</f>
        <v>Advdiff1d</v>
      </c>
      <c r="Q35" s="2">
        <v>5</v>
      </c>
      <c r="R35" s="2">
        <v>2</v>
      </c>
      <c r="S35" s="2">
        <v>4</v>
      </c>
      <c r="T35" s="2">
        <v>500</v>
      </c>
      <c r="U35" s="2">
        <v>500</v>
      </c>
      <c r="V35" s="2">
        <v>64.753900000000002</v>
      </c>
      <c r="X35" s="2" t="str">
        <f>_xlfn.XLOOKUP(Moult3[[#This Row],[Metodo]],TbSolver[Metodo],TbSolver[Solver])</f>
        <v>Adams Bashford Moulton</v>
      </c>
      <c r="Y35" s="2" t="str">
        <f>_xlfn.XLOOKUP(Moult3[[#This Row],[Hebras]],TbTecnologia[Hebras],TbTecnologia[Tecnología])</f>
        <v>CUDA</v>
      </c>
      <c r="Z35" s="2" t="str" cm="1">
        <f t="array" ref="Z35">_xlfn.XLOOKUP(Moult3[[#This Row],[Tecnología]]&amp;Moult3[[#This Row],[Metodo]],TbTipos[Tecnología]&amp;TbTipos[Metodo],TbTipos[Tipo])</f>
        <v>CUDA sin graph</v>
      </c>
      <c r="AA35" s="2" t="str" cm="1">
        <f t="array" ref="AA35">_xlfn.XLOOKUP(Moult3[[#This Row],[Tecnología]]&amp;Moult3[[#This Row],[Problema]],TbNombres[Tecnología]&amp;TbNombres[Problema],TbNombres[Nombre])</f>
        <v>Brusselator1d</v>
      </c>
      <c r="AB35" s="2">
        <v>5</v>
      </c>
      <c r="AC35" s="2">
        <v>5</v>
      </c>
      <c r="AD35" s="2">
        <v>256</v>
      </c>
      <c r="AE35" s="2">
        <v>500</v>
      </c>
      <c r="AF35" s="2">
        <v>1000</v>
      </c>
      <c r="AG35" s="2">
        <v>13.609400000000001</v>
      </c>
      <c r="AI35" s="2" t="str">
        <f>_xlfn.XLOOKUP(Moult4[[#This Row],[Metodo]],TbSolver[Metodo],TbSolver[Solver])</f>
        <v>Adams Bashford Moulton</v>
      </c>
      <c r="AJ35" s="2" t="str">
        <f>_xlfn.XLOOKUP(Moult4[[#This Row],[Hebras]],TbTecnologia[Hebras],TbTecnologia[Tecnología])</f>
        <v>CUDA</v>
      </c>
      <c r="AK35" s="2" t="str" cm="1">
        <f t="array" ref="AK35">_xlfn.XLOOKUP(Moult4[[#This Row],[Tecnología]]&amp;Moult4[[#This Row],[Metodo]],TbTipos[Tecnología]&amp;TbTipos[Metodo],TbTipos[Tipo])</f>
        <v>CUDA sin graph</v>
      </c>
      <c r="AL35" s="2" t="str" cm="1">
        <f t="array" ref="AL35">_xlfn.XLOOKUP(Moult4[[#This Row],[Tecnología]]&amp;Moult4[[#This Row],[Problema]],TbNombres[Tecnología]&amp;TbNombres[Problema],TbNombres[Nombre])</f>
        <v>Brusselator2d</v>
      </c>
      <c r="AM35" s="2">
        <v>5</v>
      </c>
      <c r="AN35" s="2">
        <v>8</v>
      </c>
      <c r="AO35" s="2">
        <v>256</v>
      </c>
      <c r="AP35" s="2">
        <v>100</v>
      </c>
      <c r="AQ35" s="2">
        <v>20000</v>
      </c>
      <c r="AR35" s="2">
        <v>22.6586</v>
      </c>
    </row>
    <row r="36" spans="2:44" x14ac:dyDescent="0.2">
      <c r="B36" s="2" t="str">
        <f>_xlfn.XLOOKUP(Moult1[[#This Row],[Metodo]],TbSolver[Metodo],TbSolver[Solver])</f>
        <v>Adams Bashford Moulton</v>
      </c>
      <c r="C36" s="2" t="str">
        <f>_xlfn.XLOOKUP(Moult1[[#This Row],[Hebras]],TbTecnologia[Hebras],TbTecnologia[Tecnología])</f>
        <v>OMP</v>
      </c>
      <c r="D36" s="2" t="str" cm="1">
        <f t="array" ref="D36">_xlfn.XLOOKUP(Moult1[[#This Row],[Tecnología]]&amp;Moult1[[#This Row],[Metodo]],TbTipos[Tecnología]&amp;TbTipos[Metodo],TbTipos[Tipo])</f>
        <v>OMP Operaciones</v>
      </c>
      <c r="E36" s="2" t="str" cm="1">
        <f t="array" ref="E36">_xlfn.XLOOKUP(Moult1[[#This Row],[Tecnología]]&amp;Moult1[[#This Row],[Problema]],TbNombres[Tecnología]&amp;TbNombres[Problema],TbNombres[Nombre])</f>
        <v>Simple Advdiff</v>
      </c>
      <c r="F36" s="2">
        <v>5</v>
      </c>
      <c r="G36" s="2">
        <v>1</v>
      </c>
      <c r="H36" s="2">
        <v>16</v>
      </c>
      <c r="I36" s="2">
        <v>500</v>
      </c>
      <c r="J36" s="2">
        <v>500</v>
      </c>
      <c r="K36" s="2">
        <v>106.66200000000001</v>
      </c>
      <c r="M36" s="2" t="str">
        <f>_xlfn.XLOOKUP(Moult2[[#This Row],[Metodo]],TbSolver[Metodo],TbSolver[Solver])</f>
        <v>Adams Bashford Moulton</v>
      </c>
      <c r="N36" s="2" t="str">
        <f>_xlfn.XLOOKUP(Moult2[[#This Row],[Hebras]],TbTecnologia[Hebras],TbTecnologia[Tecnología])</f>
        <v>OMP</v>
      </c>
      <c r="O36" s="2" t="str" cm="1">
        <f t="array" ref="O36">_xlfn.XLOOKUP(Moult2[[#This Row],[Tecnología]]&amp;Moult2[[#This Row],[Metodo]],TbTipos[Tecnología]&amp;TbTipos[Metodo],TbTipos[Tipo])</f>
        <v>OMP Operaciones</v>
      </c>
      <c r="P36" s="2" t="str" cm="1">
        <f t="array" ref="P36">_xlfn.XLOOKUP(Moult2[[#This Row],[Tecnología]]&amp;Moult2[[#This Row],[Problema]],TbNombres[Tecnología]&amp;TbNombres[Problema],TbNombres[Nombre])</f>
        <v>Advdiff1d</v>
      </c>
      <c r="Q36" s="2">
        <v>5</v>
      </c>
      <c r="R36" s="2">
        <v>2</v>
      </c>
      <c r="S36" s="2">
        <v>16</v>
      </c>
      <c r="T36" s="2">
        <v>500</v>
      </c>
      <c r="U36" s="2">
        <v>500</v>
      </c>
      <c r="V36" s="2">
        <v>132.91999999999999</v>
      </c>
      <c r="X36" s="2" t="str">
        <f>_xlfn.XLOOKUP(Moult3[[#This Row],[Metodo]],TbSolver[Metodo],TbSolver[Solver])</f>
        <v>Adams Bashford Moulton</v>
      </c>
      <c r="Y36" s="2" t="str">
        <f>_xlfn.XLOOKUP(Moult3[[#This Row],[Hebras]],TbTecnologia[Hebras],TbTecnologia[Tecnología])</f>
        <v>CUDA</v>
      </c>
      <c r="Z36" s="2" t="str" cm="1">
        <f t="array" ref="Z36">_xlfn.XLOOKUP(Moult3[[#This Row],[Tecnología]]&amp;Moult3[[#This Row],[Metodo]],TbTipos[Tecnología]&amp;TbTipos[Metodo],TbTipos[Tipo])</f>
        <v>CUDA sin graph</v>
      </c>
      <c r="AA36" s="2" t="str" cm="1">
        <f t="array" ref="AA36">_xlfn.XLOOKUP(Moult3[[#This Row],[Tecnología]]&amp;Moult3[[#This Row],[Problema]],TbNombres[Tecnología]&amp;TbNombres[Problema],TbNombres[Nombre])</f>
        <v>Brusselator1d grid</v>
      </c>
      <c r="AB36" s="2">
        <v>5</v>
      </c>
      <c r="AC36" s="2">
        <v>7</v>
      </c>
      <c r="AD36" s="2">
        <v>256</v>
      </c>
      <c r="AE36" s="2">
        <v>500</v>
      </c>
      <c r="AF36" s="2">
        <v>1000</v>
      </c>
      <c r="AG36" s="2">
        <v>13.730600000000001</v>
      </c>
      <c r="AI36" s="2" t="str">
        <f>_xlfn.XLOOKUP(Moult4[[#This Row],[Metodo]],TbSolver[Metodo],TbSolver[Solver])</f>
        <v>Adams Bashford Moulton</v>
      </c>
      <c r="AJ36" s="2" t="str">
        <f>_xlfn.XLOOKUP(Moult4[[#This Row],[Hebras]],TbTecnologia[Hebras],TbTecnologia[Tecnología])</f>
        <v>CUDA</v>
      </c>
      <c r="AK36" s="2" t="str" cm="1">
        <f t="array" ref="AK36">_xlfn.XLOOKUP(Moult4[[#This Row],[Tecnología]]&amp;Moult4[[#This Row],[Metodo]],TbTipos[Tecnología]&amp;TbTipos[Metodo],TbTipos[Tipo])</f>
        <v>CUDA sin graph</v>
      </c>
      <c r="AL36" s="2" t="str" cm="1">
        <f t="array" ref="AL36">_xlfn.XLOOKUP(Moult4[[#This Row],[Tecnología]]&amp;Moult4[[#This Row],[Problema]],TbNombres[Tecnología]&amp;TbNombres[Problema],TbNombres[Nombre])</f>
        <v>Brusselator2d shuffle</v>
      </c>
      <c r="AM36" s="2">
        <v>5</v>
      </c>
      <c r="AN36" s="2">
        <v>9</v>
      </c>
      <c r="AO36" s="2">
        <v>256</v>
      </c>
      <c r="AP36" s="2">
        <v>100</v>
      </c>
      <c r="AQ36" s="2">
        <v>20000</v>
      </c>
      <c r="AR36" s="2">
        <v>22.6951</v>
      </c>
    </row>
    <row r="37" spans="2:44" x14ac:dyDescent="0.2">
      <c r="B37" s="2" t="str">
        <f>_xlfn.XLOOKUP(Moult1[[#This Row],[Metodo]],TbSolver[Metodo],TbSolver[Solver])</f>
        <v>Adams Bashford Moulton</v>
      </c>
      <c r="C37" s="2" t="str">
        <f>_xlfn.XLOOKUP(Moult1[[#This Row],[Hebras]],TbTecnologia[Hebras],TbTecnologia[Tecnología])</f>
        <v>OMP</v>
      </c>
      <c r="D37" s="2" t="str" cm="1">
        <f t="array" ref="D37">_xlfn.XLOOKUP(Moult1[[#This Row],[Tecnología]]&amp;Moult1[[#This Row],[Metodo]],TbTipos[Tecnología]&amp;TbTipos[Metodo],TbTipos[Tipo])</f>
        <v>OMP Operaciones</v>
      </c>
      <c r="E37" s="2" t="str" cm="1">
        <f t="array" ref="E37">_xlfn.XLOOKUP(Moult1[[#This Row],[Tecnología]]&amp;Moult1[[#This Row],[Problema]],TbNombres[Tecnología]&amp;TbNombres[Problema],TbNombres[Nombre])</f>
        <v>Simple Advdiff</v>
      </c>
      <c r="F37" s="2">
        <v>5</v>
      </c>
      <c r="G37" s="2">
        <v>1</v>
      </c>
      <c r="H37" s="2">
        <v>1</v>
      </c>
      <c r="I37" s="2">
        <v>1000</v>
      </c>
      <c r="J37" s="2">
        <v>1000</v>
      </c>
      <c r="K37" s="2">
        <v>10.2989</v>
      </c>
      <c r="M37" s="2" t="str">
        <f>_xlfn.XLOOKUP(Moult2[[#This Row],[Metodo]],TbSolver[Metodo],TbSolver[Solver])</f>
        <v>Adams Bashford Moulton</v>
      </c>
      <c r="N37" s="2" t="str">
        <f>_xlfn.XLOOKUP(Moult2[[#This Row],[Hebras]],TbTecnologia[Hebras],TbTecnologia[Tecnología])</f>
        <v>CUDA</v>
      </c>
      <c r="O37" s="2" t="str" cm="1">
        <f t="array" ref="O37">_xlfn.XLOOKUP(Moult2[[#This Row],[Tecnología]]&amp;Moult2[[#This Row],[Metodo]],TbTipos[Tecnología]&amp;TbTipos[Metodo],TbTipos[Tipo])</f>
        <v>CUDA con graph</v>
      </c>
      <c r="P37" s="2" t="str" cm="1">
        <f t="array" ref="P37">_xlfn.XLOOKUP(Moult2[[#This Row],[Tecnología]]&amp;Moult2[[#This Row],[Problema]],TbNombres[Tecnología]&amp;TbNombres[Problema],TbNombres[Nombre])</f>
        <v>Advdiff1d</v>
      </c>
      <c r="Q37" s="2">
        <v>6</v>
      </c>
      <c r="R37" s="2">
        <v>3</v>
      </c>
      <c r="S37" s="2">
        <v>256</v>
      </c>
      <c r="T37" s="2">
        <v>1000</v>
      </c>
      <c r="U37" s="2">
        <v>1000</v>
      </c>
      <c r="V37" s="2">
        <v>23.735099999999999</v>
      </c>
      <c r="X37" s="2" t="str">
        <f>_xlfn.XLOOKUP(Moult3[[#This Row],[Metodo]],TbSolver[Metodo],TbSolver[Solver])</f>
        <v>Adams Bashford Moulton</v>
      </c>
      <c r="Y37" s="2" t="str">
        <f>_xlfn.XLOOKUP(Moult3[[#This Row],[Hebras]],TbTecnologia[Hebras],TbTecnologia[Tecnología])</f>
        <v>OMP</v>
      </c>
      <c r="Z37" s="2" t="str" cm="1">
        <f t="array" ref="Z37">_xlfn.XLOOKUP(Moult3[[#This Row],[Tecnología]]&amp;Moult3[[#This Row],[Metodo]],TbTipos[Tecnología]&amp;TbTipos[Metodo],TbTipos[Tipo])</f>
        <v>OMP Elementos</v>
      </c>
      <c r="AA37" s="2" t="str" cm="1">
        <f t="array" ref="AA37">_xlfn.XLOOKUP(Moult3[[#This Row],[Tecnología]]&amp;Moult3[[#This Row],[Problema]],TbNombres[Tecnología]&amp;TbNombres[Problema],TbNombres[Nombre])</f>
        <v>Brusselator1d</v>
      </c>
      <c r="AB37" s="2">
        <v>6</v>
      </c>
      <c r="AC37" s="2">
        <v>3</v>
      </c>
      <c r="AD37" s="2">
        <v>4</v>
      </c>
      <c r="AE37" s="2">
        <v>500</v>
      </c>
      <c r="AF37" s="2">
        <v>1000</v>
      </c>
      <c r="AG37" s="2">
        <v>14.4763</v>
      </c>
      <c r="AI37" s="4" t="str">
        <f>_xlfn.XLOOKUP(Moult4[[#This Row],[Metodo]],TbSolver[Metodo],TbSolver[Solver])</f>
        <v>Adams Bashford Moulton</v>
      </c>
      <c r="AJ37" s="4" t="str">
        <f>_xlfn.XLOOKUP(Moult4[[#This Row],[Hebras]],TbTecnologia[Hebras],TbTecnologia[Tecnología])</f>
        <v>OMP</v>
      </c>
      <c r="AK37" s="4" t="str" cm="1">
        <f t="array" ref="AK37">_xlfn.XLOOKUP(Moult4[[#This Row],[Tecnología]]&amp;Moult4[[#This Row],[Metodo]],TbTipos[Tecnología]&amp;TbTipos[Metodo],TbTipos[Tipo])</f>
        <v>OMP Elementos</v>
      </c>
      <c r="AL37" s="4" t="str" cm="1">
        <f t="array" ref="AL37">_xlfn.XLOOKUP(Moult4[[#This Row],[Tecnología]]&amp;Moult4[[#This Row],[Problema]],TbNombres[Tecnología]&amp;TbNombres[Problema],TbNombres[Nombre])</f>
        <v>Brusselator2d</v>
      </c>
      <c r="AM37" s="4">
        <v>6</v>
      </c>
      <c r="AN37" s="4">
        <v>4</v>
      </c>
      <c r="AO37" s="4">
        <v>16</v>
      </c>
      <c r="AP37" s="4">
        <v>100</v>
      </c>
      <c r="AQ37" s="4">
        <v>20000</v>
      </c>
      <c r="AR37" s="4">
        <v>136.40299999999999</v>
      </c>
    </row>
    <row r="38" spans="2:44" x14ac:dyDescent="0.2">
      <c r="B38" s="2" t="str">
        <f>_xlfn.XLOOKUP(Moult1[[#This Row],[Metodo]],TbSolver[Metodo],TbSolver[Solver])</f>
        <v>Adams Bashford Moulton</v>
      </c>
      <c r="C38" s="2" t="str">
        <f>_xlfn.XLOOKUP(Moult1[[#This Row],[Hebras]],TbTecnologia[Hebras],TbTecnologia[Tecnología])</f>
        <v>CUDA</v>
      </c>
      <c r="D38" s="2" t="str" cm="1">
        <f t="array" ref="D38">_xlfn.XLOOKUP(Moult1[[#This Row],[Tecnología]]&amp;Moult1[[#This Row],[Metodo]],TbTipos[Tecnología]&amp;TbTipos[Metodo],TbTipos[Tipo])</f>
        <v>CUDA con graph</v>
      </c>
      <c r="E38" s="2" t="str" cm="1">
        <f t="array" ref="E38">_xlfn.XLOOKUP(Moult1[[#This Row],[Tecnología]]&amp;Moult1[[#This Row],[Problema]],TbNombres[Tecnología]&amp;TbNombres[Problema],TbNombres[Nombre])</f>
        <v>Simple Advdiff</v>
      </c>
      <c r="F38" s="2">
        <v>6</v>
      </c>
      <c r="G38" s="2">
        <v>1</v>
      </c>
      <c r="H38" s="2">
        <v>256</v>
      </c>
      <c r="I38" s="2">
        <v>1000</v>
      </c>
      <c r="J38" s="2">
        <v>1000</v>
      </c>
      <c r="K38" s="2">
        <v>12.1858</v>
      </c>
      <c r="M38" s="2" t="str">
        <f>_xlfn.XLOOKUP(Moult2[[#This Row],[Metodo]],TbSolver[Metodo],TbSolver[Solver])</f>
        <v>Adams Bashford Moulton</v>
      </c>
      <c r="N38" s="2" t="str">
        <f>_xlfn.XLOOKUP(Moult2[[#This Row],[Hebras]],TbTecnologia[Hebras],TbTecnologia[Tecnología])</f>
        <v>CUDA</v>
      </c>
      <c r="O38" s="2" t="str" cm="1">
        <f t="array" ref="O38">_xlfn.XLOOKUP(Moult2[[#This Row],[Tecnología]]&amp;Moult2[[#This Row],[Metodo]],TbTipos[Tecnología]&amp;TbTipos[Metodo],TbTipos[Tipo])</f>
        <v>CUDA sin graph</v>
      </c>
      <c r="P38" s="2" t="str" cm="1">
        <f t="array" ref="P38">_xlfn.XLOOKUP(Moult2[[#This Row],[Tecnología]]&amp;Moult2[[#This Row],[Problema]],TbNombres[Tecnología]&amp;TbNombres[Problema],TbNombres[Nombre])</f>
        <v>Advdiff1d</v>
      </c>
      <c r="Q38" s="2">
        <v>5</v>
      </c>
      <c r="R38" s="2">
        <v>3</v>
      </c>
      <c r="S38" s="2">
        <v>256</v>
      </c>
      <c r="T38" s="2">
        <v>1000</v>
      </c>
      <c r="U38" s="2">
        <v>1000</v>
      </c>
      <c r="V38" s="2">
        <v>24.066500000000001</v>
      </c>
      <c r="X38" s="2" t="str">
        <f>_xlfn.XLOOKUP(Moult3[[#This Row],[Metodo]],TbSolver[Metodo],TbSolver[Solver])</f>
        <v>Adams Bashford Moulton</v>
      </c>
      <c r="Y38" s="2" t="str">
        <f>_xlfn.XLOOKUP(Moult3[[#This Row],[Hebras]],TbTecnologia[Hebras],TbTecnologia[Tecnología])</f>
        <v>OMP</v>
      </c>
      <c r="Z38" s="2" t="str" cm="1">
        <f t="array" ref="Z38">_xlfn.XLOOKUP(Moult3[[#This Row],[Tecnología]]&amp;Moult3[[#This Row],[Metodo]],TbTipos[Tecnología]&amp;TbTipos[Metodo],TbTipos[Tipo])</f>
        <v>OMP Operaciones</v>
      </c>
      <c r="AA38" s="2" t="str" cm="1">
        <f t="array" ref="AA38">_xlfn.XLOOKUP(Moult3[[#This Row],[Tecnología]]&amp;Moult3[[#This Row],[Problema]],TbNombres[Tecnología]&amp;TbNombres[Problema],TbNombres[Nombre])</f>
        <v>Brusselator1d</v>
      </c>
      <c r="AB38" s="2">
        <v>5</v>
      </c>
      <c r="AC38" s="2">
        <v>3</v>
      </c>
      <c r="AD38" s="2">
        <v>1</v>
      </c>
      <c r="AE38" s="2">
        <v>500</v>
      </c>
      <c r="AF38" s="2">
        <v>1000</v>
      </c>
      <c r="AG38" s="2">
        <v>14.595599999999999</v>
      </c>
      <c r="AI38" s="4" t="str">
        <f>_xlfn.XLOOKUP(Moult4[[#This Row],[Metodo]],TbSolver[Metodo],TbSolver[Solver])</f>
        <v>Adams Bashford Moulton</v>
      </c>
      <c r="AJ38" s="4" t="str">
        <f>_xlfn.XLOOKUP(Moult4[[#This Row],[Hebras]],TbTecnologia[Hebras],TbTecnologia[Tecnología])</f>
        <v>OMP</v>
      </c>
      <c r="AK38" s="4" t="str" cm="1">
        <f t="array" ref="AK38">_xlfn.XLOOKUP(Moult4[[#This Row],[Tecnología]]&amp;Moult4[[#This Row],[Metodo]],TbTipos[Tecnología]&amp;TbTipos[Metodo],TbTipos[Tipo])</f>
        <v>OMP Operaciones</v>
      </c>
      <c r="AL38" s="4" t="str" cm="1">
        <f t="array" ref="AL38">_xlfn.XLOOKUP(Moult4[[#This Row],[Tecnología]]&amp;Moult4[[#This Row],[Problema]],TbNombres[Tecnología]&amp;TbNombres[Problema],TbNombres[Nombre])</f>
        <v>Brusselator2d</v>
      </c>
      <c r="AM38" s="4">
        <v>5</v>
      </c>
      <c r="AN38" s="4">
        <v>4</v>
      </c>
      <c r="AO38" s="4">
        <v>4</v>
      </c>
      <c r="AP38" s="4">
        <v>100</v>
      </c>
      <c r="AQ38" s="4">
        <v>20000</v>
      </c>
      <c r="AR38" s="4">
        <v>138.566</v>
      </c>
    </row>
    <row r="39" spans="2:44" x14ac:dyDescent="0.2">
      <c r="B39" s="2" t="str">
        <f>_xlfn.XLOOKUP(Moult1[[#This Row],[Metodo]],TbSolver[Metodo],TbSolver[Solver])</f>
        <v>Adams Bashford Moulton</v>
      </c>
      <c r="C39" s="2" t="str">
        <f>_xlfn.XLOOKUP(Moult1[[#This Row],[Hebras]],TbTecnologia[Hebras],TbTecnologia[Tecnología])</f>
        <v>CUDA</v>
      </c>
      <c r="D39" s="2" t="str" cm="1">
        <f t="array" ref="D39">_xlfn.XLOOKUP(Moult1[[#This Row],[Tecnología]]&amp;Moult1[[#This Row],[Metodo]],TbTipos[Tecnología]&amp;TbTipos[Metodo],TbTipos[Tipo])</f>
        <v>CUDA con graph</v>
      </c>
      <c r="E39" s="2" t="str" cm="1">
        <f t="array" ref="E39">_xlfn.XLOOKUP(Moult1[[#This Row],[Tecnología]]&amp;Moult1[[#This Row],[Problema]],TbNombres[Tecnología]&amp;TbNombres[Problema],TbNombres[Nombre])</f>
        <v>Simple Advdiff shuffle</v>
      </c>
      <c r="F39" s="2">
        <v>6</v>
      </c>
      <c r="G39" s="2">
        <v>2</v>
      </c>
      <c r="H39" s="2">
        <v>256</v>
      </c>
      <c r="I39" s="2">
        <v>1000</v>
      </c>
      <c r="J39" s="2">
        <v>1000</v>
      </c>
      <c r="K39" s="2">
        <v>12.204800000000001</v>
      </c>
      <c r="M39" s="2" t="str">
        <f>_xlfn.XLOOKUP(Moult2[[#This Row],[Metodo]],TbSolver[Metodo],TbSolver[Solver])</f>
        <v>Adams Bashford Moulton</v>
      </c>
      <c r="N39" s="2" t="str">
        <f>_xlfn.XLOOKUP(Moult2[[#This Row],[Hebras]],TbTecnologia[Hebras],TbTecnologia[Tecnología])</f>
        <v>CUDA</v>
      </c>
      <c r="O39" s="2" t="str" cm="1">
        <f t="array" ref="O39">_xlfn.XLOOKUP(Moult2[[#This Row],[Tecnología]]&amp;Moult2[[#This Row],[Metodo]],TbTipos[Tecnología]&amp;TbTipos[Metodo],TbTipos[Tipo])</f>
        <v>CUDA con graph</v>
      </c>
      <c r="P39" s="2" t="str" cm="1">
        <f t="array" ref="P39">_xlfn.XLOOKUP(Moult2[[#This Row],[Tecnología]]&amp;Moult2[[#This Row],[Problema]],TbNombres[Tecnología]&amp;TbNombres[Problema],TbNombres[Nombre])</f>
        <v>Advdiff1d shuffle</v>
      </c>
      <c r="Q39" s="2">
        <v>6</v>
      </c>
      <c r="R39" s="2">
        <v>4</v>
      </c>
      <c r="S39" s="2">
        <v>256</v>
      </c>
      <c r="T39" s="2">
        <v>1000</v>
      </c>
      <c r="U39" s="2">
        <v>1000</v>
      </c>
      <c r="V39" s="2">
        <v>24.433499999999999</v>
      </c>
      <c r="X39" s="2" t="str">
        <f>_xlfn.XLOOKUP(Moult3[[#This Row],[Metodo]],TbSolver[Metodo],TbSolver[Solver])</f>
        <v>Adams Bashford Moulton</v>
      </c>
      <c r="Y39" s="2" t="str">
        <f>_xlfn.XLOOKUP(Moult3[[#This Row],[Hebras]],TbTecnologia[Hebras],TbTecnologia[Tecnología])</f>
        <v>OMP</v>
      </c>
      <c r="Z39" s="2" t="str" cm="1">
        <f t="array" ref="Z39">_xlfn.XLOOKUP(Moult3[[#This Row],[Tecnología]]&amp;Moult3[[#This Row],[Metodo]],TbTipos[Tecnología]&amp;TbTipos[Metodo],TbTipos[Tipo])</f>
        <v>OMP Elementos</v>
      </c>
      <c r="AA39" s="2" t="str" cm="1">
        <f t="array" ref="AA39">_xlfn.XLOOKUP(Moult3[[#This Row],[Tecnología]]&amp;Moult3[[#This Row],[Problema]],TbNombres[Tecnología]&amp;TbNombres[Problema],TbNombres[Nombre])</f>
        <v>Brusselator1d</v>
      </c>
      <c r="AB39" s="2">
        <v>6</v>
      </c>
      <c r="AC39" s="2">
        <v>3</v>
      </c>
      <c r="AD39" s="2">
        <v>16</v>
      </c>
      <c r="AE39" s="2">
        <v>500</v>
      </c>
      <c r="AF39" s="2">
        <v>1000</v>
      </c>
      <c r="AG39" s="2">
        <v>20.375399999999999</v>
      </c>
      <c r="AI39" s="4" t="str">
        <f>_xlfn.XLOOKUP(Moult4[[#This Row],[Metodo]],TbSolver[Metodo],TbSolver[Solver])</f>
        <v>Adams Bashford Moulton</v>
      </c>
      <c r="AJ39" s="4" t="str">
        <f>_xlfn.XLOOKUP(Moult4[[#This Row],[Hebras]],TbTecnologia[Hebras],TbTecnologia[Tecnología])</f>
        <v>OMP</v>
      </c>
      <c r="AK39" s="4" t="str" cm="1">
        <f t="array" ref="AK39">_xlfn.XLOOKUP(Moult4[[#This Row],[Tecnología]]&amp;Moult4[[#This Row],[Metodo]],TbTipos[Tecnología]&amp;TbTipos[Metodo],TbTipos[Tipo])</f>
        <v>OMP Operaciones</v>
      </c>
      <c r="AL39" s="4" t="str" cm="1">
        <f t="array" ref="AL39">_xlfn.XLOOKUP(Moult4[[#This Row],[Tecnología]]&amp;Moult4[[#This Row],[Problema]],TbNombres[Tecnología]&amp;TbNombres[Problema],TbNombres[Nombre])</f>
        <v>Brusselator2d</v>
      </c>
      <c r="AM39" s="4">
        <v>5</v>
      </c>
      <c r="AN39" s="4">
        <v>4</v>
      </c>
      <c r="AO39" s="4">
        <v>16</v>
      </c>
      <c r="AP39" s="4">
        <v>100</v>
      </c>
      <c r="AQ39" s="4">
        <v>20000</v>
      </c>
      <c r="AR39" s="4">
        <v>141.82</v>
      </c>
    </row>
    <row r="40" spans="2:44" x14ac:dyDescent="0.2">
      <c r="B40" s="2" t="str">
        <f>_xlfn.XLOOKUP(Moult1[[#This Row],[Metodo]],TbSolver[Metodo],TbSolver[Solver])</f>
        <v>Adams Bashford Moulton</v>
      </c>
      <c r="C40" s="2" t="str">
        <f>_xlfn.XLOOKUP(Moult1[[#This Row],[Hebras]],TbTecnologia[Hebras],TbTecnologia[Tecnología])</f>
        <v>CUDA</v>
      </c>
      <c r="D40" s="2" t="str" cm="1">
        <f t="array" ref="D40">_xlfn.XLOOKUP(Moult1[[#This Row],[Tecnología]]&amp;Moult1[[#This Row],[Metodo]],TbTipos[Tecnología]&amp;TbTipos[Metodo],TbTipos[Tipo])</f>
        <v>CUDA sin graph</v>
      </c>
      <c r="E40" s="2" t="str" cm="1">
        <f t="array" ref="E40">_xlfn.XLOOKUP(Moult1[[#This Row],[Tecnología]]&amp;Moult1[[#This Row],[Problema]],TbNombres[Tecnología]&amp;TbNombres[Problema],TbNombres[Nombre])</f>
        <v>Simple Advdiff shuffle</v>
      </c>
      <c r="F40" s="2">
        <v>5</v>
      </c>
      <c r="G40" s="2">
        <v>2</v>
      </c>
      <c r="H40" s="2">
        <v>256</v>
      </c>
      <c r="I40" s="2">
        <v>1000</v>
      </c>
      <c r="J40" s="2">
        <v>1000</v>
      </c>
      <c r="K40" s="2">
        <v>12.77</v>
      </c>
      <c r="M40" s="2" t="str">
        <f>_xlfn.XLOOKUP(Moult2[[#This Row],[Metodo]],TbSolver[Metodo],TbSolver[Solver])</f>
        <v>Adams Bashford Moulton</v>
      </c>
      <c r="N40" s="2" t="str">
        <f>_xlfn.XLOOKUP(Moult2[[#This Row],[Hebras]],TbTecnologia[Hebras],TbTecnologia[Tecnología])</f>
        <v>CUDA</v>
      </c>
      <c r="O40" s="2" t="str" cm="1">
        <f t="array" ref="O40">_xlfn.XLOOKUP(Moult2[[#This Row],[Tecnología]]&amp;Moult2[[#This Row],[Metodo]],TbTipos[Tecnología]&amp;TbTipos[Metodo],TbTipos[Tipo])</f>
        <v>CUDA sin graph</v>
      </c>
      <c r="P40" s="2" t="str" cm="1">
        <f t="array" ref="P40">_xlfn.XLOOKUP(Moult2[[#This Row],[Tecnología]]&amp;Moult2[[#This Row],[Problema]],TbNombres[Tecnología]&amp;TbNombres[Problema],TbNombres[Nombre])</f>
        <v>Advdiff1d shuffle</v>
      </c>
      <c r="Q40" s="2">
        <v>5</v>
      </c>
      <c r="R40" s="2">
        <v>4</v>
      </c>
      <c r="S40" s="2">
        <v>256</v>
      </c>
      <c r="T40" s="2">
        <v>1000</v>
      </c>
      <c r="U40" s="2">
        <v>1000</v>
      </c>
      <c r="V40" s="2">
        <v>24.7605</v>
      </c>
      <c r="X40" s="2" t="str">
        <f>_xlfn.XLOOKUP(Moult3[[#This Row],[Metodo]],TbSolver[Metodo],TbSolver[Solver])</f>
        <v>Adams Bashford Moulton</v>
      </c>
      <c r="Y40" s="2" t="str">
        <f>_xlfn.XLOOKUP(Moult3[[#This Row],[Hebras]],TbTecnologia[Hebras],TbTecnologia[Tecnología])</f>
        <v>OMP</v>
      </c>
      <c r="Z40" s="2" t="str" cm="1">
        <f t="array" ref="Z40">_xlfn.XLOOKUP(Moult3[[#This Row],[Tecnología]]&amp;Moult3[[#This Row],[Metodo]],TbTipos[Tecnología]&amp;TbTipos[Metodo],TbTipos[Tipo])</f>
        <v>OMP Elementos</v>
      </c>
      <c r="AA40" s="2" t="str" cm="1">
        <f t="array" ref="AA40">_xlfn.XLOOKUP(Moult3[[#This Row],[Tecnología]]&amp;Moult3[[#This Row],[Problema]],TbNombres[Tecnología]&amp;TbNombres[Problema],TbNombres[Nombre])</f>
        <v>Brusselator1d</v>
      </c>
      <c r="AB40" s="2">
        <v>6</v>
      </c>
      <c r="AC40" s="2">
        <v>3</v>
      </c>
      <c r="AD40" s="2">
        <v>1</v>
      </c>
      <c r="AE40" s="2">
        <v>500</v>
      </c>
      <c r="AF40" s="2">
        <v>1000</v>
      </c>
      <c r="AG40" s="2">
        <v>26.178599999999999</v>
      </c>
      <c r="AI40" s="4" t="str">
        <f>_xlfn.XLOOKUP(Moult4[[#This Row],[Metodo]],TbSolver[Metodo],TbSolver[Solver])</f>
        <v>Adams Bashford Moulton</v>
      </c>
      <c r="AJ40" s="4" t="str">
        <f>_xlfn.XLOOKUP(Moult4[[#This Row],[Hebras]],TbTecnologia[Hebras],TbTecnologia[Tecnología])</f>
        <v>OMP</v>
      </c>
      <c r="AK40" s="4" t="str" cm="1">
        <f t="array" ref="AK40">_xlfn.XLOOKUP(Moult4[[#This Row],[Tecnología]]&amp;Moult4[[#This Row],[Metodo]],TbTipos[Tecnología]&amp;TbTipos[Metodo],TbTipos[Tipo])</f>
        <v>OMP Elementos</v>
      </c>
      <c r="AL40" s="4" t="str" cm="1">
        <f t="array" ref="AL40">_xlfn.XLOOKUP(Moult4[[#This Row],[Tecnología]]&amp;Moult4[[#This Row],[Problema]],TbNombres[Tecnología]&amp;TbNombres[Problema],TbNombres[Nombre])</f>
        <v>Brusselator2d</v>
      </c>
      <c r="AM40" s="4">
        <v>6</v>
      </c>
      <c r="AN40" s="4">
        <v>4</v>
      </c>
      <c r="AO40" s="4">
        <v>4</v>
      </c>
      <c r="AP40" s="4">
        <v>100</v>
      </c>
      <c r="AQ40" s="4">
        <v>20000</v>
      </c>
      <c r="AR40" s="4">
        <v>257.80200000000002</v>
      </c>
    </row>
    <row r="41" spans="2:44" x14ac:dyDescent="0.2">
      <c r="B41" s="2" t="str">
        <f>_xlfn.XLOOKUP(Moult1[[#This Row],[Metodo]],TbSolver[Metodo],TbSolver[Solver])</f>
        <v>Adams Bashford Moulton</v>
      </c>
      <c r="C41" s="2" t="str">
        <f>_xlfn.XLOOKUP(Moult1[[#This Row],[Hebras]],TbTecnologia[Hebras],TbTecnologia[Tecnología])</f>
        <v>CUDA</v>
      </c>
      <c r="D41" s="2" t="str" cm="1">
        <f t="array" ref="D41">_xlfn.XLOOKUP(Moult1[[#This Row],[Tecnología]]&amp;Moult1[[#This Row],[Metodo]],TbTipos[Tecnología]&amp;TbTipos[Metodo],TbTipos[Tipo])</f>
        <v>CUDA sin graph</v>
      </c>
      <c r="E41" s="2" t="str" cm="1">
        <f t="array" ref="E41">_xlfn.XLOOKUP(Moult1[[#This Row],[Tecnología]]&amp;Moult1[[#This Row],[Problema]],TbNombres[Tecnología]&amp;TbNombres[Problema],TbNombres[Nombre])</f>
        <v>Simple Advdiff</v>
      </c>
      <c r="F41" s="2">
        <v>5</v>
      </c>
      <c r="G41" s="2">
        <v>1</v>
      </c>
      <c r="H41" s="2">
        <v>256</v>
      </c>
      <c r="I41" s="2">
        <v>1000</v>
      </c>
      <c r="J41" s="2">
        <v>1000</v>
      </c>
      <c r="K41" s="2">
        <v>12.7789</v>
      </c>
      <c r="M41" s="2" t="str">
        <f>_xlfn.XLOOKUP(Moult2[[#This Row],[Metodo]],TbSolver[Metodo],TbSolver[Solver])</f>
        <v>Adams Bashford Moulton</v>
      </c>
      <c r="N41" s="2" t="str">
        <f>_xlfn.XLOOKUP(Moult2[[#This Row],[Hebras]],TbTecnologia[Hebras],TbTecnologia[Tecnología])</f>
        <v>OMP</v>
      </c>
      <c r="O41" s="2" t="str" cm="1">
        <f t="array" ref="O41">_xlfn.XLOOKUP(Moult2[[#This Row],[Tecnología]]&amp;Moult2[[#This Row],[Metodo]],TbTipos[Tecnología]&amp;TbTipos[Metodo],TbTipos[Tipo])</f>
        <v>OMP Elementos</v>
      </c>
      <c r="P41" s="2" t="str" cm="1">
        <f t="array" ref="P41">_xlfn.XLOOKUP(Moult2[[#This Row],[Tecnología]]&amp;Moult2[[#This Row],[Problema]],TbNombres[Tecnología]&amp;TbNombres[Problema],TbNombres[Nombre])</f>
        <v>Advdiff1d</v>
      </c>
      <c r="Q41" s="2">
        <v>6</v>
      </c>
      <c r="R41" s="2">
        <v>2</v>
      </c>
      <c r="S41" s="2">
        <v>4</v>
      </c>
      <c r="T41" s="2">
        <v>1000</v>
      </c>
      <c r="U41" s="2">
        <v>1000</v>
      </c>
      <c r="V41" s="2">
        <v>32.386699999999998</v>
      </c>
      <c r="X41" s="2" t="str">
        <f>_xlfn.XLOOKUP(Moult3[[#This Row],[Metodo]],TbSolver[Metodo],TbSolver[Solver])</f>
        <v>Adams Bashford Moulton</v>
      </c>
      <c r="Y41" s="2" t="str">
        <f>_xlfn.XLOOKUP(Moult3[[#This Row],[Hebras]],TbTecnologia[Hebras],TbTecnologia[Tecnología])</f>
        <v>OMP</v>
      </c>
      <c r="Z41" s="2" t="str" cm="1">
        <f t="array" ref="Z41">_xlfn.XLOOKUP(Moult3[[#This Row],[Tecnología]]&amp;Moult3[[#This Row],[Metodo]],TbTipos[Tecnología]&amp;TbTipos[Metodo],TbTipos[Tipo])</f>
        <v>OMP Operaciones</v>
      </c>
      <c r="AA41" s="2" t="str" cm="1">
        <f t="array" ref="AA41">_xlfn.XLOOKUP(Moult3[[#This Row],[Tecnología]]&amp;Moult3[[#This Row],[Problema]],TbNombres[Tecnología]&amp;TbNombres[Problema],TbNombres[Nombre])</f>
        <v>Brusselator1d</v>
      </c>
      <c r="AB41" s="2">
        <v>5</v>
      </c>
      <c r="AC41" s="2">
        <v>3</v>
      </c>
      <c r="AD41" s="2">
        <v>4</v>
      </c>
      <c r="AE41" s="2">
        <v>500</v>
      </c>
      <c r="AF41" s="2">
        <v>1000</v>
      </c>
      <c r="AG41" s="2">
        <v>51.3416</v>
      </c>
      <c r="AI41" s="4" t="str">
        <f>_xlfn.XLOOKUP(Moult4[[#This Row],[Metodo]],TbSolver[Metodo],TbSolver[Solver])</f>
        <v>Adams Bashford Moulton</v>
      </c>
      <c r="AJ41" s="4" t="str">
        <f>_xlfn.XLOOKUP(Moult4[[#This Row],[Hebras]],TbTecnologia[Hebras],TbTecnologia[Tecnología])</f>
        <v>OMP</v>
      </c>
      <c r="AK41" s="4" t="str" cm="1">
        <f t="array" ref="AK41">_xlfn.XLOOKUP(Moult4[[#This Row],[Tecnología]]&amp;Moult4[[#This Row],[Metodo]],TbTipos[Tecnología]&amp;TbTipos[Metodo],TbTipos[Tipo])</f>
        <v>OMP Operaciones</v>
      </c>
      <c r="AL41" s="4" t="str" cm="1">
        <f t="array" ref="AL41">_xlfn.XLOOKUP(Moult4[[#This Row],[Tecnología]]&amp;Moult4[[#This Row],[Problema]],TbNombres[Tecnología]&amp;TbNombres[Problema],TbNombres[Nombre])</f>
        <v>Brusselator2d</v>
      </c>
      <c r="AM41" s="4">
        <v>5</v>
      </c>
      <c r="AN41" s="4">
        <v>4</v>
      </c>
      <c r="AO41" s="4">
        <v>1</v>
      </c>
      <c r="AP41" s="4">
        <v>100</v>
      </c>
      <c r="AQ41" s="4">
        <v>20000</v>
      </c>
      <c r="AR41" s="4">
        <v>395.86900000000003</v>
      </c>
    </row>
    <row r="42" spans="2:44" x14ac:dyDescent="0.2">
      <c r="B42" s="2" t="str">
        <f>_xlfn.XLOOKUP(Moult1[[#This Row],[Metodo]],TbSolver[Metodo],TbSolver[Solver])</f>
        <v>Adams Bashford Moulton</v>
      </c>
      <c r="C42" s="2" t="str">
        <f>_xlfn.XLOOKUP(Moult1[[#This Row],[Hebras]],TbTecnologia[Hebras],TbTecnologia[Tecnología])</f>
        <v>OMP</v>
      </c>
      <c r="D42" s="2" t="str" cm="1">
        <f t="array" ref="D42">_xlfn.XLOOKUP(Moult1[[#This Row],[Tecnología]]&amp;Moult1[[#This Row],[Metodo]],TbTipos[Tecnología]&amp;TbTipos[Metodo],TbTipos[Tipo])</f>
        <v>OMP Elementos</v>
      </c>
      <c r="E42" s="2" t="str" cm="1">
        <f t="array" ref="E42">_xlfn.XLOOKUP(Moult1[[#This Row],[Tecnología]]&amp;Moult1[[#This Row],[Problema]],TbNombres[Tecnología]&amp;TbNombres[Problema],TbNombres[Nombre])</f>
        <v>Simple Advdiff</v>
      </c>
      <c r="F42" s="2">
        <v>6</v>
      </c>
      <c r="G42" s="2">
        <v>1</v>
      </c>
      <c r="H42" s="2">
        <v>4</v>
      </c>
      <c r="I42" s="2">
        <v>1000</v>
      </c>
      <c r="J42" s="2">
        <v>1000</v>
      </c>
      <c r="K42" s="2">
        <v>13.700799999999999</v>
      </c>
      <c r="M42" s="2" t="str">
        <f>_xlfn.XLOOKUP(Moult2[[#This Row],[Metodo]],TbSolver[Metodo],TbSolver[Solver])</f>
        <v>Adams Bashford Moulton</v>
      </c>
      <c r="N42" s="2" t="str">
        <f>_xlfn.XLOOKUP(Moult2[[#This Row],[Hebras]],TbTecnologia[Hebras],TbTecnologia[Tecnología])</f>
        <v>OMP</v>
      </c>
      <c r="O42" s="2" t="str" cm="1">
        <f t="array" ref="O42">_xlfn.XLOOKUP(Moult2[[#This Row],[Tecnología]]&amp;Moult2[[#This Row],[Metodo]],TbTipos[Tecnología]&amp;TbTipos[Metodo],TbTipos[Tipo])</f>
        <v>OMP Operaciones</v>
      </c>
      <c r="P42" s="2" t="str" cm="1">
        <f t="array" ref="P42">_xlfn.XLOOKUP(Moult2[[#This Row],[Tecnología]]&amp;Moult2[[#This Row],[Problema]],TbNombres[Tecnología]&amp;TbNombres[Problema],TbNombres[Nombre])</f>
        <v>Advdiff1d</v>
      </c>
      <c r="Q42" s="2">
        <v>5</v>
      </c>
      <c r="R42" s="2">
        <v>2</v>
      </c>
      <c r="S42" s="2">
        <v>4</v>
      </c>
      <c r="T42" s="2">
        <v>1000</v>
      </c>
      <c r="U42" s="2">
        <v>1000</v>
      </c>
      <c r="V42" s="2">
        <v>66.462500000000006</v>
      </c>
      <c r="X42" s="2" t="str">
        <f>_xlfn.XLOOKUP(Moult3[[#This Row],[Metodo]],TbSolver[Metodo],TbSolver[Solver])</f>
        <v>Adams Bashford Moulton</v>
      </c>
      <c r="Y42" s="2" t="str">
        <f>_xlfn.XLOOKUP(Moult3[[#This Row],[Hebras]],TbTecnologia[Hebras],TbTecnologia[Tecnología])</f>
        <v>OMP</v>
      </c>
      <c r="Z42" s="2" t="str" cm="1">
        <f t="array" ref="Z42">_xlfn.XLOOKUP(Moult3[[#This Row],[Tecnología]]&amp;Moult3[[#This Row],[Metodo]],TbTipos[Tecnología]&amp;TbTipos[Metodo],TbTipos[Tipo])</f>
        <v>OMP Operaciones</v>
      </c>
      <c r="AA42" s="2" t="str" cm="1">
        <f t="array" ref="AA42">_xlfn.XLOOKUP(Moult3[[#This Row],[Tecnología]]&amp;Moult3[[#This Row],[Problema]],TbNombres[Tecnología]&amp;TbNombres[Problema],TbNombres[Nombre])</f>
        <v>Brusselator1d</v>
      </c>
      <c r="AB42" s="2">
        <v>5</v>
      </c>
      <c r="AC42" s="2">
        <v>3</v>
      </c>
      <c r="AD42" s="2">
        <v>16</v>
      </c>
      <c r="AE42" s="2">
        <v>500</v>
      </c>
      <c r="AF42" s="2">
        <v>1000</v>
      </c>
      <c r="AG42" s="2">
        <v>100.569</v>
      </c>
      <c r="AI42" s="4" t="str">
        <f>_xlfn.XLOOKUP(Moult4[[#This Row],[Metodo]],TbSolver[Metodo],TbSolver[Solver])</f>
        <v>Adams Bashford Moulton</v>
      </c>
      <c r="AJ42" s="4" t="str">
        <f>_xlfn.XLOOKUP(Moult4[[#This Row],[Hebras]],TbTecnologia[Hebras],TbTecnologia[Tecnología])</f>
        <v>OMP</v>
      </c>
      <c r="AK42" s="4" t="str" cm="1">
        <f t="array" ref="AK42">_xlfn.XLOOKUP(Moult4[[#This Row],[Tecnología]]&amp;Moult4[[#This Row],[Metodo]],TbTipos[Tecnología]&amp;TbTipos[Metodo],TbTipos[Tipo])</f>
        <v>OMP Elementos</v>
      </c>
      <c r="AL42" s="4" t="str" cm="1">
        <f t="array" ref="AL42">_xlfn.XLOOKUP(Moult4[[#This Row],[Tecnología]]&amp;Moult4[[#This Row],[Problema]],TbNombres[Tecnología]&amp;TbNombres[Problema],TbNombres[Nombre])</f>
        <v>Brusselator2d</v>
      </c>
      <c r="AM42" s="4">
        <v>6</v>
      </c>
      <c r="AN42" s="4">
        <v>4</v>
      </c>
      <c r="AO42" s="4">
        <v>1</v>
      </c>
      <c r="AP42" s="4">
        <v>100</v>
      </c>
      <c r="AQ42" s="4">
        <v>20000</v>
      </c>
      <c r="AR42" s="4">
        <v>941.42700000000002</v>
      </c>
    </row>
    <row r="43" spans="2:44" x14ac:dyDescent="0.2">
      <c r="B43" s="2" t="str">
        <f>_xlfn.XLOOKUP(Moult1[[#This Row],[Metodo]],TbSolver[Metodo],TbSolver[Solver])</f>
        <v>Adams Bashford Moulton</v>
      </c>
      <c r="C43" s="2" t="str">
        <f>_xlfn.XLOOKUP(Moult1[[#This Row],[Hebras]],TbTecnologia[Hebras],TbTecnologia[Tecnología])</f>
        <v>OMP</v>
      </c>
      <c r="D43" s="2" t="str" cm="1">
        <f t="array" ref="D43">_xlfn.XLOOKUP(Moult1[[#This Row],[Tecnología]]&amp;Moult1[[#This Row],[Metodo]],TbTipos[Tecnología]&amp;TbTipos[Metodo],TbTipos[Tipo])</f>
        <v>OMP Elementos</v>
      </c>
      <c r="E43" s="2" t="str" cm="1">
        <f t="array" ref="E43">_xlfn.XLOOKUP(Moult1[[#This Row],[Tecnología]]&amp;Moult1[[#This Row],[Problema]],TbNombres[Tecnología]&amp;TbNombres[Problema],TbNombres[Nombre])</f>
        <v>Simple Advdiff</v>
      </c>
      <c r="F43" s="2">
        <v>6</v>
      </c>
      <c r="G43" s="2">
        <v>1</v>
      </c>
      <c r="H43" s="2">
        <v>16</v>
      </c>
      <c r="I43" s="2">
        <v>1000</v>
      </c>
      <c r="J43" s="2">
        <v>1000</v>
      </c>
      <c r="K43" s="2">
        <v>23.094000000000001</v>
      </c>
      <c r="M43" s="2" t="str">
        <f>_xlfn.XLOOKUP(Moult2[[#This Row],[Metodo]],TbSolver[Metodo],TbSolver[Solver])</f>
        <v>Adams Bashford Moulton</v>
      </c>
      <c r="N43" s="2" t="str">
        <f>_xlfn.XLOOKUP(Moult2[[#This Row],[Hebras]],TbTecnologia[Hebras],TbTecnologia[Tecnología])</f>
        <v>OMP</v>
      </c>
      <c r="O43" s="2" t="str" cm="1">
        <f t="array" ref="O43">_xlfn.XLOOKUP(Moult2[[#This Row],[Tecnología]]&amp;Moult2[[#This Row],[Metodo]],TbTipos[Tecnología]&amp;TbTipos[Metodo],TbTipos[Tipo])</f>
        <v>OMP Operaciones</v>
      </c>
      <c r="P43" s="2" t="str" cm="1">
        <f t="array" ref="P43">_xlfn.XLOOKUP(Moult2[[#This Row],[Tecnología]]&amp;Moult2[[#This Row],[Problema]],TbNombres[Tecnología]&amp;TbNombres[Problema],TbNombres[Nombre])</f>
        <v>Advdiff1d</v>
      </c>
      <c r="Q43" s="2">
        <v>5</v>
      </c>
      <c r="R43" s="2">
        <v>2</v>
      </c>
      <c r="S43" s="2">
        <v>1</v>
      </c>
      <c r="T43" s="2">
        <v>1000</v>
      </c>
      <c r="U43" s="2">
        <v>1000</v>
      </c>
      <c r="V43" s="2">
        <v>73.342799999999997</v>
      </c>
      <c r="X43" s="2" t="str">
        <f>_xlfn.XLOOKUP(Moult3[[#This Row],[Metodo]],TbSolver[Metodo],TbSolver[Solver])</f>
        <v>Adams Bashford Moulton</v>
      </c>
      <c r="Y43" s="2" t="str">
        <f>_xlfn.XLOOKUP(Moult3[[#This Row],[Hebras]],TbTecnologia[Hebras],TbTecnologia[Tecnología])</f>
        <v>CUDA</v>
      </c>
      <c r="Z43" s="2" t="str" cm="1">
        <f t="array" ref="Z43">_xlfn.XLOOKUP(Moult3[[#This Row],[Tecnología]]&amp;Moult3[[#This Row],[Metodo]],TbTipos[Tecnología]&amp;TbTipos[Metodo],TbTipos[Tipo])</f>
        <v>CUDA con graph</v>
      </c>
      <c r="AA43" s="2" t="str" cm="1">
        <f t="array" ref="AA43">_xlfn.XLOOKUP(Moult3[[#This Row],[Tecnología]]&amp;Moult3[[#This Row],[Problema]],TbNombres[Tecnología]&amp;TbNombres[Problema],TbNombres[Nombre])</f>
        <v>Brusselator1d</v>
      </c>
      <c r="AB43" s="2">
        <v>6</v>
      </c>
      <c r="AC43" s="2">
        <v>5</v>
      </c>
      <c r="AD43" s="2">
        <v>256</v>
      </c>
      <c r="AE43" s="2">
        <v>1000</v>
      </c>
      <c r="AF43" s="2">
        <v>2000</v>
      </c>
      <c r="AG43" s="2">
        <v>13.017200000000001</v>
      </c>
      <c r="AI43" s="2" t="str">
        <f>_xlfn.XLOOKUP(Moult4[[#This Row],[Metodo]],TbSolver[Metodo],TbSolver[Solver])</f>
        <v>Adams Bashford Moulton</v>
      </c>
      <c r="AJ43" s="2" t="str">
        <f>_xlfn.XLOOKUP(Moult4[[#This Row],[Hebras]],TbTecnologia[Hebras],TbTecnologia[Tecnología])</f>
        <v>CUDA</v>
      </c>
      <c r="AK43" s="2" t="str" cm="1">
        <f t="array" ref="AK43">_xlfn.XLOOKUP(Moult4[[#This Row],[Tecnología]]&amp;Moult4[[#This Row],[Metodo]],TbTipos[Tecnología]&amp;TbTipos[Metodo],TbTipos[Tipo])</f>
        <v>CUDA sin graph</v>
      </c>
      <c r="AL43" s="2" t="str" cm="1">
        <f t="array" ref="AL43">_xlfn.XLOOKUP(Moult4[[#This Row],[Tecnología]]&amp;Moult4[[#This Row],[Problema]],TbNombres[Tecnología]&amp;TbNombres[Problema],TbNombres[Nombre])</f>
        <v>Brusselator2d</v>
      </c>
      <c r="AM43" s="21">
        <v>5</v>
      </c>
      <c r="AN43" s="21">
        <v>8</v>
      </c>
      <c r="AO43" s="21">
        <v>256</v>
      </c>
      <c r="AP43" s="21">
        <v>125</v>
      </c>
      <c r="AQ43" s="21">
        <v>31250</v>
      </c>
      <c r="AR43" s="21">
        <v>23.604900000000001</v>
      </c>
    </row>
    <row r="44" spans="2:44" x14ac:dyDescent="0.2">
      <c r="B44" s="2" t="str">
        <f>_xlfn.XLOOKUP(Moult1[[#This Row],[Metodo]],TbSolver[Metodo],TbSolver[Solver])</f>
        <v>Adams Bashford Moulton</v>
      </c>
      <c r="C44" s="2" t="str">
        <f>_xlfn.XLOOKUP(Moult1[[#This Row],[Hebras]],TbTecnologia[Hebras],TbTecnologia[Tecnología])</f>
        <v>OMP</v>
      </c>
      <c r="D44" s="2" t="str" cm="1">
        <f t="array" ref="D44">_xlfn.XLOOKUP(Moult1[[#This Row],[Tecnología]]&amp;Moult1[[#This Row],[Metodo]],TbTipos[Tecnología]&amp;TbTipos[Metodo],TbTipos[Tipo])</f>
        <v>OMP Elementos</v>
      </c>
      <c r="E44" s="2" t="str" cm="1">
        <f t="array" ref="E44">_xlfn.XLOOKUP(Moult1[[#This Row],[Tecnología]]&amp;Moult1[[#This Row],[Problema]],TbNombres[Tecnología]&amp;TbNombres[Problema],TbNombres[Nombre])</f>
        <v>Simple Advdiff</v>
      </c>
      <c r="F44" s="2">
        <v>6</v>
      </c>
      <c r="G44" s="2">
        <v>1</v>
      </c>
      <c r="H44" s="2">
        <v>1</v>
      </c>
      <c r="I44" s="2">
        <v>1000</v>
      </c>
      <c r="J44" s="2">
        <v>1000</v>
      </c>
      <c r="K44" s="2">
        <v>24.557400000000001</v>
      </c>
      <c r="M44" s="2" t="str">
        <f>_xlfn.XLOOKUP(Moult2[[#This Row],[Metodo]],TbSolver[Metodo],TbSolver[Solver])</f>
        <v>Adams Bashford Moulton</v>
      </c>
      <c r="N44" s="2" t="str">
        <f>_xlfn.XLOOKUP(Moult2[[#This Row],[Hebras]],TbTecnologia[Hebras],TbTecnologia[Tecnología])</f>
        <v>OMP</v>
      </c>
      <c r="O44" s="2" t="str" cm="1">
        <f t="array" ref="O44">_xlfn.XLOOKUP(Moult2[[#This Row],[Tecnología]]&amp;Moult2[[#This Row],[Metodo]],TbTipos[Tecnología]&amp;TbTipos[Metodo],TbTipos[Tipo])</f>
        <v>OMP Elementos</v>
      </c>
      <c r="P44" s="2" t="str" cm="1">
        <f t="array" ref="P44">_xlfn.XLOOKUP(Moult2[[#This Row],[Tecnología]]&amp;Moult2[[#This Row],[Problema]],TbNombres[Tecnología]&amp;TbNombres[Problema],TbNombres[Nombre])</f>
        <v>Advdiff1d</v>
      </c>
      <c r="Q44" s="2">
        <v>6</v>
      </c>
      <c r="R44" s="2">
        <v>2</v>
      </c>
      <c r="S44" s="2">
        <v>1</v>
      </c>
      <c r="T44" s="2">
        <v>1000</v>
      </c>
      <c r="U44" s="2">
        <v>1000</v>
      </c>
      <c r="V44" s="2">
        <v>91.630700000000004</v>
      </c>
      <c r="X44" s="2" t="str">
        <f>_xlfn.XLOOKUP(Moult3[[#This Row],[Metodo]],TbSolver[Metodo],TbSolver[Solver])</f>
        <v>Adams Bashford Moulton</v>
      </c>
      <c r="Y44" s="2" t="str">
        <f>_xlfn.XLOOKUP(Moult3[[#This Row],[Hebras]],TbTecnologia[Hebras],TbTecnologia[Tecnología])</f>
        <v>CUDA</v>
      </c>
      <c r="Z44" s="2" t="str" cm="1">
        <f t="array" ref="Z44">_xlfn.XLOOKUP(Moult3[[#This Row],[Tecnología]]&amp;Moult3[[#This Row],[Metodo]],TbTipos[Tecnología]&amp;TbTipos[Metodo],TbTipos[Tipo])</f>
        <v>CUDA con graph</v>
      </c>
      <c r="AA44" s="2" t="str" cm="1">
        <f t="array" ref="AA44">_xlfn.XLOOKUP(Moult3[[#This Row],[Tecnología]]&amp;Moult3[[#This Row],[Problema]],TbNombres[Tecnología]&amp;TbNombres[Problema],TbNombres[Nombre])</f>
        <v>Brusselator1d shuffle</v>
      </c>
      <c r="AB44" s="2">
        <v>6</v>
      </c>
      <c r="AC44" s="2">
        <v>6</v>
      </c>
      <c r="AD44" s="2">
        <v>256</v>
      </c>
      <c r="AE44" s="2">
        <v>1000</v>
      </c>
      <c r="AF44" s="2">
        <v>2000</v>
      </c>
      <c r="AG44" s="2">
        <v>13.092700000000001</v>
      </c>
      <c r="AI44" s="2" t="str">
        <f>_xlfn.XLOOKUP(Moult4[[#This Row],[Metodo]],TbSolver[Metodo],TbSolver[Solver])</f>
        <v>Adams Bashford Moulton</v>
      </c>
      <c r="AJ44" s="2" t="str">
        <f>_xlfn.XLOOKUP(Moult4[[#This Row],[Hebras]],TbTecnologia[Hebras],TbTecnologia[Tecnología])</f>
        <v>CUDA</v>
      </c>
      <c r="AK44" s="2" t="str" cm="1">
        <f t="array" ref="AK44">_xlfn.XLOOKUP(Moult4[[#This Row],[Tecnología]]&amp;Moult4[[#This Row],[Metodo]],TbTipos[Tecnología]&amp;TbTipos[Metodo],TbTipos[Tipo])</f>
        <v>CUDA con graph</v>
      </c>
      <c r="AL44" s="2" t="str" cm="1">
        <f t="array" ref="AL44">_xlfn.XLOOKUP(Moult4[[#This Row],[Tecnología]]&amp;Moult4[[#This Row],[Problema]],TbNombres[Tecnología]&amp;TbNombres[Problema],TbNombres[Nombre])</f>
        <v>Brusselator2d</v>
      </c>
      <c r="AM44" s="21">
        <v>6</v>
      </c>
      <c r="AN44" s="21">
        <v>8</v>
      </c>
      <c r="AO44" s="21">
        <v>256</v>
      </c>
      <c r="AP44" s="21">
        <v>125</v>
      </c>
      <c r="AQ44" s="21">
        <v>31250</v>
      </c>
      <c r="AR44" s="21">
        <v>23.816099999999999</v>
      </c>
    </row>
    <row r="45" spans="2:44" x14ac:dyDescent="0.2">
      <c r="B45" s="2" t="str">
        <f>_xlfn.XLOOKUP(Moult1[[#This Row],[Metodo]],TbSolver[Metodo],TbSolver[Solver])</f>
        <v>Adams Bashford Moulton</v>
      </c>
      <c r="C45" s="2" t="str">
        <f>_xlfn.XLOOKUP(Moult1[[#This Row],[Hebras]],TbTecnologia[Hebras],TbTecnologia[Tecnología])</f>
        <v>OMP</v>
      </c>
      <c r="D45" s="2" t="str" cm="1">
        <f t="array" ref="D45">_xlfn.XLOOKUP(Moult1[[#This Row],[Tecnología]]&amp;Moult1[[#This Row],[Metodo]],TbTipos[Tecnología]&amp;TbTipos[Metodo],TbTipos[Tipo])</f>
        <v>OMP Operaciones</v>
      </c>
      <c r="E45" s="2" t="str" cm="1">
        <f t="array" ref="E45">_xlfn.XLOOKUP(Moult1[[#This Row],[Tecnología]]&amp;Moult1[[#This Row],[Problema]],TbNombres[Tecnología]&amp;TbNombres[Problema],TbNombres[Nombre])</f>
        <v>Simple Advdiff</v>
      </c>
      <c r="F45" s="2">
        <v>5</v>
      </c>
      <c r="G45" s="2">
        <v>1</v>
      </c>
      <c r="H45" s="2">
        <v>4</v>
      </c>
      <c r="I45" s="2">
        <v>1000</v>
      </c>
      <c r="J45" s="2">
        <v>1000</v>
      </c>
      <c r="K45" s="2">
        <v>43.6098</v>
      </c>
      <c r="M45" s="2" t="str">
        <f>_xlfn.XLOOKUP(Moult2[[#This Row],[Metodo]],TbSolver[Metodo],TbSolver[Solver])</f>
        <v>Adams Bashford Moulton</v>
      </c>
      <c r="N45" s="2" t="str">
        <f>_xlfn.XLOOKUP(Moult2[[#This Row],[Hebras]],TbTecnologia[Hebras],TbTecnologia[Tecnología])</f>
        <v>OMP</v>
      </c>
      <c r="O45" s="2" t="str" cm="1">
        <f t="array" ref="O45">_xlfn.XLOOKUP(Moult2[[#This Row],[Tecnología]]&amp;Moult2[[#This Row],[Metodo]],TbTipos[Tecnología]&amp;TbTipos[Metodo],TbTipos[Tipo])</f>
        <v>OMP Operaciones</v>
      </c>
      <c r="P45" s="2" t="str" cm="1">
        <f t="array" ref="P45">_xlfn.XLOOKUP(Moult2[[#This Row],[Tecnología]]&amp;Moult2[[#This Row],[Problema]],TbNombres[Tecnología]&amp;TbNombres[Problema],TbNombres[Nombre])</f>
        <v>Advdiff1d</v>
      </c>
      <c r="Q45" s="2">
        <v>5</v>
      </c>
      <c r="R45" s="2">
        <v>2</v>
      </c>
      <c r="S45" s="2">
        <v>16</v>
      </c>
      <c r="T45" s="2">
        <v>1000</v>
      </c>
      <c r="U45" s="2">
        <v>1000</v>
      </c>
      <c r="V45" s="2">
        <v>106.63500000000001</v>
      </c>
      <c r="X45" s="2" t="str">
        <f>_xlfn.XLOOKUP(Moult3[[#This Row],[Metodo]],TbSolver[Metodo],TbSolver[Solver])</f>
        <v>Adams Bashford Moulton</v>
      </c>
      <c r="Y45" s="2" t="str">
        <f>_xlfn.XLOOKUP(Moult3[[#This Row],[Hebras]],TbTecnologia[Hebras],TbTecnologia[Tecnología])</f>
        <v>CUDA</v>
      </c>
      <c r="Z45" s="2" t="str" cm="1">
        <f t="array" ref="Z45">_xlfn.XLOOKUP(Moult3[[#This Row],[Tecnología]]&amp;Moult3[[#This Row],[Metodo]],TbTipos[Tecnología]&amp;TbTipos[Metodo],TbTipos[Tipo])</f>
        <v>CUDA con graph</v>
      </c>
      <c r="AA45" s="2" t="str" cm="1">
        <f t="array" ref="AA45">_xlfn.XLOOKUP(Moult3[[#This Row],[Tecnología]]&amp;Moult3[[#This Row],[Problema]],TbNombres[Tecnología]&amp;TbNombres[Problema],TbNombres[Nombre])</f>
        <v>Brusselator1d grid</v>
      </c>
      <c r="AB45" s="2">
        <v>6</v>
      </c>
      <c r="AC45" s="2">
        <v>7</v>
      </c>
      <c r="AD45" s="2">
        <v>256</v>
      </c>
      <c r="AE45" s="2">
        <v>1000</v>
      </c>
      <c r="AF45" s="2">
        <v>2000</v>
      </c>
      <c r="AG45" s="2">
        <v>13.118</v>
      </c>
      <c r="AI45" s="2" t="str">
        <f>_xlfn.XLOOKUP(Moult4[[#This Row],[Metodo]],TbSolver[Metodo],TbSolver[Solver])</f>
        <v>Adams Bashford Moulton</v>
      </c>
      <c r="AJ45" s="2" t="str">
        <f>_xlfn.XLOOKUP(Moult4[[#This Row],[Hebras]],TbTecnologia[Hebras],TbTecnologia[Tecnología])</f>
        <v>OMP</v>
      </c>
      <c r="AK45" s="2" t="str" cm="1">
        <f t="array" ref="AK45">_xlfn.XLOOKUP(Moult4[[#This Row],[Tecnología]]&amp;Moult4[[#This Row],[Metodo]],TbTipos[Tecnología]&amp;TbTipos[Metodo],TbTipos[Tipo])</f>
        <v>OMP Elementos</v>
      </c>
      <c r="AL45" s="2" t="str" cm="1">
        <f t="array" ref="AL45">_xlfn.XLOOKUP(Moult4[[#This Row],[Tecnología]]&amp;Moult4[[#This Row],[Problema]],TbNombres[Tecnología]&amp;TbNombres[Problema],TbNombres[Nombre])</f>
        <v>Brusselator2d</v>
      </c>
      <c r="AM45" s="4">
        <v>6</v>
      </c>
      <c r="AN45" s="4">
        <v>4</v>
      </c>
      <c r="AO45" s="4">
        <v>16</v>
      </c>
      <c r="AP45" s="4">
        <v>125</v>
      </c>
      <c r="AQ45" s="4">
        <v>31250</v>
      </c>
      <c r="AR45" s="4">
        <v>132.29599999999999</v>
      </c>
    </row>
    <row r="46" spans="2:44" x14ac:dyDescent="0.2">
      <c r="B46" s="2" t="str">
        <f>_xlfn.XLOOKUP(Moult1[[#This Row],[Metodo]],TbSolver[Metodo],TbSolver[Solver])</f>
        <v>Adams Bashford Moulton</v>
      </c>
      <c r="C46" s="2" t="str">
        <f>_xlfn.XLOOKUP(Moult1[[#This Row],[Hebras]],TbTecnologia[Hebras],TbTecnologia[Tecnología])</f>
        <v>OMP</v>
      </c>
      <c r="D46" s="2" t="str" cm="1">
        <f t="array" ref="D46">_xlfn.XLOOKUP(Moult1[[#This Row],[Tecnología]]&amp;Moult1[[#This Row],[Metodo]],TbTipos[Tecnología]&amp;TbTipos[Metodo],TbTipos[Tipo])</f>
        <v>OMP Operaciones</v>
      </c>
      <c r="E46" s="2" t="str" cm="1">
        <f t="array" ref="E46">_xlfn.XLOOKUP(Moult1[[#This Row],[Tecnología]]&amp;Moult1[[#This Row],[Problema]],TbNombres[Tecnología]&amp;TbNombres[Problema],TbNombres[Nombre])</f>
        <v>Simple Advdiff</v>
      </c>
      <c r="F46" s="2">
        <v>5</v>
      </c>
      <c r="G46" s="2">
        <v>1</v>
      </c>
      <c r="H46" s="2">
        <v>16</v>
      </c>
      <c r="I46" s="2">
        <v>1000</v>
      </c>
      <c r="J46" s="2">
        <v>1000</v>
      </c>
      <c r="K46" s="2">
        <v>85.655199999999994</v>
      </c>
      <c r="M46" s="2" t="str">
        <f>_xlfn.XLOOKUP(Moult2[[#This Row],[Metodo]],TbSolver[Metodo],TbSolver[Solver])</f>
        <v>Adams Bashford Moulton</v>
      </c>
      <c r="N46" s="2" t="str">
        <f>_xlfn.XLOOKUP(Moult2[[#This Row],[Hebras]],TbTecnologia[Hebras],TbTecnologia[Tecnología])</f>
        <v>OMP</v>
      </c>
      <c r="O46" s="2" t="str" cm="1">
        <f t="array" ref="O46">_xlfn.XLOOKUP(Moult2[[#This Row],[Tecnología]]&amp;Moult2[[#This Row],[Metodo]],TbTipos[Tecnología]&amp;TbTipos[Metodo],TbTipos[Tipo])</f>
        <v>OMP Elementos</v>
      </c>
      <c r="P46" s="2" t="str" cm="1">
        <f t="array" ref="P46">_xlfn.XLOOKUP(Moult2[[#This Row],[Tecnología]]&amp;Moult2[[#This Row],[Problema]],TbNombres[Tecnología]&amp;TbNombres[Problema],TbNombres[Nombre])</f>
        <v>Advdiff1d</v>
      </c>
      <c r="Q46" s="2">
        <v>6</v>
      </c>
      <c r="R46" s="2">
        <v>2</v>
      </c>
      <c r="S46" s="2">
        <v>16</v>
      </c>
      <c r="T46" s="2">
        <v>1000</v>
      </c>
      <c r="U46" s="2">
        <v>1000</v>
      </c>
      <c r="V46" s="2">
        <v>116.113</v>
      </c>
      <c r="X46" s="2" t="str">
        <f>_xlfn.XLOOKUP(Moult3[[#This Row],[Metodo]],TbSolver[Metodo],TbSolver[Solver])</f>
        <v>Adams Bashford Moulton</v>
      </c>
      <c r="Y46" s="2" t="str">
        <f>_xlfn.XLOOKUP(Moult3[[#This Row],[Hebras]],TbTecnologia[Hebras],TbTecnologia[Tecnología])</f>
        <v>CUDA</v>
      </c>
      <c r="Z46" s="2" t="str" cm="1">
        <f t="array" ref="Z46">_xlfn.XLOOKUP(Moult3[[#This Row],[Tecnología]]&amp;Moult3[[#This Row],[Metodo]],TbTipos[Tecnología]&amp;TbTipos[Metodo],TbTipos[Tipo])</f>
        <v>CUDA sin graph</v>
      </c>
      <c r="AA46" s="2" t="str" cm="1">
        <f t="array" ref="AA46">_xlfn.XLOOKUP(Moult3[[#This Row],[Tecnología]]&amp;Moult3[[#This Row],[Problema]],TbNombres[Tecnología]&amp;TbNombres[Problema],TbNombres[Nombre])</f>
        <v>Brusselator1d</v>
      </c>
      <c r="AB46" s="2">
        <v>5</v>
      </c>
      <c r="AC46" s="2">
        <v>5</v>
      </c>
      <c r="AD46" s="2">
        <v>256</v>
      </c>
      <c r="AE46" s="2">
        <v>1000</v>
      </c>
      <c r="AF46" s="2">
        <v>2000</v>
      </c>
      <c r="AG46" s="2">
        <v>13.638</v>
      </c>
      <c r="AI46" s="2" t="str">
        <f>_xlfn.XLOOKUP(Moult4[[#This Row],[Metodo]],TbSolver[Metodo],TbSolver[Solver])</f>
        <v>Adams Bashford Moulton</v>
      </c>
      <c r="AJ46" s="2" t="str">
        <f>_xlfn.XLOOKUP(Moult4[[#This Row],[Hebras]],TbTecnologia[Hebras],TbTecnologia[Tecnología])</f>
        <v>OMP</v>
      </c>
      <c r="AK46" s="2" t="str" cm="1">
        <f t="array" ref="AK46">_xlfn.XLOOKUP(Moult4[[#This Row],[Tecnología]]&amp;Moult4[[#This Row],[Metodo]],TbTipos[Tecnología]&amp;TbTipos[Metodo],TbTipos[Tipo])</f>
        <v>OMP Operaciones</v>
      </c>
      <c r="AL46" s="2" t="str" cm="1">
        <f t="array" ref="AL46">_xlfn.XLOOKUP(Moult4[[#This Row],[Tecnología]]&amp;Moult4[[#This Row],[Problema]],TbNombres[Tecnología]&amp;TbNombres[Problema],TbNombres[Nombre])</f>
        <v>Brusselator2d</v>
      </c>
      <c r="AM46" s="4">
        <v>5</v>
      </c>
      <c r="AN46" s="4">
        <v>4</v>
      </c>
      <c r="AO46" s="4">
        <v>16</v>
      </c>
      <c r="AP46" s="4">
        <v>125</v>
      </c>
      <c r="AQ46" s="4">
        <v>31250</v>
      </c>
      <c r="AR46" s="4">
        <v>148.214</v>
      </c>
    </row>
    <row r="47" spans="2:44" x14ac:dyDescent="0.2">
      <c r="B47" s="2" t="str">
        <f>_xlfn.XLOOKUP(Moult1[[#This Row],[Metodo]],TbSolver[Metodo],TbSolver[Solver])</f>
        <v>Adams Bashford Moulton</v>
      </c>
      <c r="C47" s="2" t="str">
        <f>_xlfn.XLOOKUP(Moult1[[#This Row],[Hebras]],TbTecnologia[Hebras],TbTecnologia[Tecnología])</f>
        <v>CUDA</v>
      </c>
      <c r="D47" s="2" t="str" cm="1">
        <f t="array" ref="D47">_xlfn.XLOOKUP(Moult1[[#This Row],[Tecnología]]&amp;Moult1[[#This Row],[Metodo]],TbTipos[Tecnología]&amp;TbTipos[Metodo],TbTipos[Tipo])</f>
        <v>CUDA con graph</v>
      </c>
      <c r="E47" s="2" t="str" cm="1">
        <f t="array" ref="E47">_xlfn.XLOOKUP(Moult1[[#This Row],[Tecnología]]&amp;Moult1[[#This Row],[Problema]],TbNombres[Tecnología]&amp;TbNombres[Problema],TbNombres[Nombre])</f>
        <v>Simple Advdiff</v>
      </c>
      <c r="F47" s="2">
        <v>6</v>
      </c>
      <c r="G47" s="2">
        <v>1</v>
      </c>
      <c r="H47" s="2">
        <v>256</v>
      </c>
      <c r="I47" s="2">
        <v>2000</v>
      </c>
      <c r="J47" s="2">
        <v>2000</v>
      </c>
      <c r="K47" s="2">
        <v>12.272500000000001</v>
      </c>
      <c r="M47" s="2" t="str">
        <f>_xlfn.XLOOKUP(Moult2[[#This Row],[Metodo]],TbSolver[Metodo],TbSolver[Solver])</f>
        <v>Adams Bashford Moulton</v>
      </c>
      <c r="N47" s="2" t="str">
        <f>_xlfn.XLOOKUP(Moult2[[#This Row],[Hebras]],TbTecnologia[Hebras],TbTecnologia[Tecnología])</f>
        <v>CUDA</v>
      </c>
      <c r="O47" s="2" t="str" cm="1">
        <f t="array" ref="O47">_xlfn.XLOOKUP(Moult2[[#This Row],[Tecnología]]&amp;Moult2[[#This Row],[Metodo]],TbTipos[Tecnología]&amp;TbTipos[Metodo],TbTipos[Tipo])</f>
        <v>CUDA con graph</v>
      </c>
      <c r="P47" s="2" t="str" cm="1">
        <f t="array" ref="P47">_xlfn.XLOOKUP(Moult2[[#This Row],[Tecnología]]&amp;Moult2[[#This Row],[Problema]],TbNombres[Tecnología]&amp;TbNombres[Problema],TbNombres[Nombre])</f>
        <v>Advdiff1d</v>
      </c>
      <c r="Q47" s="2">
        <v>6</v>
      </c>
      <c r="R47" s="2">
        <v>3</v>
      </c>
      <c r="S47" s="2">
        <v>256</v>
      </c>
      <c r="T47" s="2">
        <v>2000</v>
      </c>
      <c r="U47" s="2">
        <v>2000</v>
      </c>
      <c r="V47" s="2">
        <v>23.829899999999999</v>
      </c>
      <c r="X47" s="2" t="str">
        <f>_xlfn.XLOOKUP(Moult3[[#This Row],[Metodo]],TbSolver[Metodo],TbSolver[Solver])</f>
        <v>Adams Bashford Moulton</v>
      </c>
      <c r="Y47" s="2" t="str">
        <f>_xlfn.XLOOKUP(Moult3[[#This Row],[Hebras]],TbTecnologia[Hebras],TbTecnologia[Tecnología])</f>
        <v>CUDA</v>
      </c>
      <c r="Z47" s="2" t="str" cm="1">
        <f t="array" ref="Z47">_xlfn.XLOOKUP(Moult3[[#This Row],[Tecnología]]&amp;Moult3[[#This Row],[Metodo]],TbTipos[Tecnología]&amp;TbTipos[Metodo],TbTipos[Tipo])</f>
        <v>CUDA sin graph</v>
      </c>
      <c r="AA47" s="2" t="str" cm="1">
        <f t="array" ref="AA47">_xlfn.XLOOKUP(Moult3[[#This Row],[Tecnología]]&amp;Moult3[[#This Row],[Problema]],TbNombres[Tecnología]&amp;TbNombres[Problema],TbNombres[Nombre])</f>
        <v>Brusselator1d shuffle</v>
      </c>
      <c r="AB47" s="2">
        <v>5</v>
      </c>
      <c r="AC47" s="2">
        <v>6</v>
      </c>
      <c r="AD47" s="2">
        <v>256</v>
      </c>
      <c r="AE47" s="2">
        <v>1000</v>
      </c>
      <c r="AF47" s="2">
        <v>2000</v>
      </c>
      <c r="AG47" s="2">
        <v>13.6983</v>
      </c>
      <c r="AI47" s="2" t="str">
        <f>_xlfn.XLOOKUP(Moult4[[#This Row],[Metodo]],TbSolver[Metodo],TbSolver[Solver])</f>
        <v>Adams Bashford Moulton</v>
      </c>
      <c r="AJ47" s="2" t="str">
        <f>_xlfn.XLOOKUP(Moult4[[#This Row],[Hebras]],TbTecnologia[Hebras],TbTecnologia[Tecnología])</f>
        <v>OMP</v>
      </c>
      <c r="AK47" s="2" t="str" cm="1">
        <f t="array" ref="AK47">_xlfn.XLOOKUP(Moult4[[#This Row],[Tecnología]]&amp;Moult4[[#This Row],[Metodo]],TbTipos[Tecnología]&amp;TbTipos[Metodo],TbTipos[Tipo])</f>
        <v>OMP Operaciones</v>
      </c>
      <c r="AL47" s="2" t="str" cm="1">
        <f t="array" ref="AL47">_xlfn.XLOOKUP(Moult4[[#This Row],[Tecnología]]&amp;Moult4[[#This Row],[Problema]],TbNombres[Tecnología]&amp;TbNombres[Problema],TbNombres[Nombre])</f>
        <v>Brusselator2d</v>
      </c>
      <c r="AM47" s="4">
        <v>5</v>
      </c>
      <c r="AN47" s="4">
        <v>4</v>
      </c>
      <c r="AO47" s="4">
        <v>4</v>
      </c>
      <c r="AP47" s="4">
        <v>125</v>
      </c>
      <c r="AQ47" s="4">
        <v>31250</v>
      </c>
      <c r="AR47" s="4">
        <v>195.899</v>
      </c>
    </row>
    <row r="48" spans="2:44" x14ac:dyDescent="0.2">
      <c r="B48" s="2" t="str">
        <f>_xlfn.XLOOKUP(Moult1[[#This Row],[Metodo]],TbSolver[Metodo],TbSolver[Solver])</f>
        <v>Adams Bashford Moulton</v>
      </c>
      <c r="C48" s="2" t="str">
        <f>_xlfn.XLOOKUP(Moult1[[#This Row],[Hebras]],TbTecnologia[Hebras],TbTecnologia[Tecnología])</f>
        <v>CUDA</v>
      </c>
      <c r="D48" s="2" t="str" cm="1">
        <f t="array" ref="D48">_xlfn.XLOOKUP(Moult1[[#This Row],[Tecnología]]&amp;Moult1[[#This Row],[Metodo]],TbTipos[Tecnología]&amp;TbTipos[Metodo],TbTipos[Tipo])</f>
        <v>CUDA con graph</v>
      </c>
      <c r="E48" s="2" t="str" cm="1">
        <f t="array" ref="E48">_xlfn.XLOOKUP(Moult1[[#This Row],[Tecnología]]&amp;Moult1[[#This Row],[Problema]],TbNombres[Tecnología]&amp;TbNombres[Problema],TbNombres[Nombre])</f>
        <v>Simple Advdiff shuffle</v>
      </c>
      <c r="F48" s="2">
        <v>6</v>
      </c>
      <c r="G48" s="2">
        <v>2</v>
      </c>
      <c r="H48" s="2">
        <v>256</v>
      </c>
      <c r="I48" s="2">
        <v>2000</v>
      </c>
      <c r="J48" s="2">
        <v>2000</v>
      </c>
      <c r="K48" s="2">
        <v>12.2935</v>
      </c>
      <c r="M48" s="2" t="str">
        <f>_xlfn.XLOOKUP(Moult2[[#This Row],[Metodo]],TbSolver[Metodo],TbSolver[Solver])</f>
        <v>Adams Bashford Moulton</v>
      </c>
      <c r="N48" s="2" t="str">
        <f>_xlfn.XLOOKUP(Moult2[[#This Row],[Hebras]],TbTecnologia[Hebras],TbTecnologia[Tecnología])</f>
        <v>CUDA</v>
      </c>
      <c r="O48" s="2" t="str" cm="1">
        <f t="array" ref="O48">_xlfn.XLOOKUP(Moult2[[#This Row],[Tecnología]]&amp;Moult2[[#This Row],[Metodo]],TbTipos[Tecnología]&amp;TbTipos[Metodo],TbTipos[Tipo])</f>
        <v>CUDA sin graph</v>
      </c>
      <c r="P48" s="2" t="str" cm="1">
        <f t="array" ref="P48">_xlfn.XLOOKUP(Moult2[[#This Row],[Tecnología]]&amp;Moult2[[#This Row],[Problema]],TbNombres[Tecnología]&amp;TbNombres[Problema],TbNombres[Nombre])</f>
        <v>Advdiff1d</v>
      </c>
      <c r="Q48" s="2">
        <v>5</v>
      </c>
      <c r="R48" s="2">
        <v>3</v>
      </c>
      <c r="S48" s="2">
        <v>256</v>
      </c>
      <c r="T48" s="2">
        <v>2000</v>
      </c>
      <c r="U48" s="2">
        <v>2000</v>
      </c>
      <c r="V48" s="2">
        <v>24.0976</v>
      </c>
      <c r="X48" s="2" t="str">
        <f>_xlfn.XLOOKUP(Moult3[[#This Row],[Metodo]],TbSolver[Metodo],TbSolver[Solver])</f>
        <v>Adams Bashford Moulton</v>
      </c>
      <c r="Y48" s="2" t="str">
        <f>_xlfn.XLOOKUP(Moult3[[#This Row],[Hebras]],TbTecnologia[Hebras],TbTecnologia[Tecnología])</f>
        <v>CUDA</v>
      </c>
      <c r="Z48" s="2" t="str" cm="1">
        <f t="array" ref="Z48">_xlfn.XLOOKUP(Moult3[[#This Row],[Tecnología]]&amp;Moult3[[#This Row],[Metodo]],TbTipos[Tecnología]&amp;TbTipos[Metodo],TbTipos[Tipo])</f>
        <v>CUDA sin graph</v>
      </c>
      <c r="AA48" s="2" t="str" cm="1">
        <f t="array" ref="AA48">_xlfn.XLOOKUP(Moult3[[#This Row],[Tecnología]]&amp;Moult3[[#This Row],[Problema]],TbNombres[Tecnología]&amp;TbNombres[Problema],TbNombres[Nombre])</f>
        <v>Brusselator1d grid</v>
      </c>
      <c r="AB48" s="2">
        <v>5</v>
      </c>
      <c r="AC48" s="2">
        <v>7</v>
      </c>
      <c r="AD48" s="2">
        <v>256</v>
      </c>
      <c r="AE48" s="2">
        <v>1000</v>
      </c>
      <c r="AF48" s="2">
        <v>2000</v>
      </c>
      <c r="AG48" s="2">
        <v>13.8088</v>
      </c>
      <c r="AI48" s="2" t="str">
        <f>_xlfn.XLOOKUP(Moult4[[#This Row],[Metodo]],TbSolver[Metodo],TbSolver[Solver])</f>
        <v>Adams Bashford Moulton</v>
      </c>
      <c r="AJ48" s="2" t="str">
        <f>_xlfn.XLOOKUP(Moult4[[#This Row],[Hebras]],TbTecnologia[Hebras],TbTecnologia[Tecnología])</f>
        <v>OMP</v>
      </c>
      <c r="AK48" s="2" t="str" cm="1">
        <f t="array" ref="AK48">_xlfn.XLOOKUP(Moult4[[#This Row],[Tecnología]]&amp;Moult4[[#This Row],[Metodo]],TbTipos[Tecnología]&amp;TbTipos[Metodo],TbTipos[Tipo])</f>
        <v>OMP Elementos</v>
      </c>
      <c r="AL48" s="2" t="str" cm="1">
        <f t="array" ref="AL48">_xlfn.XLOOKUP(Moult4[[#This Row],[Tecnología]]&amp;Moult4[[#This Row],[Problema]],TbNombres[Tecnología]&amp;TbNombres[Problema],TbNombres[Nombre])</f>
        <v>Brusselator2d</v>
      </c>
      <c r="AM48" s="4">
        <v>6</v>
      </c>
      <c r="AN48" s="4">
        <v>4</v>
      </c>
      <c r="AO48" s="4">
        <v>4</v>
      </c>
      <c r="AP48" s="4">
        <v>125</v>
      </c>
      <c r="AQ48" s="4">
        <v>31250</v>
      </c>
      <c r="AR48" s="4">
        <v>389.214</v>
      </c>
    </row>
    <row r="49" spans="2:44" x14ac:dyDescent="0.2">
      <c r="B49" s="2" t="str">
        <f>_xlfn.XLOOKUP(Moult1[[#This Row],[Metodo]],TbSolver[Metodo],TbSolver[Solver])</f>
        <v>Adams Bashford Moulton</v>
      </c>
      <c r="C49" s="2" t="str">
        <f>_xlfn.XLOOKUP(Moult1[[#This Row],[Hebras]],TbTecnologia[Hebras],TbTecnologia[Tecnología])</f>
        <v>CUDA</v>
      </c>
      <c r="D49" s="2" t="str" cm="1">
        <f t="array" ref="D49">_xlfn.XLOOKUP(Moult1[[#This Row],[Tecnología]]&amp;Moult1[[#This Row],[Metodo]],TbTipos[Tecnología]&amp;TbTipos[Metodo],TbTipos[Tipo])</f>
        <v>CUDA sin graph</v>
      </c>
      <c r="E49" s="2" t="str" cm="1">
        <f t="array" ref="E49">_xlfn.XLOOKUP(Moult1[[#This Row],[Tecnología]]&amp;Moult1[[#This Row],[Problema]],TbNombres[Tecnología]&amp;TbNombres[Problema],TbNombres[Nombre])</f>
        <v>Simple Advdiff shuffle</v>
      </c>
      <c r="F49" s="2">
        <v>5</v>
      </c>
      <c r="G49" s="2">
        <v>2</v>
      </c>
      <c r="H49" s="2">
        <v>256</v>
      </c>
      <c r="I49" s="2">
        <v>2000</v>
      </c>
      <c r="J49" s="2">
        <v>2000</v>
      </c>
      <c r="K49" s="2">
        <v>12.875999999999999</v>
      </c>
      <c r="M49" s="2" t="str">
        <f>_xlfn.XLOOKUP(Moult2[[#This Row],[Metodo]],TbSolver[Metodo],TbSolver[Solver])</f>
        <v>Adams Bashford Moulton</v>
      </c>
      <c r="N49" s="2" t="str">
        <f>_xlfn.XLOOKUP(Moult2[[#This Row],[Hebras]],TbTecnologia[Hebras],TbTecnologia[Tecnología])</f>
        <v>CUDA</v>
      </c>
      <c r="O49" s="2" t="str" cm="1">
        <f t="array" ref="O49">_xlfn.XLOOKUP(Moult2[[#This Row],[Tecnología]]&amp;Moult2[[#This Row],[Metodo]],TbTipos[Tecnología]&amp;TbTipos[Metodo],TbTipos[Tipo])</f>
        <v>CUDA con graph</v>
      </c>
      <c r="P49" s="2" t="str" cm="1">
        <f t="array" ref="P49">_xlfn.XLOOKUP(Moult2[[#This Row],[Tecnología]]&amp;Moult2[[#This Row],[Problema]],TbNombres[Tecnología]&amp;TbNombres[Problema],TbNombres[Nombre])</f>
        <v>Advdiff1d shuffle</v>
      </c>
      <c r="Q49" s="2">
        <v>6</v>
      </c>
      <c r="R49" s="2">
        <v>4</v>
      </c>
      <c r="S49" s="2">
        <v>256</v>
      </c>
      <c r="T49" s="2">
        <v>2000</v>
      </c>
      <c r="U49" s="2">
        <v>2000</v>
      </c>
      <c r="V49" s="2">
        <v>24.571100000000001</v>
      </c>
      <c r="X49" s="2" t="str">
        <f>_xlfn.XLOOKUP(Moult3[[#This Row],[Metodo]],TbSolver[Metodo],TbSolver[Solver])</f>
        <v>Adams Bashford Moulton</v>
      </c>
      <c r="Y49" s="2" t="str">
        <f>_xlfn.XLOOKUP(Moult3[[#This Row],[Hebras]],TbTecnologia[Hebras],TbTecnologia[Tecnología])</f>
        <v>OMP</v>
      </c>
      <c r="Z49" s="2" t="str" cm="1">
        <f t="array" ref="Z49">_xlfn.XLOOKUP(Moult3[[#This Row],[Tecnología]]&amp;Moult3[[#This Row],[Metodo]],TbTipos[Tecnología]&amp;TbTipos[Metodo],TbTipos[Tipo])</f>
        <v>OMP Elementos</v>
      </c>
      <c r="AA49" s="2" t="str" cm="1">
        <f t="array" ref="AA49">_xlfn.XLOOKUP(Moult3[[#This Row],[Tecnología]]&amp;Moult3[[#This Row],[Problema]],TbNombres[Tecnología]&amp;TbNombres[Problema],TbNombres[Nombre])</f>
        <v>Brusselator1d</v>
      </c>
      <c r="AB49" s="2">
        <v>6</v>
      </c>
      <c r="AC49" s="2">
        <v>3</v>
      </c>
      <c r="AD49" s="2">
        <v>4</v>
      </c>
      <c r="AE49" s="2">
        <v>1000</v>
      </c>
      <c r="AF49" s="2">
        <v>2000</v>
      </c>
      <c r="AG49" s="2">
        <v>21.136500000000002</v>
      </c>
      <c r="AI49" s="2" t="str">
        <f>_xlfn.XLOOKUP(Moult4[[#This Row],[Metodo]],TbSolver[Metodo],TbSolver[Solver])</f>
        <v>Adams Bashford Moulton</v>
      </c>
      <c r="AJ49" s="2" t="str">
        <f>_xlfn.XLOOKUP(Moult4[[#This Row],[Hebras]],TbTecnologia[Hebras],TbTecnologia[Tecnología])</f>
        <v>OMP</v>
      </c>
      <c r="AK49" s="2" t="str" cm="1">
        <f t="array" ref="AK49">_xlfn.XLOOKUP(Moult4[[#This Row],[Tecnología]]&amp;Moult4[[#This Row],[Metodo]],TbTipos[Tecnología]&amp;TbTipos[Metodo],TbTipos[Tipo])</f>
        <v>OMP Operaciones</v>
      </c>
      <c r="AL49" s="2" t="str" cm="1">
        <f t="array" ref="AL49">_xlfn.XLOOKUP(Moult4[[#This Row],[Tecnología]]&amp;Moult4[[#This Row],[Problema]],TbNombres[Tecnología]&amp;TbNombres[Problema],TbNombres[Nombre])</f>
        <v>Brusselator2d</v>
      </c>
      <c r="AM49" s="4">
        <v>5</v>
      </c>
      <c r="AN49" s="4">
        <v>4</v>
      </c>
      <c r="AO49" s="4">
        <v>1</v>
      </c>
      <c r="AP49" s="4">
        <v>125</v>
      </c>
      <c r="AQ49" s="4">
        <v>31250</v>
      </c>
      <c r="AR49" s="4">
        <v>649.75400000000002</v>
      </c>
    </row>
    <row r="50" spans="2:44" x14ac:dyDescent="0.2">
      <c r="B50" s="2" t="str">
        <f>_xlfn.XLOOKUP(Moult1[[#This Row],[Metodo]],TbSolver[Metodo],TbSolver[Solver])</f>
        <v>Adams Bashford Moulton</v>
      </c>
      <c r="C50" s="2" t="str">
        <f>_xlfn.XLOOKUP(Moult1[[#This Row],[Hebras]],TbTecnologia[Hebras],TbTecnologia[Tecnología])</f>
        <v>CUDA</v>
      </c>
      <c r="D50" s="2" t="str" cm="1">
        <f t="array" ref="D50">_xlfn.XLOOKUP(Moult1[[#This Row],[Tecnología]]&amp;Moult1[[#This Row],[Metodo]],TbTipos[Tecnología]&amp;TbTipos[Metodo],TbTipos[Tipo])</f>
        <v>CUDA sin graph</v>
      </c>
      <c r="E50" s="2" t="str" cm="1">
        <f t="array" ref="E50">_xlfn.XLOOKUP(Moult1[[#This Row],[Tecnología]]&amp;Moult1[[#This Row],[Problema]],TbNombres[Tecnología]&amp;TbNombres[Problema],TbNombres[Nombre])</f>
        <v>Simple Advdiff</v>
      </c>
      <c r="F50" s="2">
        <v>5</v>
      </c>
      <c r="G50" s="2">
        <v>1</v>
      </c>
      <c r="H50" s="2">
        <v>256</v>
      </c>
      <c r="I50" s="2">
        <v>2000</v>
      </c>
      <c r="J50" s="2">
        <v>2000</v>
      </c>
      <c r="K50" s="2">
        <v>12.920500000000001</v>
      </c>
      <c r="M50" s="2" t="str">
        <f>_xlfn.XLOOKUP(Moult2[[#This Row],[Metodo]],TbSolver[Metodo],TbSolver[Solver])</f>
        <v>Adams Bashford Moulton</v>
      </c>
      <c r="N50" s="2" t="str">
        <f>_xlfn.XLOOKUP(Moult2[[#This Row],[Hebras]],TbTecnologia[Hebras],TbTecnologia[Tecnología])</f>
        <v>CUDA</v>
      </c>
      <c r="O50" s="2" t="str" cm="1">
        <f t="array" ref="O50">_xlfn.XLOOKUP(Moult2[[#This Row],[Tecnología]]&amp;Moult2[[#This Row],[Metodo]],TbTipos[Tecnología]&amp;TbTipos[Metodo],TbTipos[Tipo])</f>
        <v>CUDA sin graph</v>
      </c>
      <c r="P50" s="2" t="str" cm="1">
        <f t="array" ref="P50">_xlfn.XLOOKUP(Moult2[[#This Row],[Tecnología]]&amp;Moult2[[#This Row],[Problema]],TbNombres[Tecnología]&amp;TbNombres[Problema],TbNombres[Nombre])</f>
        <v>Advdiff1d shuffle</v>
      </c>
      <c r="Q50" s="2">
        <v>5</v>
      </c>
      <c r="R50" s="2">
        <v>4</v>
      </c>
      <c r="S50" s="2">
        <v>256</v>
      </c>
      <c r="T50" s="2">
        <v>2000</v>
      </c>
      <c r="U50" s="2">
        <v>2000</v>
      </c>
      <c r="V50" s="2">
        <v>24.953700000000001</v>
      </c>
      <c r="X50" s="2" t="str">
        <f>_xlfn.XLOOKUP(Moult3[[#This Row],[Metodo]],TbSolver[Metodo],TbSolver[Solver])</f>
        <v>Adams Bashford Moulton</v>
      </c>
      <c r="Y50" s="2" t="str">
        <f>_xlfn.XLOOKUP(Moult3[[#This Row],[Hebras]],TbTecnologia[Hebras],TbTecnologia[Tecnología])</f>
        <v>OMP</v>
      </c>
      <c r="Z50" s="2" t="str" cm="1">
        <f t="array" ref="Z50">_xlfn.XLOOKUP(Moult3[[#This Row],[Tecnología]]&amp;Moult3[[#This Row],[Metodo]],TbTipos[Tecnología]&amp;TbTipos[Metodo],TbTipos[Tipo])</f>
        <v>OMP Operaciones</v>
      </c>
      <c r="AA50" s="2" t="str" cm="1">
        <f t="array" ref="AA50">_xlfn.XLOOKUP(Moult3[[#This Row],[Tecnología]]&amp;Moult3[[#This Row],[Problema]],TbNombres[Tecnología]&amp;TbNombres[Problema],TbNombres[Nombre])</f>
        <v>Brusselator1d</v>
      </c>
      <c r="AB50" s="2">
        <v>5</v>
      </c>
      <c r="AC50" s="2">
        <v>3</v>
      </c>
      <c r="AD50" s="2">
        <v>1</v>
      </c>
      <c r="AE50" s="2">
        <v>1000</v>
      </c>
      <c r="AF50" s="2">
        <v>2000</v>
      </c>
      <c r="AG50" s="2">
        <v>24.846499999999999</v>
      </c>
      <c r="AI50" s="2" t="str">
        <f>_xlfn.XLOOKUP(Moult4[[#This Row],[Metodo]],TbSolver[Metodo],TbSolver[Solver])</f>
        <v>Adams Bashford Moulton</v>
      </c>
      <c r="AJ50" s="2" t="str">
        <f>_xlfn.XLOOKUP(Moult4[[#This Row],[Hebras]],TbTecnologia[Hebras],TbTecnologia[Tecnología])</f>
        <v>OMP</v>
      </c>
      <c r="AK50" s="2" t="str" cm="1">
        <f t="array" ref="AK50">_xlfn.XLOOKUP(Moult4[[#This Row],[Tecnología]]&amp;Moult4[[#This Row],[Metodo]],TbTipos[Tecnología]&amp;TbTipos[Metodo],TbTipos[Tipo])</f>
        <v>OMP Elementos</v>
      </c>
      <c r="AL50" s="2" t="str" cm="1">
        <f t="array" ref="AL50">_xlfn.XLOOKUP(Moult4[[#This Row],[Tecnología]]&amp;Moult4[[#This Row],[Problema]],TbNombres[Tecnología]&amp;TbNombres[Problema],TbNombres[Nombre])</f>
        <v>Brusselator2d</v>
      </c>
      <c r="AM50" s="4">
        <v>6</v>
      </c>
      <c r="AN50" s="4">
        <v>4</v>
      </c>
      <c r="AO50" s="4">
        <v>1</v>
      </c>
      <c r="AP50" s="4">
        <v>125</v>
      </c>
      <c r="AQ50" s="4">
        <v>31250</v>
      </c>
      <c r="AR50" s="4">
        <v>1483.08</v>
      </c>
    </row>
    <row r="51" spans="2:44" x14ac:dyDescent="0.2">
      <c r="B51" s="2" t="str">
        <f>_xlfn.XLOOKUP(Moult1[[#This Row],[Metodo]],TbSolver[Metodo],TbSolver[Solver])</f>
        <v>Adams Bashford Moulton</v>
      </c>
      <c r="C51" s="2" t="str">
        <f>_xlfn.XLOOKUP(Moult1[[#This Row],[Hebras]],TbTecnologia[Hebras],TbTecnologia[Tecnología])</f>
        <v>OMP</v>
      </c>
      <c r="D51" s="2" t="str" cm="1">
        <f t="array" ref="D51">_xlfn.XLOOKUP(Moult1[[#This Row],[Tecnología]]&amp;Moult1[[#This Row],[Metodo]],TbTipos[Tecnología]&amp;TbTipos[Metodo],TbTipos[Tipo])</f>
        <v>OMP Operaciones</v>
      </c>
      <c r="E51" s="2" t="str" cm="1">
        <f t="array" ref="E51">_xlfn.XLOOKUP(Moult1[[#This Row],[Tecnología]]&amp;Moult1[[#This Row],[Problema]],TbNombres[Tecnología]&amp;TbNombres[Problema],TbNombres[Nombre])</f>
        <v>Simple Advdiff</v>
      </c>
      <c r="F51" s="4">
        <v>5</v>
      </c>
      <c r="G51" s="4">
        <v>1</v>
      </c>
      <c r="H51" s="4">
        <v>1</v>
      </c>
      <c r="I51" s="4">
        <v>2000</v>
      </c>
      <c r="J51" s="4">
        <v>2000</v>
      </c>
      <c r="K51" s="4">
        <v>17.319400000000002</v>
      </c>
      <c r="M51" s="2" t="str">
        <f>_xlfn.XLOOKUP(Moult2[[#This Row],[Metodo]],TbSolver[Metodo],TbSolver[Solver])</f>
        <v>Adams Bashford Moulton</v>
      </c>
      <c r="N51" s="2" t="str">
        <f>_xlfn.XLOOKUP(Moult2[[#This Row],[Hebras]],TbTecnologia[Hebras],TbTecnologia[Tecnología])</f>
        <v>OMP</v>
      </c>
      <c r="O51" s="2" t="str" cm="1">
        <f t="array" ref="O51">_xlfn.XLOOKUP(Moult2[[#This Row],[Tecnología]]&amp;Moult2[[#This Row],[Metodo]],TbTipos[Tecnología]&amp;TbTipos[Metodo],TbTipos[Tipo])</f>
        <v>OMP Elementos</v>
      </c>
      <c r="P51" s="2" t="str" cm="1">
        <f t="array" ref="P51">_xlfn.XLOOKUP(Moult2[[#This Row],[Tecnología]]&amp;Moult2[[#This Row],[Problema]],TbNombres[Tecnología]&amp;TbNombres[Problema],TbNombres[Nombre])</f>
        <v>Advdiff1d</v>
      </c>
      <c r="Q51" s="4">
        <v>6</v>
      </c>
      <c r="R51" s="4">
        <v>2</v>
      </c>
      <c r="S51" s="4">
        <v>16</v>
      </c>
      <c r="T51" s="4">
        <v>2000</v>
      </c>
      <c r="U51" s="4">
        <v>2000</v>
      </c>
      <c r="V51" s="4">
        <v>47.0916</v>
      </c>
      <c r="X51" s="2" t="str">
        <f>_xlfn.XLOOKUP(Moult3[[#This Row],[Metodo]],TbSolver[Metodo],TbSolver[Solver])</f>
        <v>Adams Bashford Moulton</v>
      </c>
      <c r="Y51" s="2" t="str">
        <f>_xlfn.XLOOKUP(Moult3[[#This Row],[Hebras]],TbTecnologia[Hebras],TbTecnologia[Tecnología])</f>
        <v>OMP</v>
      </c>
      <c r="Z51" s="2" t="str" cm="1">
        <f t="array" ref="Z51">_xlfn.XLOOKUP(Moult3[[#This Row],[Tecnología]]&amp;Moult3[[#This Row],[Metodo]],TbTipos[Tecnología]&amp;TbTipos[Metodo],TbTipos[Tipo])</f>
        <v>OMP Elementos</v>
      </c>
      <c r="AA51" s="2" t="str" cm="1">
        <f t="array" ref="AA51">_xlfn.XLOOKUP(Moult3[[#This Row],[Tecnología]]&amp;Moult3[[#This Row],[Problema]],TbNombres[Tecnología]&amp;TbNombres[Problema],TbNombres[Nombre])</f>
        <v>Brusselator1d</v>
      </c>
      <c r="AB51" s="2">
        <v>6</v>
      </c>
      <c r="AC51" s="2">
        <v>3</v>
      </c>
      <c r="AD51" s="2">
        <v>16</v>
      </c>
      <c r="AE51" s="2">
        <v>1000</v>
      </c>
      <c r="AF51" s="2">
        <v>2000</v>
      </c>
      <c r="AG51" s="2">
        <v>31.011299999999999</v>
      </c>
      <c r="AI51" s="2" t="str">
        <f>_xlfn.XLOOKUP(Moult4[[#This Row],[Metodo]],TbSolver[Metodo],TbSolver[Solver])</f>
        <v>Adams Bashford Moulton</v>
      </c>
      <c r="AJ51" s="2" t="str">
        <f>_xlfn.XLOOKUP(Moult4[[#This Row],[Hebras]],TbTecnologia[Hebras],TbTecnologia[Tecnología])</f>
        <v>CUDA</v>
      </c>
      <c r="AK51" s="2" t="str" cm="1">
        <f t="array" ref="AK51">_xlfn.XLOOKUP(Moult4[[#This Row],[Tecnología]]&amp;Moult4[[#This Row],[Metodo]],TbTipos[Tecnología]&amp;TbTipos[Metodo],TbTipos[Tipo])</f>
        <v>CUDA sin graph</v>
      </c>
      <c r="AL51" s="2" t="str" cm="1">
        <f t="array" ref="AL51">_xlfn.XLOOKUP(Moult4[[#This Row],[Tecnología]]&amp;Moult4[[#This Row],[Problema]],TbNombres[Tecnología]&amp;TbNombres[Problema],TbNombres[Nombre])</f>
        <v>Brusselator2d</v>
      </c>
      <c r="AM51" s="21">
        <v>5</v>
      </c>
      <c r="AN51" s="21">
        <v>8</v>
      </c>
      <c r="AO51" s="21">
        <v>256</v>
      </c>
      <c r="AP51" s="21">
        <v>150</v>
      </c>
      <c r="AQ51" s="21">
        <v>45000</v>
      </c>
      <c r="AR51" s="21">
        <v>30.777699999999999</v>
      </c>
    </row>
    <row r="52" spans="2:44" x14ac:dyDescent="0.2">
      <c r="B52" s="2" t="str">
        <f>_xlfn.XLOOKUP(Moult1[[#This Row],[Metodo]],TbSolver[Metodo],TbSolver[Solver])</f>
        <v>Adams Bashford Moulton</v>
      </c>
      <c r="C52" s="2" t="str">
        <f>_xlfn.XLOOKUP(Moult1[[#This Row],[Hebras]],TbTecnologia[Hebras],TbTecnologia[Tecnología])</f>
        <v>OMP</v>
      </c>
      <c r="D52" s="2" t="str" cm="1">
        <f t="array" ref="D52">_xlfn.XLOOKUP(Moult1[[#This Row],[Tecnología]]&amp;Moult1[[#This Row],[Metodo]],TbTipos[Tecnología]&amp;TbTipos[Metodo],TbTipos[Tipo])</f>
        <v>OMP Elementos</v>
      </c>
      <c r="E52" s="2" t="str" cm="1">
        <f t="array" ref="E52">_xlfn.XLOOKUP(Moult1[[#This Row],[Tecnología]]&amp;Moult1[[#This Row],[Problema]],TbNombres[Tecnología]&amp;TbNombres[Problema],TbNombres[Nombre])</f>
        <v>Simple Advdiff</v>
      </c>
      <c r="F52" s="4">
        <v>6</v>
      </c>
      <c r="G52" s="4">
        <v>1</v>
      </c>
      <c r="H52" s="4">
        <v>4</v>
      </c>
      <c r="I52" s="4">
        <v>2000</v>
      </c>
      <c r="J52" s="4">
        <v>2000</v>
      </c>
      <c r="K52" s="4">
        <v>20.138500000000001</v>
      </c>
      <c r="M52" s="2" t="str">
        <f>_xlfn.XLOOKUP(Moult2[[#This Row],[Metodo]],TbSolver[Metodo],TbSolver[Solver])</f>
        <v>Adams Bashford Moulton</v>
      </c>
      <c r="N52" s="2" t="str">
        <f>_xlfn.XLOOKUP(Moult2[[#This Row],[Hebras]],TbTecnologia[Hebras],TbTecnologia[Tecnología])</f>
        <v>OMP</v>
      </c>
      <c r="O52" s="2" t="str" cm="1">
        <f t="array" ref="O52">_xlfn.XLOOKUP(Moult2[[#This Row],[Tecnología]]&amp;Moult2[[#This Row],[Metodo]],TbTipos[Tecnología]&amp;TbTipos[Metodo],TbTipos[Tipo])</f>
        <v>OMP Elementos</v>
      </c>
      <c r="P52" s="2" t="str" cm="1">
        <f t="array" ref="P52">_xlfn.XLOOKUP(Moult2[[#This Row],[Tecnología]]&amp;Moult2[[#This Row],[Problema]],TbNombres[Tecnología]&amp;TbNombres[Problema],TbNombres[Nombre])</f>
        <v>Advdiff1d</v>
      </c>
      <c r="Q52" s="4">
        <v>6</v>
      </c>
      <c r="R52" s="4">
        <v>2</v>
      </c>
      <c r="S52" s="4">
        <v>4</v>
      </c>
      <c r="T52" s="4">
        <v>2000</v>
      </c>
      <c r="U52" s="4">
        <v>2000</v>
      </c>
      <c r="V52" s="4">
        <v>56.896299999999997</v>
      </c>
      <c r="X52" s="2" t="str">
        <f>_xlfn.XLOOKUP(Moult3[[#This Row],[Metodo]],TbSolver[Metodo],TbSolver[Solver])</f>
        <v>Adams Bashford Moulton</v>
      </c>
      <c r="Y52" s="2" t="str">
        <f>_xlfn.XLOOKUP(Moult3[[#This Row],[Hebras]],TbTecnologia[Hebras],TbTecnologia[Tecnología])</f>
        <v>OMP</v>
      </c>
      <c r="Z52" s="2" t="str" cm="1">
        <f t="array" ref="Z52">_xlfn.XLOOKUP(Moult3[[#This Row],[Tecnología]]&amp;Moult3[[#This Row],[Metodo]],TbTipos[Tecnología]&amp;TbTipos[Metodo],TbTipos[Tipo])</f>
        <v>OMP Elementos</v>
      </c>
      <c r="AA52" s="2" t="str" cm="1">
        <f t="array" ref="AA52">_xlfn.XLOOKUP(Moult3[[#This Row],[Tecnología]]&amp;Moult3[[#This Row],[Problema]],TbNombres[Tecnología]&amp;TbNombres[Problema],TbNombres[Nombre])</f>
        <v>Brusselator1d</v>
      </c>
      <c r="AB52" s="2">
        <v>6</v>
      </c>
      <c r="AC52" s="2">
        <v>3</v>
      </c>
      <c r="AD52" s="2">
        <v>1</v>
      </c>
      <c r="AE52" s="2">
        <v>1000</v>
      </c>
      <c r="AF52" s="2">
        <v>2000</v>
      </c>
      <c r="AG52" s="2">
        <v>51.4666</v>
      </c>
      <c r="AI52" s="2" t="str">
        <f>_xlfn.XLOOKUP(Moult4[[#This Row],[Metodo]],TbSolver[Metodo],TbSolver[Solver])</f>
        <v>Adams Bashford Moulton</v>
      </c>
      <c r="AJ52" s="2" t="str">
        <f>_xlfn.XLOOKUP(Moult4[[#This Row],[Hebras]],TbTecnologia[Hebras],TbTecnologia[Tecnología])</f>
        <v>CUDA</v>
      </c>
      <c r="AK52" s="2" t="str" cm="1">
        <f t="array" ref="AK52">_xlfn.XLOOKUP(Moult4[[#This Row],[Tecnología]]&amp;Moult4[[#This Row],[Metodo]],TbTipos[Tecnología]&amp;TbTipos[Metodo],TbTipos[Tipo])</f>
        <v>CUDA con graph</v>
      </c>
      <c r="AL52" s="2" t="str" cm="1">
        <f t="array" ref="AL52">_xlfn.XLOOKUP(Moult4[[#This Row],[Tecnología]]&amp;Moult4[[#This Row],[Problema]],TbNombres[Tecnología]&amp;TbNombres[Problema],TbNombres[Nombre])</f>
        <v>Brusselator2d</v>
      </c>
      <c r="AM52" s="21">
        <v>6</v>
      </c>
      <c r="AN52" s="21">
        <v>8</v>
      </c>
      <c r="AO52" s="21">
        <v>256</v>
      </c>
      <c r="AP52" s="21">
        <v>150</v>
      </c>
      <c r="AQ52" s="21">
        <v>45000</v>
      </c>
      <c r="AR52" s="21">
        <v>31.638100000000001</v>
      </c>
    </row>
    <row r="53" spans="2:44" x14ac:dyDescent="0.2">
      <c r="B53" s="2" t="str">
        <f>_xlfn.XLOOKUP(Moult1[[#This Row],[Metodo]],TbSolver[Metodo],TbSolver[Solver])</f>
        <v>Adams Bashford Moulton</v>
      </c>
      <c r="C53" s="2" t="str">
        <f>_xlfn.XLOOKUP(Moult1[[#This Row],[Hebras]],TbTecnologia[Hebras],TbTecnologia[Tecnología])</f>
        <v>OMP</v>
      </c>
      <c r="D53" s="2" t="str" cm="1">
        <f t="array" ref="D53">_xlfn.XLOOKUP(Moult1[[#This Row],[Tecnología]]&amp;Moult1[[#This Row],[Metodo]],TbTipos[Tecnología]&amp;TbTipos[Metodo],TbTipos[Tipo])</f>
        <v>OMP Elementos</v>
      </c>
      <c r="E53" s="2" t="str" cm="1">
        <f t="array" ref="E53">_xlfn.XLOOKUP(Moult1[[#This Row],[Tecnología]]&amp;Moult1[[#This Row],[Problema]],TbNombres[Tecnología]&amp;TbNombres[Problema],TbNombres[Nombre])</f>
        <v>Simple Advdiff</v>
      </c>
      <c r="F53" s="4">
        <v>6</v>
      </c>
      <c r="G53" s="4">
        <v>1</v>
      </c>
      <c r="H53" s="4">
        <v>16</v>
      </c>
      <c r="I53" s="4">
        <v>2000</v>
      </c>
      <c r="J53" s="4">
        <v>2000</v>
      </c>
      <c r="K53" s="4">
        <v>27.1464</v>
      </c>
      <c r="M53" s="2" t="str">
        <f>_xlfn.XLOOKUP(Moult2[[#This Row],[Metodo]],TbSolver[Metodo],TbSolver[Solver])</f>
        <v>Adams Bashford Moulton</v>
      </c>
      <c r="N53" s="2" t="str">
        <f>_xlfn.XLOOKUP(Moult2[[#This Row],[Hebras]],TbTecnologia[Hebras],TbTecnologia[Tecnología])</f>
        <v>OMP</v>
      </c>
      <c r="O53" s="2" t="str" cm="1">
        <f t="array" ref="O53">_xlfn.XLOOKUP(Moult2[[#This Row],[Tecnología]]&amp;Moult2[[#This Row],[Metodo]],TbTipos[Tecnología]&amp;TbTipos[Metodo],TbTipos[Tipo])</f>
        <v>OMP Operaciones</v>
      </c>
      <c r="P53" s="2" t="str" cm="1">
        <f t="array" ref="P53">_xlfn.XLOOKUP(Moult2[[#This Row],[Tecnología]]&amp;Moult2[[#This Row],[Problema]],TbNombres[Tecnología]&amp;TbNombres[Problema],TbNombres[Nombre])</f>
        <v>Advdiff1d</v>
      </c>
      <c r="Q53" s="4">
        <v>5</v>
      </c>
      <c r="R53" s="4">
        <v>2</v>
      </c>
      <c r="S53" s="4">
        <v>4</v>
      </c>
      <c r="T53" s="4">
        <v>2000</v>
      </c>
      <c r="U53" s="4">
        <v>2000</v>
      </c>
      <c r="V53" s="4">
        <v>90.623999999999995</v>
      </c>
      <c r="X53" s="2" t="str">
        <f>_xlfn.XLOOKUP(Moult3[[#This Row],[Metodo]],TbSolver[Metodo],TbSolver[Solver])</f>
        <v>Adams Bashford Moulton</v>
      </c>
      <c r="Y53" s="2" t="str">
        <f>_xlfn.XLOOKUP(Moult3[[#This Row],[Hebras]],TbTecnologia[Hebras],TbTecnologia[Tecnología])</f>
        <v>OMP</v>
      </c>
      <c r="Z53" s="2" t="str" cm="1">
        <f t="array" ref="Z53">_xlfn.XLOOKUP(Moult3[[#This Row],[Tecnología]]&amp;Moult3[[#This Row],[Metodo]],TbTipos[Tecnología]&amp;TbTipos[Metodo],TbTipos[Tipo])</f>
        <v>OMP Operaciones</v>
      </c>
      <c r="AA53" s="2" t="str" cm="1">
        <f t="array" ref="AA53">_xlfn.XLOOKUP(Moult3[[#This Row],[Tecnología]]&amp;Moult3[[#This Row],[Problema]],TbNombres[Tecnología]&amp;TbNombres[Problema],TbNombres[Nombre])</f>
        <v>Brusselator1d</v>
      </c>
      <c r="AB53" s="2">
        <v>5</v>
      </c>
      <c r="AC53" s="2">
        <v>3</v>
      </c>
      <c r="AD53" s="2">
        <v>4</v>
      </c>
      <c r="AE53" s="2">
        <v>1000</v>
      </c>
      <c r="AF53" s="2">
        <v>2000</v>
      </c>
      <c r="AG53" s="2">
        <v>56.811799999999998</v>
      </c>
      <c r="AI53" s="4" t="str">
        <f>_xlfn.XLOOKUP(Moult4[[#This Row],[Metodo]],TbSolver[Metodo],TbSolver[Solver])</f>
        <v>Adams Bashford Moulton</v>
      </c>
      <c r="AJ53" s="4" t="str">
        <f>_xlfn.XLOOKUP(Moult4[[#This Row],[Hebras]],TbTecnologia[Hebras],TbTecnologia[Tecnología])</f>
        <v>OMP</v>
      </c>
      <c r="AK53" s="4" t="str" cm="1">
        <f t="array" ref="AK53">_xlfn.XLOOKUP(Moult4[[#This Row],[Tecnología]]&amp;Moult4[[#This Row],[Metodo]],TbTipos[Tecnología]&amp;TbTipos[Metodo],TbTipos[Tipo])</f>
        <v>OMP Operaciones</v>
      </c>
      <c r="AL53" s="4" t="str" cm="1">
        <f t="array" ref="AL53">_xlfn.XLOOKUP(Moult4[[#This Row],[Tecnología]]&amp;Moult4[[#This Row],[Problema]],TbNombres[Tecnología]&amp;TbNombres[Problema],TbNombres[Nombre])</f>
        <v>Brusselator2d</v>
      </c>
      <c r="AM53" s="4">
        <v>5</v>
      </c>
      <c r="AN53" s="4">
        <v>4</v>
      </c>
      <c r="AO53" s="4">
        <v>16</v>
      </c>
      <c r="AP53" s="4">
        <v>150</v>
      </c>
      <c r="AQ53" s="4">
        <v>45000</v>
      </c>
      <c r="AR53" s="4">
        <v>180.66200000000001</v>
      </c>
    </row>
    <row r="54" spans="2:44" x14ac:dyDescent="0.2">
      <c r="B54" s="2" t="str">
        <f>_xlfn.XLOOKUP(Moult1[[#This Row],[Metodo]],TbSolver[Metodo],TbSolver[Solver])</f>
        <v>Adams Bashford Moulton</v>
      </c>
      <c r="C54" s="2" t="str">
        <f>_xlfn.XLOOKUP(Moult1[[#This Row],[Hebras]],TbTecnologia[Hebras],TbTecnologia[Tecnología])</f>
        <v>OMP</v>
      </c>
      <c r="D54" s="2" t="str" cm="1">
        <f t="array" ref="D54">_xlfn.XLOOKUP(Moult1[[#This Row],[Tecnología]]&amp;Moult1[[#This Row],[Metodo]],TbTipos[Tecnología]&amp;TbTipos[Metodo],TbTipos[Tipo])</f>
        <v>OMP Operaciones</v>
      </c>
      <c r="E54" s="2" t="str" cm="1">
        <f t="array" ref="E54">_xlfn.XLOOKUP(Moult1[[#This Row],[Tecnología]]&amp;Moult1[[#This Row],[Problema]],TbNombres[Tecnología]&amp;TbNombres[Problema],TbNombres[Nombre])</f>
        <v>Simple Advdiff</v>
      </c>
      <c r="F54" s="4">
        <v>5</v>
      </c>
      <c r="G54" s="4">
        <v>1</v>
      </c>
      <c r="H54" s="4">
        <v>4</v>
      </c>
      <c r="I54" s="4">
        <v>2000</v>
      </c>
      <c r="J54" s="4">
        <v>2000</v>
      </c>
      <c r="K54" s="4">
        <v>46.957299999999996</v>
      </c>
      <c r="M54" s="2" t="str">
        <f>_xlfn.XLOOKUP(Moult2[[#This Row],[Metodo]],TbSolver[Metodo],TbSolver[Solver])</f>
        <v>Adams Bashford Moulton</v>
      </c>
      <c r="N54" s="2" t="str">
        <f>_xlfn.XLOOKUP(Moult2[[#This Row],[Hebras]],TbTecnologia[Hebras],TbTecnologia[Tecnología])</f>
        <v>OMP</v>
      </c>
      <c r="O54" s="2" t="str" cm="1">
        <f t="array" ref="O54">_xlfn.XLOOKUP(Moult2[[#This Row],[Tecnología]]&amp;Moult2[[#This Row],[Metodo]],TbTipos[Tecnología]&amp;TbTipos[Metodo],TbTipos[Tipo])</f>
        <v>OMP Operaciones</v>
      </c>
      <c r="P54" s="2" t="str" cm="1">
        <f t="array" ref="P54">_xlfn.XLOOKUP(Moult2[[#This Row],[Tecnología]]&amp;Moult2[[#This Row],[Problema]],TbNombres[Tecnología]&amp;TbNombres[Problema],TbNombres[Nombre])</f>
        <v>Advdiff1d</v>
      </c>
      <c r="Q54" s="4">
        <v>5</v>
      </c>
      <c r="R54" s="4">
        <v>2</v>
      </c>
      <c r="S54" s="4">
        <v>16</v>
      </c>
      <c r="T54" s="4">
        <v>2000</v>
      </c>
      <c r="U54" s="4">
        <v>2000</v>
      </c>
      <c r="V54" s="4">
        <v>128.11199999999999</v>
      </c>
      <c r="X54" s="2" t="str">
        <f>_xlfn.XLOOKUP(Moult3[[#This Row],[Metodo]],TbSolver[Metodo],TbSolver[Solver])</f>
        <v>Adams Bashford Moulton</v>
      </c>
      <c r="Y54" s="2" t="str">
        <f>_xlfn.XLOOKUP(Moult3[[#This Row],[Hebras]],TbTecnologia[Hebras],TbTecnologia[Tecnología])</f>
        <v>OMP</v>
      </c>
      <c r="Z54" s="2" t="str" cm="1">
        <f t="array" ref="Z54">_xlfn.XLOOKUP(Moult3[[#This Row],[Tecnología]]&amp;Moult3[[#This Row],[Metodo]],TbTipos[Tecnología]&amp;TbTipos[Metodo],TbTipos[Tipo])</f>
        <v>OMP Operaciones</v>
      </c>
      <c r="AA54" s="2" t="str" cm="1">
        <f t="array" ref="AA54">_xlfn.XLOOKUP(Moult3[[#This Row],[Tecnología]]&amp;Moult3[[#This Row],[Problema]],TbNombres[Tecnología]&amp;TbNombres[Problema],TbNombres[Nombre])</f>
        <v>Brusselator1d</v>
      </c>
      <c r="AB54" s="2">
        <v>5</v>
      </c>
      <c r="AC54" s="2">
        <v>3</v>
      </c>
      <c r="AD54" s="2">
        <v>16</v>
      </c>
      <c r="AE54" s="2">
        <v>1000</v>
      </c>
      <c r="AF54" s="2">
        <v>2000</v>
      </c>
      <c r="AG54" s="2">
        <v>123.637</v>
      </c>
      <c r="AI54" s="4" t="str">
        <f>_xlfn.XLOOKUP(Moult4[[#This Row],[Metodo]],TbSolver[Metodo],TbSolver[Solver])</f>
        <v>Adams Bashford Moulton</v>
      </c>
      <c r="AJ54" s="4" t="str">
        <f>_xlfn.XLOOKUP(Moult4[[#This Row],[Hebras]],TbTecnologia[Hebras],TbTecnologia[Tecnología])</f>
        <v>OMP</v>
      </c>
      <c r="AK54" s="4" t="str" cm="1">
        <f t="array" ref="AK54">_xlfn.XLOOKUP(Moult4[[#This Row],[Tecnología]]&amp;Moult4[[#This Row],[Metodo]],TbTipos[Tecnología]&amp;TbTipos[Metodo],TbTipos[Tipo])</f>
        <v>OMP Elementos</v>
      </c>
      <c r="AL54" s="4" t="str" cm="1">
        <f t="array" ref="AL54">_xlfn.XLOOKUP(Moult4[[#This Row],[Tecnología]]&amp;Moult4[[#This Row],[Problema]],TbNombres[Tecnología]&amp;TbNombres[Problema],TbNombres[Nombre])</f>
        <v>Brusselator2d</v>
      </c>
      <c r="AM54" s="4">
        <v>6</v>
      </c>
      <c r="AN54" s="4">
        <v>4</v>
      </c>
      <c r="AO54" s="4">
        <v>16</v>
      </c>
      <c r="AP54" s="4">
        <v>150</v>
      </c>
      <c r="AQ54" s="4">
        <v>45000</v>
      </c>
      <c r="AR54" s="4">
        <v>206.744</v>
      </c>
    </row>
    <row r="55" spans="2:44" x14ac:dyDescent="0.2">
      <c r="B55" s="2" t="str">
        <f>_xlfn.XLOOKUP(Moult1[[#This Row],[Metodo]],TbSolver[Metodo],TbSolver[Solver])</f>
        <v>Adams Bashford Moulton</v>
      </c>
      <c r="C55" s="2" t="str">
        <f>_xlfn.XLOOKUP(Moult1[[#This Row],[Hebras]],TbTecnologia[Hebras],TbTecnologia[Tecnología])</f>
        <v>OMP</v>
      </c>
      <c r="D55" s="2" t="str" cm="1">
        <f t="array" ref="D55">_xlfn.XLOOKUP(Moult1[[#This Row],[Tecnología]]&amp;Moult1[[#This Row],[Metodo]],TbTipos[Tecnología]&amp;TbTipos[Metodo],TbTipos[Tipo])</f>
        <v>OMP Elementos</v>
      </c>
      <c r="E55" s="2" t="str" cm="1">
        <f t="array" ref="E55">_xlfn.XLOOKUP(Moult1[[#This Row],[Tecnología]]&amp;Moult1[[#This Row],[Problema]],TbNombres[Tecnología]&amp;TbNombres[Problema],TbNombres[Nombre])</f>
        <v>Simple Advdiff</v>
      </c>
      <c r="F55" s="4">
        <v>6</v>
      </c>
      <c r="G55" s="4">
        <v>1</v>
      </c>
      <c r="H55" s="4">
        <v>1</v>
      </c>
      <c r="I55" s="4">
        <v>2000</v>
      </c>
      <c r="J55" s="4">
        <v>2000</v>
      </c>
      <c r="K55" s="4">
        <v>48.326099999999997</v>
      </c>
      <c r="M55" s="2" t="str">
        <f>_xlfn.XLOOKUP(Moult2[[#This Row],[Metodo]],TbSolver[Metodo],TbSolver[Solver])</f>
        <v>Adams Bashford Moulton</v>
      </c>
      <c r="N55" s="2" t="str">
        <f>_xlfn.XLOOKUP(Moult2[[#This Row],[Hebras]],TbTecnologia[Hebras],TbTecnologia[Tecnología])</f>
        <v>OMP</v>
      </c>
      <c r="O55" s="2" t="str" cm="1">
        <f t="array" ref="O55">_xlfn.XLOOKUP(Moult2[[#This Row],[Tecnología]]&amp;Moult2[[#This Row],[Metodo]],TbTipos[Tecnología]&amp;TbTipos[Metodo],TbTipos[Tipo])</f>
        <v>OMP Operaciones</v>
      </c>
      <c r="P55" s="2" t="str" cm="1">
        <f t="array" ref="P55">_xlfn.XLOOKUP(Moult2[[#This Row],[Tecnología]]&amp;Moult2[[#This Row],[Problema]],TbNombres[Tecnología]&amp;TbNombres[Problema],TbNombres[Nombre])</f>
        <v>Advdiff1d</v>
      </c>
      <c r="Q55" s="4">
        <v>5</v>
      </c>
      <c r="R55" s="4">
        <v>2</v>
      </c>
      <c r="S55" s="4">
        <v>1</v>
      </c>
      <c r="T55" s="4">
        <v>2000</v>
      </c>
      <c r="U55" s="4">
        <v>2000</v>
      </c>
      <c r="V55" s="4">
        <v>141.97900000000001</v>
      </c>
      <c r="X55" s="2" t="str">
        <f>_xlfn.XLOOKUP(Moult3[[#This Row],[Metodo]],TbSolver[Metodo],TbSolver[Solver])</f>
        <v>Adams Bashford Moulton</v>
      </c>
      <c r="Y55" s="2" t="str">
        <f>_xlfn.XLOOKUP(Moult3[[#This Row],[Hebras]],TbTecnologia[Hebras],TbTecnologia[Tecnología])</f>
        <v>CUDA</v>
      </c>
      <c r="Z55" s="2" t="str" cm="1">
        <f t="array" ref="Z55">_xlfn.XLOOKUP(Moult3[[#This Row],[Tecnología]]&amp;Moult3[[#This Row],[Metodo]],TbTipos[Tecnología]&amp;TbTipos[Metodo],TbTipos[Tipo])</f>
        <v>CUDA con graph</v>
      </c>
      <c r="AA55" s="2" t="str" cm="1">
        <f t="array" ref="AA55">_xlfn.XLOOKUP(Moult3[[#This Row],[Tecnología]]&amp;Moult3[[#This Row],[Problema]],TbNombres[Tecnología]&amp;TbNombres[Problema],TbNombres[Nombre])</f>
        <v>Brusselator1d</v>
      </c>
      <c r="AB55" s="2">
        <v>6</v>
      </c>
      <c r="AC55" s="2">
        <v>5</v>
      </c>
      <c r="AD55" s="2">
        <v>256</v>
      </c>
      <c r="AE55" s="2">
        <v>2000</v>
      </c>
      <c r="AF55" s="2">
        <v>4000</v>
      </c>
      <c r="AG55" s="2">
        <v>13.125999999999999</v>
      </c>
      <c r="AI55" s="4" t="str">
        <f>_xlfn.XLOOKUP(Moult4[[#This Row],[Metodo]],TbSolver[Metodo],TbSolver[Solver])</f>
        <v>Adams Bashford Moulton</v>
      </c>
      <c r="AJ55" s="4" t="str">
        <f>_xlfn.XLOOKUP(Moult4[[#This Row],[Hebras]],TbTecnologia[Hebras],TbTecnologia[Tecnología])</f>
        <v>OMP</v>
      </c>
      <c r="AK55" s="4" t="str" cm="1">
        <f t="array" ref="AK55">_xlfn.XLOOKUP(Moult4[[#This Row],[Tecnología]]&amp;Moult4[[#This Row],[Metodo]],TbTipos[Tecnología]&amp;TbTipos[Metodo],TbTipos[Tipo])</f>
        <v>OMP Operaciones</v>
      </c>
      <c r="AL55" s="4" t="str" cm="1">
        <f t="array" ref="AL55">_xlfn.XLOOKUP(Moult4[[#This Row],[Tecnología]]&amp;Moult4[[#This Row],[Problema]],TbNombres[Tecnología]&amp;TbNombres[Problema],TbNombres[Nombre])</f>
        <v>Brusselator2d</v>
      </c>
      <c r="AM55" s="4">
        <v>5</v>
      </c>
      <c r="AN55" s="4">
        <v>4</v>
      </c>
      <c r="AO55" s="4">
        <v>4</v>
      </c>
      <c r="AP55" s="4">
        <v>150</v>
      </c>
      <c r="AQ55" s="4">
        <v>45000</v>
      </c>
      <c r="AR55" s="4">
        <v>263.08100000000002</v>
      </c>
    </row>
    <row r="56" spans="2:44" x14ac:dyDescent="0.2">
      <c r="B56" s="2" t="str">
        <f>_xlfn.XLOOKUP(Moult1[[#This Row],[Metodo]],TbSolver[Metodo],TbSolver[Solver])</f>
        <v>Adams Bashford Moulton</v>
      </c>
      <c r="C56" s="2" t="str">
        <f>_xlfn.XLOOKUP(Moult1[[#This Row],[Hebras]],TbTecnologia[Hebras],TbTecnologia[Tecnología])</f>
        <v>OMP</v>
      </c>
      <c r="D56" s="2" t="str" cm="1">
        <f t="array" ref="D56">_xlfn.XLOOKUP(Moult1[[#This Row],[Tecnología]]&amp;Moult1[[#This Row],[Metodo]],TbTipos[Tecnología]&amp;TbTipos[Metodo],TbTipos[Tipo])</f>
        <v>OMP Operaciones</v>
      </c>
      <c r="E56" s="2" t="str" cm="1">
        <f t="array" ref="E56">_xlfn.XLOOKUP(Moult1[[#This Row],[Tecnología]]&amp;Moult1[[#This Row],[Problema]],TbNombres[Tecnología]&amp;TbNombres[Problema],TbNombres[Nombre])</f>
        <v>Simple Advdiff</v>
      </c>
      <c r="F56" s="4">
        <v>5</v>
      </c>
      <c r="G56" s="4">
        <v>1</v>
      </c>
      <c r="H56" s="4">
        <v>16</v>
      </c>
      <c r="I56" s="4">
        <v>2000</v>
      </c>
      <c r="J56" s="4">
        <v>2000</v>
      </c>
      <c r="K56" s="4">
        <v>105.08499999999999</v>
      </c>
      <c r="M56" s="2" t="str">
        <f>_xlfn.XLOOKUP(Moult2[[#This Row],[Metodo]],TbSolver[Metodo],TbSolver[Solver])</f>
        <v>Adams Bashford Moulton</v>
      </c>
      <c r="N56" s="2" t="str">
        <f>_xlfn.XLOOKUP(Moult2[[#This Row],[Hebras]],TbTecnologia[Hebras],TbTecnologia[Tecnología])</f>
        <v>OMP</v>
      </c>
      <c r="O56" s="2" t="str" cm="1">
        <f t="array" ref="O56">_xlfn.XLOOKUP(Moult2[[#This Row],[Tecnología]]&amp;Moult2[[#This Row],[Metodo]],TbTipos[Tecnología]&amp;TbTipos[Metodo],TbTipos[Tipo])</f>
        <v>OMP Elementos</v>
      </c>
      <c r="P56" s="2" t="str" cm="1">
        <f t="array" ref="P56">_xlfn.XLOOKUP(Moult2[[#This Row],[Tecnología]]&amp;Moult2[[#This Row],[Problema]],TbNombres[Tecnología]&amp;TbNombres[Problema],TbNombres[Nombre])</f>
        <v>Advdiff1d</v>
      </c>
      <c r="Q56" s="4">
        <v>6</v>
      </c>
      <c r="R56" s="4">
        <v>2</v>
      </c>
      <c r="S56" s="4">
        <v>1</v>
      </c>
      <c r="T56" s="4">
        <v>2000</v>
      </c>
      <c r="U56" s="4">
        <v>2000</v>
      </c>
      <c r="V56" s="4">
        <v>182.28</v>
      </c>
      <c r="X56" s="2" t="str">
        <f>_xlfn.XLOOKUP(Moult3[[#This Row],[Metodo]],TbSolver[Metodo],TbSolver[Solver])</f>
        <v>Adams Bashford Moulton</v>
      </c>
      <c r="Y56" s="2" t="str">
        <f>_xlfn.XLOOKUP(Moult3[[#This Row],[Hebras]],TbTecnologia[Hebras],TbTecnologia[Tecnología])</f>
        <v>CUDA</v>
      </c>
      <c r="Z56" s="2" t="str" cm="1">
        <f t="array" ref="Z56">_xlfn.XLOOKUP(Moult3[[#This Row],[Tecnología]]&amp;Moult3[[#This Row],[Metodo]],TbTipos[Tecnología]&amp;TbTipos[Metodo],TbTipos[Tipo])</f>
        <v>CUDA con graph</v>
      </c>
      <c r="AA56" s="2" t="str" cm="1">
        <f t="array" ref="AA56">_xlfn.XLOOKUP(Moult3[[#This Row],[Tecnología]]&amp;Moult3[[#This Row],[Problema]],TbNombres[Tecnología]&amp;TbNombres[Problema],TbNombres[Nombre])</f>
        <v>Brusselator1d grid</v>
      </c>
      <c r="AB56" s="2">
        <v>6</v>
      </c>
      <c r="AC56" s="2">
        <v>7</v>
      </c>
      <c r="AD56" s="2">
        <v>256</v>
      </c>
      <c r="AE56" s="2">
        <v>2000</v>
      </c>
      <c r="AF56" s="2">
        <v>4000</v>
      </c>
      <c r="AG56" s="2">
        <v>13.203900000000001</v>
      </c>
      <c r="AI56" s="4" t="str">
        <f>_xlfn.XLOOKUP(Moult4[[#This Row],[Metodo]],TbSolver[Metodo],TbSolver[Solver])</f>
        <v>Adams Bashford Moulton</v>
      </c>
      <c r="AJ56" s="4" t="str">
        <f>_xlfn.XLOOKUP(Moult4[[#This Row],[Hebras]],TbTecnologia[Hebras],TbTecnologia[Tecnología])</f>
        <v>OMP</v>
      </c>
      <c r="AK56" s="4" t="str" cm="1">
        <f t="array" ref="AK56">_xlfn.XLOOKUP(Moult4[[#This Row],[Tecnología]]&amp;Moult4[[#This Row],[Metodo]],TbTipos[Tecnología]&amp;TbTipos[Metodo],TbTipos[Tipo])</f>
        <v>OMP Elementos</v>
      </c>
      <c r="AL56" s="4" t="str" cm="1">
        <f t="array" ref="AL56">_xlfn.XLOOKUP(Moult4[[#This Row],[Tecnología]]&amp;Moult4[[#This Row],[Problema]],TbNombres[Tecnología]&amp;TbNombres[Problema],TbNombres[Nombre])</f>
        <v>Brusselator2d</v>
      </c>
      <c r="AM56" s="4">
        <v>6</v>
      </c>
      <c r="AN56" s="4">
        <v>4</v>
      </c>
      <c r="AO56" s="4">
        <v>4</v>
      </c>
      <c r="AP56" s="4">
        <v>150</v>
      </c>
      <c r="AQ56" s="4">
        <v>45000</v>
      </c>
      <c r="AR56" s="4">
        <v>569.69299999999998</v>
      </c>
    </row>
    <row r="57" spans="2:44" x14ac:dyDescent="0.2">
      <c r="B57" s="2" t="str">
        <f>_xlfn.XLOOKUP(Moult1[[#This Row],[Metodo]],TbSolver[Metodo],TbSolver[Solver])</f>
        <v>Adams Bashford Moulton</v>
      </c>
      <c r="C57" s="2" t="str">
        <f>_xlfn.XLOOKUP(Moult1[[#This Row],[Hebras]],TbTecnologia[Hebras],TbTecnologia[Tecnología])</f>
        <v>CUDA</v>
      </c>
      <c r="D57" s="2" t="str" cm="1">
        <f t="array" ref="D57">_xlfn.XLOOKUP(Moult1[[#This Row],[Tecnología]]&amp;Moult1[[#This Row],[Metodo]],TbTipos[Tecnología]&amp;TbTipos[Metodo],TbTipos[Tipo])</f>
        <v>CUDA con graph</v>
      </c>
      <c r="E57" s="2" t="str" cm="1">
        <f t="array" ref="E57">_xlfn.XLOOKUP(Moult1[[#This Row],[Tecnología]]&amp;Moult1[[#This Row],[Problema]],TbNombres[Tecnología]&amp;TbNombres[Problema],TbNombres[Nombre])</f>
        <v>Simple Advdiff</v>
      </c>
      <c r="F57" s="2">
        <v>6</v>
      </c>
      <c r="G57" s="2">
        <v>1</v>
      </c>
      <c r="H57" s="2">
        <v>256</v>
      </c>
      <c r="I57" s="2">
        <v>5000</v>
      </c>
      <c r="J57" s="2">
        <v>5000</v>
      </c>
      <c r="K57" s="2">
        <v>12.4802</v>
      </c>
      <c r="M57" s="2" t="str">
        <f>_xlfn.XLOOKUP(Moult2[[#This Row],[Metodo]],TbSolver[Metodo],TbSolver[Solver])</f>
        <v>Adams Bashford Moulton</v>
      </c>
      <c r="N57" s="2" t="str">
        <f>_xlfn.XLOOKUP(Moult2[[#This Row],[Hebras]],TbTecnologia[Hebras],TbTecnologia[Tecnología])</f>
        <v>CUDA</v>
      </c>
      <c r="O57" s="2" t="str" cm="1">
        <f t="array" ref="O57">_xlfn.XLOOKUP(Moult2[[#This Row],[Tecnología]]&amp;Moult2[[#This Row],[Metodo]],TbTipos[Tecnología]&amp;TbTipos[Metodo],TbTipos[Tipo])</f>
        <v>CUDA con graph</v>
      </c>
      <c r="P57" s="2" t="str" cm="1">
        <f t="array" ref="P57">_xlfn.XLOOKUP(Moult2[[#This Row],[Tecnología]]&amp;Moult2[[#This Row],[Problema]],TbNombres[Tecnología]&amp;TbNombres[Problema],TbNombres[Nombre])</f>
        <v>Advdiff1d</v>
      </c>
      <c r="Q57" s="2">
        <v>6</v>
      </c>
      <c r="R57" s="2">
        <v>3</v>
      </c>
      <c r="S57" s="2">
        <v>256</v>
      </c>
      <c r="T57" s="2">
        <v>5000</v>
      </c>
      <c r="U57" s="2">
        <v>5000</v>
      </c>
      <c r="V57" s="2">
        <v>24.243200000000002</v>
      </c>
      <c r="X57" s="2" t="str">
        <f>_xlfn.XLOOKUP(Moult3[[#This Row],[Metodo]],TbSolver[Metodo],TbSolver[Solver])</f>
        <v>Adams Bashford Moulton</v>
      </c>
      <c r="Y57" s="2" t="str">
        <f>_xlfn.XLOOKUP(Moult3[[#This Row],[Hebras]],TbTecnologia[Hebras],TbTecnologia[Tecnología])</f>
        <v>CUDA</v>
      </c>
      <c r="Z57" s="2" t="str" cm="1">
        <f t="array" ref="Z57">_xlfn.XLOOKUP(Moult3[[#This Row],[Tecnología]]&amp;Moult3[[#This Row],[Metodo]],TbTipos[Tecnología]&amp;TbTipos[Metodo],TbTipos[Tipo])</f>
        <v>CUDA con graph</v>
      </c>
      <c r="AA57" s="2" t="str" cm="1">
        <f t="array" ref="AA57">_xlfn.XLOOKUP(Moult3[[#This Row],[Tecnología]]&amp;Moult3[[#This Row],[Problema]],TbNombres[Tecnología]&amp;TbNombres[Problema],TbNombres[Nombre])</f>
        <v>Brusselator1d shuffle</v>
      </c>
      <c r="AB57" s="2">
        <v>6</v>
      </c>
      <c r="AC57" s="2">
        <v>6</v>
      </c>
      <c r="AD57" s="2">
        <v>256</v>
      </c>
      <c r="AE57" s="2">
        <v>2000</v>
      </c>
      <c r="AF57" s="2">
        <v>4000</v>
      </c>
      <c r="AG57" s="2">
        <v>13.230600000000001</v>
      </c>
      <c r="AI57" s="4" t="str">
        <f>_xlfn.XLOOKUP(Moult4[[#This Row],[Metodo]],TbSolver[Metodo],TbSolver[Solver])</f>
        <v>Adams Bashford Moulton</v>
      </c>
      <c r="AJ57" s="4" t="str">
        <f>_xlfn.XLOOKUP(Moult4[[#This Row],[Hebras]],TbTecnologia[Hebras],TbTecnologia[Tecnología])</f>
        <v>OMP</v>
      </c>
      <c r="AK57" s="4" t="str" cm="1">
        <f t="array" ref="AK57">_xlfn.XLOOKUP(Moult4[[#This Row],[Tecnología]]&amp;Moult4[[#This Row],[Metodo]],TbTipos[Tecnología]&amp;TbTipos[Metodo],TbTipos[Tipo])</f>
        <v>OMP Operaciones</v>
      </c>
      <c r="AL57" s="4" t="str" cm="1">
        <f t="array" ref="AL57">_xlfn.XLOOKUP(Moult4[[#This Row],[Tecnología]]&amp;Moult4[[#This Row],[Problema]],TbNombres[Tecnología]&amp;TbNombres[Problema],TbNombres[Nombre])</f>
        <v>Brusselator2d</v>
      </c>
      <c r="AM57" s="4">
        <v>5</v>
      </c>
      <c r="AN57" s="4">
        <v>4</v>
      </c>
      <c r="AO57" s="4">
        <v>1</v>
      </c>
      <c r="AP57" s="4">
        <v>150</v>
      </c>
      <c r="AQ57" s="4">
        <v>45000</v>
      </c>
      <c r="AR57" s="4">
        <v>976.06100000000004</v>
      </c>
    </row>
    <row r="58" spans="2:44" x14ac:dyDescent="0.2">
      <c r="B58" s="2" t="str">
        <f>_xlfn.XLOOKUP(Moult1[[#This Row],[Metodo]],TbSolver[Metodo],TbSolver[Solver])</f>
        <v>Adams Bashford Moulton</v>
      </c>
      <c r="C58" s="2" t="str">
        <f>_xlfn.XLOOKUP(Moult1[[#This Row],[Hebras]],TbTecnologia[Hebras],TbTecnologia[Tecnología])</f>
        <v>CUDA</v>
      </c>
      <c r="D58" s="2" t="str" cm="1">
        <f t="array" ref="D58">_xlfn.XLOOKUP(Moult1[[#This Row],[Tecnología]]&amp;Moult1[[#This Row],[Metodo]],TbTipos[Tecnología]&amp;TbTipos[Metodo],TbTipos[Tipo])</f>
        <v>CUDA con graph</v>
      </c>
      <c r="E58" s="2" t="str" cm="1">
        <f t="array" ref="E58">_xlfn.XLOOKUP(Moult1[[#This Row],[Tecnología]]&amp;Moult1[[#This Row],[Problema]],TbNombres[Tecnología]&amp;TbNombres[Problema],TbNombres[Nombre])</f>
        <v>Simple Advdiff shuffle</v>
      </c>
      <c r="F58" s="2">
        <v>6</v>
      </c>
      <c r="G58" s="2">
        <v>2</v>
      </c>
      <c r="H58" s="2">
        <v>256</v>
      </c>
      <c r="I58" s="2">
        <v>5000</v>
      </c>
      <c r="J58" s="2">
        <v>5000</v>
      </c>
      <c r="K58" s="2">
        <v>12.497</v>
      </c>
      <c r="M58" s="2" t="str">
        <f>_xlfn.XLOOKUP(Moult2[[#This Row],[Metodo]],TbSolver[Metodo],TbSolver[Solver])</f>
        <v>Adams Bashford Moulton</v>
      </c>
      <c r="N58" s="2" t="str">
        <f>_xlfn.XLOOKUP(Moult2[[#This Row],[Hebras]],TbTecnologia[Hebras],TbTecnologia[Tecnología])</f>
        <v>CUDA</v>
      </c>
      <c r="O58" s="2" t="str" cm="1">
        <f t="array" ref="O58">_xlfn.XLOOKUP(Moult2[[#This Row],[Tecnología]]&amp;Moult2[[#This Row],[Metodo]],TbTipos[Tecnología]&amp;TbTipos[Metodo],TbTipos[Tipo])</f>
        <v>CUDA sin graph</v>
      </c>
      <c r="P58" s="2" t="str" cm="1">
        <f t="array" ref="P58">_xlfn.XLOOKUP(Moult2[[#This Row],[Tecnología]]&amp;Moult2[[#This Row],[Problema]],TbNombres[Tecnología]&amp;TbNombres[Problema],TbNombres[Nombre])</f>
        <v>Advdiff1d</v>
      </c>
      <c r="Q58" s="2">
        <v>5</v>
      </c>
      <c r="R58" s="2">
        <v>3</v>
      </c>
      <c r="S58" s="2">
        <v>256</v>
      </c>
      <c r="T58" s="2">
        <v>5000</v>
      </c>
      <c r="U58" s="2">
        <v>5000</v>
      </c>
      <c r="V58" s="2">
        <v>24.555099999999999</v>
      </c>
      <c r="X58" s="2" t="str">
        <f>_xlfn.XLOOKUP(Moult3[[#This Row],[Metodo]],TbSolver[Metodo],TbSolver[Solver])</f>
        <v>Adams Bashford Moulton</v>
      </c>
      <c r="Y58" s="2" t="str">
        <f>_xlfn.XLOOKUP(Moult3[[#This Row],[Hebras]],TbTecnologia[Hebras],TbTecnologia[Tecnología])</f>
        <v>CUDA</v>
      </c>
      <c r="Z58" s="2" t="str" cm="1">
        <f t="array" ref="Z58">_xlfn.XLOOKUP(Moult3[[#This Row],[Tecnología]]&amp;Moult3[[#This Row],[Metodo]],TbTipos[Tecnología]&amp;TbTipos[Metodo],TbTipos[Tipo])</f>
        <v>CUDA sin graph</v>
      </c>
      <c r="AA58" s="2" t="str" cm="1">
        <f t="array" ref="AA58">_xlfn.XLOOKUP(Moult3[[#This Row],[Tecnología]]&amp;Moult3[[#This Row],[Problema]],TbNombres[Tecnología]&amp;TbNombres[Problema],TbNombres[Nombre])</f>
        <v>Brusselator1d grid</v>
      </c>
      <c r="AB58" s="2">
        <v>5</v>
      </c>
      <c r="AC58" s="2">
        <v>7</v>
      </c>
      <c r="AD58" s="2">
        <v>256</v>
      </c>
      <c r="AE58" s="2">
        <v>2000</v>
      </c>
      <c r="AF58" s="2">
        <v>4000</v>
      </c>
      <c r="AG58" s="2">
        <v>13.761900000000001</v>
      </c>
      <c r="AI58" s="4" t="str">
        <f>_xlfn.XLOOKUP(Moult4[[#This Row],[Metodo]],TbSolver[Metodo],TbSolver[Solver])</f>
        <v>Adams Bashford Moulton</v>
      </c>
      <c r="AJ58" s="4" t="str">
        <f>_xlfn.XLOOKUP(Moult4[[#This Row],[Hebras]],TbTecnologia[Hebras],TbTecnologia[Tecnología])</f>
        <v>OMP</v>
      </c>
      <c r="AK58" s="4" t="str" cm="1">
        <f t="array" ref="AK58">_xlfn.XLOOKUP(Moult4[[#This Row],[Tecnología]]&amp;Moult4[[#This Row],[Metodo]],TbTipos[Tecnología]&amp;TbTipos[Metodo],TbTipos[Tipo])</f>
        <v>OMP Elementos</v>
      </c>
      <c r="AL58" s="4" t="str" cm="1">
        <f t="array" ref="AL58">_xlfn.XLOOKUP(Moult4[[#This Row],[Tecnología]]&amp;Moult4[[#This Row],[Problema]],TbNombres[Tecnología]&amp;TbNombres[Problema],TbNombres[Nombre])</f>
        <v>Brusselator2d</v>
      </c>
      <c r="AM58" s="4">
        <v>6</v>
      </c>
      <c r="AN58" s="4">
        <v>4</v>
      </c>
      <c r="AO58" s="4">
        <v>1</v>
      </c>
      <c r="AP58" s="4">
        <v>150</v>
      </c>
      <c r="AQ58" s="4">
        <v>45000</v>
      </c>
      <c r="AR58" s="4">
        <v>2151.79</v>
      </c>
    </row>
    <row r="59" spans="2:44" x14ac:dyDescent="0.2">
      <c r="B59" s="2" t="str">
        <f>_xlfn.XLOOKUP(Moult1[[#This Row],[Metodo]],TbSolver[Metodo],TbSolver[Solver])</f>
        <v>Adams Bashford Moulton</v>
      </c>
      <c r="C59" s="2" t="str">
        <f>_xlfn.XLOOKUP(Moult1[[#This Row],[Hebras]],TbTecnologia[Hebras],TbTecnologia[Tecnología])</f>
        <v>CUDA</v>
      </c>
      <c r="D59" s="2" t="str" cm="1">
        <f t="array" ref="D59">_xlfn.XLOOKUP(Moult1[[#This Row],[Tecnología]]&amp;Moult1[[#This Row],[Metodo]],TbTipos[Tecnología]&amp;TbTipos[Metodo],TbTipos[Tipo])</f>
        <v>CUDA sin graph</v>
      </c>
      <c r="E59" s="2" t="str" cm="1">
        <f t="array" ref="E59">_xlfn.XLOOKUP(Moult1[[#This Row],[Tecnología]]&amp;Moult1[[#This Row],[Problema]],TbNombres[Tecnología]&amp;TbNombres[Problema],TbNombres[Nombre])</f>
        <v>Simple Advdiff</v>
      </c>
      <c r="F59" s="2">
        <v>5</v>
      </c>
      <c r="G59" s="2">
        <v>1</v>
      </c>
      <c r="H59" s="2">
        <v>256</v>
      </c>
      <c r="I59" s="2">
        <v>5000</v>
      </c>
      <c r="J59" s="2">
        <v>5000</v>
      </c>
      <c r="K59" s="2">
        <v>13.1076</v>
      </c>
      <c r="M59" s="2" t="str">
        <f>_xlfn.XLOOKUP(Moult2[[#This Row],[Metodo]],TbSolver[Metodo],TbSolver[Solver])</f>
        <v>Adams Bashford Moulton</v>
      </c>
      <c r="N59" s="2" t="str">
        <f>_xlfn.XLOOKUP(Moult2[[#This Row],[Hebras]],TbTecnologia[Hebras],TbTecnologia[Tecnología])</f>
        <v>CUDA</v>
      </c>
      <c r="O59" s="2" t="str" cm="1">
        <f t="array" ref="O59">_xlfn.XLOOKUP(Moult2[[#This Row],[Tecnología]]&amp;Moult2[[#This Row],[Metodo]],TbTipos[Tecnología]&amp;TbTipos[Metodo],TbTipos[Tipo])</f>
        <v>CUDA con graph</v>
      </c>
      <c r="P59" s="2" t="str" cm="1">
        <f t="array" ref="P59">_xlfn.XLOOKUP(Moult2[[#This Row],[Tecnología]]&amp;Moult2[[#This Row],[Problema]],TbNombres[Tecnología]&amp;TbNombres[Problema],TbNombres[Nombre])</f>
        <v>Advdiff1d shuffle</v>
      </c>
      <c r="Q59" s="2">
        <v>6</v>
      </c>
      <c r="R59" s="2">
        <v>4</v>
      </c>
      <c r="S59" s="2">
        <v>256</v>
      </c>
      <c r="T59" s="2">
        <v>5000</v>
      </c>
      <c r="U59" s="2">
        <v>5000</v>
      </c>
      <c r="V59" s="2">
        <v>24.932500000000001</v>
      </c>
      <c r="X59" s="2" t="str">
        <f>_xlfn.XLOOKUP(Moult3[[#This Row],[Metodo]],TbSolver[Metodo],TbSolver[Solver])</f>
        <v>Adams Bashford Moulton</v>
      </c>
      <c r="Y59" s="2" t="str">
        <f>_xlfn.XLOOKUP(Moult3[[#This Row],[Hebras]],TbTecnologia[Hebras],TbTecnologia[Tecnología])</f>
        <v>CUDA</v>
      </c>
      <c r="Z59" s="2" t="str" cm="1">
        <f t="array" ref="Z59">_xlfn.XLOOKUP(Moult3[[#This Row],[Tecnología]]&amp;Moult3[[#This Row],[Metodo]],TbTipos[Tecnología]&amp;TbTipos[Metodo],TbTipos[Tipo])</f>
        <v>CUDA sin graph</v>
      </c>
      <c r="AA59" s="2" t="str" cm="1">
        <f t="array" ref="AA59">_xlfn.XLOOKUP(Moult3[[#This Row],[Tecnología]]&amp;Moult3[[#This Row],[Problema]],TbNombres[Tecnología]&amp;TbNombres[Problema],TbNombres[Nombre])</f>
        <v>Brusselator1d</v>
      </c>
      <c r="AB59" s="2">
        <v>5</v>
      </c>
      <c r="AC59" s="2">
        <v>5</v>
      </c>
      <c r="AD59" s="2">
        <v>256</v>
      </c>
      <c r="AE59" s="2">
        <v>2000</v>
      </c>
      <c r="AF59" s="2">
        <v>4000</v>
      </c>
      <c r="AG59" s="2">
        <v>13.8041</v>
      </c>
      <c r="AI59" s="2" t="str">
        <f>_xlfn.XLOOKUP(Moult4[[#This Row],[Metodo]],TbSolver[Metodo],TbSolver[Solver])</f>
        <v>Adams Bashford Moulton</v>
      </c>
      <c r="AJ59" s="2" t="str">
        <f>_xlfn.XLOOKUP(Moult4[[#This Row],[Hebras]],TbTecnologia[Hebras],TbTecnologia[Tecnología])</f>
        <v>CUDA</v>
      </c>
      <c r="AK59" s="2" t="str" cm="1">
        <f t="array" ref="AK59">_xlfn.XLOOKUP(Moult4[[#This Row],[Tecnología]]&amp;Moult4[[#This Row],[Metodo]],TbTipos[Tecnología]&amp;TbTipos[Metodo],TbTipos[Tipo])</f>
        <v>CUDA sin graph</v>
      </c>
      <c r="AL59" s="2" t="str" cm="1">
        <f t="array" ref="AL59">_xlfn.XLOOKUP(Moult4[[#This Row],[Tecnología]]&amp;Moult4[[#This Row],[Problema]],TbNombres[Tecnología]&amp;TbNombres[Problema],TbNombres[Nombre])</f>
        <v>Brusselator2d</v>
      </c>
      <c r="AM59" s="21">
        <v>5</v>
      </c>
      <c r="AN59" s="21">
        <v>8</v>
      </c>
      <c r="AO59" s="21">
        <v>256</v>
      </c>
      <c r="AP59" s="21">
        <v>175</v>
      </c>
      <c r="AQ59" s="21">
        <v>61250</v>
      </c>
      <c r="AR59" s="21">
        <v>39.1357</v>
      </c>
    </row>
    <row r="60" spans="2:44" x14ac:dyDescent="0.2">
      <c r="B60" s="2" t="str">
        <f>_xlfn.XLOOKUP(Moult1[[#This Row],[Metodo]],TbSolver[Metodo],TbSolver[Solver])</f>
        <v>Adams Bashford Moulton</v>
      </c>
      <c r="C60" s="2" t="str">
        <f>_xlfn.XLOOKUP(Moult1[[#This Row],[Hebras]],TbTecnologia[Hebras],TbTecnologia[Tecnología])</f>
        <v>CUDA</v>
      </c>
      <c r="D60" s="2" t="str" cm="1">
        <f t="array" ref="D60">_xlfn.XLOOKUP(Moult1[[#This Row],[Tecnología]]&amp;Moult1[[#This Row],[Metodo]],TbTipos[Tecnología]&amp;TbTipos[Metodo],TbTipos[Tipo])</f>
        <v>CUDA sin graph</v>
      </c>
      <c r="E60" s="2" t="str" cm="1">
        <f t="array" ref="E60">_xlfn.XLOOKUP(Moult1[[#This Row],[Tecnología]]&amp;Moult1[[#This Row],[Problema]],TbNombres[Tecnología]&amp;TbNombres[Problema],TbNombres[Nombre])</f>
        <v>Simple Advdiff shuffle</v>
      </c>
      <c r="F60" s="2">
        <v>5</v>
      </c>
      <c r="G60" s="2">
        <v>2</v>
      </c>
      <c r="H60" s="2">
        <v>256</v>
      </c>
      <c r="I60" s="2">
        <v>5000</v>
      </c>
      <c r="J60" s="2">
        <v>5000</v>
      </c>
      <c r="K60" s="2">
        <v>13.1449</v>
      </c>
      <c r="M60" s="2" t="str">
        <f>_xlfn.XLOOKUP(Moult2[[#This Row],[Metodo]],TbSolver[Metodo],TbSolver[Solver])</f>
        <v>Adams Bashford Moulton</v>
      </c>
      <c r="N60" s="2" t="str">
        <f>_xlfn.XLOOKUP(Moult2[[#This Row],[Hebras]],TbTecnologia[Hebras],TbTecnologia[Tecnología])</f>
        <v>CUDA</v>
      </c>
      <c r="O60" s="2" t="str" cm="1">
        <f t="array" ref="O60">_xlfn.XLOOKUP(Moult2[[#This Row],[Tecnología]]&amp;Moult2[[#This Row],[Metodo]],TbTipos[Tecnología]&amp;TbTipos[Metodo],TbTipos[Tipo])</f>
        <v>CUDA sin graph</v>
      </c>
      <c r="P60" s="2" t="str" cm="1">
        <f t="array" ref="P60">_xlfn.XLOOKUP(Moult2[[#This Row],[Tecnología]]&amp;Moult2[[#This Row],[Problema]],TbNombres[Tecnología]&amp;TbNombres[Problema],TbNombres[Nombre])</f>
        <v>Advdiff1d shuffle</v>
      </c>
      <c r="Q60" s="2">
        <v>5</v>
      </c>
      <c r="R60" s="2">
        <v>4</v>
      </c>
      <c r="S60" s="2">
        <v>256</v>
      </c>
      <c r="T60" s="2">
        <v>5000</v>
      </c>
      <c r="U60" s="2">
        <v>5000</v>
      </c>
      <c r="V60" s="2">
        <v>25.251300000000001</v>
      </c>
      <c r="X60" s="2" t="str">
        <f>_xlfn.XLOOKUP(Moult3[[#This Row],[Metodo]],TbSolver[Metodo],TbSolver[Solver])</f>
        <v>Adams Bashford Moulton</v>
      </c>
      <c r="Y60" s="2" t="str">
        <f>_xlfn.XLOOKUP(Moult3[[#This Row],[Hebras]],TbTecnologia[Hebras],TbTecnologia[Tecnología])</f>
        <v>CUDA</v>
      </c>
      <c r="Z60" s="2" t="str" cm="1">
        <f t="array" ref="Z60">_xlfn.XLOOKUP(Moult3[[#This Row],[Tecnología]]&amp;Moult3[[#This Row],[Metodo]],TbTipos[Tecnología]&amp;TbTipos[Metodo],TbTipos[Tipo])</f>
        <v>CUDA sin graph</v>
      </c>
      <c r="AA60" s="2" t="str" cm="1">
        <f t="array" ref="AA60">_xlfn.XLOOKUP(Moult3[[#This Row],[Tecnología]]&amp;Moult3[[#This Row],[Problema]],TbNombres[Tecnología]&amp;TbNombres[Problema],TbNombres[Nombre])</f>
        <v>Brusselator1d shuffle</v>
      </c>
      <c r="AB60" s="2">
        <v>5</v>
      </c>
      <c r="AC60" s="2">
        <v>6</v>
      </c>
      <c r="AD60" s="2">
        <v>256</v>
      </c>
      <c r="AE60" s="2">
        <v>2000</v>
      </c>
      <c r="AF60" s="2">
        <v>4000</v>
      </c>
      <c r="AG60" s="2">
        <v>13.838800000000001</v>
      </c>
      <c r="AI60" s="2" t="str">
        <f>_xlfn.XLOOKUP(Moult4[[#This Row],[Metodo]],TbSolver[Metodo],TbSolver[Solver])</f>
        <v>Adams Bashford Moulton</v>
      </c>
      <c r="AJ60" s="2" t="str">
        <f>_xlfn.XLOOKUP(Moult4[[#This Row],[Hebras]],TbTecnologia[Hebras],TbTecnologia[Tecnología])</f>
        <v>CUDA</v>
      </c>
      <c r="AK60" s="2" t="str" cm="1">
        <f t="array" ref="AK60">_xlfn.XLOOKUP(Moult4[[#This Row],[Tecnología]]&amp;Moult4[[#This Row],[Metodo]],TbTipos[Tecnología]&amp;TbTipos[Metodo],TbTipos[Tipo])</f>
        <v>CUDA con graph</v>
      </c>
      <c r="AL60" s="2" t="str" cm="1">
        <f t="array" ref="AL60">_xlfn.XLOOKUP(Moult4[[#This Row],[Tecnología]]&amp;Moult4[[#This Row],[Problema]],TbNombres[Tecnología]&amp;TbNombres[Problema],TbNombres[Nombre])</f>
        <v>Brusselator2d</v>
      </c>
      <c r="AM60" s="21">
        <v>6</v>
      </c>
      <c r="AN60" s="21">
        <v>8</v>
      </c>
      <c r="AO60" s="21">
        <v>256</v>
      </c>
      <c r="AP60" s="21">
        <v>175</v>
      </c>
      <c r="AQ60" s="21">
        <v>61250</v>
      </c>
      <c r="AR60" s="21">
        <v>39.993499999999997</v>
      </c>
    </row>
    <row r="61" spans="2:44" x14ac:dyDescent="0.2">
      <c r="B61" s="2" t="str">
        <f>_xlfn.XLOOKUP(Moult1[[#This Row],[Metodo]],TbSolver[Metodo],TbSolver[Solver])</f>
        <v>Adams Bashford Moulton</v>
      </c>
      <c r="C61" s="2" t="str">
        <f>_xlfn.XLOOKUP(Moult1[[#This Row],[Hebras]],TbTecnologia[Hebras],TbTecnologia[Tecnología])</f>
        <v>OMP</v>
      </c>
      <c r="D61" s="2" t="str" cm="1">
        <f t="array" ref="D61">_xlfn.XLOOKUP(Moult1[[#This Row],[Tecnología]]&amp;Moult1[[#This Row],[Metodo]],TbTipos[Tecnología]&amp;TbTipos[Metodo],TbTipos[Tipo])</f>
        <v>OMP Elementos</v>
      </c>
      <c r="E61" s="2" t="str" cm="1">
        <f t="array" ref="E61">_xlfn.XLOOKUP(Moult1[[#This Row],[Tecnología]]&amp;Moult1[[#This Row],[Problema]],TbNombres[Tecnología]&amp;TbNombres[Problema],TbNombres[Nombre])</f>
        <v>Simple Advdiff</v>
      </c>
      <c r="F61" s="4">
        <v>6</v>
      </c>
      <c r="G61" s="4">
        <v>1</v>
      </c>
      <c r="H61" s="4">
        <v>16</v>
      </c>
      <c r="I61" s="4">
        <v>5000</v>
      </c>
      <c r="J61" s="4">
        <v>5000</v>
      </c>
      <c r="K61" s="4">
        <v>27.941500000000001</v>
      </c>
      <c r="M61" s="2" t="str">
        <f>_xlfn.XLOOKUP(Moult2[[#This Row],[Metodo]],TbSolver[Metodo],TbSolver[Solver])</f>
        <v>Adams Bashford Moulton</v>
      </c>
      <c r="N61" s="2" t="str">
        <f>_xlfn.XLOOKUP(Moult2[[#This Row],[Hebras]],TbTecnologia[Hebras],TbTecnologia[Tecnología])</f>
        <v>OMP</v>
      </c>
      <c r="O61" s="2" t="str" cm="1">
        <f t="array" ref="O61">_xlfn.XLOOKUP(Moult2[[#This Row],[Tecnología]]&amp;Moult2[[#This Row],[Metodo]],TbTipos[Tecnología]&amp;TbTipos[Metodo],TbTipos[Tipo])</f>
        <v>OMP Elementos</v>
      </c>
      <c r="P61" s="2" t="str" cm="1">
        <f t="array" ref="P61">_xlfn.XLOOKUP(Moult2[[#This Row],[Tecnología]]&amp;Moult2[[#This Row],[Problema]],TbNombres[Tecnología]&amp;TbNombres[Problema],TbNombres[Nombre])</f>
        <v>Advdiff1d</v>
      </c>
      <c r="Q61" s="4">
        <v>6</v>
      </c>
      <c r="R61" s="4">
        <v>2</v>
      </c>
      <c r="S61" s="4">
        <v>16</v>
      </c>
      <c r="T61" s="4">
        <v>5000</v>
      </c>
      <c r="U61" s="4">
        <v>5000</v>
      </c>
      <c r="V61" s="4">
        <v>56.762999999999998</v>
      </c>
      <c r="X61" s="2" t="str">
        <f>_xlfn.XLOOKUP(Moult3[[#This Row],[Metodo]],TbSolver[Metodo],TbSolver[Solver])</f>
        <v>Adams Bashford Moulton</v>
      </c>
      <c r="Y61" s="2" t="str">
        <f>_xlfn.XLOOKUP(Moult3[[#This Row],[Hebras]],TbTecnologia[Hebras],TbTecnologia[Tecnología])</f>
        <v>OMP</v>
      </c>
      <c r="Z61" s="2" t="str" cm="1">
        <f t="array" ref="Z61">_xlfn.XLOOKUP(Moult3[[#This Row],[Tecnología]]&amp;Moult3[[#This Row],[Metodo]],TbTipos[Tecnología]&amp;TbTipos[Metodo],TbTipos[Tipo])</f>
        <v>OMP Elementos</v>
      </c>
      <c r="AA61" s="2" t="str" cm="1">
        <f t="array" ref="AA61">_xlfn.XLOOKUP(Moult3[[#This Row],[Tecnología]]&amp;Moult3[[#This Row],[Problema]],TbNombres[Tecnología]&amp;TbNombres[Problema],TbNombres[Nombre])</f>
        <v>Brusselator1d</v>
      </c>
      <c r="AB61" s="4">
        <v>6</v>
      </c>
      <c r="AC61" s="4">
        <v>3</v>
      </c>
      <c r="AD61" s="4">
        <v>16</v>
      </c>
      <c r="AE61" s="4">
        <v>2000</v>
      </c>
      <c r="AF61" s="4">
        <v>4000</v>
      </c>
      <c r="AG61" s="4">
        <v>28.5946</v>
      </c>
      <c r="AI61" s="2" t="str">
        <f>_xlfn.XLOOKUP(Moult4[[#This Row],[Metodo]],TbSolver[Metodo],TbSolver[Solver])</f>
        <v>Adams Bashford Moulton</v>
      </c>
      <c r="AJ61" s="2" t="str">
        <f>_xlfn.XLOOKUP(Moult4[[#This Row],[Hebras]],TbTecnologia[Hebras],TbTecnologia[Tecnología])</f>
        <v>OMP</v>
      </c>
      <c r="AK61" s="2" t="str" cm="1">
        <f t="array" ref="AK61">_xlfn.XLOOKUP(Moult4[[#This Row],[Tecnología]]&amp;Moult4[[#This Row],[Metodo]],TbTipos[Tecnología]&amp;TbTipos[Metodo],TbTipos[Tipo])</f>
        <v>OMP Operaciones</v>
      </c>
      <c r="AL61" s="2" t="str" cm="1">
        <f t="array" ref="AL61">_xlfn.XLOOKUP(Moult4[[#This Row],[Tecnología]]&amp;Moult4[[#This Row],[Problema]],TbNombres[Tecnología]&amp;TbNombres[Problema],TbNombres[Nombre])</f>
        <v>Brusselator2d</v>
      </c>
      <c r="AM61" s="4">
        <v>5</v>
      </c>
      <c r="AN61" s="4">
        <v>4</v>
      </c>
      <c r="AO61" s="4">
        <v>16</v>
      </c>
      <c r="AP61" s="4">
        <v>175</v>
      </c>
      <c r="AQ61" s="4">
        <v>61250</v>
      </c>
      <c r="AR61" s="4">
        <v>195.44300000000001</v>
      </c>
    </row>
    <row r="62" spans="2:44" x14ac:dyDescent="0.2">
      <c r="B62" s="2" t="str">
        <f>_xlfn.XLOOKUP(Moult1[[#This Row],[Metodo]],TbSolver[Metodo],TbSolver[Solver])</f>
        <v>Adams Bashford Moulton</v>
      </c>
      <c r="C62" s="2" t="str">
        <f>_xlfn.XLOOKUP(Moult1[[#This Row],[Hebras]],TbTecnologia[Hebras],TbTecnologia[Tecnología])</f>
        <v>OMP</v>
      </c>
      <c r="D62" s="2" t="str" cm="1">
        <f t="array" ref="D62">_xlfn.XLOOKUP(Moult1[[#This Row],[Tecnología]]&amp;Moult1[[#This Row],[Metodo]],TbTipos[Tecnología]&amp;TbTipos[Metodo],TbTipos[Tipo])</f>
        <v>OMP Operaciones</v>
      </c>
      <c r="E62" s="2" t="str" cm="1">
        <f t="array" ref="E62">_xlfn.XLOOKUP(Moult1[[#This Row],[Tecnología]]&amp;Moult1[[#This Row],[Problema]],TbNombres[Tecnología]&amp;TbNombres[Problema],TbNombres[Nombre])</f>
        <v>Simple Advdiff</v>
      </c>
      <c r="F62" s="4">
        <v>5</v>
      </c>
      <c r="G62" s="4">
        <v>1</v>
      </c>
      <c r="H62" s="4">
        <v>1</v>
      </c>
      <c r="I62" s="4">
        <v>5000</v>
      </c>
      <c r="J62" s="4">
        <v>5000</v>
      </c>
      <c r="K62" s="4">
        <v>37.022100000000002</v>
      </c>
      <c r="M62" s="2" t="str">
        <f>_xlfn.XLOOKUP(Moult2[[#This Row],[Metodo]],TbSolver[Metodo],TbSolver[Solver])</f>
        <v>Adams Bashford Moulton</v>
      </c>
      <c r="N62" s="2" t="str">
        <f>_xlfn.XLOOKUP(Moult2[[#This Row],[Hebras]],TbTecnologia[Hebras],TbTecnologia[Tecnología])</f>
        <v>OMP</v>
      </c>
      <c r="O62" s="2" t="str" cm="1">
        <f t="array" ref="O62">_xlfn.XLOOKUP(Moult2[[#This Row],[Tecnología]]&amp;Moult2[[#This Row],[Metodo]],TbTipos[Tecnología]&amp;TbTipos[Metodo],TbTipos[Tipo])</f>
        <v>OMP Operaciones</v>
      </c>
      <c r="P62" s="2" t="str" cm="1">
        <f t="array" ref="P62">_xlfn.XLOOKUP(Moult2[[#This Row],[Tecnología]]&amp;Moult2[[#This Row],[Problema]],TbNombres[Tecnología]&amp;TbNombres[Problema],TbNombres[Nombre])</f>
        <v>Advdiff1d</v>
      </c>
      <c r="Q62" s="4">
        <v>5</v>
      </c>
      <c r="R62" s="4">
        <v>2</v>
      </c>
      <c r="S62" s="4">
        <v>16</v>
      </c>
      <c r="T62" s="4">
        <v>5000</v>
      </c>
      <c r="U62" s="4">
        <v>5000</v>
      </c>
      <c r="V62" s="4">
        <v>116.92</v>
      </c>
      <c r="X62" s="2" t="str">
        <f>_xlfn.XLOOKUP(Moult3[[#This Row],[Metodo]],TbSolver[Metodo],TbSolver[Solver])</f>
        <v>Adams Bashford Moulton</v>
      </c>
      <c r="Y62" s="2" t="str">
        <f>_xlfn.XLOOKUP(Moult3[[#This Row],[Hebras]],TbTecnologia[Hebras],TbTecnologia[Tecnología])</f>
        <v>OMP</v>
      </c>
      <c r="Z62" s="2" t="str" cm="1">
        <f t="array" ref="Z62">_xlfn.XLOOKUP(Moult3[[#This Row],[Tecnología]]&amp;Moult3[[#This Row],[Metodo]],TbTipos[Tecnología]&amp;TbTipos[Metodo],TbTipos[Tipo])</f>
        <v>OMP Elementos</v>
      </c>
      <c r="AA62" s="2" t="str" cm="1">
        <f t="array" ref="AA62">_xlfn.XLOOKUP(Moult3[[#This Row],[Tecnología]]&amp;Moult3[[#This Row],[Problema]],TbNombres[Tecnología]&amp;TbNombres[Problema],TbNombres[Nombre])</f>
        <v>Brusselator1d</v>
      </c>
      <c r="AB62" s="4">
        <v>6</v>
      </c>
      <c r="AC62" s="4">
        <v>3</v>
      </c>
      <c r="AD62" s="4">
        <v>4</v>
      </c>
      <c r="AE62" s="4">
        <v>2000</v>
      </c>
      <c r="AF62" s="4">
        <v>4000</v>
      </c>
      <c r="AG62" s="4">
        <v>34.348999999999997</v>
      </c>
      <c r="AI62" s="2" t="str">
        <f>_xlfn.XLOOKUP(Moult4[[#This Row],[Metodo]],TbSolver[Metodo],TbSolver[Solver])</f>
        <v>Adams Bashford Moulton</v>
      </c>
      <c r="AJ62" s="2" t="str">
        <f>_xlfn.XLOOKUP(Moult4[[#This Row],[Hebras]],TbTecnologia[Hebras],TbTecnologia[Tecnología])</f>
        <v>OMP</v>
      </c>
      <c r="AK62" s="2" t="str" cm="1">
        <f t="array" ref="AK62">_xlfn.XLOOKUP(Moult4[[#This Row],[Tecnología]]&amp;Moult4[[#This Row],[Metodo]],TbTipos[Tecnología]&amp;TbTipos[Metodo],TbTipos[Tipo])</f>
        <v>OMP Elementos</v>
      </c>
      <c r="AL62" s="2" t="str" cm="1">
        <f t="array" ref="AL62">_xlfn.XLOOKUP(Moult4[[#This Row],[Tecnología]]&amp;Moult4[[#This Row],[Problema]],TbNombres[Tecnología]&amp;TbNombres[Problema],TbNombres[Nombre])</f>
        <v>Brusselator2d</v>
      </c>
      <c r="AM62" s="4">
        <v>6</v>
      </c>
      <c r="AN62" s="4">
        <v>4</v>
      </c>
      <c r="AO62" s="4">
        <v>16</v>
      </c>
      <c r="AP62" s="4">
        <v>175</v>
      </c>
      <c r="AQ62" s="4">
        <v>61250</v>
      </c>
      <c r="AR62" s="4">
        <v>255.96899999999999</v>
      </c>
    </row>
    <row r="63" spans="2:44" x14ac:dyDescent="0.2">
      <c r="B63" s="2" t="str">
        <f>_xlfn.XLOOKUP(Moult1[[#This Row],[Metodo]],TbSolver[Metodo],TbSolver[Solver])</f>
        <v>Adams Bashford Moulton</v>
      </c>
      <c r="C63" s="2" t="str">
        <f>_xlfn.XLOOKUP(Moult1[[#This Row],[Hebras]],TbTecnologia[Hebras],TbTecnologia[Tecnología])</f>
        <v>OMP</v>
      </c>
      <c r="D63" s="2" t="str" cm="1">
        <f t="array" ref="D63">_xlfn.XLOOKUP(Moult1[[#This Row],[Tecnología]]&amp;Moult1[[#This Row],[Metodo]],TbTipos[Tecnología]&amp;TbTipos[Metodo],TbTipos[Tipo])</f>
        <v>OMP Elementos</v>
      </c>
      <c r="E63" s="2" t="str" cm="1">
        <f t="array" ref="E63">_xlfn.XLOOKUP(Moult1[[#This Row],[Tecnología]]&amp;Moult1[[#This Row],[Problema]],TbNombres[Tecnología]&amp;TbNombres[Problema],TbNombres[Nombre])</f>
        <v>Simple Advdiff</v>
      </c>
      <c r="F63" s="4">
        <v>6</v>
      </c>
      <c r="G63" s="4">
        <v>1</v>
      </c>
      <c r="H63" s="4">
        <v>4</v>
      </c>
      <c r="I63" s="4">
        <v>5000</v>
      </c>
      <c r="J63" s="4">
        <v>5000</v>
      </c>
      <c r="K63" s="4">
        <v>38.357399999999998</v>
      </c>
      <c r="M63" s="2" t="str">
        <f>_xlfn.XLOOKUP(Moult2[[#This Row],[Metodo]],TbSolver[Metodo],TbSolver[Solver])</f>
        <v>Adams Bashford Moulton</v>
      </c>
      <c r="N63" s="2" t="str">
        <f>_xlfn.XLOOKUP(Moult2[[#This Row],[Hebras]],TbTecnologia[Hebras],TbTecnologia[Tecnología])</f>
        <v>OMP</v>
      </c>
      <c r="O63" s="2" t="str" cm="1">
        <f t="array" ref="O63">_xlfn.XLOOKUP(Moult2[[#This Row],[Tecnología]]&amp;Moult2[[#This Row],[Metodo]],TbTipos[Tecnología]&amp;TbTipos[Metodo],TbTipos[Tipo])</f>
        <v>OMP Elementos</v>
      </c>
      <c r="P63" s="2" t="str" cm="1">
        <f t="array" ref="P63">_xlfn.XLOOKUP(Moult2[[#This Row],[Tecnología]]&amp;Moult2[[#This Row],[Problema]],TbNombres[Tecnología]&amp;TbNombres[Problema],TbNombres[Nombre])</f>
        <v>Advdiff1d</v>
      </c>
      <c r="Q63" s="4">
        <v>6</v>
      </c>
      <c r="R63" s="4">
        <v>2</v>
      </c>
      <c r="S63" s="4">
        <v>4</v>
      </c>
      <c r="T63" s="4">
        <v>5000</v>
      </c>
      <c r="U63" s="4">
        <v>5000</v>
      </c>
      <c r="V63" s="4">
        <v>131.976</v>
      </c>
      <c r="X63" s="2" t="str">
        <f>_xlfn.XLOOKUP(Moult3[[#This Row],[Metodo]],TbSolver[Metodo],TbSolver[Solver])</f>
        <v>Adams Bashford Moulton</v>
      </c>
      <c r="Y63" s="2" t="str">
        <f>_xlfn.XLOOKUP(Moult3[[#This Row],[Hebras]],TbTecnologia[Hebras],TbTecnologia[Tecnología])</f>
        <v>OMP</v>
      </c>
      <c r="Z63" s="2" t="str" cm="1">
        <f t="array" ref="Z63">_xlfn.XLOOKUP(Moult3[[#This Row],[Tecnología]]&amp;Moult3[[#This Row],[Metodo]],TbTipos[Tecnología]&amp;TbTipos[Metodo],TbTipos[Tipo])</f>
        <v>OMP Operaciones</v>
      </c>
      <c r="AA63" s="2" t="str" cm="1">
        <f t="array" ref="AA63">_xlfn.XLOOKUP(Moult3[[#This Row],[Tecnología]]&amp;Moult3[[#This Row],[Problema]],TbNombres[Tecnología]&amp;TbNombres[Problema],TbNombres[Nombre])</f>
        <v>Brusselator1d</v>
      </c>
      <c r="AB63" s="4">
        <v>5</v>
      </c>
      <c r="AC63" s="4">
        <v>3</v>
      </c>
      <c r="AD63" s="4">
        <v>1</v>
      </c>
      <c r="AE63" s="4">
        <v>2000</v>
      </c>
      <c r="AF63" s="4">
        <v>4000</v>
      </c>
      <c r="AG63" s="4">
        <v>44.459200000000003</v>
      </c>
      <c r="AI63" s="2" t="str">
        <f>_xlfn.XLOOKUP(Moult4[[#This Row],[Metodo]],TbSolver[Metodo],TbSolver[Solver])</f>
        <v>Adams Bashford Moulton</v>
      </c>
      <c r="AJ63" s="2" t="str">
        <f>_xlfn.XLOOKUP(Moult4[[#This Row],[Hebras]],TbTecnologia[Hebras],TbTecnologia[Tecnología])</f>
        <v>OMP</v>
      </c>
      <c r="AK63" s="2" t="str" cm="1">
        <f t="array" ref="AK63">_xlfn.XLOOKUP(Moult4[[#This Row],[Tecnología]]&amp;Moult4[[#This Row],[Metodo]],TbTipos[Tecnología]&amp;TbTipos[Metodo],TbTipos[Tipo])</f>
        <v>OMP Operaciones</v>
      </c>
      <c r="AL63" s="2" t="str" cm="1">
        <f t="array" ref="AL63">_xlfn.XLOOKUP(Moult4[[#This Row],[Tecnología]]&amp;Moult4[[#This Row],[Problema]],TbNombres[Tecnología]&amp;TbNombres[Problema],TbNombres[Nombre])</f>
        <v>Brusselator2d</v>
      </c>
      <c r="AM63" s="4">
        <v>5</v>
      </c>
      <c r="AN63" s="4">
        <v>4</v>
      </c>
      <c r="AO63" s="4">
        <v>4</v>
      </c>
      <c r="AP63" s="4">
        <v>175</v>
      </c>
      <c r="AQ63" s="4">
        <v>61250</v>
      </c>
      <c r="AR63" s="4">
        <v>360.60399999999998</v>
      </c>
    </row>
    <row r="64" spans="2:44" x14ac:dyDescent="0.2">
      <c r="B64" s="2" t="str">
        <f>_xlfn.XLOOKUP(Moult1[[#This Row],[Metodo]],TbSolver[Metodo],TbSolver[Solver])</f>
        <v>Adams Bashford Moulton</v>
      </c>
      <c r="C64" s="2" t="str">
        <f>_xlfn.XLOOKUP(Moult1[[#This Row],[Hebras]],TbTecnologia[Hebras],TbTecnologia[Tecnología])</f>
        <v>OMP</v>
      </c>
      <c r="D64" s="2" t="str" cm="1">
        <f t="array" ref="D64">_xlfn.XLOOKUP(Moult1[[#This Row],[Tecnología]]&amp;Moult1[[#This Row],[Metodo]],TbTipos[Tecnología]&amp;TbTipos[Metodo],TbTipos[Tipo])</f>
        <v>OMP Operaciones</v>
      </c>
      <c r="E64" s="2" t="str" cm="1">
        <f t="array" ref="E64">_xlfn.XLOOKUP(Moult1[[#This Row],[Tecnología]]&amp;Moult1[[#This Row],[Problema]],TbNombres[Tecnología]&amp;TbNombres[Problema],TbNombres[Nombre])</f>
        <v>Simple Advdiff</v>
      </c>
      <c r="F64" s="4">
        <v>5</v>
      </c>
      <c r="G64" s="4">
        <v>1</v>
      </c>
      <c r="H64" s="4">
        <v>4</v>
      </c>
      <c r="I64" s="4">
        <v>5000</v>
      </c>
      <c r="J64" s="4">
        <v>5000</v>
      </c>
      <c r="K64" s="4">
        <v>49.292200000000001</v>
      </c>
      <c r="M64" s="2" t="str">
        <f>_xlfn.XLOOKUP(Moult2[[#This Row],[Metodo]],TbSolver[Metodo],TbSolver[Solver])</f>
        <v>Adams Bashford Moulton</v>
      </c>
      <c r="N64" s="2" t="str">
        <f>_xlfn.XLOOKUP(Moult2[[#This Row],[Hebras]],TbTecnologia[Hebras],TbTecnologia[Tecnología])</f>
        <v>OMP</v>
      </c>
      <c r="O64" s="2" t="str" cm="1">
        <f t="array" ref="O64">_xlfn.XLOOKUP(Moult2[[#This Row],[Tecnología]]&amp;Moult2[[#This Row],[Metodo]],TbTipos[Tecnología]&amp;TbTipos[Metodo],TbTipos[Tipo])</f>
        <v>OMP Operaciones</v>
      </c>
      <c r="P64" s="2" t="str" cm="1">
        <f t="array" ref="P64">_xlfn.XLOOKUP(Moult2[[#This Row],[Tecnología]]&amp;Moult2[[#This Row],[Problema]],TbNombres[Tecnología]&amp;TbNombres[Problema],TbNombres[Nombre])</f>
        <v>Advdiff1d</v>
      </c>
      <c r="Q64" s="4">
        <v>5</v>
      </c>
      <c r="R64" s="4">
        <v>2</v>
      </c>
      <c r="S64" s="4">
        <v>4</v>
      </c>
      <c r="T64" s="4">
        <v>5000</v>
      </c>
      <c r="U64" s="4">
        <v>5000</v>
      </c>
      <c r="V64" s="4">
        <v>145.875</v>
      </c>
      <c r="X64" s="2" t="str">
        <f>_xlfn.XLOOKUP(Moult3[[#This Row],[Metodo]],TbSolver[Metodo],TbSolver[Solver])</f>
        <v>Adams Bashford Moulton</v>
      </c>
      <c r="Y64" s="2" t="str">
        <f>_xlfn.XLOOKUP(Moult3[[#This Row],[Hebras]],TbTecnologia[Hebras],TbTecnologia[Tecnología])</f>
        <v>OMP</v>
      </c>
      <c r="Z64" s="2" t="str" cm="1">
        <f t="array" ref="Z64">_xlfn.XLOOKUP(Moult3[[#This Row],[Tecnología]]&amp;Moult3[[#This Row],[Metodo]],TbTipos[Tecnología]&amp;TbTipos[Metodo],TbTipos[Tipo])</f>
        <v>OMP Operaciones</v>
      </c>
      <c r="AA64" s="2" t="str" cm="1">
        <f t="array" ref="AA64">_xlfn.XLOOKUP(Moult3[[#This Row],[Tecnología]]&amp;Moult3[[#This Row],[Problema]],TbNombres[Tecnología]&amp;TbNombres[Problema],TbNombres[Nombre])</f>
        <v>Brusselator1d</v>
      </c>
      <c r="AB64" s="4">
        <v>5</v>
      </c>
      <c r="AC64" s="4">
        <v>3</v>
      </c>
      <c r="AD64" s="4">
        <v>4</v>
      </c>
      <c r="AE64" s="4">
        <v>2000</v>
      </c>
      <c r="AF64" s="4">
        <v>4000</v>
      </c>
      <c r="AG64" s="4">
        <v>64.505200000000002</v>
      </c>
      <c r="AI64" s="2" t="str">
        <f>_xlfn.XLOOKUP(Moult4[[#This Row],[Metodo]],TbSolver[Metodo],TbSolver[Solver])</f>
        <v>Adams Bashford Moulton</v>
      </c>
      <c r="AJ64" s="2" t="str">
        <f>_xlfn.XLOOKUP(Moult4[[#This Row],[Hebras]],TbTecnologia[Hebras],TbTecnologia[Tecnología])</f>
        <v>OMP</v>
      </c>
      <c r="AK64" s="2" t="str" cm="1">
        <f t="array" ref="AK64">_xlfn.XLOOKUP(Moult4[[#This Row],[Tecnología]]&amp;Moult4[[#This Row],[Metodo]],TbTipos[Tecnología]&amp;TbTipos[Metodo],TbTipos[Tipo])</f>
        <v>OMP Elementos</v>
      </c>
      <c r="AL64" s="2" t="str" cm="1">
        <f t="array" ref="AL64">_xlfn.XLOOKUP(Moult4[[#This Row],[Tecnología]]&amp;Moult4[[#This Row],[Problema]],TbNombres[Tecnología]&amp;TbNombres[Problema],TbNombres[Nombre])</f>
        <v>Brusselator2d</v>
      </c>
      <c r="AM64" s="4">
        <v>6</v>
      </c>
      <c r="AN64" s="4">
        <v>4</v>
      </c>
      <c r="AO64" s="4">
        <v>4</v>
      </c>
      <c r="AP64" s="4">
        <v>175</v>
      </c>
      <c r="AQ64" s="4">
        <v>61250</v>
      </c>
      <c r="AR64" s="4">
        <v>774.02599999999995</v>
      </c>
    </row>
    <row r="65" spans="2:44" x14ac:dyDescent="0.2">
      <c r="B65" s="2" t="str">
        <f>_xlfn.XLOOKUP(Moult1[[#This Row],[Metodo]],TbSolver[Metodo],TbSolver[Solver])</f>
        <v>Adams Bashford Moulton</v>
      </c>
      <c r="C65" s="2" t="str">
        <f>_xlfn.XLOOKUP(Moult1[[#This Row],[Hebras]],TbTecnologia[Hebras],TbTecnologia[Tecnología])</f>
        <v>OMP</v>
      </c>
      <c r="D65" s="2" t="str" cm="1">
        <f t="array" ref="D65">_xlfn.XLOOKUP(Moult1[[#This Row],[Tecnología]]&amp;Moult1[[#This Row],[Metodo]],TbTipos[Tecnología]&amp;TbTipos[Metodo],TbTipos[Tipo])</f>
        <v>OMP Operaciones</v>
      </c>
      <c r="E65" s="2" t="str" cm="1">
        <f t="array" ref="E65">_xlfn.XLOOKUP(Moult1[[#This Row],[Tecnología]]&amp;Moult1[[#This Row],[Problema]],TbNombres[Tecnología]&amp;TbNombres[Problema],TbNombres[Nombre])</f>
        <v>Simple Advdiff</v>
      </c>
      <c r="F65" s="4">
        <v>5</v>
      </c>
      <c r="G65" s="4">
        <v>1</v>
      </c>
      <c r="H65" s="4">
        <v>16</v>
      </c>
      <c r="I65" s="4">
        <v>5000</v>
      </c>
      <c r="J65" s="4">
        <v>5000</v>
      </c>
      <c r="K65" s="4">
        <v>82.2042</v>
      </c>
      <c r="M65" s="2" t="str">
        <f>_xlfn.XLOOKUP(Moult2[[#This Row],[Metodo]],TbSolver[Metodo],TbSolver[Solver])</f>
        <v>Adams Bashford Moulton</v>
      </c>
      <c r="N65" s="2" t="str">
        <f>_xlfn.XLOOKUP(Moult2[[#This Row],[Hebras]],TbTecnologia[Hebras],TbTecnologia[Tecnología])</f>
        <v>OMP</v>
      </c>
      <c r="O65" s="2" t="str" cm="1">
        <f t="array" ref="O65">_xlfn.XLOOKUP(Moult2[[#This Row],[Tecnología]]&amp;Moult2[[#This Row],[Metodo]],TbTipos[Tecnología]&amp;TbTipos[Metodo],TbTipos[Tipo])</f>
        <v>OMP Operaciones</v>
      </c>
      <c r="P65" s="2" t="str" cm="1">
        <f t="array" ref="P65">_xlfn.XLOOKUP(Moult2[[#This Row],[Tecnología]]&amp;Moult2[[#This Row],[Problema]],TbNombres[Tecnología]&amp;TbNombres[Problema],TbNombres[Nombre])</f>
        <v>Advdiff1d</v>
      </c>
      <c r="Q65" s="4">
        <v>5</v>
      </c>
      <c r="R65" s="4">
        <v>2</v>
      </c>
      <c r="S65" s="4">
        <v>1</v>
      </c>
      <c r="T65" s="4">
        <v>5000</v>
      </c>
      <c r="U65" s="4">
        <v>5000</v>
      </c>
      <c r="V65" s="4">
        <v>345.71100000000001</v>
      </c>
      <c r="X65" s="2" t="str">
        <f>_xlfn.XLOOKUP(Moult3[[#This Row],[Metodo]],TbSolver[Metodo],TbSolver[Solver])</f>
        <v>Adams Bashford Moulton</v>
      </c>
      <c r="Y65" s="2" t="str">
        <f>_xlfn.XLOOKUP(Moult3[[#This Row],[Hebras]],TbTecnologia[Hebras],TbTecnologia[Tecnología])</f>
        <v>OMP</v>
      </c>
      <c r="Z65" s="2" t="str" cm="1">
        <f t="array" ref="Z65">_xlfn.XLOOKUP(Moult3[[#This Row],[Tecnología]]&amp;Moult3[[#This Row],[Metodo]],TbTipos[Tecnología]&amp;TbTipos[Metodo],TbTipos[Tipo])</f>
        <v>OMP Elementos</v>
      </c>
      <c r="AA65" s="2" t="str" cm="1">
        <f t="array" ref="AA65">_xlfn.XLOOKUP(Moult3[[#This Row],[Tecnología]]&amp;Moult3[[#This Row],[Problema]],TbNombres[Tecnología]&amp;TbNombres[Problema],TbNombres[Nombre])</f>
        <v>Brusselator1d</v>
      </c>
      <c r="AB65" s="4">
        <v>6</v>
      </c>
      <c r="AC65" s="4">
        <v>3</v>
      </c>
      <c r="AD65" s="4">
        <v>1</v>
      </c>
      <c r="AE65" s="4">
        <v>2000</v>
      </c>
      <c r="AF65" s="4">
        <v>4000</v>
      </c>
      <c r="AG65" s="4">
        <v>102.721</v>
      </c>
      <c r="AI65" s="2" t="str">
        <f>_xlfn.XLOOKUP(Moult4[[#This Row],[Metodo]],TbSolver[Metodo],TbSolver[Solver])</f>
        <v>Adams Bashford Moulton</v>
      </c>
      <c r="AJ65" s="2" t="str">
        <f>_xlfn.XLOOKUP(Moult4[[#This Row],[Hebras]],TbTecnologia[Hebras],TbTecnologia[Tecnología])</f>
        <v>OMP</v>
      </c>
      <c r="AK65" s="2" t="str" cm="1">
        <f t="array" ref="AK65">_xlfn.XLOOKUP(Moult4[[#This Row],[Tecnología]]&amp;Moult4[[#This Row],[Metodo]],TbTipos[Tecnología]&amp;TbTipos[Metodo],TbTipos[Tipo])</f>
        <v>OMP Operaciones</v>
      </c>
      <c r="AL65" s="2" t="str" cm="1">
        <f t="array" ref="AL65">_xlfn.XLOOKUP(Moult4[[#This Row],[Tecnología]]&amp;Moult4[[#This Row],[Problema]],TbNombres[Tecnología]&amp;TbNombres[Problema],TbNombres[Nombre])</f>
        <v>Brusselator2d</v>
      </c>
      <c r="AM65" s="4">
        <v>5</v>
      </c>
      <c r="AN65" s="4">
        <v>4</v>
      </c>
      <c r="AO65" s="4">
        <v>1</v>
      </c>
      <c r="AP65" s="4">
        <v>175</v>
      </c>
      <c r="AQ65" s="4">
        <v>61250</v>
      </c>
      <c r="AR65" s="4">
        <v>1369.18</v>
      </c>
    </row>
    <row r="66" spans="2:44" x14ac:dyDescent="0.2">
      <c r="B66" s="2" t="str">
        <f>_xlfn.XLOOKUP(Moult1[[#This Row],[Metodo]],TbSolver[Metodo],TbSolver[Solver])</f>
        <v>Adams Bashford Moulton</v>
      </c>
      <c r="C66" s="2" t="str">
        <f>_xlfn.XLOOKUP(Moult1[[#This Row],[Hebras]],TbTecnologia[Hebras],TbTecnologia[Tecnología])</f>
        <v>OMP</v>
      </c>
      <c r="D66" s="2" t="str" cm="1">
        <f t="array" ref="D66">_xlfn.XLOOKUP(Moult1[[#This Row],[Tecnología]]&amp;Moult1[[#This Row],[Metodo]],TbTipos[Tecnología]&amp;TbTipos[Metodo],TbTipos[Tipo])</f>
        <v>OMP Elementos</v>
      </c>
      <c r="E66" s="2" t="str" cm="1">
        <f t="array" ref="E66">_xlfn.XLOOKUP(Moult1[[#This Row],[Tecnología]]&amp;Moult1[[#This Row],[Problema]],TbNombres[Tecnología]&amp;TbNombres[Problema],TbNombres[Nombre])</f>
        <v>Simple Advdiff</v>
      </c>
      <c r="F66" s="4">
        <v>6</v>
      </c>
      <c r="G66" s="4">
        <v>1</v>
      </c>
      <c r="H66" s="4">
        <v>1</v>
      </c>
      <c r="I66" s="4">
        <v>5000</v>
      </c>
      <c r="J66" s="4">
        <v>5000</v>
      </c>
      <c r="K66" s="4">
        <v>119.446</v>
      </c>
      <c r="M66" s="2" t="str">
        <f>_xlfn.XLOOKUP(Moult2[[#This Row],[Metodo]],TbSolver[Metodo],TbSolver[Solver])</f>
        <v>Adams Bashford Moulton</v>
      </c>
      <c r="N66" s="2" t="str">
        <f>_xlfn.XLOOKUP(Moult2[[#This Row],[Hebras]],TbTecnologia[Hebras],TbTecnologia[Tecnología])</f>
        <v>OMP</v>
      </c>
      <c r="O66" s="2" t="str" cm="1">
        <f t="array" ref="O66">_xlfn.XLOOKUP(Moult2[[#This Row],[Tecnología]]&amp;Moult2[[#This Row],[Metodo]],TbTipos[Tecnología]&amp;TbTipos[Metodo],TbTipos[Tipo])</f>
        <v>OMP Elementos</v>
      </c>
      <c r="P66" s="2" t="str" cm="1">
        <f t="array" ref="P66">_xlfn.XLOOKUP(Moult2[[#This Row],[Tecnología]]&amp;Moult2[[#This Row],[Problema]],TbNombres[Tecnología]&amp;TbNombres[Problema],TbNombres[Nombre])</f>
        <v>Advdiff1d</v>
      </c>
      <c r="Q66" s="4">
        <v>6</v>
      </c>
      <c r="R66" s="4">
        <v>2</v>
      </c>
      <c r="S66" s="4">
        <v>1</v>
      </c>
      <c r="T66" s="4">
        <v>5000</v>
      </c>
      <c r="U66" s="4">
        <v>5000</v>
      </c>
      <c r="V66" s="4">
        <v>452.55</v>
      </c>
      <c r="X66" s="2" t="str">
        <f>_xlfn.XLOOKUP(Moult3[[#This Row],[Metodo]],TbSolver[Metodo],TbSolver[Solver])</f>
        <v>Adams Bashford Moulton</v>
      </c>
      <c r="Y66" s="2" t="str">
        <f>_xlfn.XLOOKUP(Moult3[[#This Row],[Hebras]],TbTecnologia[Hebras],TbTecnologia[Tecnología])</f>
        <v>OMP</v>
      </c>
      <c r="Z66" s="2" t="str" cm="1">
        <f t="array" ref="Z66">_xlfn.XLOOKUP(Moult3[[#This Row],[Tecnología]]&amp;Moult3[[#This Row],[Metodo]],TbTipos[Tecnología]&amp;TbTipos[Metodo],TbTipos[Tipo])</f>
        <v>OMP Operaciones</v>
      </c>
      <c r="AA66" s="2" t="str" cm="1">
        <f t="array" ref="AA66">_xlfn.XLOOKUP(Moult3[[#This Row],[Tecnología]]&amp;Moult3[[#This Row],[Problema]],TbNombres[Tecnología]&amp;TbNombres[Problema],TbNombres[Nombre])</f>
        <v>Brusselator1d</v>
      </c>
      <c r="AB66" s="4">
        <v>5</v>
      </c>
      <c r="AC66" s="4">
        <v>3</v>
      </c>
      <c r="AD66" s="4">
        <v>16</v>
      </c>
      <c r="AE66" s="4">
        <v>2000</v>
      </c>
      <c r="AF66" s="4">
        <v>4000</v>
      </c>
      <c r="AG66" s="4">
        <v>131.185</v>
      </c>
      <c r="AI66" s="2" t="str">
        <f>_xlfn.XLOOKUP(Moult4[[#This Row],[Metodo]],TbSolver[Metodo],TbSolver[Solver])</f>
        <v>Adams Bashford Moulton</v>
      </c>
      <c r="AJ66" s="2" t="str">
        <f>_xlfn.XLOOKUP(Moult4[[#This Row],[Hebras]],TbTecnologia[Hebras],TbTecnologia[Tecnología])</f>
        <v>OMP</v>
      </c>
      <c r="AK66" s="2" t="str" cm="1">
        <f t="array" ref="AK66">_xlfn.XLOOKUP(Moult4[[#This Row],[Tecnología]]&amp;Moult4[[#This Row],[Metodo]],TbTipos[Tecnología]&amp;TbTipos[Metodo],TbTipos[Tipo])</f>
        <v>OMP Elementos</v>
      </c>
      <c r="AL66" s="2" t="str" cm="1">
        <f t="array" ref="AL66">_xlfn.XLOOKUP(Moult4[[#This Row],[Tecnología]]&amp;Moult4[[#This Row],[Problema]],TbNombres[Tecnología]&amp;TbNombres[Problema],TbNombres[Nombre])</f>
        <v>Brusselator2d</v>
      </c>
      <c r="AM66" s="4">
        <v>6</v>
      </c>
      <c r="AN66" s="4">
        <v>4</v>
      </c>
      <c r="AO66" s="4">
        <v>1</v>
      </c>
      <c r="AP66" s="4">
        <v>175</v>
      </c>
      <c r="AQ66" s="4">
        <v>61250</v>
      </c>
      <c r="AR66" s="4">
        <v>2938.31</v>
      </c>
    </row>
    <row r="67" spans="2:44" x14ac:dyDescent="0.2">
      <c r="B67" s="2" t="str">
        <f>_xlfn.XLOOKUP(Moult1[[#This Row],[Metodo]],TbSolver[Metodo],TbSolver[Solver])</f>
        <v>Adams Bashford Moulton</v>
      </c>
      <c r="C67" s="2" t="str">
        <f>_xlfn.XLOOKUP(Moult1[[#This Row],[Hebras]],TbTecnologia[Hebras],TbTecnologia[Tecnología])</f>
        <v>OMP</v>
      </c>
      <c r="D67" s="2" t="str" cm="1">
        <f t="array" ref="D67">_xlfn.XLOOKUP(Moult1[[#This Row],[Tecnología]]&amp;Moult1[[#This Row],[Metodo]],TbTipos[Tecnología]&amp;TbTipos[Metodo],TbTipos[Tipo])</f>
        <v>OMP Elementos</v>
      </c>
      <c r="E67" s="2" t="str" cm="1">
        <f t="array" ref="E67">_xlfn.XLOOKUP(Moult1[[#This Row],[Tecnología]]&amp;Moult1[[#This Row],[Problema]],TbNombres[Tecnología]&amp;TbNombres[Problema],TbNombres[Nombre])</f>
        <v>Simple Advdiff</v>
      </c>
      <c r="F67" s="4">
        <v>6</v>
      </c>
      <c r="G67" s="4">
        <v>1</v>
      </c>
      <c r="H67" s="4">
        <v>16</v>
      </c>
      <c r="I67" s="4">
        <v>7500</v>
      </c>
      <c r="J67" s="4">
        <v>7500</v>
      </c>
      <c r="K67" s="4">
        <v>42.184800000000003</v>
      </c>
      <c r="M67" s="2" t="str">
        <f>_xlfn.XLOOKUP(Moult2[[#This Row],[Metodo]],TbSolver[Metodo],TbSolver[Solver])</f>
        <v>Adams Bashford Moulton</v>
      </c>
      <c r="N67" s="2" t="str">
        <f>_xlfn.XLOOKUP(Moult2[[#This Row],[Hebras]],TbTecnologia[Hebras],TbTecnologia[Tecnología])</f>
        <v>OMP</v>
      </c>
      <c r="O67" s="2" t="str" cm="1">
        <f t="array" ref="O67">_xlfn.XLOOKUP(Moult2[[#This Row],[Tecnología]]&amp;Moult2[[#This Row],[Metodo]],TbTipos[Tecnología]&amp;TbTipos[Metodo],TbTipos[Tipo])</f>
        <v>OMP Elementos</v>
      </c>
      <c r="P67" s="2" t="str" cm="1">
        <f t="array" ref="P67">_xlfn.XLOOKUP(Moult2[[#This Row],[Tecnología]]&amp;Moult2[[#This Row],[Problema]],TbNombres[Tecnología]&amp;TbNombres[Problema],TbNombres[Nombre])</f>
        <v>Advdiff1d</v>
      </c>
      <c r="Q67" s="4">
        <v>6</v>
      </c>
      <c r="R67" s="4">
        <v>2</v>
      </c>
      <c r="S67" s="4">
        <v>16</v>
      </c>
      <c r="T67" s="4">
        <v>7500</v>
      </c>
      <c r="U67" s="4">
        <v>7500</v>
      </c>
      <c r="V67" s="4">
        <v>70.910399999999996</v>
      </c>
      <c r="X67" s="2" t="str">
        <f>_xlfn.XLOOKUP(Moult3[[#This Row],[Metodo]],TbSolver[Metodo],TbSolver[Solver])</f>
        <v>Adams Bashford Moulton</v>
      </c>
      <c r="Y67" s="2" t="str">
        <f>_xlfn.XLOOKUP(Moult3[[#This Row],[Hebras]],TbTecnologia[Hebras],TbTecnologia[Tecnología])</f>
        <v>CUDA</v>
      </c>
      <c r="Z67" s="2" t="str" cm="1">
        <f t="array" ref="Z67">_xlfn.XLOOKUP(Moult3[[#This Row],[Tecnología]]&amp;Moult3[[#This Row],[Metodo]],TbTipos[Tecnología]&amp;TbTipos[Metodo],TbTipos[Tipo])</f>
        <v>CUDA con graph</v>
      </c>
      <c r="AA67" s="2" t="str" cm="1">
        <f t="array" ref="AA67">_xlfn.XLOOKUP(Moult3[[#This Row],[Tecnología]]&amp;Moult3[[#This Row],[Problema]],TbNombres[Tecnología]&amp;TbNombres[Problema],TbNombres[Nombre])</f>
        <v>Brusselator1d</v>
      </c>
      <c r="AB67" s="2">
        <v>6</v>
      </c>
      <c r="AC67" s="2">
        <v>5</v>
      </c>
      <c r="AD67" s="2">
        <v>256</v>
      </c>
      <c r="AE67" s="2">
        <v>5000</v>
      </c>
      <c r="AF67" s="2">
        <v>10000</v>
      </c>
      <c r="AG67" s="2">
        <v>13.6365</v>
      </c>
      <c r="AI67" s="2" t="str">
        <f>_xlfn.XLOOKUP(Moult4[[#This Row],[Metodo]],TbSolver[Metodo],TbSolver[Solver])</f>
        <v>Adams Bashford Moulton</v>
      </c>
      <c r="AJ67" s="2" t="str">
        <f>_xlfn.XLOOKUP(Moult4[[#This Row],[Hebras]],TbTecnologia[Hebras],TbTecnologia[Tecnología])</f>
        <v>CUDA</v>
      </c>
      <c r="AK67" s="2" t="str" cm="1">
        <f t="array" ref="AK67">_xlfn.XLOOKUP(Moult4[[#This Row],[Tecnología]]&amp;Moult4[[#This Row],[Metodo]],TbTipos[Tecnología]&amp;TbTipos[Metodo],TbTipos[Tipo])</f>
        <v>CUDA sin graph</v>
      </c>
      <c r="AL67" s="2" t="str" cm="1">
        <f t="array" ref="AL67">_xlfn.XLOOKUP(Moult4[[#This Row],[Tecnología]]&amp;Moult4[[#This Row],[Problema]],TbNombres[Tecnología]&amp;TbNombres[Problema],TbNombres[Nombre])</f>
        <v>Brusselator2d shuffle</v>
      </c>
      <c r="AM67" s="2">
        <v>5</v>
      </c>
      <c r="AN67" s="2">
        <v>9</v>
      </c>
      <c r="AO67" s="2">
        <v>256</v>
      </c>
      <c r="AP67" s="2">
        <v>200</v>
      </c>
      <c r="AQ67" s="2">
        <v>80000</v>
      </c>
      <c r="AR67" s="2">
        <v>42.954099999999997</v>
      </c>
    </row>
    <row r="68" spans="2:44" x14ac:dyDescent="0.2">
      <c r="B68" s="2" t="str">
        <f>_xlfn.XLOOKUP(Moult1[[#This Row],[Metodo]],TbSolver[Metodo],TbSolver[Solver])</f>
        <v>Adams Bashford Moulton</v>
      </c>
      <c r="C68" s="2" t="str">
        <f>_xlfn.XLOOKUP(Moult1[[#This Row],[Hebras]],TbTecnologia[Hebras],TbTecnologia[Tecnología])</f>
        <v>OMP</v>
      </c>
      <c r="D68" s="2" t="str" cm="1">
        <f t="array" ref="D68">_xlfn.XLOOKUP(Moult1[[#This Row],[Tecnología]]&amp;Moult1[[#This Row],[Metodo]],TbTipos[Tecnología]&amp;TbTipos[Metodo],TbTipos[Tipo])</f>
        <v>OMP Operaciones</v>
      </c>
      <c r="E68" s="2" t="str" cm="1">
        <f t="array" ref="E68">_xlfn.XLOOKUP(Moult1[[#This Row],[Tecnología]]&amp;Moult1[[#This Row],[Problema]],TbNombres[Tecnología]&amp;TbNombres[Problema],TbNombres[Nombre])</f>
        <v>Simple Advdiff</v>
      </c>
      <c r="F68" s="4">
        <v>5</v>
      </c>
      <c r="G68" s="4">
        <v>1</v>
      </c>
      <c r="H68" s="4">
        <v>1</v>
      </c>
      <c r="I68" s="4">
        <v>7500</v>
      </c>
      <c r="J68" s="4">
        <v>7500</v>
      </c>
      <c r="K68" s="4">
        <v>53.327599999999997</v>
      </c>
      <c r="M68" s="2" t="str">
        <f>_xlfn.XLOOKUP(Moult2[[#This Row],[Metodo]],TbSolver[Metodo],TbSolver[Solver])</f>
        <v>Adams Bashford Moulton</v>
      </c>
      <c r="N68" s="2" t="str">
        <f>_xlfn.XLOOKUP(Moult2[[#This Row],[Hebras]],TbTecnologia[Hebras],TbTecnologia[Tecnología])</f>
        <v>OMP</v>
      </c>
      <c r="O68" s="2" t="str" cm="1">
        <f t="array" ref="O68">_xlfn.XLOOKUP(Moult2[[#This Row],[Tecnología]]&amp;Moult2[[#This Row],[Metodo]],TbTipos[Tecnología]&amp;TbTipos[Metodo],TbTipos[Tipo])</f>
        <v>OMP Operaciones</v>
      </c>
      <c r="P68" s="2" t="str" cm="1">
        <f t="array" ref="P68">_xlfn.XLOOKUP(Moult2[[#This Row],[Tecnología]]&amp;Moult2[[#This Row],[Problema]],TbNombres[Tecnología]&amp;TbNombres[Problema],TbNombres[Nombre])</f>
        <v>Advdiff1d</v>
      </c>
      <c r="Q68" s="4">
        <v>5</v>
      </c>
      <c r="R68" s="4">
        <v>2</v>
      </c>
      <c r="S68" s="4">
        <v>16</v>
      </c>
      <c r="T68" s="4">
        <v>7500</v>
      </c>
      <c r="U68" s="4">
        <v>7500</v>
      </c>
      <c r="V68" s="4">
        <v>155.02000000000001</v>
      </c>
      <c r="X68" s="2" t="str">
        <f>_xlfn.XLOOKUP(Moult3[[#This Row],[Metodo]],TbSolver[Metodo],TbSolver[Solver])</f>
        <v>Adams Bashford Moulton</v>
      </c>
      <c r="Y68" s="2" t="str">
        <f>_xlfn.XLOOKUP(Moult3[[#This Row],[Hebras]],TbTecnologia[Hebras],TbTecnologia[Tecnología])</f>
        <v>CUDA</v>
      </c>
      <c r="Z68" s="2" t="str" cm="1">
        <f t="array" ref="Z68">_xlfn.XLOOKUP(Moult3[[#This Row],[Tecnología]]&amp;Moult3[[#This Row],[Metodo]],TbTipos[Tecnología]&amp;TbTipos[Metodo],TbTipos[Tipo])</f>
        <v>CUDA con graph</v>
      </c>
      <c r="AA68" s="2" t="str" cm="1">
        <f t="array" ref="AA68">_xlfn.XLOOKUP(Moult3[[#This Row],[Tecnología]]&amp;Moult3[[#This Row],[Problema]],TbNombres[Tecnología]&amp;TbNombres[Problema],TbNombres[Nombre])</f>
        <v>Brusselator1d shuffle</v>
      </c>
      <c r="AB68" s="2">
        <v>6</v>
      </c>
      <c r="AC68" s="2">
        <v>6</v>
      </c>
      <c r="AD68" s="2">
        <v>256</v>
      </c>
      <c r="AE68" s="2">
        <v>5000</v>
      </c>
      <c r="AF68" s="2">
        <v>10000</v>
      </c>
      <c r="AG68" s="2">
        <v>13.6557</v>
      </c>
      <c r="AI68" s="2" t="str">
        <f>_xlfn.XLOOKUP(Moult4[[#This Row],[Metodo]],TbSolver[Metodo],TbSolver[Solver])</f>
        <v>Adams Bashford Moulton</v>
      </c>
      <c r="AJ68" s="2" t="str">
        <f>_xlfn.XLOOKUP(Moult4[[#This Row],[Hebras]],TbTecnologia[Hebras],TbTecnologia[Tecnología])</f>
        <v>CUDA</v>
      </c>
      <c r="AK68" s="2" t="str" cm="1">
        <f t="array" ref="AK68">_xlfn.XLOOKUP(Moult4[[#This Row],[Tecnología]]&amp;Moult4[[#This Row],[Metodo]],TbTipos[Tecnología]&amp;TbTipos[Metodo],TbTipos[Tipo])</f>
        <v>CUDA sin graph</v>
      </c>
      <c r="AL68" s="2" t="str" cm="1">
        <f t="array" ref="AL68">_xlfn.XLOOKUP(Moult4[[#This Row],[Tecnología]]&amp;Moult4[[#This Row],[Problema]],TbNombres[Tecnología]&amp;TbNombres[Problema],TbNombres[Nombre])</f>
        <v>Brusselator2d</v>
      </c>
      <c r="AM68" s="2">
        <v>5</v>
      </c>
      <c r="AN68" s="2">
        <v>8</v>
      </c>
      <c r="AO68" s="2">
        <v>256</v>
      </c>
      <c r="AP68" s="2">
        <v>200</v>
      </c>
      <c r="AQ68" s="2">
        <v>80000</v>
      </c>
      <c r="AR68" s="2">
        <v>43.573999999999998</v>
      </c>
    </row>
    <row r="69" spans="2:44" x14ac:dyDescent="0.2">
      <c r="B69" s="2" t="str">
        <f>_xlfn.XLOOKUP(Moult1[[#This Row],[Metodo]],TbSolver[Metodo],TbSolver[Solver])</f>
        <v>Adams Bashford Moulton</v>
      </c>
      <c r="C69" s="2" t="str">
        <f>_xlfn.XLOOKUP(Moult1[[#This Row],[Hebras]],TbTecnologia[Hebras],TbTecnologia[Tecnología])</f>
        <v>OMP</v>
      </c>
      <c r="D69" s="2" t="str" cm="1">
        <f t="array" ref="D69">_xlfn.XLOOKUP(Moult1[[#This Row],[Tecnología]]&amp;Moult1[[#This Row],[Metodo]],TbTipos[Tecnología]&amp;TbTipos[Metodo],TbTipos[Tipo])</f>
        <v>OMP Elementos</v>
      </c>
      <c r="E69" s="2" t="str" cm="1">
        <f t="array" ref="E69">_xlfn.XLOOKUP(Moult1[[#This Row],[Tecnología]]&amp;Moult1[[#This Row],[Problema]],TbNombres[Tecnología]&amp;TbNombres[Problema],TbNombres[Nombre])</f>
        <v>Simple Advdiff</v>
      </c>
      <c r="F69" s="4">
        <v>6</v>
      </c>
      <c r="G69" s="4">
        <v>1</v>
      </c>
      <c r="H69" s="4">
        <v>4</v>
      </c>
      <c r="I69" s="4">
        <v>7500</v>
      </c>
      <c r="J69" s="4">
        <v>7500</v>
      </c>
      <c r="K69" s="4">
        <v>54.6081</v>
      </c>
      <c r="M69" s="2" t="str">
        <f>_xlfn.XLOOKUP(Moult2[[#This Row],[Metodo]],TbSolver[Metodo],TbSolver[Solver])</f>
        <v>Adams Bashford Moulton</v>
      </c>
      <c r="N69" s="2" t="str">
        <f>_xlfn.XLOOKUP(Moult2[[#This Row],[Hebras]],TbTecnologia[Hebras],TbTecnologia[Tecnología])</f>
        <v>OMP</v>
      </c>
      <c r="O69" s="2" t="str" cm="1">
        <f t="array" ref="O69">_xlfn.XLOOKUP(Moult2[[#This Row],[Tecnología]]&amp;Moult2[[#This Row],[Metodo]],TbTipos[Tecnología]&amp;TbTipos[Metodo],TbTipos[Tipo])</f>
        <v>OMP Elementos</v>
      </c>
      <c r="P69" s="2" t="str" cm="1">
        <f t="array" ref="P69">_xlfn.XLOOKUP(Moult2[[#This Row],[Tecnología]]&amp;Moult2[[#This Row],[Problema]],TbNombres[Tecnología]&amp;TbNombres[Problema],TbNombres[Nombre])</f>
        <v>Advdiff1d</v>
      </c>
      <c r="Q69" s="4">
        <v>6</v>
      </c>
      <c r="R69" s="4">
        <v>2</v>
      </c>
      <c r="S69" s="4">
        <v>4</v>
      </c>
      <c r="T69" s="4">
        <v>7500</v>
      </c>
      <c r="U69" s="4">
        <v>7500</v>
      </c>
      <c r="V69" s="4">
        <v>195.511</v>
      </c>
      <c r="X69" s="2" t="str">
        <f>_xlfn.XLOOKUP(Moult3[[#This Row],[Metodo]],TbSolver[Metodo],TbSolver[Solver])</f>
        <v>Adams Bashford Moulton</v>
      </c>
      <c r="Y69" s="2" t="str">
        <f>_xlfn.XLOOKUP(Moult3[[#This Row],[Hebras]],TbTecnologia[Hebras],TbTecnologia[Tecnología])</f>
        <v>CUDA</v>
      </c>
      <c r="Z69" s="2" t="str" cm="1">
        <f t="array" ref="Z69">_xlfn.XLOOKUP(Moult3[[#This Row],[Tecnología]]&amp;Moult3[[#This Row],[Metodo]],TbTipos[Tecnología]&amp;TbTipos[Metodo],TbTipos[Tipo])</f>
        <v>CUDA con graph</v>
      </c>
      <c r="AA69" s="2" t="str" cm="1">
        <f t="array" ref="AA69">_xlfn.XLOOKUP(Moult3[[#This Row],[Tecnología]]&amp;Moult3[[#This Row],[Problema]],TbNombres[Tecnología]&amp;TbNombres[Problema],TbNombres[Nombre])</f>
        <v>Brusselator1d grid</v>
      </c>
      <c r="AB69" s="2">
        <v>6</v>
      </c>
      <c r="AC69" s="2">
        <v>7</v>
      </c>
      <c r="AD69" s="2">
        <v>256</v>
      </c>
      <c r="AE69" s="2">
        <v>5000</v>
      </c>
      <c r="AF69" s="2">
        <v>10000</v>
      </c>
      <c r="AG69" s="2">
        <v>13.6754</v>
      </c>
      <c r="AI69" s="2" t="str">
        <f>_xlfn.XLOOKUP(Moult4[[#This Row],[Metodo]],TbSolver[Metodo],TbSolver[Solver])</f>
        <v>Adams Bashford Moulton</v>
      </c>
      <c r="AJ69" s="2" t="str">
        <f>_xlfn.XLOOKUP(Moult4[[#This Row],[Hebras]],TbTecnologia[Hebras],TbTecnologia[Tecnología])</f>
        <v>CUDA</v>
      </c>
      <c r="AK69" s="2" t="str" cm="1">
        <f t="array" ref="AK69">_xlfn.XLOOKUP(Moult4[[#This Row],[Tecnología]]&amp;Moult4[[#This Row],[Metodo]],TbTipos[Tecnología]&amp;TbTipos[Metodo],TbTipos[Tipo])</f>
        <v>CUDA con graph</v>
      </c>
      <c r="AL69" s="2" t="str" cm="1">
        <f t="array" ref="AL69">_xlfn.XLOOKUP(Moult4[[#This Row],[Tecnología]]&amp;Moult4[[#This Row],[Problema]],TbNombres[Tecnología]&amp;TbNombres[Problema],TbNombres[Nombre])</f>
        <v>Brusselator2d</v>
      </c>
      <c r="AM69" s="2">
        <v>6</v>
      </c>
      <c r="AN69" s="2">
        <v>8</v>
      </c>
      <c r="AO69" s="2">
        <v>256</v>
      </c>
      <c r="AP69" s="2">
        <v>200</v>
      </c>
      <c r="AQ69" s="2">
        <v>80000</v>
      </c>
      <c r="AR69" s="2">
        <v>47.031500000000001</v>
      </c>
    </row>
    <row r="70" spans="2:44" x14ac:dyDescent="0.2">
      <c r="B70" s="2" t="str">
        <f>_xlfn.XLOOKUP(Moult1[[#This Row],[Metodo]],TbSolver[Metodo],TbSolver[Solver])</f>
        <v>Adams Bashford Moulton</v>
      </c>
      <c r="C70" s="2" t="str">
        <f>_xlfn.XLOOKUP(Moult1[[#This Row],[Hebras]],TbTecnologia[Hebras],TbTecnologia[Tecnología])</f>
        <v>OMP</v>
      </c>
      <c r="D70" s="2" t="str" cm="1">
        <f t="array" ref="D70">_xlfn.XLOOKUP(Moult1[[#This Row],[Tecnología]]&amp;Moult1[[#This Row],[Metodo]],TbTipos[Tecnología]&amp;TbTipos[Metodo],TbTipos[Tipo])</f>
        <v>OMP Operaciones</v>
      </c>
      <c r="E70" s="2" t="str" cm="1">
        <f t="array" ref="E70">_xlfn.XLOOKUP(Moult1[[#This Row],[Tecnología]]&amp;Moult1[[#This Row],[Problema]],TbNombres[Tecnología]&amp;TbNombres[Problema],TbNombres[Nombre])</f>
        <v>Simple Advdiff</v>
      </c>
      <c r="F70" s="4">
        <v>5</v>
      </c>
      <c r="G70" s="4">
        <v>1</v>
      </c>
      <c r="H70" s="4">
        <v>4</v>
      </c>
      <c r="I70" s="4">
        <v>7500</v>
      </c>
      <c r="J70" s="4">
        <v>7500</v>
      </c>
      <c r="K70" s="4">
        <v>63.918300000000002</v>
      </c>
      <c r="M70" s="2" t="str">
        <f>_xlfn.XLOOKUP(Moult2[[#This Row],[Metodo]],TbSolver[Metodo],TbSolver[Solver])</f>
        <v>Adams Bashford Moulton</v>
      </c>
      <c r="N70" s="2" t="str">
        <f>_xlfn.XLOOKUP(Moult2[[#This Row],[Hebras]],TbTecnologia[Hebras],TbTecnologia[Tecnología])</f>
        <v>OMP</v>
      </c>
      <c r="O70" s="2" t="str" cm="1">
        <f t="array" ref="O70">_xlfn.XLOOKUP(Moult2[[#This Row],[Tecnología]]&amp;Moult2[[#This Row],[Metodo]],TbTipos[Tecnología]&amp;TbTipos[Metodo],TbTipos[Tipo])</f>
        <v>OMP Operaciones</v>
      </c>
      <c r="P70" s="2" t="str" cm="1">
        <f t="array" ref="P70">_xlfn.XLOOKUP(Moult2[[#This Row],[Tecnología]]&amp;Moult2[[#This Row],[Problema]],TbNombres[Tecnología]&amp;TbNombres[Problema],TbNombres[Nombre])</f>
        <v>Advdiff1d</v>
      </c>
      <c r="Q70" s="4">
        <v>5</v>
      </c>
      <c r="R70" s="4">
        <v>2</v>
      </c>
      <c r="S70" s="4">
        <v>4</v>
      </c>
      <c r="T70" s="4">
        <v>7500</v>
      </c>
      <c r="U70" s="4">
        <v>7500</v>
      </c>
      <c r="V70" s="4">
        <v>200.34299999999999</v>
      </c>
      <c r="X70" s="2" t="str">
        <f>_xlfn.XLOOKUP(Moult3[[#This Row],[Metodo]],TbSolver[Metodo],TbSolver[Solver])</f>
        <v>Adams Bashford Moulton</v>
      </c>
      <c r="Y70" s="2" t="str">
        <f>_xlfn.XLOOKUP(Moult3[[#This Row],[Hebras]],TbTecnologia[Hebras],TbTecnologia[Tecnología])</f>
        <v>CUDA</v>
      </c>
      <c r="Z70" s="2" t="str" cm="1">
        <f t="array" ref="Z70">_xlfn.XLOOKUP(Moult3[[#This Row],[Tecnología]]&amp;Moult3[[#This Row],[Metodo]],TbTipos[Tecnología]&amp;TbTipos[Metodo],TbTipos[Tipo])</f>
        <v>CUDA sin graph</v>
      </c>
      <c r="AA70" s="2" t="str" cm="1">
        <f t="array" ref="AA70">_xlfn.XLOOKUP(Moult3[[#This Row],[Tecnología]]&amp;Moult3[[#This Row],[Problema]],TbNombres[Tecnología]&amp;TbNombres[Problema],TbNombres[Nombre])</f>
        <v>Brusselator1d shuffle</v>
      </c>
      <c r="AB70" s="2">
        <v>5</v>
      </c>
      <c r="AC70" s="2">
        <v>6</v>
      </c>
      <c r="AD70" s="2">
        <v>256</v>
      </c>
      <c r="AE70" s="2">
        <v>5000</v>
      </c>
      <c r="AF70" s="2">
        <v>10000</v>
      </c>
      <c r="AG70" s="2">
        <v>14.284000000000001</v>
      </c>
      <c r="AI70" s="2" t="str">
        <f>_xlfn.XLOOKUP(Moult4[[#This Row],[Metodo]],TbSolver[Metodo],TbSolver[Solver])</f>
        <v>Adams Bashford Moulton</v>
      </c>
      <c r="AJ70" s="2" t="str">
        <f>_xlfn.XLOOKUP(Moult4[[#This Row],[Hebras]],TbTecnologia[Hebras],TbTecnologia[Tecnología])</f>
        <v>CUDA</v>
      </c>
      <c r="AK70" s="2" t="str" cm="1">
        <f t="array" ref="AK70">_xlfn.XLOOKUP(Moult4[[#This Row],[Tecnología]]&amp;Moult4[[#This Row],[Metodo]],TbTipos[Tecnología]&amp;TbTipos[Metodo],TbTipos[Tipo])</f>
        <v>CUDA con graph</v>
      </c>
      <c r="AL70" s="2" t="str" cm="1">
        <f t="array" ref="AL70">_xlfn.XLOOKUP(Moult4[[#This Row],[Tecnología]]&amp;Moult4[[#This Row],[Problema]],TbNombres[Tecnología]&amp;TbNombres[Problema],TbNombres[Nombre])</f>
        <v>Brusselator2d shuffle</v>
      </c>
      <c r="AM70" s="2">
        <v>6</v>
      </c>
      <c r="AN70" s="2">
        <v>9</v>
      </c>
      <c r="AO70" s="2">
        <v>256</v>
      </c>
      <c r="AP70" s="2">
        <v>200</v>
      </c>
      <c r="AQ70" s="2">
        <v>80000</v>
      </c>
      <c r="AR70" s="2">
        <v>47.367899999999999</v>
      </c>
    </row>
    <row r="71" spans="2:44" x14ac:dyDescent="0.2">
      <c r="B71" s="2" t="str">
        <f>_xlfn.XLOOKUP(Moult1[[#This Row],[Metodo]],TbSolver[Metodo],TbSolver[Solver])</f>
        <v>Adams Bashford Moulton</v>
      </c>
      <c r="C71" s="2" t="str">
        <f>_xlfn.XLOOKUP(Moult1[[#This Row],[Hebras]],TbTecnologia[Hebras],TbTecnologia[Tecnología])</f>
        <v>OMP</v>
      </c>
      <c r="D71" s="2" t="str" cm="1">
        <f t="array" ref="D71">_xlfn.XLOOKUP(Moult1[[#This Row],[Tecnología]]&amp;Moult1[[#This Row],[Metodo]],TbTipos[Tecnología]&amp;TbTipos[Metodo],TbTipos[Tipo])</f>
        <v>OMP Operaciones</v>
      </c>
      <c r="E71" s="2" t="str" cm="1">
        <f t="array" ref="E71">_xlfn.XLOOKUP(Moult1[[#This Row],[Tecnología]]&amp;Moult1[[#This Row],[Problema]],TbNombres[Tecnología]&amp;TbNombres[Problema],TbNombres[Nombre])</f>
        <v>Simple Advdiff</v>
      </c>
      <c r="F71" s="4">
        <v>5</v>
      </c>
      <c r="G71" s="4">
        <v>1</v>
      </c>
      <c r="H71" s="4">
        <v>16</v>
      </c>
      <c r="I71" s="4">
        <v>7500</v>
      </c>
      <c r="J71" s="4">
        <v>7500</v>
      </c>
      <c r="K71" s="4">
        <v>101.057</v>
      </c>
      <c r="M71" s="2" t="str">
        <f>_xlfn.XLOOKUP(Moult2[[#This Row],[Metodo]],TbSolver[Metodo],TbSolver[Solver])</f>
        <v>Adams Bashford Moulton</v>
      </c>
      <c r="N71" s="2" t="str">
        <f>_xlfn.XLOOKUP(Moult2[[#This Row],[Hebras]],TbTecnologia[Hebras],TbTecnologia[Tecnología])</f>
        <v>OMP</v>
      </c>
      <c r="O71" s="2" t="str" cm="1">
        <f t="array" ref="O71">_xlfn.XLOOKUP(Moult2[[#This Row],[Tecnología]]&amp;Moult2[[#This Row],[Metodo]],TbTipos[Tecnología]&amp;TbTipos[Metodo],TbTipos[Tipo])</f>
        <v>OMP Operaciones</v>
      </c>
      <c r="P71" s="2" t="str" cm="1">
        <f t="array" ref="P71">_xlfn.XLOOKUP(Moult2[[#This Row],[Tecnología]]&amp;Moult2[[#This Row],[Problema]],TbNombres[Tecnología]&amp;TbNombres[Problema],TbNombres[Nombre])</f>
        <v>Advdiff1d</v>
      </c>
      <c r="Q71" s="4">
        <v>5</v>
      </c>
      <c r="R71" s="4">
        <v>2</v>
      </c>
      <c r="S71" s="4">
        <v>1</v>
      </c>
      <c r="T71" s="4">
        <v>7500</v>
      </c>
      <c r="U71" s="4">
        <v>7500</v>
      </c>
      <c r="V71" s="4">
        <v>516.40499999999997</v>
      </c>
      <c r="X71" s="2" t="str">
        <f>_xlfn.XLOOKUP(Moult3[[#This Row],[Metodo]],TbSolver[Metodo],TbSolver[Solver])</f>
        <v>Adams Bashford Moulton</v>
      </c>
      <c r="Y71" s="2" t="str">
        <f>_xlfn.XLOOKUP(Moult3[[#This Row],[Hebras]],TbTecnologia[Hebras],TbTecnologia[Tecnología])</f>
        <v>CUDA</v>
      </c>
      <c r="Z71" s="2" t="str" cm="1">
        <f t="array" ref="Z71">_xlfn.XLOOKUP(Moult3[[#This Row],[Tecnología]]&amp;Moult3[[#This Row],[Metodo]],TbTipos[Tecnología]&amp;TbTipos[Metodo],TbTipos[Tipo])</f>
        <v>CUDA sin graph</v>
      </c>
      <c r="AA71" s="2" t="str" cm="1">
        <f t="array" ref="AA71">_xlfn.XLOOKUP(Moult3[[#This Row],[Tecnología]]&amp;Moult3[[#This Row],[Problema]],TbNombres[Tecnología]&amp;TbNombres[Problema],TbNombres[Nombre])</f>
        <v>Brusselator1d grid</v>
      </c>
      <c r="AB71" s="2">
        <v>5</v>
      </c>
      <c r="AC71" s="2">
        <v>7</v>
      </c>
      <c r="AD71" s="2">
        <v>256</v>
      </c>
      <c r="AE71" s="2">
        <v>5000</v>
      </c>
      <c r="AF71" s="2">
        <v>10000</v>
      </c>
      <c r="AG71" s="2">
        <v>14.284000000000001</v>
      </c>
      <c r="AI71" s="4" t="str">
        <f>_xlfn.XLOOKUP(Moult4[[#This Row],[Metodo]],TbSolver[Metodo],TbSolver[Solver])</f>
        <v>Adams Bashford Moulton</v>
      </c>
      <c r="AJ71" s="4" t="str">
        <f>_xlfn.XLOOKUP(Moult4[[#This Row],[Hebras]],TbTecnologia[Hebras],TbTecnologia[Tecnología])</f>
        <v>OMP</v>
      </c>
      <c r="AK71" s="4" t="str" cm="1">
        <f t="array" ref="AK71">_xlfn.XLOOKUP(Moult4[[#This Row],[Tecnología]]&amp;Moult4[[#This Row],[Metodo]],TbTipos[Tecnología]&amp;TbTipos[Metodo],TbTipos[Tipo])</f>
        <v>OMP Operaciones</v>
      </c>
      <c r="AL71" s="4" t="str" cm="1">
        <f t="array" ref="AL71">_xlfn.XLOOKUP(Moult4[[#This Row],[Tecnología]]&amp;Moult4[[#This Row],[Problema]],TbNombres[Tecnología]&amp;TbNombres[Problema],TbNombres[Nombre])</f>
        <v>Brusselator2d</v>
      </c>
      <c r="AM71" s="4">
        <v>5</v>
      </c>
      <c r="AN71" s="4">
        <v>4</v>
      </c>
      <c r="AO71" s="4">
        <v>16</v>
      </c>
      <c r="AP71" s="4">
        <v>200</v>
      </c>
      <c r="AQ71" s="4">
        <v>80000</v>
      </c>
      <c r="AR71" s="4">
        <v>214.67</v>
      </c>
    </row>
    <row r="72" spans="2:44" x14ac:dyDescent="0.2">
      <c r="B72" s="2" t="str">
        <f>_xlfn.XLOOKUP(Moult1[[#This Row],[Metodo]],TbSolver[Metodo],TbSolver[Solver])</f>
        <v>Adams Bashford Moulton</v>
      </c>
      <c r="C72" s="2" t="str">
        <f>_xlfn.XLOOKUP(Moult1[[#This Row],[Hebras]],TbTecnologia[Hebras],TbTecnologia[Tecnología])</f>
        <v>OMP</v>
      </c>
      <c r="D72" s="2" t="str" cm="1">
        <f t="array" ref="D72">_xlfn.XLOOKUP(Moult1[[#This Row],[Tecnología]]&amp;Moult1[[#This Row],[Metodo]],TbTipos[Tecnología]&amp;TbTipos[Metodo],TbTipos[Tipo])</f>
        <v>OMP Elementos</v>
      </c>
      <c r="E72" s="2" t="str" cm="1">
        <f t="array" ref="E72">_xlfn.XLOOKUP(Moult1[[#This Row],[Tecnología]]&amp;Moult1[[#This Row],[Problema]],TbNombres[Tecnología]&amp;TbNombres[Problema],TbNombres[Nombre])</f>
        <v>Simple Advdiff</v>
      </c>
      <c r="F72" s="4">
        <v>6</v>
      </c>
      <c r="G72" s="4">
        <v>1</v>
      </c>
      <c r="H72" s="4">
        <v>1</v>
      </c>
      <c r="I72" s="4">
        <v>7500</v>
      </c>
      <c r="J72" s="4">
        <v>7500</v>
      </c>
      <c r="K72" s="4">
        <v>178.857</v>
      </c>
      <c r="M72" s="2" t="str">
        <f>_xlfn.XLOOKUP(Moult2[[#This Row],[Metodo]],TbSolver[Metodo],TbSolver[Solver])</f>
        <v>Adams Bashford Moulton</v>
      </c>
      <c r="N72" s="2" t="str">
        <f>_xlfn.XLOOKUP(Moult2[[#This Row],[Hebras]],TbTecnologia[Hebras],TbTecnologia[Tecnología])</f>
        <v>OMP</v>
      </c>
      <c r="O72" s="2" t="str" cm="1">
        <f t="array" ref="O72">_xlfn.XLOOKUP(Moult2[[#This Row],[Tecnología]]&amp;Moult2[[#This Row],[Metodo]],TbTipos[Tecnología]&amp;TbTipos[Metodo],TbTipos[Tipo])</f>
        <v>OMP Elementos</v>
      </c>
      <c r="P72" s="2" t="str" cm="1">
        <f t="array" ref="P72">_xlfn.XLOOKUP(Moult2[[#This Row],[Tecnología]]&amp;Moult2[[#This Row],[Problema]],TbNombres[Tecnología]&amp;TbNombres[Problema],TbNombres[Nombre])</f>
        <v>Advdiff1d</v>
      </c>
      <c r="Q72" s="4">
        <v>6</v>
      </c>
      <c r="R72" s="4">
        <v>2</v>
      </c>
      <c r="S72" s="4">
        <v>1</v>
      </c>
      <c r="T72" s="4">
        <v>7500</v>
      </c>
      <c r="U72" s="4">
        <v>7500</v>
      </c>
      <c r="V72" s="4">
        <v>680.06500000000005</v>
      </c>
      <c r="X72" s="2" t="str">
        <f>_xlfn.XLOOKUP(Moult3[[#This Row],[Metodo]],TbSolver[Metodo],TbSolver[Solver])</f>
        <v>Adams Bashford Moulton</v>
      </c>
      <c r="Y72" s="2" t="str">
        <f>_xlfn.XLOOKUP(Moult3[[#This Row],[Hebras]],TbTecnologia[Hebras],TbTecnologia[Tecnología])</f>
        <v>CUDA</v>
      </c>
      <c r="Z72" s="2" t="str" cm="1">
        <f t="array" ref="Z72">_xlfn.XLOOKUP(Moult3[[#This Row],[Tecnología]]&amp;Moult3[[#This Row],[Metodo]],TbTipos[Tecnología]&amp;TbTipos[Metodo],TbTipos[Tipo])</f>
        <v>CUDA sin graph</v>
      </c>
      <c r="AA72" s="2" t="str" cm="1">
        <f t="array" ref="AA72">_xlfn.XLOOKUP(Moult3[[#This Row],[Tecnología]]&amp;Moult3[[#This Row],[Problema]],TbNombres[Tecnología]&amp;TbNombres[Problema],TbNombres[Nombre])</f>
        <v>Brusselator1d</v>
      </c>
      <c r="AB72" s="2">
        <v>5</v>
      </c>
      <c r="AC72" s="2">
        <v>5</v>
      </c>
      <c r="AD72" s="2">
        <v>256</v>
      </c>
      <c r="AE72" s="2">
        <v>5000</v>
      </c>
      <c r="AF72" s="2">
        <v>10000</v>
      </c>
      <c r="AG72" s="2">
        <v>14.319800000000001</v>
      </c>
      <c r="AI72" s="4" t="str">
        <f>_xlfn.XLOOKUP(Moult4[[#This Row],[Metodo]],TbSolver[Metodo],TbSolver[Solver])</f>
        <v>Adams Bashford Moulton</v>
      </c>
      <c r="AJ72" s="4" t="str">
        <f>_xlfn.XLOOKUP(Moult4[[#This Row],[Hebras]],TbTecnologia[Hebras],TbTecnologia[Tecnología])</f>
        <v>OMP</v>
      </c>
      <c r="AK72" s="4" t="str" cm="1">
        <f t="array" ref="AK72">_xlfn.XLOOKUP(Moult4[[#This Row],[Tecnología]]&amp;Moult4[[#This Row],[Metodo]],TbTipos[Tecnología]&amp;TbTipos[Metodo],TbTipos[Tipo])</f>
        <v>OMP Elementos</v>
      </c>
      <c r="AL72" s="4" t="str" cm="1">
        <f t="array" ref="AL72">_xlfn.XLOOKUP(Moult4[[#This Row],[Tecnología]]&amp;Moult4[[#This Row],[Problema]],TbNombres[Tecnología]&amp;TbNombres[Problema],TbNombres[Nombre])</f>
        <v>Brusselator2d</v>
      </c>
      <c r="AM72" s="4">
        <v>6</v>
      </c>
      <c r="AN72" s="4">
        <v>4</v>
      </c>
      <c r="AO72" s="4">
        <v>16</v>
      </c>
      <c r="AP72" s="4">
        <v>200</v>
      </c>
      <c r="AQ72" s="4">
        <v>80000</v>
      </c>
      <c r="AR72" s="4">
        <v>331.80900000000003</v>
      </c>
    </row>
    <row r="73" spans="2:44" x14ac:dyDescent="0.2">
      <c r="B73" s="2" t="str">
        <f>_xlfn.XLOOKUP(Moult1[[#This Row],[Metodo]],TbSolver[Metodo],TbSolver[Solver])</f>
        <v>Adams Bashford Moulton</v>
      </c>
      <c r="C73" s="2" t="str">
        <f>_xlfn.XLOOKUP(Moult1[[#This Row],[Hebras]],TbTecnologia[Hebras],TbTecnologia[Tecnología])</f>
        <v>CUDA</v>
      </c>
      <c r="D73" s="2" t="str" cm="1">
        <f t="array" ref="D73">_xlfn.XLOOKUP(Moult1[[#This Row],[Tecnología]]&amp;Moult1[[#This Row],[Metodo]],TbTipos[Tecnología]&amp;TbTipos[Metodo],TbTipos[Tipo])</f>
        <v>CUDA sin graph</v>
      </c>
      <c r="E73" s="2" t="str" cm="1">
        <f t="array" ref="E73">_xlfn.XLOOKUP(Moult1[[#This Row],[Tecnología]]&amp;Moult1[[#This Row],[Problema]],TbNombres[Tecnología]&amp;TbNombres[Problema],TbNombres[Nombre])</f>
        <v>Simple Advdiff</v>
      </c>
      <c r="F73" s="2">
        <v>5</v>
      </c>
      <c r="G73" s="2">
        <v>1</v>
      </c>
      <c r="H73" s="2">
        <v>256</v>
      </c>
      <c r="I73" s="2">
        <v>10000</v>
      </c>
      <c r="J73" s="2">
        <v>10000</v>
      </c>
      <c r="K73" s="2">
        <v>13.3089</v>
      </c>
      <c r="L73" s="1"/>
      <c r="M73" s="2" t="str">
        <f>_xlfn.XLOOKUP(Moult2[[#This Row],[Metodo]],TbSolver[Metodo],TbSolver[Solver])</f>
        <v>Adams Bashford Moulton</v>
      </c>
      <c r="N73" s="2" t="str">
        <f>_xlfn.XLOOKUP(Moult2[[#This Row],[Hebras]],TbTecnologia[Hebras],TbTecnologia[Tecnología])</f>
        <v>CUDA</v>
      </c>
      <c r="O73" s="2" t="str" cm="1">
        <f t="array" ref="O73">_xlfn.XLOOKUP(Moult2[[#This Row],[Tecnología]]&amp;Moult2[[#This Row],[Metodo]],TbTipos[Tecnología]&amp;TbTipos[Metodo],TbTipos[Tipo])</f>
        <v>CUDA sin graph</v>
      </c>
      <c r="P73" s="2" t="str" cm="1">
        <f t="array" ref="P73">_xlfn.XLOOKUP(Moult2[[#This Row],[Tecnología]]&amp;Moult2[[#This Row],[Problema]],TbNombres[Tecnología]&amp;TbNombres[Problema],TbNombres[Nombre])</f>
        <v>Advdiff1d</v>
      </c>
      <c r="Q73" s="2">
        <v>5</v>
      </c>
      <c r="R73" s="2">
        <v>3</v>
      </c>
      <c r="S73" s="2">
        <v>256</v>
      </c>
      <c r="T73" s="2">
        <v>10000</v>
      </c>
      <c r="U73" s="2">
        <v>10000</v>
      </c>
      <c r="V73" s="2">
        <v>24.6816</v>
      </c>
      <c r="W73" s="1"/>
      <c r="X73" s="2" t="str">
        <f>_xlfn.XLOOKUP(Moult3[[#This Row],[Metodo]],TbSolver[Metodo],TbSolver[Solver])</f>
        <v>Adams Bashford Moulton</v>
      </c>
      <c r="Y73" s="2" t="str">
        <f>_xlfn.XLOOKUP(Moult3[[#This Row],[Hebras]],TbTecnologia[Hebras],TbTecnologia[Tecnología])</f>
        <v>OMP</v>
      </c>
      <c r="Z73" s="2" t="str" cm="1">
        <f t="array" ref="Z73">_xlfn.XLOOKUP(Moult3[[#This Row],[Tecnología]]&amp;Moult3[[#This Row],[Metodo]],TbTipos[Tecnología]&amp;TbTipos[Metodo],TbTipos[Tipo])</f>
        <v>OMP Elementos</v>
      </c>
      <c r="AA73" s="2" t="str" cm="1">
        <f t="array" ref="AA73">_xlfn.XLOOKUP(Moult3[[#This Row],[Tecnología]]&amp;Moult3[[#This Row],[Problema]],TbNombres[Tecnología]&amp;TbNombres[Problema],TbNombres[Nombre])</f>
        <v>Brusselator1d</v>
      </c>
      <c r="AB73" s="4">
        <v>6</v>
      </c>
      <c r="AC73" s="4">
        <v>3</v>
      </c>
      <c r="AD73" s="4">
        <v>16</v>
      </c>
      <c r="AE73" s="4">
        <v>5000</v>
      </c>
      <c r="AF73" s="4">
        <v>10000</v>
      </c>
      <c r="AG73" s="4">
        <v>42.736499999999999</v>
      </c>
      <c r="AH73" s="1"/>
      <c r="AI73" s="4" t="str">
        <f>_xlfn.XLOOKUP(Moult4[[#This Row],[Metodo]],TbSolver[Metodo],TbSolver[Solver])</f>
        <v>Adams Bashford Moulton</v>
      </c>
      <c r="AJ73" s="4" t="str">
        <f>_xlfn.XLOOKUP(Moult4[[#This Row],[Hebras]],TbTecnologia[Hebras],TbTecnologia[Tecnología])</f>
        <v>OMP</v>
      </c>
      <c r="AK73" s="4" t="str" cm="1">
        <f t="array" ref="AK73">_xlfn.XLOOKUP(Moult4[[#This Row],[Tecnología]]&amp;Moult4[[#This Row],[Metodo]],TbTipos[Tecnología]&amp;TbTipos[Metodo],TbTipos[Tipo])</f>
        <v>OMP Operaciones</v>
      </c>
      <c r="AL73" s="4" t="str" cm="1">
        <f t="array" ref="AL73">_xlfn.XLOOKUP(Moult4[[#This Row],[Tecnología]]&amp;Moult4[[#This Row],[Problema]],TbNombres[Tecnología]&amp;TbNombres[Problema],TbNombres[Nombre])</f>
        <v>Brusselator2d</v>
      </c>
      <c r="AM73" s="4">
        <v>5</v>
      </c>
      <c r="AN73" s="4">
        <v>4</v>
      </c>
      <c r="AO73" s="4">
        <v>4</v>
      </c>
      <c r="AP73" s="4">
        <v>200</v>
      </c>
      <c r="AQ73" s="4">
        <v>80000</v>
      </c>
      <c r="AR73" s="4">
        <v>466.28199999999998</v>
      </c>
    </row>
    <row r="74" spans="2:44" x14ac:dyDescent="0.2">
      <c r="B74" s="2" t="str">
        <f>_xlfn.XLOOKUP(Moult1[[#This Row],[Metodo]],TbSolver[Metodo],TbSolver[Solver])</f>
        <v>Adams Bashford Moulton</v>
      </c>
      <c r="C74" s="2" t="str">
        <f>_xlfn.XLOOKUP(Moult1[[#This Row],[Hebras]],TbTecnologia[Hebras],TbTecnologia[Tecnología])</f>
        <v>OMP</v>
      </c>
      <c r="D74" s="2" t="str" cm="1">
        <f t="array" ref="D74">_xlfn.XLOOKUP(Moult1[[#This Row],[Tecnología]]&amp;Moult1[[#This Row],[Metodo]],TbTipos[Tecnología]&amp;TbTipos[Metodo],TbTipos[Tipo])</f>
        <v>OMP Elementos</v>
      </c>
      <c r="E74" s="2" t="str" cm="1">
        <f t="array" ref="E74">_xlfn.XLOOKUP(Moult1[[#This Row],[Tecnología]]&amp;Moult1[[#This Row],[Problema]],TbNombres[Tecnología]&amp;TbNombres[Problema],TbNombres[Nombre])</f>
        <v>Simple Advdiff</v>
      </c>
      <c r="F74" s="4">
        <v>6</v>
      </c>
      <c r="G74" s="4">
        <v>1</v>
      </c>
      <c r="H74" s="4">
        <v>16</v>
      </c>
      <c r="I74" s="4">
        <v>10000</v>
      </c>
      <c r="J74" s="4">
        <v>10000</v>
      </c>
      <c r="K74" s="4">
        <v>43.308700000000002</v>
      </c>
      <c r="M74" s="2" t="str">
        <f>_xlfn.XLOOKUP(Moult2[[#This Row],[Metodo]],TbSolver[Metodo],TbSolver[Solver])</f>
        <v>Adams Bashford Moulton</v>
      </c>
      <c r="N74" s="2" t="str">
        <f>_xlfn.XLOOKUP(Moult2[[#This Row],[Hebras]],TbTecnologia[Hebras],TbTecnologia[Tecnología])</f>
        <v>OMP</v>
      </c>
      <c r="O74" s="2" t="str" cm="1">
        <f t="array" ref="O74">_xlfn.XLOOKUP(Moult2[[#This Row],[Tecnología]]&amp;Moult2[[#This Row],[Metodo]],TbTipos[Tecnología]&amp;TbTipos[Metodo],TbTipos[Tipo])</f>
        <v>OMP Elementos</v>
      </c>
      <c r="P74" s="2" t="str" cm="1">
        <f t="array" ref="P74">_xlfn.XLOOKUP(Moult2[[#This Row],[Tecnología]]&amp;Moult2[[#This Row],[Problema]],TbNombres[Tecnología]&amp;TbNombres[Problema],TbNombres[Nombre])</f>
        <v>Advdiff1d</v>
      </c>
      <c r="Q74" s="4">
        <v>6</v>
      </c>
      <c r="R74" s="4">
        <v>2</v>
      </c>
      <c r="S74" s="4">
        <v>16</v>
      </c>
      <c r="T74" s="4">
        <v>10000</v>
      </c>
      <c r="U74" s="4">
        <v>10000</v>
      </c>
      <c r="V74" s="4">
        <v>89.349100000000007</v>
      </c>
      <c r="X74" s="2" t="str">
        <f>_xlfn.XLOOKUP(Moult3[[#This Row],[Metodo]],TbSolver[Metodo],TbSolver[Solver])</f>
        <v>Adams Bashford Moulton</v>
      </c>
      <c r="Y74" s="2" t="str">
        <f>_xlfn.XLOOKUP(Moult3[[#This Row],[Hebras]],TbTecnologia[Hebras],TbTecnologia[Tecnología])</f>
        <v>OMP</v>
      </c>
      <c r="Z74" s="2" t="str" cm="1">
        <f t="array" ref="Z74">_xlfn.XLOOKUP(Moult3[[#This Row],[Tecnología]]&amp;Moult3[[#This Row],[Metodo]],TbTipos[Tecnología]&amp;TbTipos[Metodo],TbTipos[Tipo])</f>
        <v>OMP Elementos</v>
      </c>
      <c r="AA74" s="2" t="str" cm="1">
        <f t="array" ref="AA74">_xlfn.XLOOKUP(Moult3[[#This Row],[Tecnología]]&amp;Moult3[[#This Row],[Problema]],TbNombres[Tecnología]&amp;TbNombres[Problema],TbNombres[Nombre])</f>
        <v>Brusselator1d</v>
      </c>
      <c r="AB74" s="4">
        <v>6</v>
      </c>
      <c r="AC74" s="4">
        <v>3</v>
      </c>
      <c r="AD74" s="4">
        <v>4</v>
      </c>
      <c r="AE74" s="4">
        <v>5000</v>
      </c>
      <c r="AF74" s="4">
        <v>10000</v>
      </c>
      <c r="AG74" s="4">
        <v>74.084900000000005</v>
      </c>
      <c r="AI74" s="4" t="str">
        <f>_xlfn.XLOOKUP(Moult4[[#This Row],[Metodo]],TbSolver[Metodo],TbSolver[Solver])</f>
        <v>Adams Bashford Moulton</v>
      </c>
      <c r="AJ74" s="4" t="str">
        <f>_xlfn.XLOOKUP(Moult4[[#This Row],[Hebras]],TbTecnologia[Hebras],TbTecnologia[Tecnología])</f>
        <v>OMP</v>
      </c>
      <c r="AK74" s="4" t="str" cm="1">
        <f t="array" ref="AK74">_xlfn.XLOOKUP(Moult4[[#This Row],[Tecnología]]&amp;Moult4[[#This Row],[Metodo]],TbTipos[Tecnología]&amp;TbTipos[Metodo],TbTipos[Tipo])</f>
        <v>OMP Elementos</v>
      </c>
      <c r="AL74" s="4" t="str" cm="1">
        <f t="array" ref="AL74">_xlfn.XLOOKUP(Moult4[[#This Row],[Tecnología]]&amp;Moult4[[#This Row],[Problema]],TbNombres[Tecnología]&amp;TbNombres[Problema],TbNombres[Nombre])</f>
        <v>Brusselator2d</v>
      </c>
      <c r="AM74" s="4">
        <v>6</v>
      </c>
      <c r="AN74" s="4">
        <v>4</v>
      </c>
      <c r="AO74" s="4">
        <v>4</v>
      </c>
      <c r="AP74" s="4">
        <v>200</v>
      </c>
      <c r="AQ74" s="4">
        <v>80000</v>
      </c>
      <c r="AR74" s="4">
        <v>1049.3499999999999</v>
      </c>
    </row>
    <row r="75" spans="2:44" x14ac:dyDescent="0.2">
      <c r="B75" s="2" t="str">
        <f>_xlfn.XLOOKUP(Moult1[[#This Row],[Metodo]],TbSolver[Metodo],TbSolver[Solver])</f>
        <v>Adams Bashford Moulton</v>
      </c>
      <c r="C75" s="2" t="str">
        <f>_xlfn.XLOOKUP(Moult1[[#This Row],[Hebras]],TbTecnologia[Hebras],TbTecnologia[Tecnología])</f>
        <v>OMP</v>
      </c>
      <c r="D75" s="2" t="str" cm="1">
        <f t="array" ref="D75">_xlfn.XLOOKUP(Moult1[[#This Row],[Tecnología]]&amp;Moult1[[#This Row],[Metodo]],TbTipos[Tecnología]&amp;TbTipos[Metodo],TbTipos[Tipo])</f>
        <v>OMP Operaciones</v>
      </c>
      <c r="E75" s="2" t="str" cm="1">
        <f t="array" ref="E75">_xlfn.XLOOKUP(Moult1[[#This Row],[Tecnología]]&amp;Moult1[[#This Row],[Problema]],TbNombres[Tecnología]&amp;TbNombres[Problema],TbNombres[Nombre])</f>
        <v>Simple Advdiff</v>
      </c>
      <c r="F75" s="4">
        <v>5</v>
      </c>
      <c r="G75" s="4">
        <v>1</v>
      </c>
      <c r="H75" s="4">
        <v>4</v>
      </c>
      <c r="I75" s="4">
        <v>10000</v>
      </c>
      <c r="J75" s="4">
        <v>10000</v>
      </c>
      <c r="K75" s="4">
        <v>60.5548</v>
      </c>
      <c r="M75" s="2" t="str">
        <f>_xlfn.XLOOKUP(Moult2[[#This Row],[Metodo]],TbSolver[Metodo],TbSolver[Solver])</f>
        <v>Adams Bashford Moulton</v>
      </c>
      <c r="N75" s="2" t="str">
        <f>_xlfn.XLOOKUP(Moult2[[#This Row],[Hebras]],TbTecnologia[Hebras],TbTecnologia[Tecnología])</f>
        <v>OMP</v>
      </c>
      <c r="O75" s="2" t="str" cm="1">
        <f t="array" ref="O75">_xlfn.XLOOKUP(Moult2[[#This Row],[Tecnología]]&amp;Moult2[[#This Row],[Metodo]],TbTipos[Tecnología]&amp;TbTipos[Metodo],TbTipos[Tipo])</f>
        <v>OMP Operaciones</v>
      </c>
      <c r="P75" s="2" t="str" cm="1">
        <f t="array" ref="P75">_xlfn.XLOOKUP(Moult2[[#This Row],[Tecnología]]&amp;Moult2[[#This Row],[Problema]],TbNombres[Tecnología]&amp;TbNombres[Problema],TbNombres[Nombre])</f>
        <v>Advdiff1d</v>
      </c>
      <c r="Q75" s="4">
        <v>5</v>
      </c>
      <c r="R75" s="4">
        <v>2</v>
      </c>
      <c r="S75" s="4">
        <v>16</v>
      </c>
      <c r="T75" s="4">
        <v>10000</v>
      </c>
      <c r="U75" s="4">
        <v>10000</v>
      </c>
      <c r="V75" s="4">
        <v>171.173</v>
      </c>
      <c r="X75" s="2" t="str">
        <f>_xlfn.XLOOKUP(Moult3[[#This Row],[Metodo]],TbSolver[Metodo],TbSolver[Solver])</f>
        <v>Adams Bashford Moulton</v>
      </c>
      <c r="Y75" s="2" t="str">
        <f>_xlfn.XLOOKUP(Moult3[[#This Row],[Hebras]],TbTecnologia[Hebras],TbTecnologia[Tecnología])</f>
        <v>OMP</v>
      </c>
      <c r="Z75" s="2" t="str" cm="1">
        <f t="array" ref="Z75">_xlfn.XLOOKUP(Moult3[[#This Row],[Tecnología]]&amp;Moult3[[#This Row],[Metodo]],TbTipos[Tecnología]&amp;TbTipos[Metodo],TbTipos[Tipo])</f>
        <v>OMP Operaciones</v>
      </c>
      <c r="AA75" s="2" t="str" cm="1">
        <f t="array" ref="AA75">_xlfn.XLOOKUP(Moult3[[#This Row],[Tecnología]]&amp;Moult3[[#This Row],[Problema]],TbNombres[Tecnología]&amp;TbNombres[Problema],TbNombres[Nombre])</f>
        <v>Brusselator1d</v>
      </c>
      <c r="AB75" s="4">
        <v>5</v>
      </c>
      <c r="AC75" s="4">
        <v>3</v>
      </c>
      <c r="AD75" s="4">
        <v>4</v>
      </c>
      <c r="AE75" s="4">
        <v>5000</v>
      </c>
      <c r="AF75" s="4">
        <v>10000</v>
      </c>
      <c r="AG75" s="4">
        <v>76.502899999999997</v>
      </c>
      <c r="AI75" s="4" t="str">
        <f>_xlfn.XLOOKUP(Moult4[[#This Row],[Metodo]],TbSolver[Metodo],TbSolver[Solver])</f>
        <v>Adams Bashford Moulton</v>
      </c>
      <c r="AJ75" s="4" t="str">
        <f>_xlfn.XLOOKUP(Moult4[[#This Row],[Hebras]],TbTecnologia[Hebras],TbTecnologia[Tecnología])</f>
        <v>OMP</v>
      </c>
      <c r="AK75" s="4" t="str" cm="1">
        <f t="array" ref="AK75">_xlfn.XLOOKUP(Moult4[[#This Row],[Tecnología]]&amp;Moult4[[#This Row],[Metodo]],TbTipos[Tecnología]&amp;TbTipos[Metodo],TbTipos[Tipo])</f>
        <v>OMP Operaciones</v>
      </c>
      <c r="AL75" s="4" t="str" cm="1">
        <f t="array" ref="AL75">_xlfn.XLOOKUP(Moult4[[#This Row],[Tecnología]]&amp;Moult4[[#This Row],[Problema]],TbNombres[Tecnología]&amp;TbNombres[Problema],TbNombres[Nombre])</f>
        <v>Brusselator2d</v>
      </c>
      <c r="AM75" s="4">
        <v>5</v>
      </c>
      <c r="AN75" s="4">
        <v>4</v>
      </c>
      <c r="AO75" s="4">
        <v>1</v>
      </c>
      <c r="AP75" s="4">
        <v>200</v>
      </c>
      <c r="AQ75" s="4">
        <v>80000</v>
      </c>
      <c r="AR75" s="4">
        <v>1825.86</v>
      </c>
    </row>
    <row r="76" spans="2:44" x14ac:dyDescent="0.2">
      <c r="B76" s="2" t="str">
        <f>_xlfn.XLOOKUP(Moult1[[#This Row],[Metodo]],TbSolver[Metodo],TbSolver[Solver])</f>
        <v>Adams Bashford Moulton</v>
      </c>
      <c r="C76" s="2" t="str">
        <f>_xlfn.XLOOKUP(Moult1[[#This Row],[Hebras]],TbTecnologia[Hebras],TbTecnologia[Tecnología])</f>
        <v>OMP</v>
      </c>
      <c r="D76" s="2" t="str" cm="1">
        <f t="array" ref="D76">_xlfn.XLOOKUP(Moult1[[#This Row],[Tecnología]]&amp;Moult1[[#This Row],[Metodo]],TbTipos[Tecnología]&amp;TbTipos[Metodo],TbTipos[Tipo])</f>
        <v>OMP Operaciones</v>
      </c>
      <c r="E76" s="2" t="str" cm="1">
        <f t="array" ref="E76">_xlfn.XLOOKUP(Moult1[[#This Row],[Tecnología]]&amp;Moult1[[#This Row],[Problema]],TbNombres[Tecnología]&amp;TbNombres[Problema],TbNombres[Nombre])</f>
        <v>Simple Advdiff</v>
      </c>
      <c r="F76" s="4">
        <v>5</v>
      </c>
      <c r="G76" s="4">
        <v>1</v>
      </c>
      <c r="H76" s="4">
        <v>1</v>
      </c>
      <c r="I76" s="4">
        <v>10000</v>
      </c>
      <c r="J76" s="4">
        <v>10000</v>
      </c>
      <c r="K76" s="4">
        <v>70.638599999999997</v>
      </c>
      <c r="M76" s="2" t="str">
        <f>_xlfn.XLOOKUP(Moult2[[#This Row],[Metodo]],TbSolver[Metodo],TbSolver[Solver])</f>
        <v>Adams Bashford Moulton</v>
      </c>
      <c r="N76" s="2" t="str">
        <f>_xlfn.XLOOKUP(Moult2[[#This Row],[Hebras]],TbTecnologia[Hebras],TbTecnologia[Tecnología])</f>
        <v>OMP</v>
      </c>
      <c r="O76" s="2" t="str" cm="1">
        <f t="array" ref="O76">_xlfn.XLOOKUP(Moult2[[#This Row],[Tecnología]]&amp;Moult2[[#This Row],[Metodo]],TbTipos[Tecnología]&amp;TbTipos[Metodo],TbTipos[Tipo])</f>
        <v>OMP Operaciones</v>
      </c>
      <c r="P76" s="2" t="str" cm="1">
        <f t="array" ref="P76">_xlfn.XLOOKUP(Moult2[[#This Row],[Tecnología]]&amp;Moult2[[#This Row],[Problema]],TbNombres[Tecnología]&amp;TbNombres[Problema],TbNombres[Nombre])</f>
        <v>Advdiff1d</v>
      </c>
      <c r="Q76" s="4">
        <v>5</v>
      </c>
      <c r="R76" s="4">
        <v>2</v>
      </c>
      <c r="S76" s="4">
        <v>4</v>
      </c>
      <c r="T76" s="4">
        <v>10000</v>
      </c>
      <c r="U76" s="4">
        <v>10000</v>
      </c>
      <c r="V76" s="4">
        <v>246.178</v>
      </c>
      <c r="X76" s="2" t="str">
        <f>_xlfn.XLOOKUP(Moult3[[#This Row],[Metodo]],TbSolver[Metodo],TbSolver[Solver])</f>
        <v>Adams Bashford Moulton</v>
      </c>
      <c r="Y76" s="2" t="str">
        <f>_xlfn.XLOOKUP(Moult3[[#This Row],[Hebras]],TbTecnologia[Hebras],TbTecnologia[Tecnología])</f>
        <v>OMP</v>
      </c>
      <c r="Z76" s="2" t="str" cm="1">
        <f t="array" ref="Z76">_xlfn.XLOOKUP(Moult3[[#This Row],[Tecnología]]&amp;Moult3[[#This Row],[Metodo]],TbTipos[Tecnología]&amp;TbTipos[Metodo],TbTipos[Tipo])</f>
        <v>OMP Operaciones</v>
      </c>
      <c r="AA76" s="2" t="str" cm="1">
        <f t="array" ref="AA76">_xlfn.XLOOKUP(Moult3[[#This Row],[Tecnología]]&amp;Moult3[[#This Row],[Problema]],TbNombres[Tecnología]&amp;TbNombres[Problema],TbNombres[Nombre])</f>
        <v>Brusselator1d</v>
      </c>
      <c r="AB76" s="4">
        <v>5</v>
      </c>
      <c r="AC76" s="4">
        <v>3</v>
      </c>
      <c r="AD76" s="4">
        <v>1</v>
      </c>
      <c r="AE76" s="4">
        <v>5000</v>
      </c>
      <c r="AF76" s="4">
        <v>10000</v>
      </c>
      <c r="AG76" s="4">
        <v>103.361</v>
      </c>
      <c r="AI76" s="4" t="str">
        <f>_xlfn.XLOOKUP(Moult4[[#This Row],[Metodo]],TbSolver[Metodo],TbSolver[Solver])</f>
        <v>Adams Bashford Moulton</v>
      </c>
      <c r="AJ76" s="4" t="str">
        <f>_xlfn.XLOOKUP(Moult4[[#This Row],[Hebras]],TbTecnologia[Hebras],TbTecnologia[Tecnología])</f>
        <v>OMP</v>
      </c>
      <c r="AK76" s="4" t="str" cm="1">
        <f t="array" ref="AK76">_xlfn.XLOOKUP(Moult4[[#This Row],[Tecnología]]&amp;Moult4[[#This Row],[Metodo]],TbTipos[Tecnología]&amp;TbTipos[Metodo],TbTipos[Tipo])</f>
        <v>OMP Elementos</v>
      </c>
      <c r="AL76" s="4" t="str" cm="1">
        <f t="array" ref="AL76">_xlfn.XLOOKUP(Moult4[[#This Row],[Tecnología]]&amp;Moult4[[#This Row],[Problema]],TbNombres[Tecnología]&amp;TbNombres[Problema],TbNombres[Nombre])</f>
        <v>Brusselator2d</v>
      </c>
      <c r="AM76" s="4">
        <v>6</v>
      </c>
      <c r="AN76" s="4">
        <v>4</v>
      </c>
      <c r="AO76" s="4">
        <v>1</v>
      </c>
      <c r="AP76" s="4">
        <v>200</v>
      </c>
      <c r="AQ76" s="4">
        <v>80000</v>
      </c>
      <c r="AR76" s="4">
        <v>3809.65</v>
      </c>
    </row>
    <row r="77" spans="2:44" x14ac:dyDescent="0.2">
      <c r="B77" s="2" t="str">
        <f>_xlfn.XLOOKUP(Moult1[[#This Row],[Metodo]],TbSolver[Metodo],TbSolver[Solver])</f>
        <v>Adams Bashford Moulton</v>
      </c>
      <c r="C77" s="2" t="str">
        <f>_xlfn.XLOOKUP(Moult1[[#This Row],[Hebras]],TbTecnologia[Hebras],TbTecnologia[Tecnología])</f>
        <v>OMP</v>
      </c>
      <c r="D77" s="2" t="str" cm="1">
        <f t="array" ref="D77">_xlfn.XLOOKUP(Moult1[[#This Row],[Tecnología]]&amp;Moult1[[#This Row],[Metodo]],TbTipos[Tecnología]&amp;TbTipos[Metodo],TbTipos[Tipo])</f>
        <v>OMP Elementos</v>
      </c>
      <c r="E77" s="2" t="str" cm="1">
        <f t="array" ref="E77">_xlfn.XLOOKUP(Moult1[[#This Row],[Tecnología]]&amp;Moult1[[#This Row],[Problema]],TbNombres[Tecnología]&amp;TbNombres[Problema],TbNombres[Nombre])</f>
        <v>Simple Advdiff</v>
      </c>
      <c r="F77" s="4">
        <v>6</v>
      </c>
      <c r="G77" s="4">
        <v>1</v>
      </c>
      <c r="H77" s="4">
        <v>4</v>
      </c>
      <c r="I77" s="4">
        <v>10000</v>
      </c>
      <c r="J77" s="4">
        <v>10000</v>
      </c>
      <c r="K77" s="4">
        <v>70.852900000000005</v>
      </c>
      <c r="M77" s="2" t="str">
        <f>_xlfn.XLOOKUP(Moult2[[#This Row],[Metodo]],TbSolver[Metodo],TbSolver[Solver])</f>
        <v>Adams Bashford Moulton</v>
      </c>
      <c r="N77" s="2" t="str">
        <f>_xlfn.XLOOKUP(Moult2[[#This Row],[Hebras]],TbTecnologia[Hebras],TbTecnologia[Tecnología])</f>
        <v>OMP</v>
      </c>
      <c r="O77" s="2" t="str" cm="1">
        <f t="array" ref="O77">_xlfn.XLOOKUP(Moult2[[#This Row],[Tecnología]]&amp;Moult2[[#This Row],[Metodo]],TbTipos[Tecnología]&amp;TbTipos[Metodo],TbTipos[Tipo])</f>
        <v>OMP Elementos</v>
      </c>
      <c r="P77" s="2" t="str" cm="1">
        <f t="array" ref="P77">_xlfn.XLOOKUP(Moult2[[#This Row],[Tecnología]]&amp;Moult2[[#This Row],[Problema]],TbNombres[Tecnología]&amp;TbNombres[Problema],TbNombres[Nombre])</f>
        <v>Advdiff1d</v>
      </c>
      <c r="Q77" s="4">
        <v>6</v>
      </c>
      <c r="R77" s="4">
        <v>2</v>
      </c>
      <c r="S77" s="4">
        <v>4</v>
      </c>
      <c r="T77" s="4">
        <v>10000</v>
      </c>
      <c r="U77" s="4">
        <v>10000</v>
      </c>
      <c r="V77" s="4">
        <v>258.58300000000003</v>
      </c>
      <c r="X77" s="2" t="str">
        <f>_xlfn.XLOOKUP(Moult3[[#This Row],[Metodo]],TbSolver[Metodo],TbSolver[Solver])</f>
        <v>Adams Bashford Moulton</v>
      </c>
      <c r="Y77" s="2" t="str">
        <f>_xlfn.XLOOKUP(Moult3[[#This Row],[Hebras]],TbTecnologia[Hebras],TbTecnologia[Tecnología])</f>
        <v>OMP</v>
      </c>
      <c r="Z77" s="2" t="str" cm="1">
        <f t="array" ref="Z77">_xlfn.XLOOKUP(Moult3[[#This Row],[Tecnología]]&amp;Moult3[[#This Row],[Metodo]],TbTipos[Tecnología]&amp;TbTipos[Metodo],TbTipos[Tipo])</f>
        <v>OMP Operaciones</v>
      </c>
      <c r="AA77" s="2" t="str" cm="1">
        <f t="array" ref="AA77">_xlfn.XLOOKUP(Moult3[[#This Row],[Tecnología]]&amp;Moult3[[#This Row],[Problema]],TbNombres[Tecnología]&amp;TbNombres[Problema],TbNombres[Nombre])</f>
        <v>Brusselator1d</v>
      </c>
      <c r="AB77" s="4">
        <v>5</v>
      </c>
      <c r="AC77" s="4">
        <v>3</v>
      </c>
      <c r="AD77" s="4">
        <v>16</v>
      </c>
      <c r="AE77" s="4">
        <v>5000</v>
      </c>
      <c r="AF77" s="4">
        <v>10000</v>
      </c>
      <c r="AG77" s="4">
        <v>133.191</v>
      </c>
      <c r="AI77" s="4" t="str">
        <f>_xlfn.XLOOKUP(Moult4[[#This Row],[Metodo]],TbSolver[Metodo],TbSolver[Solver])</f>
        <v>Adams Bashford Moulton</v>
      </c>
      <c r="AJ77" s="4" t="str">
        <f>_xlfn.XLOOKUP(Moult4[[#This Row],[Hebras]],TbTecnologia[Hebras],TbTecnologia[Tecnología])</f>
        <v>OMP</v>
      </c>
      <c r="AK77" s="4" t="str" cm="1">
        <f t="array" ref="AK77">_xlfn.XLOOKUP(Moult4[[#This Row],[Tecnología]]&amp;Moult4[[#This Row],[Metodo]],TbTipos[Tecnología]&amp;TbTipos[Metodo],TbTipos[Tipo])</f>
        <v>OMP Elementos</v>
      </c>
      <c r="AL77" s="4" t="str" cm="1">
        <f t="array" ref="AL77">_xlfn.XLOOKUP(Moult4[[#This Row],[Tecnología]]&amp;Moult4[[#This Row],[Problema]],TbNombres[Tecnología]&amp;TbNombres[Problema],TbNombres[Nombre])</f>
        <v>Brusselator2d</v>
      </c>
      <c r="AM77" s="4">
        <v>6</v>
      </c>
      <c r="AN77" s="4">
        <v>4</v>
      </c>
      <c r="AO77" s="4">
        <v>1</v>
      </c>
      <c r="AP77" s="4">
        <v>200</v>
      </c>
      <c r="AQ77" s="4">
        <v>80000</v>
      </c>
      <c r="AR77" s="4">
        <v>3970.37</v>
      </c>
    </row>
    <row r="78" spans="2:44" x14ac:dyDescent="0.2">
      <c r="B78" s="2" t="str">
        <f>_xlfn.XLOOKUP(Moult1[[#This Row],[Metodo]],TbSolver[Metodo],TbSolver[Solver])</f>
        <v>Adams Bashford Moulton</v>
      </c>
      <c r="C78" s="2" t="str">
        <f>_xlfn.XLOOKUP(Moult1[[#This Row],[Hebras]],TbTecnologia[Hebras],TbTecnologia[Tecnología])</f>
        <v>OMP</v>
      </c>
      <c r="D78" s="2" t="str" cm="1">
        <f t="array" ref="D78">_xlfn.XLOOKUP(Moult1[[#This Row],[Tecnología]]&amp;Moult1[[#This Row],[Metodo]],TbTipos[Tecnología]&amp;TbTipos[Metodo],TbTipos[Tipo])</f>
        <v>OMP Operaciones</v>
      </c>
      <c r="E78" s="2" t="str" cm="1">
        <f t="array" ref="E78">_xlfn.XLOOKUP(Moult1[[#This Row],[Tecnología]]&amp;Moult1[[#This Row],[Problema]],TbNombres[Tecnología]&amp;TbNombres[Problema],TbNombres[Nombre])</f>
        <v>Simple Advdiff</v>
      </c>
      <c r="F78" s="4">
        <v>5</v>
      </c>
      <c r="G78" s="4">
        <v>1</v>
      </c>
      <c r="H78" s="4">
        <v>16</v>
      </c>
      <c r="I78" s="4">
        <v>10000</v>
      </c>
      <c r="J78" s="4">
        <v>10000</v>
      </c>
      <c r="K78" s="4">
        <v>112.84</v>
      </c>
      <c r="M78" s="2" t="str">
        <f>_xlfn.XLOOKUP(Moult2[[#This Row],[Metodo]],TbSolver[Metodo],TbSolver[Solver])</f>
        <v>Adams Bashford Moulton</v>
      </c>
      <c r="N78" s="2" t="str">
        <f>_xlfn.XLOOKUP(Moult2[[#This Row],[Hebras]],TbTecnologia[Hebras],TbTecnologia[Tecnología])</f>
        <v>OMP</v>
      </c>
      <c r="O78" s="2" t="str" cm="1">
        <f t="array" ref="O78">_xlfn.XLOOKUP(Moult2[[#This Row],[Tecnología]]&amp;Moult2[[#This Row],[Metodo]],TbTipos[Tecnología]&amp;TbTipos[Metodo],TbTipos[Tipo])</f>
        <v>OMP Operaciones</v>
      </c>
      <c r="P78" s="2" t="str" cm="1">
        <f t="array" ref="P78">_xlfn.XLOOKUP(Moult2[[#This Row],[Tecnología]]&amp;Moult2[[#This Row],[Problema]],TbNombres[Tecnología]&amp;TbNombres[Problema],TbNombres[Nombre])</f>
        <v>Advdiff1d</v>
      </c>
      <c r="Q78" s="4">
        <v>5</v>
      </c>
      <c r="R78" s="4">
        <v>2</v>
      </c>
      <c r="S78" s="4">
        <v>1</v>
      </c>
      <c r="T78" s="4">
        <v>10000</v>
      </c>
      <c r="U78" s="4">
        <v>10000</v>
      </c>
      <c r="V78" s="4">
        <v>687.25400000000002</v>
      </c>
      <c r="X78" s="2" t="str">
        <f>_xlfn.XLOOKUP(Moult3[[#This Row],[Metodo]],TbSolver[Metodo],TbSolver[Solver])</f>
        <v>Adams Bashford Moulton</v>
      </c>
      <c r="Y78" s="2" t="str">
        <f>_xlfn.XLOOKUP(Moult3[[#This Row],[Hebras]],TbTecnologia[Hebras],TbTecnologia[Tecnología])</f>
        <v>OMP</v>
      </c>
      <c r="Z78" s="2" t="str" cm="1">
        <f t="array" ref="Z78">_xlfn.XLOOKUP(Moult3[[#This Row],[Tecnología]]&amp;Moult3[[#This Row],[Metodo]],TbTipos[Tecnología]&amp;TbTipos[Metodo],TbTipos[Tipo])</f>
        <v>OMP Elementos</v>
      </c>
      <c r="AA78" s="2" t="str" cm="1">
        <f t="array" ref="AA78">_xlfn.XLOOKUP(Moult3[[#This Row],[Tecnología]]&amp;Moult3[[#This Row],[Problema]],TbNombres[Tecnología]&amp;TbNombres[Problema],TbNombres[Nombre])</f>
        <v>Brusselator1d</v>
      </c>
      <c r="AB78" s="4">
        <v>6</v>
      </c>
      <c r="AC78" s="4">
        <v>3</v>
      </c>
      <c r="AD78" s="4">
        <v>1</v>
      </c>
      <c r="AE78" s="4">
        <v>5000</v>
      </c>
      <c r="AF78" s="4">
        <v>10000</v>
      </c>
      <c r="AG78" s="4">
        <v>254.815</v>
      </c>
      <c r="AI78" s="2" t="str">
        <f>_xlfn.XLOOKUP(Moult4[[#This Row],[Metodo]],TbSolver[Metodo],TbSolver[Solver])</f>
        <v>Adams Bashford Moulton</v>
      </c>
      <c r="AJ78" s="2" t="str">
        <f>_xlfn.XLOOKUP(Moult4[[#This Row],[Hebras]],TbTecnologia[Hebras],TbTecnologia[Tecnología])</f>
        <v>CUDA</v>
      </c>
      <c r="AK78" s="2" t="str" cm="1">
        <f t="array" ref="AK78">_xlfn.XLOOKUP(Moult4[[#This Row],[Tecnología]]&amp;Moult4[[#This Row],[Metodo]],TbTipos[Tecnología]&amp;TbTipos[Metodo],TbTipos[Tipo])</f>
        <v>CUDA sin graph</v>
      </c>
      <c r="AL78" s="2" t="str" cm="1">
        <f t="array" ref="AL78">_xlfn.XLOOKUP(Moult4[[#This Row],[Tecnología]]&amp;Moult4[[#This Row],[Problema]],TbNombres[Tecnología]&amp;TbNombres[Problema],TbNombres[Nombre])</f>
        <v>Brusselator2d</v>
      </c>
      <c r="AM78" s="21">
        <v>5</v>
      </c>
      <c r="AN78" s="21">
        <v>8</v>
      </c>
      <c r="AO78" s="21">
        <v>256</v>
      </c>
      <c r="AP78" s="21">
        <v>225</v>
      </c>
      <c r="AQ78" s="21">
        <v>101250</v>
      </c>
      <c r="AR78" s="21">
        <v>62.0139</v>
      </c>
    </row>
    <row r="79" spans="2:44" x14ac:dyDescent="0.2">
      <c r="B79" s="2" t="str">
        <f>_xlfn.XLOOKUP(Moult1[[#This Row],[Metodo]],TbSolver[Metodo],TbSolver[Solver])</f>
        <v>Adams Bashford Moulton</v>
      </c>
      <c r="C79" s="2" t="str">
        <f>_xlfn.XLOOKUP(Moult1[[#This Row],[Hebras]],TbTecnologia[Hebras],TbTecnologia[Tecnología])</f>
        <v>OMP</v>
      </c>
      <c r="D79" s="2" t="str" cm="1">
        <f t="array" ref="D79">_xlfn.XLOOKUP(Moult1[[#This Row],[Tecnología]]&amp;Moult1[[#This Row],[Metodo]],TbTipos[Tecnología]&amp;TbTipos[Metodo],TbTipos[Tipo])</f>
        <v>OMP Elementos</v>
      </c>
      <c r="E79" s="2" t="str" cm="1">
        <f t="array" ref="E79">_xlfn.XLOOKUP(Moult1[[#This Row],[Tecnología]]&amp;Moult1[[#This Row],[Problema]],TbNombres[Tecnología]&amp;TbNombres[Problema],TbNombres[Nombre])</f>
        <v>Simple Advdiff</v>
      </c>
      <c r="F79" s="4">
        <v>6</v>
      </c>
      <c r="G79" s="4">
        <v>1</v>
      </c>
      <c r="H79" s="4">
        <v>1</v>
      </c>
      <c r="I79" s="4">
        <v>10000</v>
      </c>
      <c r="J79" s="4">
        <v>10000</v>
      </c>
      <c r="K79" s="4">
        <v>238.36600000000001</v>
      </c>
      <c r="M79" s="2" t="str">
        <f>_xlfn.XLOOKUP(Moult2[[#This Row],[Metodo]],TbSolver[Metodo],TbSolver[Solver])</f>
        <v>Adams Bashford Moulton</v>
      </c>
      <c r="N79" s="2" t="str">
        <f>_xlfn.XLOOKUP(Moult2[[#This Row],[Hebras]],TbTecnologia[Hebras],TbTecnologia[Tecnología])</f>
        <v>OMP</v>
      </c>
      <c r="O79" s="2" t="str" cm="1">
        <f t="array" ref="O79">_xlfn.XLOOKUP(Moult2[[#This Row],[Tecnología]]&amp;Moult2[[#This Row],[Metodo]],TbTipos[Tecnología]&amp;TbTipos[Metodo],TbTipos[Tipo])</f>
        <v>OMP Elementos</v>
      </c>
      <c r="P79" s="2" t="str" cm="1">
        <f t="array" ref="P79">_xlfn.XLOOKUP(Moult2[[#This Row],[Tecnología]]&amp;Moult2[[#This Row],[Problema]],TbNombres[Tecnología]&amp;TbNombres[Problema],TbNombres[Nombre])</f>
        <v>Advdiff1d</v>
      </c>
      <c r="Q79" s="4">
        <v>6</v>
      </c>
      <c r="R79" s="4">
        <v>2</v>
      </c>
      <c r="S79" s="4">
        <v>1</v>
      </c>
      <c r="T79" s="4">
        <v>10000</v>
      </c>
      <c r="U79" s="4">
        <v>10000</v>
      </c>
      <c r="V79" s="4">
        <v>907.27200000000005</v>
      </c>
      <c r="X79" s="2" t="str">
        <f>_xlfn.XLOOKUP(Moult3[[#This Row],[Metodo]],TbSolver[Metodo],TbSolver[Solver])</f>
        <v>Adams Bashford Moulton</v>
      </c>
      <c r="Y79" s="2" t="str">
        <f>_xlfn.XLOOKUP(Moult3[[#This Row],[Hebras]],TbTecnologia[Hebras],TbTecnologia[Tecnología])</f>
        <v>OMP</v>
      </c>
      <c r="Z79" s="2" t="str" cm="1">
        <f t="array" ref="Z79">_xlfn.XLOOKUP(Moult3[[#This Row],[Tecnología]]&amp;Moult3[[#This Row],[Metodo]],TbTipos[Tecnología]&amp;TbTipos[Metodo],TbTipos[Tipo])</f>
        <v>OMP Elementos</v>
      </c>
      <c r="AA79" s="2" t="str" cm="1">
        <f t="array" ref="AA79">_xlfn.XLOOKUP(Moult3[[#This Row],[Tecnología]]&amp;Moult3[[#This Row],[Problema]],TbNombres[Tecnología]&amp;TbNombres[Problema],TbNombres[Nombre])</f>
        <v>Brusselator1d</v>
      </c>
      <c r="AB79" s="4">
        <v>6</v>
      </c>
      <c r="AC79" s="4">
        <v>3</v>
      </c>
      <c r="AD79" s="4">
        <v>16</v>
      </c>
      <c r="AE79" s="4">
        <v>7500</v>
      </c>
      <c r="AF79" s="4">
        <v>15000</v>
      </c>
      <c r="AG79" s="4">
        <v>53.369</v>
      </c>
      <c r="AI79" s="2" t="str">
        <f>_xlfn.XLOOKUP(Moult4[[#This Row],[Metodo]],TbSolver[Metodo],TbSolver[Solver])</f>
        <v>Adams Bashford Moulton</v>
      </c>
      <c r="AJ79" s="2" t="str">
        <f>_xlfn.XLOOKUP(Moult4[[#This Row],[Hebras]],TbTecnologia[Hebras],TbTecnologia[Tecnología])</f>
        <v>CUDA</v>
      </c>
      <c r="AK79" s="2" t="str" cm="1">
        <f t="array" ref="AK79">_xlfn.XLOOKUP(Moult4[[#This Row],[Tecnología]]&amp;Moult4[[#This Row],[Metodo]],TbTipos[Tecnología]&amp;TbTipos[Metodo],TbTipos[Tipo])</f>
        <v>CUDA con graph</v>
      </c>
      <c r="AL79" s="2" t="str" cm="1">
        <f t="array" ref="AL79">_xlfn.XLOOKUP(Moult4[[#This Row],[Tecnología]]&amp;Moult4[[#This Row],[Problema]],TbNombres[Tecnología]&amp;TbNombres[Problema],TbNombres[Nombre])</f>
        <v>Brusselator2d</v>
      </c>
      <c r="AM79" s="21">
        <v>6</v>
      </c>
      <c r="AN79" s="21">
        <v>8</v>
      </c>
      <c r="AO79" s="21">
        <v>256</v>
      </c>
      <c r="AP79" s="21">
        <v>225</v>
      </c>
      <c r="AQ79" s="21">
        <v>101250</v>
      </c>
      <c r="AR79" s="21">
        <v>69.774000000000001</v>
      </c>
    </row>
    <row r="80" spans="2:44" x14ac:dyDescent="0.2">
      <c r="B80" s="2" t="str">
        <f>_xlfn.XLOOKUP(Moult1[[#This Row],[Metodo]],TbSolver[Metodo],TbSolver[Solver])</f>
        <v>Adams Bashford Moulton</v>
      </c>
      <c r="C80" s="2" t="str">
        <f>_xlfn.XLOOKUP(Moult1[[#This Row],[Hebras]],TbTecnologia[Hebras],TbTecnologia[Tecnología])</f>
        <v>CUDA</v>
      </c>
      <c r="D80" s="2" t="str" cm="1">
        <f t="array" ref="D80">_xlfn.XLOOKUP(Moult1[[#This Row],[Tecnología]]&amp;Moult1[[#This Row],[Metodo]],TbTipos[Tecnología]&amp;TbTipos[Metodo],TbTipos[Tipo])</f>
        <v>CUDA con graph</v>
      </c>
      <c r="E80" s="2" t="str" cm="1">
        <f t="array" ref="E80">_xlfn.XLOOKUP(Moult1[[#This Row],[Tecnología]]&amp;Moult1[[#This Row],[Problema]],TbNombres[Tecnología]&amp;TbNombres[Problema],TbNombres[Nombre])</f>
        <v>Simple Advdiff</v>
      </c>
      <c r="F80" s="21">
        <v>6</v>
      </c>
      <c r="G80" s="21">
        <v>1</v>
      </c>
      <c r="H80" s="21">
        <v>256</v>
      </c>
      <c r="I80" s="21">
        <v>15000</v>
      </c>
      <c r="J80" s="21">
        <v>15000</v>
      </c>
      <c r="K80" s="21">
        <v>13.454800000000001</v>
      </c>
      <c r="M80" s="2" t="str">
        <f>_xlfn.XLOOKUP(Moult2[[#This Row],[Metodo]],TbSolver[Metodo],TbSolver[Solver])</f>
        <v>Adams Bashford Moulton</v>
      </c>
      <c r="N80" s="2" t="str">
        <f>_xlfn.XLOOKUP(Moult2[[#This Row],[Hebras]],TbTecnologia[Hebras],TbTecnologia[Tecnología])</f>
        <v>CUDA</v>
      </c>
      <c r="O80" s="2" t="str" cm="1">
        <f t="array" ref="O80">_xlfn.XLOOKUP(Moult2[[#This Row],[Tecnología]]&amp;Moult2[[#This Row],[Metodo]],TbTipos[Tecnología]&amp;TbTipos[Metodo],TbTipos[Tipo])</f>
        <v>CUDA con graph</v>
      </c>
      <c r="P80" s="2" t="str" cm="1">
        <f t="array" ref="P80">_xlfn.XLOOKUP(Moult2[[#This Row],[Tecnología]]&amp;Moult2[[#This Row],[Problema]],TbNombres[Tecnología]&amp;TbNombres[Problema],TbNombres[Nombre])</f>
        <v>Advdiff1d</v>
      </c>
      <c r="Q80" s="21">
        <v>6</v>
      </c>
      <c r="R80" s="21">
        <v>3</v>
      </c>
      <c r="S80" s="21">
        <v>256</v>
      </c>
      <c r="T80" s="21">
        <v>15000</v>
      </c>
      <c r="U80" s="21">
        <v>15000</v>
      </c>
      <c r="V80" s="21">
        <v>25.3888</v>
      </c>
      <c r="X80" s="2" t="str">
        <f>_xlfn.XLOOKUP(Moult3[[#This Row],[Metodo]],TbSolver[Metodo],TbSolver[Solver])</f>
        <v>Adams Bashford Moulton</v>
      </c>
      <c r="Y80" s="2" t="str">
        <f>_xlfn.XLOOKUP(Moult3[[#This Row],[Hebras]],TbTecnologia[Hebras],TbTecnologia[Tecnología])</f>
        <v>OMP</v>
      </c>
      <c r="Z80" s="2" t="str" cm="1">
        <f t="array" ref="Z80">_xlfn.XLOOKUP(Moult3[[#This Row],[Tecnología]]&amp;Moult3[[#This Row],[Metodo]],TbTipos[Tecnología]&amp;TbTipos[Metodo],TbTipos[Tipo])</f>
        <v>OMP Operaciones</v>
      </c>
      <c r="AA80" s="2" t="str" cm="1">
        <f t="array" ref="AA80">_xlfn.XLOOKUP(Moult3[[#This Row],[Tecnología]]&amp;Moult3[[#This Row],[Problema]],TbNombres[Tecnología]&amp;TbNombres[Problema],TbNombres[Nombre])</f>
        <v>Brusselator1d</v>
      </c>
      <c r="AB80" s="4">
        <v>5</v>
      </c>
      <c r="AC80" s="4">
        <v>3</v>
      </c>
      <c r="AD80" s="4">
        <v>4</v>
      </c>
      <c r="AE80" s="4">
        <v>7500</v>
      </c>
      <c r="AF80" s="4">
        <v>15000</v>
      </c>
      <c r="AG80" s="4">
        <v>86.768199999999993</v>
      </c>
      <c r="AI80" s="2" t="str">
        <f>_xlfn.XLOOKUP(Moult4[[#This Row],[Metodo]],TbSolver[Metodo],TbSolver[Solver])</f>
        <v>Adams Bashford Moulton</v>
      </c>
      <c r="AJ80" s="2" t="str">
        <f>_xlfn.XLOOKUP(Moult4[[#This Row],[Hebras]],TbTecnologia[Hebras],TbTecnologia[Tecnología])</f>
        <v>OMP</v>
      </c>
      <c r="AK80" s="2" t="str" cm="1">
        <f t="array" ref="AK80">_xlfn.XLOOKUP(Moult4[[#This Row],[Tecnología]]&amp;Moult4[[#This Row],[Metodo]],TbTipos[Tecnología]&amp;TbTipos[Metodo],TbTipos[Tipo])</f>
        <v>OMP Operaciones</v>
      </c>
      <c r="AL80" s="2" t="str" cm="1">
        <f t="array" ref="AL80">_xlfn.XLOOKUP(Moult4[[#This Row],[Tecnología]]&amp;Moult4[[#This Row],[Problema]],TbNombres[Tecnología]&amp;TbNombres[Problema],TbNombres[Nombre])</f>
        <v>Brusselator2d</v>
      </c>
      <c r="AM80" s="21">
        <v>5</v>
      </c>
      <c r="AN80" s="21">
        <v>4</v>
      </c>
      <c r="AO80" s="21">
        <v>16</v>
      </c>
      <c r="AP80" s="21">
        <v>225</v>
      </c>
      <c r="AQ80" s="21">
        <v>101250</v>
      </c>
      <c r="AR80" s="21">
        <v>236.23599999999999</v>
      </c>
    </row>
    <row r="81" spans="2:44" x14ac:dyDescent="0.2">
      <c r="B81" s="2" t="str">
        <f>_xlfn.XLOOKUP(Moult1[[#This Row],[Metodo]],TbSolver[Metodo],TbSolver[Solver])</f>
        <v>Adams Bashford Moulton</v>
      </c>
      <c r="C81" s="2" t="str">
        <f>_xlfn.XLOOKUP(Moult1[[#This Row],[Hebras]],TbTecnologia[Hebras],TbTecnologia[Tecnología])</f>
        <v>CUDA</v>
      </c>
      <c r="D81" s="2" t="str" cm="1">
        <f t="array" ref="D81">_xlfn.XLOOKUP(Moult1[[#This Row],[Tecnología]]&amp;Moult1[[#This Row],[Metodo]],TbTipos[Tecnología]&amp;TbTipos[Metodo],TbTipos[Tipo])</f>
        <v>CUDA sin graph</v>
      </c>
      <c r="E81" s="2" t="str" cm="1">
        <f t="array" ref="E81">_xlfn.XLOOKUP(Moult1[[#This Row],[Tecnología]]&amp;Moult1[[#This Row],[Problema]],TbNombres[Tecnología]&amp;TbNombres[Problema],TbNombres[Nombre])</f>
        <v>Simple Advdiff</v>
      </c>
      <c r="F81" s="21">
        <v>5</v>
      </c>
      <c r="G81" s="21">
        <v>1</v>
      </c>
      <c r="H81" s="21">
        <v>256</v>
      </c>
      <c r="I81" s="21">
        <v>15000</v>
      </c>
      <c r="J81" s="21">
        <v>15000</v>
      </c>
      <c r="K81" s="21">
        <v>13.9414</v>
      </c>
      <c r="M81" s="2" t="str">
        <f>_xlfn.XLOOKUP(Moult2[[#This Row],[Metodo]],TbSolver[Metodo],TbSolver[Solver])</f>
        <v>Adams Bashford Moulton</v>
      </c>
      <c r="N81" s="2" t="str">
        <f>_xlfn.XLOOKUP(Moult2[[#This Row],[Hebras]],TbTecnologia[Hebras],TbTecnologia[Tecnología])</f>
        <v>CUDA</v>
      </c>
      <c r="O81" s="2" t="str" cm="1">
        <f t="array" ref="O81">_xlfn.XLOOKUP(Moult2[[#This Row],[Tecnología]]&amp;Moult2[[#This Row],[Metodo]],TbTipos[Tecnología]&amp;TbTipos[Metodo],TbTipos[Tipo])</f>
        <v>CUDA sin graph</v>
      </c>
      <c r="P81" s="2" t="str" cm="1">
        <f t="array" ref="P81">_xlfn.XLOOKUP(Moult2[[#This Row],[Tecnología]]&amp;Moult2[[#This Row],[Problema]],TbNombres[Tecnología]&amp;TbNombres[Problema],TbNombres[Nombre])</f>
        <v>Advdiff1d</v>
      </c>
      <c r="Q81" s="21">
        <v>5</v>
      </c>
      <c r="R81" s="21">
        <v>3</v>
      </c>
      <c r="S81" s="21">
        <v>256</v>
      </c>
      <c r="T81" s="21">
        <v>15000</v>
      </c>
      <c r="U81" s="21">
        <v>15000</v>
      </c>
      <c r="V81" s="21">
        <v>25.7163</v>
      </c>
      <c r="X81" s="2" t="str">
        <f>_xlfn.XLOOKUP(Moult3[[#This Row],[Metodo]],TbSolver[Metodo],TbSolver[Solver])</f>
        <v>Adams Bashford Moulton</v>
      </c>
      <c r="Y81" s="2" t="str">
        <f>_xlfn.XLOOKUP(Moult3[[#This Row],[Hebras]],TbTecnologia[Hebras],TbTecnologia[Tecnología])</f>
        <v>OMP</v>
      </c>
      <c r="Z81" s="2" t="str" cm="1">
        <f t="array" ref="Z81">_xlfn.XLOOKUP(Moult3[[#This Row],[Tecnología]]&amp;Moult3[[#This Row],[Metodo]],TbTipos[Tecnología]&amp;TbTipos[Metodo],TbTipos[Tipo])</f>
        <v>OMP Operaciones</v>
      </c>
      <c r="AA81" s="2" t="str" cm="1">
        <f t="array" ref="AA81">_xlfn.XLOOKUP(Moult3[[#This Row],[Tecnología]]&amp;Moult3[[#This Row],[Problema]],TbNombres[Tecnología]&amp;TbNombres[Problema],TbNombres[Nombre])</f>
        <v>Brusselator1d</v>
      </c>
      <c r="AB81" s="4">
        <v>5</v>
      </c>
      <c r="AC81" s="4">
        <v>3</v>
      </c>
      <c r="AD81" s="4">
        <v>16</v>
      </c>
      <c r="AE81" s="4">
        <v>7500</v>
      </c>
      <c r="AF81" s="4">
        <v>15000</v>
      </c>
      <c r="AG81" s="4">
        <v>105.91800000000001</v>
      </c>
      <c r="AI81" s="2" t="str">
        <f>_xlfn.XLOOKUP(Moult4[[#This Row],[Metodo]],TbSolver[Metodo],TbSolver[Solver])</f>
        <v>Adams Bashford Moulton</v>
      </c>
      <c r="AJ81" s="2" t="str">
        <f>_xlfn.XLOOKUP(Moult4[[#This Row],[Hebras]],TbTecnologia[Hebras],TbTecnologia[Tecnología])</f>
        <v>OMP</v>
      </c>
      <c r="AK81" s="2" t="str" cm="1">
        <f t="array" ref="AK81">_xlfn.XLOOKUP(Moult4[[#This Row],[Tecnología]]&amp;Moult4[[#This Row],[Metodo]],TbTipos[Tecnología]&amp;TbTipos[Metodo],TbTipos[Tipo])</f>
        <v>OMP Elementos</v>
      </c>
      <c r="AL81" s="2" t="str" cm="1">
        <f t="array" ref="AL81">_xlfn.XLOOKUP(Moult4[[#This Row],[Tecnología]]&amp;Moult4[[#This Row],[Problema]],TbNombres[Tecnología]&amp;TbNombres[Problema],TbNombres[Nombre])</f>
        <v>Brusselator2d</v>
      </c>
      <c r="AM81" s="21">
        <v>6</v>
      </c>
      <c r="AN81" s="21">
        <v>4</v>
      </c>
      <c r="AO81" s="21">
        <v>16</v>
      </c>
      <c r="AP81" s="21">
        <v>225</v>
      </c>
      <c r="AQ81" s="21">
        <v>101250</v>
      </c>
      <c r="AR81" s="21">
        <v>366.22</v>
      </c>
    </row>
    <row r="82" spans="2:44" x14ac:dyDescent="0.2">
      <c r="B82" s="2" t="str">
        <f>_xlfn.XLOOKUP(Moult1[[#This Row],[Metodo]],TbSolver[Metodo],TbSolver[Solver])</f>
        <v>Adams Bashford Moulton</v>
      </c>
      <c r="C82" s="2" t="str">
        <f>_xlfn.XLOOKUP(Moult1[[#This Row],[Hebras]],TbTecnologia[Hebras],TbTecnologia[Tecnología])</f>
        <v>OMP</v>
      </c>
      <c r="D82" s="2" t="str" cm="1">
        <f t="array" ref="D82">_xlfn.XLOOKUP(Moult1[[#This Row],[Tecnología]]&amp;Moult1[[#This Row],[Metodo]],TbTipos[Tecnología]&amp;TbTipos[Metodo],TbTipos[Tipo])</f>
        <v>OMP Elementos</v>
      </c>
      <c r="E82" s="2" t="str" cm="1">
        <f t="array" ref="E82">_xlfn.XLOOKUP(Moult1[[#This Row],[Tecnología]]&amp;Moult1[[#This Row],[Problema]],TbNombres[Tecnología]&amp;TbNombres[Problema],TbNombres[Nombre])</f>
        <v>Simple Advdiff</v>
      </c>
      <c r="F82" s="4">
        <v>6</v>
      </c>
      <c r="G82" s="4">
        <v>1</v>
      </c>
      <c r="H82" s="4">
        <v>16</v>
      </c>
      <c r="I82" s="4">
        <v>15000</v>
      </c>
      <c r="J82" s="4">
        <v>15000</v>
      </c>
      <c r="K82" s="4">
        <v>44.076000000000001</v>
      </c>
      <c r="M82" s="2" t="str">
        <f>_xlfn.XLOOKUP(Moult2[[#This Row],[Metodo]],TbSolver[Metodo],TbSolver[Solver])</f>
        <v>Adams Bashford Moulton</v>
      </c>
      <c r="N82" s="2" t="str">
        <f>_xlfn.XLOOKUP(Moult2[[#This Row],[Hebras]],TbTecnologia[Hebras],TbTecnologia[Tecnología])</f>
        <v>OMP</v>
      </c>
      <c r="O82" s="2" t="str" cm="1">
        <f t="array" ref="O82">_xlfn.XLOOKUP(Moult2[[#This Row],[Tecnología]]&amp;Moult2[[#This Row],[Metodo]],TbTipos[Tecnología]&amp;TbTipos[Metodo],TbTipos[Tipo])</f>
        <v>OMP Elementos</v>
      </c>
      <c r="P82" s="2" t="str" cm="1">
        <f t="array" ref="P82">_xlfn.XLOOKUP(Moult2[[#This Row],[Tecnología]]&amp;Moult2[[#This Row],[Problema]],TbNombres[Tecnología]&amp;TbNombres[Problema],TbNombres[Nombre])</f>
        <v>Advdiff1d</v>
      </c>
      <c r="Q82" s="4">
        <v>6</v>
      </c>
      <c r="R82" s="4">
        <v>2</v>
      </c>
      <c r="S82" s="4">
        <v>16</v>
      </c>
      <c r="T82" s="4">
        <v>15000</v>
      </c>
      <c r="U82" s="4">
        <v>15000</v>
      </c>
      <c r="V82" s="4">
        <v>118.075</v>
      </c>
      <c r="X82" s="2" t="str">
        <f>_xlfn.XLOOKUP(Moult3[[#This Row],[Metodo]],TbSolver[Metodo],TbSolver[Solver])</f>
        <v>Adams Bashford Moulton</v>
      </c>
      <c r="Y82" s="2" t="str">
        <f>_xlfn.XLOOKUP(Moult3[[#This Row],[Hebras]],TbTecnologia[Hebras],TbTecnologia[Tecnología])</f>
        <v>OMP</v>
      </c>
      <c r="Z82" s="2" t="str" cm="1">
        <f t="array" ref="Z82">_xlfn.XLOOKUP(Moult3[[#This Row],[Tecnología]]&amp;Moult3[[#This Row],[Metodo]],TbTipos[Tecnología]&amp;TbTipos[Metodo],TbTipos[Tipo])</f>
        <v>OMP Elementos</v>
      </c>
      <c r="AA82" s="2" t="str" cm="1">
        <f t="array" ref="AA82">_xlfn.XLOOKUP(Moult3[[#This Row],[Tecnología]]&amp;Moult3[[#This Row],[Problema]],TbNombres[Tecnología]&amp;TbNombres[Problema],TbNombres[Nombre])</f>
        <v>Brusselator1d</v>
      </c>
      <c r="AB82" s="4">
        <v>6</v>
      </c>
      <c r="AC82" s="4">
        <v>3</v>
      </c>
      <c r="AD82" s="4">
        <v>4</v>
      </c>
      <c r="AE82" s="4">
        <v>7500</v>
      </c>
      <c r="AF82" s="4">
        <v>15000</v>
      </c>
      <c r="AG82" s="4">
        <v>107.26300000000001</v>
      </c>
      <c r="AI82" s="2" t="str">
        <f>_xlfn.XLOOKUP(Moult4[[#This Row],[Metodo]],TbSolver[Metodo],TbSolver[Solver])</f>
        <v>Adams Bashford Moulton</v>
      </c>
      <c r="AJ82" s="2" t="str">
        <f>_xlfn.XLOOKUP(Moult4[[#This Row],[Hebras]],TbTecnologia[Hebras],TbTecnologia[Tecnología])</f>
        <v>OMP</v>
      </c>
      <c r="AK82" s="2" t="str" cm="1">
        <f t="array" ref="AK82">_xlfn.XLOOKUP(Moult4[[#This Row],[Tecnología]]&amp;Moult4[[#This Row],[Metodo]],TbTipos[Tecnología]&amp;TbTipos[Metodo],TbTipos[Tipo])</f>
        <v>OMP Operaciones</v>
      </c>
      <c r="AL82" s="2" t="str" cm="1">
        <f t="array" ref="AL82">_xlfn.XLOOKUP(Moult4[[#This Row],[Tecnología]]&amp;Moult4[[#This Row],[Problema]],TbNombres[Tecnología]&amp;TbNombres[Problema],TbNombres[Nombre])</f>
        <v>Brusselator2d</v>
      </c>
      <c r="AM82" s="21">
        <v>5</v>
      </c>
      <c r="AN82" s="21">
        <v>4</v>
      </c>
      <c r="AO82" s="21">
        <v>4</v>
      </c>
      <c r="AP82" s="21">
        <v>225</v>
      </c>
      <c r="AQ82" s="21">
        <v>101250</v>
      </c>
      <c r="AR82" s="21">
        <v>551.56500000000005</v>
      </c>
    </row>
    <row r="83" spans="2:44" x14ac:dyDescent="0.2">
      <c r="B83" s="2" t="str">
        <f>_xlfn.XLOOKUP(Moult1[[#This Row],[Metodo]],TbSolver[Metodo],TbSolver[Solver])</f>
        <v>Adams Bashford Moulton</v>
      </c>
      <c r="C83" s="2" t="str">
        <f>_xlfn.XLOOKUP(Moult1[[#This Row],[Hebras]],TbTecnologia[Hebras],TbTecnologia[Tecnología])</f>
        <v>OMP</v>
      </c>
      <c r="D83" s="2" t="str" cm="1">
        <f t="array" ref="D83">_xlfn.XLOOKUP(Moult1[[#This Row],[Tecnología]]&amp;Moult1[[#This Row],[Metodo]],TbTipos[Tecnología]&amp;TbTipos[Metodo],TbTipos[Tipo])</f>
        <v>OMP Operaciones</v>
      </c>
      <c r="E83" s="2" t="str" cm="1">
        <f t="array" ref="E83">_xlfn.XLOOKUP(Moult1[[#This Row],[Tecnología]]&amp;Moult1[[#This Row],[Problema]],TbNombres[Tecnología]&amp;TbNombres[Problema],TbNombres[Nombre])</f>
        <v>Simple Advdiff</v>
      </c>
      <c r="F83" s="4">
        <v>5</v>
      </c>
      <c r="G83" s="4">
        <v>1</v>
      </c>
      <c r="H83" s="4">
        <v>4</v>
      </c>
      <c r="I83" s="4">
        <v>15000</v>
      </c>
      <c r="J83" s="4">
        <v>15000</v>
      </c>
      <c r="K83" s="4">
        <v>66.267899999999997</v>
      </c>
      <c r="M83" s="2" t="str">
        <f>_xlfn.XLOOKUP(Moult2[[#This Row],[Metodo]],TbSolver[Metodo],TbSolver[Solver])</f>
        <v>Adams Bashford Moulton</v>
      </c>
      <c r="N83" s="2" t="str">
        <f>_xlfn.XLOOKUP(Moult2[[#This Row],[Hebras]],TbTecnologia[Hebras],TbTecnologia[Tecnología])</f>
        <v>OMP</v>
      </c>
      <c r="O83" s="2" t="str" cm="1">
        <f t="array" ref="O83">_xlfn.XLOOKUP(Moult2[[#This Row],[Tecnología]]&amp;Moult2[[#This Row],[Metodo]],TbTipos[Tecnología]&amp;TbTipos[Metodo],TbTipos[Tipo])</f>
        <v>OMP Operaciones</v>
      </c>
      <c r="P83" s="2" t="str" cm="1">
        <f t="array" ref="P83">_xlfn.XLOOKUP(Moult2[[#This Row],[Tecnología]]&amp;Moult2[[#This Row],[Problema]],TbNombres[Tecnología]&amp;TbNombres[Problema],TbNombres[Nombre])</f>
        <v>Advdiff1d</v>
      </c>
      <c r="Q83" s="4">
        <v>5</v>
      </c>
      <c r="R83" s="4">
        <v>2</v>
      </c>
      <c r="S83" s="4">
        <v>16</v>
      </c>
      <c r="T83" s="4">
        <v>15000</v>
      </c>
      <c r="U83" s="4">
        <v>15000</v>
      </c>
      <c r="V83" s="4">
        <v>183.73</v>
      </c>
      <c r="X83" s="2" t="str">
        <f>_xlfn.XLOOKUP(Moult3[[#This Row],[Metodo]],TbSolver[Metodo],TbSolver[Solver])</f>
        <v>Adams Bashford Moulton</v>
      </c>
      <c r="Y83" s="2" t="str">
        <f>_xlfn.XLOOKUP(Moult3[[#This Row],[Hebras]],TbTecnologia[Hebras],TbTecnologia[Tecnología])</f>
        <v>OMP</v>
      </c>
      <c r="Z83" s="2" t="str" cm="1">
        <f t="array" ref="Z83">_xlfn.XLOOKUP(Moult3[[#This Row],[Tecnología]]&amp;Moult3[[#This Row],[Metodo]],TbTipos[Tecnología]&amp;TbTipos[Metodo],TbTipos[Tipo])</f>
        <v>OMP Operaciones</v>
      </c>
      <c r="AA83" s="2" t="str" cm="1">
        <f t="array" ref="AA83">_xlfn.XLOOKUP(Moult3[[#This Row],[Tecnología]]&amp;Moult3[[#This Row],[Problema]],TbNombres[Tecnología]&amp;TbNombres[Problema],TbNombres[Nombre])</f>
        <v>Brusselator1d</v>
      </c>
      <c r="AB83" s="4">
        <v>5</v>
      </c>
      <c r="AC83" s="4">
        <v>3</v>
      </c>
      <c r="AD83" s="4">
        <v>1</v>
      </c>
      <c r="AE83" s="4">
        <v>7500</v>
      </c>
      <c r="AF83" s="4">
        <v>15000</v>
      </c>
      <c r="AG83" s="4">
        <v>160.45400000000001</v>
      </c>
      <c r="AI83" s="2" t="str">
        <f>_xlfn.XLOOKUP(Moult4[[#This Row],[Metodo]],TbSolver[Metodo],TbSolver[Solver])</f>
        <v>Adams Bashford Moulton</v>
      </c>
      <c r="AJ83" s="2" t="str">
        <f>_xlfn.XLOOKUP(Moult4[[#This Row],[Hebras]],TbTecnologia[Hebras],TbTecnologia[Tecnología])</f>
        <v>OMP</v>
      </c>
      <c r="AK83" s="2" t="str" cm="1">
        <f t="array" ref="AK83">_xlfn.XLOOKUP(Moult4[[#This Row],[Tecnología]]&amp;Moult4[[#This Row],[Metodo]],TbTipos[Tecnología]&amp;TbTipos[Metodo],TbTipos[Tipo])</f>
        <v>OMP Elementos</v>
      </c>
      <c r="AL83" s="2" t="str" cm="1">
        <f t="array" ref="AL83">_xlfn.XLOOKUP(Moult4[[#This Row],[Tecnología]]&amp;Moult4[[#This Row],[Problema]],TbNombres[Tecnología]&amp;TbNombres[Problema],TbNombres[Nombre])</f>
        <v>Brusselator2d</v>
      </c>
      <c r="AM83" s="21">
        <v>6</v>
      </c>
      <c r="AN83" s="21">
        <v>4</v>
      </c>
      <c r="AO83" s="21">
        <v>4</v>
      </c>
      <c r="AP83" s="21">
        <v>225</v>
      </c>
      <c r="AQ83" s="21">
        <v>101250</v>
      </c>
      <c r="AR83" s="21">
        <v>1286.0899999999999</v>
      </c>
    </row>
    <row r="84" spans="2:44" x14ac:dyDescent="0.2">
      <c r="B84" s="2" t="str">
        <f>_xlfn.XLOOKUP(Moult1[[#This Row],[Metodo]],TbSolver[Metodo],TbSolver[Solver])</f>
        <v>Adams Bashford Moulton</v>
      </c>
      <c r="C84" s="2" t="str">
        <f>_xlfn.XLOOKUP(Moult1[[#This Row],[Hebras]],TbTecnologia[Hebras],TbTecnologia[Tecnología])</f>
        <v>OMP</v>
      </c>
      <c r="D84" s="2" t="str" cm="1">
        <f t="array" ref="D84">_xlfn.XLOOKUP(Moult1[[#This Row],[Tecnología]]&amp;Moult1[[#This Row],[Metodo]],TbTipos[Tecnología]&amp;TbTipos[Metodo],TbTipos[Tipo])</f>
        <v>OMP Operaciones</v>
      </c>
      <c r="E84" s="2" t="str" cm="1">
        <f t="array" ref="E84">_xlfn.XLOOKUP(Moult1[[#This Row],[Tecnología]]&amp;Moult1[[#This Row],[Problema]],TbNombres[Tecnología]&amp;TbNombres[Problema],TbNombres[Nombre])</f>
        <v>Simple Advdiff</v>
      </c>
      <c r="F84" s="4">
        <v>5</v>
      </c>
      <c r="G84" s="4">
        <v>1</v>
      </c>
      <c r="H84" s="4">
        <v>16</v>
      </c>
      <c r="I84" s="4">
        <v>15000</v>
      </c>
      <c r="J84" s="4">
        <v>15000</v>
      </c>
      <c r="K84" s="4">
        <v>89.283100000000005</v>
      </c>
      <c r="M84" s="2" t="str">
        <f>_xlfn.XLOOKUP(Moult2[[#This Row],[Metodo]],TbSolver[Metodo],TbSolver[Solver])</f>
        <v>Adams Bashford Moulton</v>
      </c>
      <c r="N84" s="2" t="str">
        <f>_xlfn.XLOOKUP(Moult2[[#This Row],[Hebras]],TbTecnologia[Hebras],TbTecnologia[Tecnología])</f>
        <v>OMP</v>
      </c>
      <c r="O84" s="2" t="str" cm="1">
        <f t="array" ref="O84">_xlfn.XLOOKUP(Moult2[[#This Row],[Tecnología]]&amp;Moult2[[#This Row],[Metodo]],TbTipos[Tecnología]&amp;TbTipos[Metodo],TbTipos[Tipo])</f>
        <v>OMP Operaciones</v>
      </c>
      <c r="P84" s="2" t="str" cm="1">
        <f t="array" ref="P84">_xlfn.XLOOKUP(Moult2[[#This Row],[Tecnología]]&amp;Moult2[[#This Row],[Problema]],TbNombres[Tecnología]&amp;TbNombres[Problema],TbNombres[Nombre])</f>
        <v>Advdiff1d</v>
      </c>
      <c r="Q84" s="4">
        <v>5</v>
      </c>
      <c r="R84" s="4">
        <v>2</v>
      </c>
      <c r="S84" s="4">
        <v>4</v>
      </c>
      <c r="T84" s="4">
        <v>15000</v>
      </c>
      <c r="U84" s="4">
        <v>15000</v>
      </c>
      <c r="V84" s="4">
        <v>337.99099999999999</v>
      </c>
      <c r="X84" s="2" t="str">
        <f>_xlfn.XLOOKUP(Moult3[[#This Row],[Metodo]],TbSolver[Metodo],TbSolver[Solver])</f>
        <v>Adams Bashford Moulton</v>
      </c>
      <c r="Y84" s="2" t="str">
        <f>_xlfn.XLOOKUP(Moult3[[#This Row],[Hebras]],TbTecnologia[Hebras],TbTecnologia[Tecnología])</f>
        <v>OMP</v>
      </c>
      <c r="Z84" s="2" t="str" cm="1">
        <f t="array" ref="Z84">_xlfn.XLOOKUP(Moult3[[#This Row],[Tecnología]]&amp;Moult3[[#This Row],[Metodo]],TbTipos[Tecnología]&amp;TbTipos[Metodo],TbTipos[Tipo])</f>
        <v>OMP Elementos</v>
      </c>
      <c r="AA84" s="2" t="str" cm="1">
        <f t="array" ref="AA84">_xlfn.XLOOKUP(Moult3[[#This Row],[Tecnología]]&amp;Moult3[[#This Row],[Problema]],TbNombres[Tecnología]&amp;TbNombres[Problema],TbNombres[Nombre])</f>
        <v>Brusselator1d</v>
      </c>
      <c r="AB84" s="4">
        <v>6</v>
      </c>
      <c r="AC84" s="4">
        <v>3</v>
      </c>
      <c r="AD84" s="4">
        <v>1</v>
      </c>
      <c r="AE84" s="4">
        <v>7500</v>
      </c>
      <c r="AF84" s="4">
        <v>15000</v>
      </c>
      <c r="AG84" s="4">
        <v>380.88799999999998</v>
      </c>
      <c r="AI84" s="2" t="str">
        <f>_xlfn.XLOOKUP(Moult4[[#This Row],[Metodo]],TbSolver[Metodo],TbSolver[Solver])</f>
        <v>Adams Bashford Moulton</v>
      </c>
      <c r="AJ84" s="2" t="str">
        <f>_xlfn.XLOOKUP(Moult4[[#This Row],[Hebras]],TbTecnologia[Hebras],TbTecnologia[Tecnología])</f>
        <v>OMP</v>
      </c>
      <c r="AK84" s="2" t="str" cm="1">
        <f t="array" ref="AK84">_xlfn.XLOOKUP(Moult4[[#This Row],[Tecnología]]&amp;Moult4[[#This Row],[Metodo]],TbTipos[Tecnología]&amp;TbTipos[Metodo],TbTipos[Tipo])</f>
        <v>OMP Operaciones</v>
      </c>
      <c r="AL84" s="2" t="str" cm="1">
        <f t="array" ref="AL84">_xlfn.XLOOKUP(Moult4[[#This Row],[Tecnología]]&amp;Moult4[[#This Row],[Problema]],TbNombres[Tecnología]&amp;TbNombres[Problema],TbNombres[Nombre])</f>
        <v>Brusselator2d</v>
      </c>
      <c r="AM84" s="21">
        <v>5</v>
      </c>
      <c r="AN84" s="21">
        <v>4</v>
      </c>
      <c r="AO84" s="21">
        <v>1</v>
      </c>
      <c r="AP84" s="21">
        <v>225</v>
      </c>
      <c r="AQ84" s="21">
        <v>101250</v>
      </c>
      <c r="AR84" s="21">
        <v>2168.54</v>
      </c>
    </row>
    <row r="85" spans="2:44" x14ac:dyDescent="0.2">
      <c r="B85" s="2" t="str">
        <f>_xlfn.XLOOKUP(Moult1[[#This Row],[Metodo]],TbSolver[Metodo],TbSolver[Solver])</f>
        <v>Adams Bashford Moulton</v>
      </c>
      <c r="C85" s="2" t="str">
        <f>_xlfn.XLOOKUP(Moult1[[#This Row],[Hebras]],TbTecnologia[Hebras],TbTecnologia[Tecnología])</f>
        <v>OMP</v>
      </c>
      <c r="D85" s="2" t="str" cm="1">
        <f t="array" ref="D85">_xlfn.XLOOKUP(Moult1[[#This Row],[Tecnología]]&amp;Moult1[[#This Row],[Metodo]],TbTipos[Tecnología]&amp;TbTipos[Metodo],TbTipos[Tipo])</f>
        <v>OMP Elementos</v>
      </c>
      <c r="E85" s="2" t="str" cm="1">
        <f t="array" ref="E85">_xlfn.XLOOKUP(Moult1[[#This Row],[Tecnología]]&amp;Moult1[[#This Row],[Problema]],TbNombres[Tecnología]&amp;TbNombres[Problema],TbNombres[Nombre])</f>
        <v>Simple Advdiff</v>
      </c>
      <c r="F85" s="4">
        <v>6</v>
      </c>
      <c r="G85" s="4">
        <v>1</v>
      </c>
      <c r="H85" s="4">
        <v>4</v>
      </c>
      <c r="I85" s="4">
        <v>15000</v>
      </c>
      <c r="J85" s="4">
        <v>15000</v>
      </c>
      <c r="K85" s="4">
        <v>101.54</v>
      </c>
      <c r="M85" s="2" t="str">
        <f>_xlfn.XLOOKUP(Moult2[[#This Row],[Metodo]],TbSolver[Metodo],TbSolver[Solver])</f>
        <v>Adams Bashford Moulton</v>
      </c>
      <c r="N85" s="2" t="str">
        <f>_xlfn.XLOOKUP(Moult2[[#This Row],[Hebras]],TbTecnologia[Hebras],TbTecnologia[Tecnología])</f>
        <v>OMP</v>
      </c>
      <c r="O85" s="2" t="str" cm="1">
        <f t="array" ref="O85">_xlfn.XLOOKUP(Moult2[[#This Row],[Tecnología]]&amp;Moult2[[#This Row],[Metodo]],TbTipos[Tecnología]&amp;TbTipos[Metodo],TbTipos[Tipo])</f>
        <v>OMP Elementos</v>
      </c>
      <c r="P85" s="2" t="str" cm="1">
        <f t="array" ref="P85">_xlfn.XLOOKUP(Moult2[[#This Row],[Tecnología]]&amp;Moult2[[#This Row],[Problema]],TbNombres[Tecnología]&amp;TbNombres[Problema],TbNombres[Nombre])</f>
        <v>Advdiff1d</v>
      </c>
      <c r="Q85" s="4">
        <v>6</v>
      </c>
      <c r="R85" s="4">
        <v>2</v>
      </c>
      <c r="S85" s="4">
        <v>4</v>
      </c>
      <c r="T85" s="4">
        <v>15000</v>
      </c>
      <c r="U85" s="4">
        <v>15000</v>
      </c>
      <c r="V85" s="4">
        <v>383.565</v>
      </c>
      <c r="X85" s="2" t="str">
        <f>_xlfn.XLOOKUP(Moult3[[#This Row],[Metodo]],TbSolver[Metodo],TbSolver[Solver])</f>
        <v>Adams Bashford Moulton</v>
      </c>
      <c r="Y85" s="2" t="str">
        <f>_xlfn.XLOOKUP(Moult3[[#This Row],[Hebras]],TbTecnologia[Hebras],TbTecnologia[Tecnología])</f>
        <v>CUDA</v>
      </c>
      <c r="Z85" s="2" t="str" cm="1">
        <f t="array" ref="Z85">_xlfn.XLOOKUP(Moult3[[#This Row],[Tecnología]]&amp;Moult3[[#This Row],[Metodo]],TbTipos[Tecnología]&amp;TbTipos[Metodo],TbTipos[Tipo])</f>
        <v>CUDA sin graph</v>
      </c>
      <c r="AA85" s="2" t="str" cm="1">
        <f t="array" ref="AA85">_xlfn.XLOOKUP(Moult3[[#This Row],[Tecnología]]&amp;Moult3[[#This Row],[Problema]],TbNombres[Tecnología]&amp;TbNombres[Problema],TbNombres[Nombre])</f>
        <v>Brusselator1d</v>
      </c>
      <c r="AB85" s="2">
        <v>5</v>
      </c>
      <c r="AC85" s="2">
        <v>5</v>
      </c>
      <c r="AD85" s="2">
        <v>256</v>
      </c>
      <c r="AE85" s="2">
        <v>10000</v>
      </c>
      <c r="AF85" s="2">
        <v>20000</v>
      </c>
      <c r="AG85" s="2">
        <v>18.740500000000001</v>
      </c>
      <c r="AI85" s="2" t="str">
        <f>_xlfn.XLOOKUP(Moult4[[#This Row],[Metodo]],TbSolver[Metodo],TbSolver[Solver])</f>
        <v>Adams Bashford Moulton</v>
      </c>
      <c r="AJ85" s="2" t="str">
        <f>_xlfn.XLOOKUP(Moult4[[#This Row],[Hebras]],TbTecnologia[Hebras],TbTecnologia[Tecnología])</f>
        <v>OMP</v>
      </c>
      <c r="AK85" s="2" t="str" cm="1">
        <f t="array" ref="AK85">_xlfn.XLOOKUP(Moult4[[#This Row],[Tecnología]]&amp;Moult4[[#This Row],[Metodo]],TbTipos[Tecnología]&amp;TbTipos[Metodo],TbTipos[Tipo])</f>
        <v>OMP Elementos</v>
      </c>
      <c r="AL85" s="2" t="str" cm="1">
        <f t="array" ref="AL85">_xlfn.XLOOKUP(Moult4[[#This Row],[Tecnología]]&amp;Moult4[[#This Row],[Problema]],TbNombres[Tecnología]&amp;TbNombres[Problema],TbNombres[Nombre])</f>
        <v>Brusselator2d</v>
      </c>
      <c r="AM85" s="21">
        <v>6</v>
      </c>
      <c r="AN85" s="21">
        <v>4</v>
      </c>
      <c r="AO85" s="21">
        <v>1</v>
      </c>
      <c r="AP85" s="21">
        <v>225</v>
      </c>
      <c r="AQ85" s="21">
        <v>101250</v>
      </c>
      <c r="AR85" s="21">
        <v>4832.4399999999996</v>
      </c>
    </row>
    <row r="86" spans="2:44" x14ac:dyDescent="0.2">
      <c r="B86" s="2" t="str">
        <f>_xlfn.XLOOKUP(Moult1[[#This Row],[Metodo]],TbSolver[Metodo],TbSolver[Solver])</f>
        <v>Adams Bashford Moulton</v>
      </c>
      <c r="C86" s="2" t="str">
        <f>_xlfn.XLOOKUP(Moult1[[#This Row],[Hebras]],TbTecnologia[Hebras],TbTecnologia[Tecnología])</f>
        <v>OMP</v>
      </c>
      <c r="D86" s="2" t="str" cm="1">
        <f t="array" ref="D86">_xlfn.XLOOKUP(Moult1[[#This Row],[Tecnología]]&amp;Moult1[[#This Row],[Metodo]],TbTipos[Tecnología]&amp;TbTipos[Metodo],TbTipos[Tipo])</f>
        <v>OMP Operaciones</v>
      </c>
      <c r="E86" s="2" t="str" cm="1">
        <f t="array" ref="E86">_xlfn.XLOOKUP(Moult1[[#This Row],[Tecnología]]&amp;Moult1[[#This Row],[Problema]],TbNombres[Tecnología]&amp;TbNombres[Problema],TbNombres[Nombre])</f>
        <v>Simple Advdiff</v>
      </c>
      <c r="F86" s="4">
        <v>5</v>
      </c>
      <c r="G86" s="4">
        <v>1</v>
      </c>
      <c r="H86" s="4">
        <v>1</v>
      </c>
      <c r="I86" s="4">
        <v>15000</v>
      </c>
      <c r="J86" s="4">
        <v>15000</v>
      </c>
      <c r="K86" s="4">
        <v>112.32599999999999</v>
      </c>
      <c r="M86" s="2" t="str">
        <f>_xlfn.XLOOKUP(Moult2[[#This Row],[Metodo]],TbSolver[Metodo],TbSolver[Solver])</f>
        <v>Adams Bashford Moulton</v>
      </c>
      <c r="N86" s="2" t="str">
        <f>_xlfn.XLOOKUP(Moult2[[#This Row],[Hebras]],TbTecnologia[Hebras],TbTecnologia[Tecnología])</f>
        <v>OMP</v>
      </c>
      <c r="O86" s="2" t="str" cm="1">
        <f t="array" ref="O86">_xlfn.XLOOKUP(Moult2[[#This Row],[Tecnología]]&amp;Moult2[[#This Row],[Metodo]],TbTipos[Tecnología]&amp;TbTipos[Metodo],TbTipos[Tipo])</f>
        <v>OMP Operaciones</v>
      </c>
      <c r="P86" s="2" t="str" cm="1">
        <f t="array" ref="P86">_xlfn.XLOOKUP(Moult2[[#This Row],[Tecnología]]&amp;Moult2[[#This Row],[Problema]],TbNombres[Tecnología]&amp;TbNombres[Problema],TbNombres[Nombre])</f>
        <v>Advdiff1d</v>
      </c>
      <c r="Q86" s="4">
        <v>5</v>
      </c>
      <c r="R86" s="4">
        <v>2</v>
      </c>
      <c r="S86" s="4">
        <v>1</v>
      </c>
      <c r="T86" s="4">
        <v>15000</v>
      </c>
      <c r="U86" s="4">
        <v>15000</v>
      </c>
      <c r="V86" s="4">
        <v>1040.8599999999999</v>
      </c>
      <c r="X86" s="2" t="str">
        <f>_xlfn.XLOOKUP(Moult3[[#This Row],[Metodo]],TbSolver[Metodo],TbSolver[Solver])</f>
        <v>Adams Bashford Moulton</v>
      </c>
      <c r="Y86" s="2" t="str">
        <f>_xlfn.XLOOKUP(Moult3[[#This Row],[Hebras]],TbTecnologia[Hebras],TbTecnologia[Tecnología])</f>
        <v>OMP</v>
      </c>
      <c r="Z86" s="2" t="str" cm="1">
        <f t="array" ref="Z86">_xlfn.XLOOKUP(Moult3[[#This Row],[Tecnología]]&amp;Moult3[[#This Row],[Metodo]],TbTipos[Tecnología]&amp;TbTipos[Metodo],TbTipos[Tipo])</f>
        <v>OMP Operaciones</v>
      </c>
      <c r="AA86" s="2" t="str" cm="1">
        <f t="array" ref="AA86">_xlfn.XLOOKUP(Moult3[[#This Row],[Tecnología]]&amp;Moult3[[#This Row],[Problema]],TbNombres[Tecnología]&amp;TbNombres[Problema],TbNombres[Nombre])</f>
        <v>Brusselator1d</v>
      </c>
      <c r="AB86" s="4">
        <v>5</v>
      </c>
      <c r="AC86" s="4">
        <v>3</v>
      </c>
      <c r="AD86" s="4">
        <v>4</v>
      </c>
      <c r="AE86" s="4">
        <v>10000</v>
      </c>
      <c r="AF86" s="4">
        <v>20000</v>
      </c>
      <c r="AG86" s="4">
        <v>102.461</v>
      </c>
      <c r="AI86" s="2" t="str">
        <f>_xlfn.XLOOKUP(Moult4[[#This Row],[Metodo]],TbSolver[Metodo],TbSolver[Solver])</f>
        <v>Adams Bashford Moulton</v>
      </c>
      <c r="AJ86" s="2" t="str">
        <f>_xlfn.XLOOKUP(Moult4[[#This Row],[Hebras]],TbTecnologia[Hebras],TbTecnologia[Tecnología])</f>
        <v>CUDA</v>
      </c>
      <c r="AK86" s="2" t="str" cm="1">
        <f t="array" ref="AK86">_xlfn.XLOOKUP(Moult4[[#This Row],[Tecnología]]&amp;Moult4[[#This Row],[Metodo]],TbTipos[Tecnología]&amp;TbTipos[Metodo],TbTipos[Tipo])</f>
        <v>CUDA sin graph</v>
      </c>
      <c r="AL86" s="2" t="str" cm="1">
        <f t="array" ref="AL86">_xlfn.XLOOKUP(Moult4[[#This Row],[Tecnología]]&amp;Moult4[[#This Row],[Problema]],TbNombres[Tecnología]&amp;TbNombres[Problema],TbNombres[Nombre])</f>
        <v>Brusselator2d</v>
      </c>
      <c r="AM86" s="21">
        <v>5</v>
      </c>
      <c r="AN86" s="21">
        <v>8</v>
      </c>
      <c r="AO86" s="21">
        <v>256</v>
      </c>
      <c r="AP86" s="21">
        <v>250</v>
      </c>
      <c r="AQ86" s="21">
        <v>125000</v>
      </c>
      <c r="AR86" s="21">
        <v>86.291600000000003</v>
      </c>
    </row>
    <row r="87" spans="2:44" x14ac:dyDescent="0.2">
      <c r="B87" s="2" t="str">
        <f>_xlfn.XLOOKUP(Moult1[[#This Row],[Metodo]],TbSolver[Metodo],TbSolver[Solver])</f>
        <v>Adams Bashford Moulton</v>
      </c>
      <c r="C87" s="2" t="str">
        <f>_xlfn.XLOOKUP(Moult1[[#This Row],[Hebras]],TbTecnologia[Hebras],TbTecnologia[Tecnología])</f>
        <v>OMP</v>
      </c>
      <c r="D87" s="2" t="str" cm="1">
        <f t="array" ref="D87">_xlfn.XLOOKUP(Moult1[[#This Row],[Tecnología]]&amp;Moult1[[#This Row],[Metodo]],TbTipos[Tecnología]&amp;TbTipos[Metodo],TbTipos[Tipo])</f>
        <v>OMP Elementos</v>
      </c>
      <c r="E87" s="2" t="str" cm="1">
        <f t="array" ref="E87">_xlfn.XLOOKUP(Moult1[[#This Row],[Tecnología]]&amp;Moult1[[#This Row],[Problema]],TbNombres[Tecnología]&amp;TbNombres[Problema],TbNombres[Nombre])</f>
        <v>Simple Advdiff</v>
      </c>
      <c r="F87" s="4">
        <v>6</v>
      </c>
      <c r="G87" s="4">
        <v>1</v>
      </c>
      <c r="H87" s="4">
        <v>1</v>
      </c>
      <c r="I87" s="4">
        <v>15000</v>
      </c>
      <c r="J87" s="4">
        <v>15000</v>
      </c>
      <c r="K87" s="4">
        <v>358.60700000000003</v>
      </c>
      <c r="M87" s="2" t="str">
        <f>_xlfn.XLOOKUP(Moult2[[#This Row],[Metodo]],TbSolver[Metodo],TbSolver[Solver])</f>
        <v>Adams Bashford Moulton</v>
      </c>
      <c r="N87" s="2" t="str">
        <f>_xlfn.XLOOKUP(Moult2[[#This Row],[Hebras]],TbTecnologia[Hebras],TbTecnologia[Tecnología])</f>
        <v>OMP</v>
      </c>
      <c r="O87" s="2" t="str" cm="1">
        <f t="array" ref="O87">_xlfn.XLOOKUP(Moult2[[#This Row],[Tecnología]]&amp;Moult2[[#This Row],[Metodo]],TbTipos[Tecnología]&amp;TbTipos[Metodo],TbTipos[Tipo])</f>
        <v>OMP Elementos</v>
      </c>
      <c r="P87" s="2" t="str" cm="1">
        <f t="array" ref="P87">_xlfn.XLOOKUP(Moult2[[#This Row],[Tecnología]]&amp;Moult2[[#This Row],[Problema]],TbNombres[Tecnología]&amp;TbNombres[Problema],TbNombres[Nombre])</f>
        <v>Advdiff1d</v>
      </c>
      <c r="Q87" s="4">
        <v>6</v>
      </c>
      <c r="R87" s="4">
        <v>2</v>
      </c>
      <c r="S87" s="4">
        <v>1</v>
      </c>
      <c r="T87" s="4">
        <v>15000</v>
      </c>
      <c r="U87" s="4">
        <v>15000</v>
      </c>
      <c r="V87" s="4">
        <v>1361.3</v>
      </c>
      <c r="X87" s="2" t="str">
        <f>_xlfn.XLOOKUP(Moult3[[#This Row],[Metodo]],TbSolver[Metodo],TbSolver[Solver])</f>
        <v>Adams Bashford Moulton</v>
      </c>
      <c r="Y87" s="2" t="str">
        <f>_xlfn.XLOOKUP(Moult3[[#This Row],[Hebras]],TbTecnologia[Hebras],TbTecnologia[Tecnología])</f>
        <v>OMP</v>
      </c>
      <c r="Z87" s="2" t="str" cm="1">
        <f t="array" ref="Z87">_xlfn.XLOOKUP(Moult3[[#This Row],[Tecnología]]&amp;Moult3[[#This Row],[Metodo]],TbTipos[Tecnología]&amp;TbTipos[Metodo],TbTipos[Tipo])</f>
        <v>OMP Operaciones</v>
      </c>
      <c r="AA87" s="2" t="str" cm="1">
        <f t="array" ref="AA87">_xlfn.XLOOKUP(Moult3[[#This Row],[Tecnología]]&amp;Moult3[[#This Row],[Problema]],TbNombres[Tecnología]&amp;TbNombres[Problema],TbNombres[Nombre])</f>
        <v>Brusselator1d</v>
      </c>
      <c r="AB87" s="4">
        <v>5</v>
      </c>
      <c r="AC87" s="4">
        <v>3</v>
      </c>
      <c r="AD87" s="4">
        <v>16</v>
      </c>
      <c r="AE87" s="4">
        <v>10000</v>
      </c>
      <c r="AF87" s="4">
        <v>20000</v>
      </c>
      <c r="AG87" s="4">
        <v>147.68700000000001</v>
      </c>
      <c r="AI87" s="2" t="str">
        <f>_xlfn.XLOOKUP(Moult4[[#This Row],[Metodo]],TbSolver[Metodo],TbSolver[Solver])</f>
        <v>Adams Bashford Moulton</v>
      </c>
      <c r="AJ87" s="2" t="str">
        <f>_xlfn.XLOOKUP(Moult4[[#This Row],[Hebras]],TbTecnologia[Hebras],TbTecnologia[Tecnología])</f>
        <v>CUDA</v>
      </c>
      <c r="AK87" s="2" t="str" cm="1">
        <f t="array" ref="AK87">_xlfn.XLOOKUP(Moult4[[#This Row],[Tecnología]]&amp;Moult4[[#This Row],[Metodo]],TbTipos[Tecnología]&amp;TbTipos[Metodo],TbTipos[Tipo])</f>
        <v>CUDA con graph</v>
      </c>
      <c r="AL87" s="2" t="str" cm="1">
        <f t="array" ref="AL87">_xlfn.XLOOKUP(Moult4[[#This Row],[Tecnología]]&amp;Moult4[[#This Row],[Problema]],TbNombres[Tecnología]&amp;TbNombres[Problema],TbNombres[Nombre])</f>
        <v>Brusselator2d</v>
      </c>
      <c r="AM87" s="21">
        <v>6</v>
      </c>
      <c r="AN87" s="21">
        <v>8</v>
      </c>
      <c r="AO87" s="21">
        <v>256</v>
      </c>
      <c r="AP87" s="21">
        <v>250</v>
      </c>
      <c r="AQ87" s="21">
        <v>125000</v>
      </c>
      <c r="AR87" s="21">
        <v>99.3</v>
      </c>
    </row>
    <row r="88" spans="2:44" x14ac:dyDescent="0.2">
      <c r="B88" s="2" t="str">
        <f>_xlfn.XLOOKUP(Moult1[[#This Row],[Metodo]],TbSolver[Metodo],TbSolver[Solver])</f>
        <v>Adams Bashford Moulton</v>
      </c>
      <c r="C88" s="2" t="str">
        <f>_xlfn.XLOOKUP(Moult1[[#This Row],[Hebras]],TbTecnologia[Hebras],TbTecnologia[Tecnología])</f>
        <v>CUDA</v>
      </c>
      <c r="D88" s="2" t="str" cm="1">
        <f t="array" ref="D88">_xlfn.XLOOKUP(Moult1[[#This Row],[Tecnología]]&amp;Moult1[[#This Row],[Metodo]],TbTipos[Tecnología]&amp;TbTipos[Metodo],TbTipos[Tipo])</f>
        <v>CUDA con graph</v>
      </c>
      <c r="E88" s="2" t="str" cm="1">
        <f t="array" ref="E88">_xlfn.XLOOKUP(Moult1[[#This Row],[Tecnología]]&amp;Moult1[[#This Row],[Problema]],TbNombres[Tecnología]&amp;TbNombres[Problema],TbNombres[Nombre])</f>
        <v>Simple Advdiff</v>
      </c>
      <c r="F88" s="21">
        <v>6</v>
      </c>
      <c r="G88" s="21">
        <v>1</v>
      </c>
      <c r="H88" s="21">
        <v>256</v>
      </c>
      <c r="I88" s="21">
        <v>20000</v>
      </c>
      <c r="J88" s="21">
        <v>20000</v>
      </c>
      <c r="K88" s="21">
        <v>16.897099999999998</v>
      </c>
      <c r="M88" s="2" t="str">
        <f>_xlfn.XLOOKUP(Moult2[[#This Row],[Metodo]],TbSolver[Metodo],TbSolver[Solver])</f>
        <v>Adams Bashford Moulton</v>
      </c>
      <c r="N88" s="2" t="str">
        <f>_xlfn.XLOOKUP(Moult2[[#This Row],[Hebras]],TbTecnologia[Hebras],TbTecnologia[Tecnología])</f>
        <v>CUDA</v>
      </c>
      <c r="O88" s="2" t="str" cm="1">
        <f t="array" ref="O88">_xlfn.XLOOKUP(Moult2[[#This Row],[Tecnología]]&amp;Moult2[[#This Row],[Metodo]],TbTipos[Tecnología]&amp;TbTipos[Metodo],TbTipos[Tipo])</f>
        <v>CUDA sin graph</v>
      </c>
      <c r="P88" s="2" t="str" cm="1">
        <f t="array" ref="P88">_xlfn.XLOOKUP(Moult2[[#This Row],[Tecnología]]&amp;Moult2[[#This Row],[Problema]],TbNombres[Tecnología]&amp;TbNombres[Problema],TbNombres[Nombre])</f>
        <v>Advdiff1d</v>
      </c>
      <c r="Q88" s="2">
        <v>5</v>
      </c>
      <c r="R88" s="2">
        <v>3</v>
      </c>
      <c r="S88" s="2">
        <v>256</v>
      </c>
      <c r="T88" s="2">
        <v>20000</v>
      </c>
      <c r="U88" s="2">
        <v>20000</v>
      </c>
      <c r="V88" s="2">
        <v>40.832700000000003</v>
      </c>
      <c r="X88" s="2" t="str">
        <f>_xlfn.XLOOKUP(Moult3[[#This Row],[Metodo]],TbSolver[Metodo],TbSolver[Solver])</f>
        <v>Adams Bashford Moulton</v>
      </c>
      <c r="Y88" s="2" t="str">
        <f>_xlfn.XLOOKUP(Moult3[[#This Row],[Hebras]],TbTecnologia[Hebras],TbTecnologia[Tecnología])</f>
        <v>OMP</v>
      </c>
      <c r="Z88" s="2" t="str" cm="1">
        <f t="array" ref="Z88">_xlfn.XLOOKUP(Moult3[[#This Row],[Tecnología]]&amp;Moult3[[#This Row],[Metodo]],TbTipos[Tecnología]&amp;TbTipos[Metodo],TbTipos[Tipo])</f>
        <v>OMP Elementos</v>
      </c>
      <c r="AA88" s="2" t="str" cm="1">
        <f t="array" ref="AA88">_xlfn.XLOOKUP(Moult3[[#This Row],[Tecnología]]&amp;Moult3[[#This Row],[Problema]],TbNombres[Tecnología]&amp;TbNombres[Problema],TbNombres[Nombre])</f>
        <v>Brusselator1d</v>
      </c>
      <c r="AB88" s="4">
        <v>6</v>
      </c>
      <c r="AC88" s="4">
        <v>3</v>
      </c>
      <c r="AD88" s="4">
        <v>4</v>
      </c>
      <c r="AE88" s="4">
        <v>10000</v>
      </c>
      <c r="AF88" s="4">
        <v>20000</v>
      </c>
      <c r="AG88" s="4">
        <v>167.571</v>
      </c>
      <c r="AI88" s="2" t="str">
        <f>_xlfn.XLOOKUP(Moult4[[#This Row],[Metodo]],TbSolver[Metodo],TbSolver[Solver])</f>
        <v>Adams Bashford Moulton</v>
      </c>
      <c r="AJ88" s="2" t="str">
        <f>_xlfn.XLOOKUP(Moult4[[#This Row],[Hebras]],TbTecnologia[Hebras],TbTecnologia[Tecnología])</f>
        <v>OMP</v>
      </c>
      <c r="AK88" s="2" t="str" cm="1">
        <f t="array" ref="AK88">_xlfn.XLOOKUP(Moult4[[#This Row],[Tecnología]]&amp;Moult4[[#This Row],[Metodo]],TbTipos[Tecnología]&amp;TbTipos[Metodo],TbTipos[Tipo])</f>
        <v>OMP Operaciones</v>
      </c>
      <c r="AL88" s="2" t="str" cm="1">
        <f t="array" ref="AL88">_xlfn.XLOOKUP(Moult4[[#This Row],[Tecnología]]&amp;Moult4[[#This Row],[Problema]],TbNombres[Tecnología]&amp;TbNombres[Problema],TbNombres[Nombre])</f>
        <v>Brusselator2d</v>
      </c>
      <c r="AM88" s="21">
        <v>5</v>
      </c>
      <c r="AN88" s="21">
        <v>4</v>
      </c>
      <c r="AO88" s="21">
        <v>16</v>
      </c>
      <c r="AP88" s="21">
        <v>250</v>
      </c>
      <c r="AQ88" s="21">
        <v>125000</v>
      </c>
      <c r="AR88" s="21">
        <v>264.40199999999999</v>
      </c>
    </row>
    <row r="89" spans="2:44" x14ac:dyDescent="0.2">
      <c r="B89" s="2" t="str">
        <f>_xlfn.XLOOKUP(Moult1[[#This Row],[Metodo]],TbSolver[Metodo],TbSolver[Solver])</f>
        <v>Adams Bashford Moulton</v>
      </c>
      <c r="C89" s="2" t="str">
        <f>_xlfn.XLOOKUP(Moult1[[#This Row],[Hebras]],TbTecnologia[Hebras],TbTecnologia[Tecnología])</f>
        <v>CUDA</v>
      </c>
      <c r="D89" s="2" t="str" cm="1">
        <f t="array" ref="D89">_xlfn.XLOOKUP(Moult1[[#This Row],[Tecnología]]&amp;Moult1[[#This Row],[Metodo]],TbTipos[Tecnología]&amp;TbTipos[Metodo],TbTipos[Tipo])</f>
        <v>CUDA sin graph</v>
      </c>
      <c r="E89" s="2" t="str" cm="1">
        <f t="array" ref="E89">_xlfn.XLOOKUP(Moult1[[#This Row],[Tecnología]]&amp;Moult1[[#This Row],[Problema]],TbNombres[Tecnología]&amp;TbNombres[Problema],TbNombres[Nombre])</f>
        <v>Simple Advdiff</v>
      </c>
      <c r="F89" s="2">
        <v>5</v>
      </c>
      <c r="G89" s="2">
        <v>1</v>
      </c>
      <c r="H89" s="2">
        <v>256</v>
      </c>
      <c r="I89" s="2">
        <v>20000</v>
      </c>
      <c r="J89" s="2">
        <v>20000</v>
      </c>
      <c r="K89" s="2">
        <v>17.305800000000001</v>
      </c>
      <c r="M89" s="2" t="str">
        <f>_xlfn.XLOOKUP(Moult2[[#This Row],[Metodo]],TbSolver[Metodo],TbSolver[Solver])</f>
        <v>Adams Bashford Moulton</v>
      </c>
      <c r="N89" s="2" t="str">
        <f>_xlfn.XLOOKUP(Moult2[[#This Row],[Hebras]],TbTecnologia[Hebras],TbTecnologia[Tecnología])</f>
        <v>CUDA</v>
      </c>
      <c r="O89" s="2" t="str" cm="1">
        <f t="array" ref="O89">_xlfn.XLOOKUP(Moult2[[#This Row],[Tecnología]]&amp;Moult2[[#This Row],[Metodo]],TbTipos[Tecnología]&amp;TbTipos[Metodo],TbTipos[Tipo])</f>
        <v>CUDA con graph</v>
      </c>
      <c r="P89" s="2" t="str" cm="1">
        <f t="array" ref="P89">_xlfn.XLOOKUP(Moult2[[#This Row],[Tecnología]]&amp;Moult2[[#This Row],[Problema]],TbNombres[Tecnología]&amp;TbNombres[Problema],TbNombres[Nombre])</f>
        <v>Advdiff1d</v>
      </c>
      <c r="Q89" s="21">
        <v>6</v>
      </c>
      <c r="R89" s="21">
        <v>3</v>
      </c>
      <c r="S89" s="21">
        <v>256</v>
      </c>
      <c r="T89" s="21">
        <v>20000</v>
      </c>
      <c r="U89" s="21">
        <v>20000</v>
      </c>
      <c r="V89" s="21">
        <v>41.355699999999999</v>
      </c>
      <c r="X89" s="2" t="str">
        <f>_xlfn.XLOOKUP(Moult3[[#This Row],[Metodo]],TbSolver[Metodo],TbSolver[Solver])</f>
        <v>Adams Bashford Moulton</v>
      </c>
      <c r="Y89" s="2" t="str">
        <f>_xlfn.XLOOKUP(Moult3[[#This Row],[Hebras]],TbTecnologia[Hebras],TbTecnologia[Tecnología])</f>
        <v>OMP</v>
      </c>
      <c r="Z89" s="2" t="str" cm="1">
        <f t="array" ref="Z89">_xlfn.XLOOKUP(Moult3[[#This Row],[Tecnología]]&amp;Moult3[[#This Row],[Metodo]],TbTipos[Tecnología]&amp;TbTipos[Metodo],TbTipos[Tipo])</f>
        <v>OMP Elementos</v>
      </c>
      <c r="AA89" s="2" t="str" cm="1">
        <f t="array" ref="AA89">_xlfn.XLOOKUP(Moult3[[#This Row],[Tecnología]]&amp;Moult3[[#This Row],[Problema]],TbNombres[Tecnología]&amp;TbNombres[Problema],TbNombres[Nombre])</f>
        <v>Brusselator1d</v>
      </c>
      <c r="AB89" s="4">
        <v>6</v>
      </c>
      <c r="AC89" s="4">
        <v>3</v>
      </c>
      <c r="AD89" s="4">
        <v>16</v>
      </c>
      <c r="AE89" s="4">
        <v>10000</v>
      </c>
      <c r="AF89" s="4">
        <v>20000</v>
      </c>
      <c r="AG89" s="4">
        <v>174.119</v>
      </c>
      <c r="AI89" s="2" t="str">
        <f>_xlfn.XLOOKUP(Moult4[[#This Row],[Metodo]],TbSolver[Metodo],TbSolver[Solver])</f>
        <v>Adams Bashford Moulton</v>
      </c>
      <c r="AJ89" s="2" t="str">
        <f>_xlfn.XLOOKUP(Moult4[[#This Row],[Hebras]],TbTecnologia[Hebras],TbTecnologia[Tecnología])</f>
        <v>OMP</v>
      </c>
      <c r="AK89" s="2" t="str" cm="1">
        <f t="array" ref="AK89">_xlfn.XLOOKUP(Moult4[[#This Row],[Tecnología]]&amp;Moult4[[#This Row],[Metodo]],TbTipos[Tecnología]&amp;TbTipos[Metodo],TbTipos[Tipo])</f>
        <v>OMP Elementos</v>
      </c>
      <c r="AL89" s="2" t="str" cm="1">
        <f t="array" ref="AL89">_xlfn.XLOOKUP(Moult4[[#This Row],[Tecnología]]&amp;Moult4[[#This Row],[Problema]],TbNombres[Tecnología]&amp;TbNombres[Problema],TbNombres[Nombre])</f>
        <v>Brusselator2d</v>
      </c>
      <c r="AM89" s="21">
        <v>6</v>
      </c>
      <c r="AN89" s="21">
        <v>4</v>
      </c>
      <c r="AO89" s="21">
        <v>16</v>
      </c>
      <c r="AP89" s="21">
        <v>250</v>
      </c>
      <c r="AQ89" s="21">
        <v>125000</v>
      </c>
      <c r="AR89" s="21">
        <v>445.08100000000002</v>
      </c>
    </row>
    <row r="90" spans="2:44" x14ac:dyDescent="0.2">
      <c r="B90" s="2" t="str">
        <f>_xlfn.XLOOKUP(Moult1[[#This Row],[Metodo]],TbSolver[Metodo],TbSolver[Solver])</f>
        <v>Adams Bashford Moulton</v>
      </c>
      <c r="C90" s="2" t="str">
        <f>_xlfn.XLOOKUP(Moult1[[#This Row],[Hebras]],TbTecnologia[Hebras],TbTecnologia[Tecnología])</f>
        <v>CUDA</v>
      </c>
      <c r="D90" s="2" t="str" cm="1">
        <f t="array" ref="D90">_xlfn.XLOOKUP(Moult1[[#This Row],[Tecnología]]&amp;Moult1[[#This Row],[Metodo]],TbTipos[Tecnología]&amp;TbTipos[Metodo],TbTipos[Tipo])</f>
        <v>CUDA sin graph</v>
      </c>
      <c r="E90" s="2" t="str" cm="1">
        <f t="array" ref="E90">_xlfn.XLOOKUP(Moult1[[#This Row],[Tecnología]]&amp;Moult1[[#This Row],[Problema]],TbNombres[Tecnología]&amp;TbNombres[Problema],TbNombres[Nombre])</f>
        <v>Simple Advdiff</v>
      </c>
      <c r="F90" s="21">
        <v>5</v>
      </c>
      <c r="G90" s="21">
        <v>1</v>
      </c>
      <c r="H90" s="21">
        <v>256</v>
      </c>
      <c r="I90" s="21">
        <v>20000</v>
      </c>
      <c r="J90" s="21">
        <v>20000</v>
      </c>
      <c r="K90" s="21">
        <v>17.355599999999999</v>
      </c>
      <c r="M90" s="2" t="str">
        <f>_xlfn.XLOOKUP(Moult2[[#This Row],[Metodo]],TbSolver[Metodo],TbSolver[Solver])</f>
        <v>Adams Bashford Moulton</v>
      </c>
      <c r="N90" s="2" t="str">
        <f>_xlfn.XLOOKUP(Moult2[[#This Row],[Hebras]],TbTecnologia[Hebras],TbTecnologia[Tecnología])</f>
        <v>CUDA</v>
      </c>
      <c r="O90" s="2" t="str" cm="1">
        <f t="array" ref="O90">_xlfn.XLOOKUP(Moult2[[#This Row],[Tecnología]]&amp;Moult2[[#This Row],[Metodo]],TbTipos[Tecnología]&amp;TbTipos[Metodo],TbTipos[Tipo])</f>
        <v>CUDA sin graph</v>
      </c>
      <c r="P90" s="2" t="str" cm="1">
        <f t="array" ref="P90">_xlfn.XLOOKUP(Moult2[[#This Row],[Tecnología]]&amp;Moult2[[#This Row],[Problema]],TbNombres[Tecnología]&amp;TbNombres[Problema],TbNombres[Nombre])</f>
        <v>Advdiff1d</v>
      </c>
      <c r="Q90" s="21">
        <v>5</v>
      </c>
      <c r="R90" s="21">
        <v>3</v>
      </c>
      <c r="S90" s="21">
        <v>256</v>
      </c>
      <c r="T90" s="21">
        <v>20000</v>
      </c>
      <c r="U90" s="21">
        <v>20000</v>
      </c>
      <c r="V90" s="21">
        <v>41.485300000000002</v>
      </c>
      <c r="X90" s="2" t="str">
        <f>_xlfn.XLOOKUP(Moult3[[#This Row],[Metodo]],TbSolver[Metodo],TbSolver[Solver])</f>
        <v>Adams Bashford Moulton</v>
      </c>
      <c r="Y90" s="2" t="str">
        <f>_xlfn.XLOOKUP(Moult3[[#This Row],[Hebras]],TbTecnologia[Hebras],TbTecnologia[Tecnología])</f>
        <v>OMP</v>
      </c>
      <c r="Z90" s="2" t="str" cm="1">
        <f t="array" ref="Z90">_xlfn.XLOOKUP(Moult3[[#This Row],[Tecnología]]&amp;Moult3[[#This Row],[Metodo]],TbTipos[Tecnología]&amp;TbTipos[Metodo],TbTipos[Tipo])</f>
        <v>OMP Operaciones</v>
      </c>
      <c r="AA90" s="2" t="str" cm="1">
        <f t="array" ref="AA90">_xlfn.XLOOKUP(Moult3[[#This Row],[Tecnología]]&amp;Moult3[[#This Row],[Problema]],TbNombres[Tecnología]&amp;TbNombres[Problema],TbNombres[Nombre])</f>
        <v>Brusselator1d</v>
      </c>
      <c r="AB90" s="4">
        <v>5</v>
      </c>
      <c r="AC90" s="4">
        <v>3</v>
      </c>
      <c r="AD90" s="4">
        <v>1</v>
      </c>
      <c r="AE90" s="4">
        <v>10000</v>
      </c>
      <c r="AF90" s="4">
        <v>20000</v>
      </c>
      <c r="AG90" s="4">
        <v>241.04300000000001</v>
      </c>
      <c r="AI90" s="2" t="str">
        <f>_xlfn.XLOOKUP(Moult4[[#This Row],[Metodo]],TbSolver[Metodo],TbSolver[Solver])</f>
        <v>Adams Bashford Moulton</v>
      </c>
      <c r="AJ90" s="2" t="str">
        <f>_xlfn.XLOOKUP(Moult4[[#This Row],[Hebras]],TbTecnologia[Hebras],TbTecnologia[Tecnología])</f>
        <v>OMP</v>
      </c>
      <c r="AK90" s="2" t="str" cm="1">
        <f t="array" ref="AK90">_xlfn.XLOOKUP(Moult4[[#This Row],[Tecnología]]&amp;Moult4[[#This Row],[Metodo]],TbTipos[Tecnología]&amp;TbTipos[Metodo],TbTipos[Tipo])</f>
        <v>OMP Operaciones</v>
      </c>
      <c r="AL90" s="2" t="str" cm="1">
        <f t="array" ref="AL90">_xlfn.XLOOKUP(Moult4[[#This Row],[Tecnología]]&amp;Moult4[[#This Row],[Problema]],TbNombres[Tecnología]&amp;TbNombres[Problema],TbNombres[Nombre])</f>
        <v>Brusselator2d</v>
      </c>
      <c r="AM90" s="21">
        <v>5</v>
      </c>
      <c r="AN90" s="21">
        <v>4</v>
      </c>
      <c r="AO90" s="21">
        <v>4</v>
      </c>
      <c r="AP90" s="21">
        <v>250</v>
      </c>
      <c r="AQ90" s="21">
        <v>125000</v>
      </c>
      <c r="AR90" s="21">
        <v>675.12300000000005</v>
      </c>
    </row>
    <row r="91" spans="2:44" x14ac:dyDescent="0.2">
      <c r="B91" s="2" t="str">
        <f>_xlfn.XLOOKUP(Moult1[[#This Row],[Metodo]],TbSolver[Metodo],TbSolver[Solver])</f>
        <v>Adams Bashford Moulton</v>
      </c>
      <c r="C91" s="2" t="str">
        <f>_xlfn.XLOOKUP(Moult1[[#This Row],[Hebras]],TbTecnologia[Hebras],TbTecnologia[Tecnología])</f>
        <v>OMP</v>
      </c>
      <c r="D91" s="2" t="str" cm="1">
        <f t="array" ref="D91">_xlfn.XLOOKUP(Moult1[[#This Row],[Tecnología]]&amp;Moult1[[#This Row],[Metodo]],TbTipos[Tecnología]&amp;TbTipos[Metodo],TbTipos[Tipo])</f>
        <v>OMP Elementos</v>
      </c>
      <c r="E91" s="2" t="str" cm="1">
        <f t="array" ref="E91">_xlfn.XLOOKUP(Moult1[[#This Row],[Tecnología]]&amp;Moult1[[#This Row],[Problema]],TbNombres[Tecnología]&amp;TbNombres[Problema],TbNombres[Nombre])</f>
        <v>Simple Advdiff</v>
      </c>
      <c r="F91" s="21">
        <v>6</v>
      </c>
      <c r="G91" s="21">
        <v>1</v>
      </c>
      <c r="H91" s="21">
        <v>16</v>
      </c>
      <c r="I91" s="21">
        <v>20000</v>
      </c>
      <c r="J91" s="21">
        <v>20000</v>
      </c>
      <c r="K91" s="21">
        <v>70.019400000000005</v>
      </c>
      <c r="M91" s="2" t="str">
        <f>_xlfn.XLOOKUP(Moult2[[#This Row],[Metodo]],TbSolver[Metodo],TbSolver[Solver])</f>
        <v>Adams Bashford Moulton</v>
      </c>
      <c r="N91" s="2" t="str">
        <f>_xlfn.XLOOKUP(Moult2[[#This Row],[Hebras]],TbTecnologia[Hebras],TbTecnologia[Tecnología])</f>
        <v>OMP</v>
      </c>
      <c r="O91" s="2" t="str" cm="1">
        <f t="array" ref="O91">_xlfn.XLOOKUP(Moult2[[#This Row],[Tecnología]]&amp;Moult2[[#This Row],[Metodo]],TbTipos[Tecnología]&amp;TbTipos[Metodo],TbTipos[Tipo])</f>
        <v>OMP Operaciones</v>
      </c>
      <c r="P91" s="2" t="str" cm="1">
        <f t="array" ref="P91">_xlfn.XLOOKUP(Moult2[[#This Row],[Tecnología]]&amp;Moult2[[#This Row],[Problema]],TbNombres[Tecnología]&amp;TbNombres[Problema],TbNombres[Nombre])</f>
        <v>Advdiff1d</v>
      </c>
      <c r="Q91" s="21">
        <v>5</v>
      </c>
      <c r="R91" s="21">
        <v>2</v>
      </c>
      <c r="S91" s="21">
        <v>16</v>
      </c>
      <c r="T91" s="21">
        <v>20000</v>
      </c>
      <c r="U91" s="21">
        <v>20000</v>
      </c>
      <c r="V91" s="21">
        <v>236.72200000000001</v>
      </c>
      <c r="X91" s="2" t="str">
        <f>_xlfn.XLOOKUP(Moult3[[#This Row],[Metodo]],TbSolver[Metodo],TbSolver[Solver])</f>
        <v>Adams Bashford Moulton</v>
      </c>
      <c r="Y91" s="2" t="str">
        <f>_xlfn.XLOOKUP(Moult3[[#This Row],[Hebras]],TbTecnologia[Hebras],TbTecnologia[Tecnología])</f>
        <v>OMP</v>
      </c>
      <c r="Z91" s="2" t="str" cm="1">
        <f t="array" ref="Z91">_xlfn.XLOOKUP(Moult3[[#This Row],[Tecnología]]&amp;Moult3[[#This Row],[Metodo]],TbTipos[Tecnología]&amp;TbTipos[Metodo],TbTipos[Tipo])</f>
        <v>OMP Elementos</v>
      </c>
      <c r="AA91" s="2" t="str" cm="1">
        <f t="array" ref="AA91">_xlfn.XLOOKUP(Moult3[[#This Row],[Tecnología]]&amp;Moult3[[#This Row],[Problema]],TbNombres[Tecnología]&amp;TbNombres[Problema],TbNombres[Nombre])</f>
        <v>Brusselator1d</v>
      </c>
      <c r="AB91" s="4">
        <v>6</v>
      </c>
      <c r="AC91" s="4">
        <v>3</v>
      </c>
      <c r="AD91" s="4">
        <v>1</v>
      </c>
      <c r="AE91" s="4">
        <v>10000</v>
      </c>
      <c r="AF91" s="4">
        <v>20000</v>
      </c>
      <c r="AG91" s="4">
        <v>570.62900000000002</v>
      </c>
      <c r="AI91" s="2" t="str">
        <f>_xlfn.XLOOKUP(Moult4[[#This Row],[Metodo]],TbSolver[Metodo],TbSolver[Solver])</f>
        <v>Adams Bashford Moulton</v>
      </c>
      <c r="AJ91" s="2" t="str">
        <f>_xlfn.XLOOKUP(Moult4[[#This Row],[Hebras]],TbTecnologia[Hebras],TbTecnologia[Tecnología])</f>
        <v>OMP</v>
      </c>
      <c r="AK91" s="2" t="str" cm="1">
        <f t="array" ref="AK91">_xlfn.XLOOKUP(Moult4[[#This Row],[Tecnología]]&amp;Moult4[[#This Row],[Metodo]],TbTipos[Tecnología]&amp;TbTipos[Metodo],TbTipos[Tipo])</f>
        <v>OMP Elementos</v>
      </c>
      <c r="AL91" s="2" t="str" cm="1">
        <f t="array" ref="AL91">_xlfn.XLOOKUP(Moult4[[#This Row],[Tecnología]]&amp;Moult4[[#This Row],[Problema]],TbNombres[Tecnología]&amp;TbNombres[Problema],TbNombres[Nombre])</f>
        <v>Brusselator2d</v>
      </c>
      <c r="AM91" s="21">
        <v>6</v>
      </c>
      <c r="AN91" s="21">
        <v>4</v>
      </c>
      <c r="AO91" s="21">
        <v>4</v>
      </c>
      <c r="AP91" s="21">
        <v>250</v>
      </c>
      <c r="AQ91" s="21">
        <v>125000</v>
      </c>
      <c r="AR91" s="21">
        <v>1593.61</v>
      </c>
    </row>
    <row r="92" spans="2:44" x14ac:dyDescent="0.2">
      <c r="B92" s="2" t="str">
        <f>_xlfn.XLOOKUP(Moult1[[#This Row],[Metodo]],TbSolver[Metodo],TbSolver[Solver])</f>
        <v>Adams Bashford Moulton</v>
      </c>
      <c r="C92" s="2" t="str">
        <f>_xlfn.XLOOKUP(Moult1[[#This Row],[Hebras]],TbTecnologia[Hebras],TbTecnologia[Tecnología])</f>
        <v>OMP</v>
      </c>
      <c r="D92" s="2" t="str" cm="1">
        <f t="array" ref="D92">_xlfn.XLOOKUP(Moult1[[#This Row],[Tecnología]]&amp;Moult1[[#This Row],[Metodo]],TbTipos[Tecnología]&amp;TbTipos[Metodo],TbTipos[Tipo])</f>
        <v>OMP Operaciones</v>
      </c>
      <c r="E92" s="2" t="str" cm="1">
        <f t="array" ref="E92">_xlfn.XLOOKUP(Moult1[[#This Row],[Tecnología]]&amp;Moult1[[#This Row],[Problema]],TbNombres[Tecnología]&amp;TbNombres[Problema],TbNombres[Nombre])</f>
        <v>Simple Advdiff</v>
      </c>
      <c r="F92" s="21">
        <v>5</v>
      </c>
      <c r="G92" s="21">
        <v>1</v>
      </c>
      <c r="H92" s="21">
        <v>4</v>
      </c>
      <c r="I92" s="21">
        <v>20000</v>
      </c>
      <c r="J92" s="21">
        <v>20000</v>
      </c>
      <c r="K92" s="21">
        <v>79.851100000000002</v>
      </c>
      <c r="M92" s="2" t="str">
        <f>_xlfn.XLOOKUP(Moult2[[#This Row],[Metodo]],TbSolver[Metodo],TbSolver[Solver])</f>
        <v>Adams Bashford Moulton</v>
      </c>
      <c r="N92" s="2" t="str">
        <f>_xlfn.XLOOKUP(Moult2[[#This Row],[Hebras]],TbTecnologia[Hebras],TbTecnologia[Tecnología])</f>
        <v>OMP</v>
      </c>
      <c r="O92" s="2" t="str" cm="1">
        <f t="array" ref="O92">_xlfn.XLOOKUP(Moult2[[#This Row],[Tecnología]]&amp;Moult2[[#This Row],[Metodo]],TbTipos[Tecnología]&amp;TbTipos[Metodo],TbTipos[Tipo])</f>
        <v>OMP Elementos</v>
      </c>
      <c r="P92" s="2" t="str" cm="1">
        <f t="array" ref="P92">_xlfn.XLOOKUP(Moult2[[#This Row],[Tecnología]]&amp;Moult2[[#This Row],[Problema]],TbNombres[Tecnología]&amp;TbNombres[Problema],TbNombres[Nombre])</f>
        <v>Advdiff1d</v>
      </c>
      <c r="Q92" s="21">
        <v>6</v>
      </c>
      <c r="R92" s="21">
        <v>2</v>
      </c>
      <c r="S92" s="21">
        <v>16</v>
      </c>
      <c r="T92" s="21">
        <v>20000</v>
      </c>
      <c r="U92" s="21">
        <v>20000</v>
      </c>
      <c r="V92" s="21">
        <v>239.43799999999999</v>
      </c>
      <c r="X92" s="2" t="str">
        <f>_xlfn.XLOOKUP(Moult3[[#This Row],[Metodo]],TbSolver[Metodo],TbSolver[Solver])</f>
        <v>Adams Bashford Moulton</v>
      </c>
      <c r="Y92" s="2" t="str">
        <f>_xlfn.XLOOKUP(Moult3[[#This Row],[Hebras]],TbTecnologia[Hebras],TbTecnologia[Tecnología])</f>
        <v>CUDA</v>
      </c>
      <c r="Z92" s="2" t="str" cm="1">
        <f t="array" ref="Z92">_xlfn.XLOOKUP(Moult3[[#This Row],[Tecnología]]&amp;Moult3[[#This Row],[Metodo]],TbTipos[Tecnología]&amp;TbTipos[Metodo],TbTipos[Tipo])</f>
        <v>CUDA con graph</v>
      </c>
      <c r="AA92" s="2" t="str" cm="1">
        <f t="array" ref="AA92">_xlfn.XLOOKUP(Moult3[[#This Row],[Tecnología]]&amp;Moult3[[#This Row],[Problema]],TbNombres[Tecnología]&amp;TbNombres[Problema],TbNombres[Nombre])</f>
        <v>Brusselator1d</v>
      </c>
      <c r="AB92" s="21">
        <v>6</v>
      </c>
      <c r="AC92" s="21">
        <v>5</v>
      </c>
      <c r="AD92" s="21">
        <v>256</v>
      </c>
      <c r="AE92" s="21">
        <v>15000</v>
      </c>
      <c r="AF92" s="21">
        <v>30000</v>
      </c>
      <c r="AG92" s="21">
        <v>19.460799999999999</v>
      </c>
      <c r="AI92" s="2" t="str">
        <f>_xlfn.XLOOKUP(Moult4[[#This Row],[Metodo]],TbSolver[Metodo],TbSolver[Solver])</f>
        <v>Adams Bashford Moulton</v>
      </c>
      <c r="AJ92" s="2" t="str">
        <f>_xlfn.XLOOKUP(Moult4[[#This Row],[Hebras]],TbTecnologia[Hebras],TbTecnologia[Tecnología])</f>
        <v>OMP</v>
      </c>
      <c r="AK92" s="2" t="str" cm="1">
        <f t="array" ref="AK92">_xlfn.XLOOKUP(Moult4[[#This Row],[Tecnología]]&amp;Moult4[[#This Row],[Metodo]],TbTipos[Tecnología]&amp;TbTipos[Metodo],TbTipos[Tipo])</f>
        <v>OMP Operaciones</v>
      </c>
      <c r="AL92" s="2" t="str" cm="1">
        <f t="array" ref="AL92">_xlfn.XLOOKUP(Moult4[[#This Row],[Tecnología]]&amp;Moult4[[#This Row],[Problema]],TbNombres[Tecnología]&amp;TbNombres[Problema],TbNombres[Nombre])</f>
        <v>Brusselator2d</v>
      </c>
      <c r="AM92" s="21">
        <v>5</v>
      </c>
      <c r="AN92" s="21">
        <v>4</v>
      </c>
      <c r="AO92" s="21">
        <v>1</v>
      </c>
      <c r="AP92" s="21">
        <v>250</v>
      </c>
      <c r="AQ92" s="21">
        <v>125000</v>
      </c>
      <c r="AR92" s="21">
        <v>2692.79</v>
      </c>
    </row>
    <row r="93" spans="2:44" x14ac:dyDescent="0.2">
      <c r="B93" s="2" t="str">
        <f>_xlfn.XLOOKUP(Moult1[[#This Row],[Metodo]],TbSolver[Metodo],TbSolver[Solver])</f>
        <v>Adams Bashford Moulton</v>
      </c>
      <c r="C93" s="2" t="str">
        <f>_xlfn.XLOOKUP(Moult1[[#This Row],[Hebras]],TbTecnologia[Hebras],TbTecnologia[Tecnología])</f>
        <v>OMP</v>
      </c>
      <c r="D93" s="2" t="str" cm="1">
        <f t="array" ref="D93">_xlfn.XLOOKUP(Moult1[[#This Row],[Tecnología]]&amp;Moult1[[#This Row],[Metodo]],TbTipos[Tecnología]&amp;TbTipos[Metodo],TbTipos[Tipo])</f>
        <v>OMP Operaciones</v>
      </c>
      <c r="E93" s="2" t="str" cm="1">
        <f t="array" ref="E93">_xlfn.XLOOKUP(Moult1[[#This Row],[Tecnología]]&amp;Moult1[[#This Row],[Problema]],TbNombres[Tecnología]&amp;TbNombres[Problema],TbNombres[Nombre])</f>
        <v>Simple Advdiff</v>
      </c>
      <c r="F93" s="21">
        <v>5</v>
      </c>
      <c r="G93" s="21">
        <v>1</v>
      </c>
      <c r="H93" s="21">
        <v>16</v>
      </c>
      <c r="I93" s="21">
        <v>20000</v>
      </c>
      <c r="J93" s="21">
        <v>20000</v>
      </c>
      <c r="K93" s="21">
        <v>122.288</v>
      </c>
      <c r="M93" s="2" t="str">
        <f>_xlfn.XLOOKUP(Moult2[[#This Row],[Metodo]],TbSolver[Metodo],TbSolver[Solver])</f>
        <v>Adams Bashford Moulton</v>
      </c>
      <c r="N93" s="2" t="str">
        <f>_xlfn.XLOOKUP(Moult2[[#This Row],[Hebras]],TbTecnologia[Hebras],TbTecnologia[Tecnología])</f>
        <v>OMP</v>
      </c>
      <c r="O93" s="2" t="str" cm="1">
        <f t="array" ref="O93">_xlfn.XLOOKUP(Moult2[[#This Row],[Tecnología]]&amp;Moult2[[#This Row],[Metodo]],TbTipos[Tecnología]&amp;TbTipos[Metodo],TbTipos[Tipo])</f>
        <v>OMP Operaciones</v>
      </c>
      <c r="P93" s="2" t="str" cm="1">
        <f t="array" ref="P93">_xlfn.XLOOKUP(Moult2[[#This Row],[Tecnología]]&amp;Moult2[[#This Row],[Problema]],TbNombres[Tecnología]&amp;TbNombres[Problema],TbNombres[Nombre])</f>
        <v>Advdiff1d</v>
      </c>
      <c r="Q93" s="21">
        <v>5</v>
      </c>
      <c r="R93" s="21">
        <v>2</v>
      </c>
      <c r="S93" s="21">
        <v>4</v>
      </c>
      <c r="T93" s="21">
        <v>20000</v>
      </c>
      <c r="U93" s="21">
        <v>20000</v>
      </c>
      <c r="V93" s="21">
        <v>447.02600000000001</v>
      </c>
      <c r="X93" s="2" t="str">
        <f>_xlfn.XLOOKUP(Moult3[[#This Row],[Metodo]],TbSolver[Metodo],TbSolver[Solver])</f>
        <v>Adams Bashford Moulton</v>
      </c>
      <c r="Y93" s="2" t="str">
        <f>_xlfn.XLOOKUP(Moult3[[#This Row],[Hebras]],TbTecnologia[Hebras],TbTecnologia[Tecnología])</f>
        <v>CUDA</v>
      </c>
      <c r="Z93" s="2" t="str" cm="1">
        <f t="array" ref="Z93">_xlfn.XLOOKUP(Moult3[[#This Row],[Tecnología]]&amp;Moult3[[#This Row],[Metodo]],TbTipos[Tecnología]&amp;TbTipos[Metodo],TbTipos[Tipo])</f>
        <v>CUDA sin graph</v>
      </c>
      <c r="AA93" s="2" t="str" cm="1">
        <f t="array" ref="AA93">_xlfn.XLOOKUP(Moult3[[#This Row],[Tecnología]]&amp;Moult3[[#This Row],[Problema]],TbNombres[Tecnología]&amp;TbNombres[Problema],TbNombres[Nombre])</f>
        <v>Brusselator1d</v>
      </c>
      <c r="AB93" s="21">
        <v>5</v>
      </c>
      <c r="AC93" s="21">
        <v>5</v>
      </c>
      <c r="AD93" s="21">
        <v>256</v>
      </c>
      <c r="AE93" s="21">
        <v>15000</v>
      </c>
      <c r="AF93" s="21">
        <v>30000</v>
      </c>
      <c r="AG93" s="21">
        <v>19.7819</v>
      </c>
      <c r="AI93" s="2" t="str">
        <f>_xlfn.XLOOKUP(Moult4[[#This Row],[Metodo]],TbSolver[Metodo],TbSolver[Solver])</f>
        <v>Adams Bashford Moulton</v>
      </c>
      <c r="AJ93" s="2" t="str">
        <f>_xlfn.XLOOKUP(Moult4[[#This Row],[Hebras]],TbTecnologia[Hebras],TbTecnologia[Tecnología])</f>
        <v>OMP</v>
      </c>
      <c r="AK93" s="2" t="str" cm="1">
        <f t="array" ref="AK93">_xlfn.XLOOKUP(Moult4[[#This Row],[Tecnología]]&amp;Moult4[[#This Row],[Metodo]],TbTipos[Tecnología]&amp;TbTipos[Metodo],TbTipos[Tipo])</f>
        <v>OMP Elementos</v>
      </c>
      <c r="AL93" s="2" t="str" cm="1">
        <f t="array" ref="AL93">_xlfn.XLOOKUP(Moult4[[#This Row],[Tecnología]]&amp;Moult4[[#This Row],[Problema]],TbNombres[Tecnología]&amp;TbNombres[Problema],TbNombres[Nombre])</f>
        <v>Brusselator2d</v>
      </c>
      <c r="AM93" s="21">
        <v>6</v>
      </c>
      <c r="AN93" s="21">
        <v>4</v>
      </c>
      <c r="AO93" s="21">
        <v>1</v>
      </c>
      <c r="AP93" s="21">
        <v>250</v>
      </c>
      <c r="AQ93" s="21">
        <v>125000</v>
      </c>
      <c r="AR93" s="21">
        <v>5982.94</v>
      </c>
    </row>
    <row r="94" spans="2:44" x14ac:dyDescent="0.2">
      <c r="B94" s="2" t="str">
        <f>_xlfn.XLOOKUP(Moult1[[#This Row],[Metodo]],TbSolver[Metodo],TbSolver[Solver])</f>
        <v>Adams Bashford Moulton</v>
      </c>
      <c r="C94" s="2" t="str">
        <f>_xlfn.XLOOKUP(Moult1[[#This Row],[Hebras]],TbTecnologia[Hebras],TbTecnologia[Tecnología])</f>
        <v>OMP</v>
      </c>
      <c r="D94" s="2" t="str" cm="1">
        <f t="array" ref="D94">_xlfn.XLOOKUP(Moult1[[#This Row],[Tecnología]]&amp;Moult1[[#This Row],[Metodo]],TbTipos[Tecnología]&amp;TbTipos[Metodo],TbTipos[Tipo])</f>
        <v>OMP Elementos</v>
      </c>
      <c r="E94" s="2" t="str" cm="1">
        <f t="array" ref="E94">_xlfn.XLOOKUP(Moult1[[#This Row],[Tecnología]]&amp;Moult1[[#This Row],[Problema]],TbNombres[Tecnología]&amp;TbNombres[Problema],TbNombres[Nombre])</f>
        <v>Simple Advdiff</v>
      </c>
      <c r="F94" s="21">
        <v>6</v>
      </c>
      <c r="G94" s="21">
        <v>1</v>
      </c>
      <c r="H94" s="21">
        <v>4</v>
      </c>
      <c r="I94" s="21">
        <v>20000</v>
      </c>
      <c r="J94" s="21">
        <v>20000</v>
      </c>
      <c r="K94" s="21">
        <v>150.83099999999999</v>
      </c>
      <c r="M94" s="2" t="str">
        <f>_xlfn.XLOOKUP(Moult2[[#This Row],[Metodo]],TbSolver[Metodo],TbSolver[Solver])</f>
        <v>Adams Bashford Moulton</v>
      </c>
      <c r="N94" s="2" t="str">
        <f>_xlfn.XLOOKUP(Moult2[[#This Row],[Hebras]],TbTecnologia[Hebras],TbTecnologia[Tecnología])</f>
        <v>OMP</v>
      </c>
      <c r="O94" s="2" t="str" cm="1">
        <f t="array" ref="O94">_xlfn.XLOOKUP(Moult2[[#This Row],[Tecnología]]&amp;Moult2[[#This Row],[Metodo]],TbTipos[Tecnología]&amp;TbTipos[Metodo],TbTipos[Tipo])</f>
        <v>OMP Elementos</v>
      </c>
      <c r="P94" s="2" t="str" cm="1">
        <f t="array" ref="P94">_xlfn.XLOOKUP(Moult2[[#This Row],[Tecnología]]&amp;Moult2[[#This Row],[Problema]],TbNombres[Tecnología]&amp;TbNombres[Problema],TbNombres[Nombre])</f>
        <v>Advdiff1d</v>
      </c>
      <c r="Q94" s="21">
        <v>6</v>
      </c>
      <c r="R94" s="21">
        <v>2</v>
      </c>
      <c r="S94" s="21">
        <v>4</v>
      </c>
      <c r="T94" s="21">
        <v>20000</v>
      </c>
      <c r="U94" s="21">
        <v>20000</v>
      </c>
      <c r="V94" s="21">
        <v>548.53300000000002</v>
      </c>
      <c r="X94" s="2" t="str">
        <f>_xlfn.XLOOKUP(Moult3[[#This Row],[Metodo]],TbSolver[Metodo],TbSolver[Solver])</f>
        <v>Adams Bashford Moulton</v>
      </c>
      <c r="Y94" s="2" t="str">
        <f>_xlfn.XLOOKUP(Moult3[[#This Row],[Hebras]],TbTecnologia[Hebras],TbTecnologia[Tecnología])</f>
        <v>OMP</v>
      </c>
      <c r="Z94" s="2" t="str" cm="1">
        <f t="array" ref="Z94">_xlfn.XLOOKUP(Moult3[[#This Row],[Tecnología]]&amp;Moult3[[#This Row],[Metodo]],TbTipos[Tecnología]&amp;TbTipos[Metodo],TbTipos[Tipo])</f>
        <v>OMP Operaciones</v>
      </c>
      <c r="AA94" s="2" t="str" cm="1">
        <f t="array" ref="AA94">_xlfn.XLOOKUP(Moult3[[#This Row],[Tecnología]]&amp;Moult3[[#This Row],[Problema]],TbNombres[Tecnología]&amp;TbNombres[Problema],TbNombres[Nombre])</f>
        <v>Brusselator1d</v>
      </c>
      <c r="AB94" s="4">
        <v>5</v>
      </c>
      <c r="AC94" s="4">
        <v>3</v>
      </c>
      <c r="AD94" s="4">
        <v>4</v>
      </c>
      <c r="AE94" s="4">
        <v>15000</v>
      </c>
      <c r="AF94" s="4">
        <v>30000</v>
      </c>
      <c r="AG94" s="4">
        <v>126.88800000000001</v>
      </c>
      <c r="AI94" s="2" t="str">
        <f>_xlfn.XLOOKUP(Moult4[[#This Row],[Metodo]],TbSolver[Metodo],TbSolver[Solver])</f>
        <v>Adams Bashford Moulton</v>
      </c>
      <c r="AJ94" s="2" t="str">
        <f>_xlfn.XLOOKUP(Moult4[[#This Row],[Hebras]],TbTecnologia[Hebras],TbTecnologia[Tecnología])</f>
        <v>CUDA</v>
      </c>
      <c r="AK94" s="2" t="str" cm="1">
        <f t="array" ref="AK94">_xlfn.XLOOKUP(Moult4[[#This Row],[Tecnología]]&amp;Moult4[[#This Row],[Metodo]],TbTipos[Tecnología]&amp;TbTipos[Metodo],TbTipos[Tipo])</f>
        <v>CUDA sin graph</v>
      </c>
      <c r="AL94" s="2" t="str" cm="1">
        <f t="array" ref="AL94">_xlfn.XLOOKUP(Moult4[[#This Row],[Tecnología]]&amp;Moult4[[#This Row],[Problema]],TbNombres[Tecnología]&amp;TbNombres[Problema],TbNombres[Nombre])</f>
        <v>Brusselator2d</v>
      </c>
      <c r="AM94" s="21">
        <v>5</v>
      </c>
      <c r="AN94" s="21">
        <v>8</v>
      </c>
      <c r="AO94" s="21">
        <v>256</v>
      </c>
      <c r="AP94" s="21">
        <v>300</v>
      </c>
      <c r="AQ94" s="21">
        <v>180000</v>
      </c>
      <c r="AR94" s="21">
        <v>120.547</v>
      </c>
    </row>
    <row r="95" spans="2:44" x14ac:dyDescent="0.2">
      <c r="B95" s="2" t="str">
        <f>_xlfn.XLOOKUP(Moult1[[#This Row],[Metodo]],TbSolver[Metodo],TbSolver[Solver])</f>
        <v>Adams Bashford Moulton</v>
      </c>
      <c r="C95" s="2" t="str">
        <f>_xlfn.XLOOKUP(Moult1[[#This Row],[Hebras]],TbTecnologia[Hebras],TbTecnologia[Tecnología])</f>
        <v>OMP</v>
      </c>
      <c r="D95" s="2" t="str" cm="1">
        <f t="array" ref="D95">_xlfn.XLOOKUP(Moult1[[#This Row],[Tecnología]]&amp;Moult1[[#This Row],[Metodo]],TbTipos[Tecnología]&amp;TbTipos[Metodo],TbTipos[Tipo])</f>
        <v>OMP Operaciones</v>
      </c>
      <c r="E95" s="2" t="str" cm="1">
        <f t="array" ref="E95">_xlfn.XLOOKUP(Moult1[[#This Row],[Tecnología]]&amp;Moult1[[#This Row],[Problema]],TbNombres[Tecnología]&amp;TbNombres[Problema],TbNombres[Nombre])</f>
        <v>Simple Advdiff</v>
      </c>
      <c r="F95" s="21">
        <v>5</v>
      </c>
      <c r="G95" s="21">
        <v>1</v>
      </c>
      <c r="H95" s="21">
        <v>1</v>
      </c>
      <c r="I95" s="21">
        <v>20000</v>
      </c>
      <c r="J95" s="21">
        <v>20000</v>
      </c>
      <c r="K95" s="21">
        <v>173.12100000000001</v>
      </c>
      <c r="M95" s="2" t="str">
        <f>_xlfn.XLOOKUP(Moult2[[#This Row],[Metodo]],TbSolver[Metodo],TbSolver[Solver])</f>
        <v>Adams Bashford Moulton</v>
      </c>
      <c r="N95" s="2" t="str">
        <f>_xlfn.XLOOKUP(Moult2[[#This Row],[Hebras]],TbTecnologia[Hebras],TbTecnologia[Tecnología])</f>
        <v>OMP</v>
      </c>
      <c r="O95" s="2" t="str" cm="1">
        <f t="array" ref="O95">_xlfn.XLOOKUP(Moult2[[#This Row],[Tecnología]]&amp;Moult2[[#This Row],[Metodo]],TbTipos[Tecnología]&amp;TbTipos[Metodo],TbTipos[Tipo])</f>
        <v>OMP Operaciones</v>
      </c>
      <c r="P95" s="2" t="str" cm="1">
        <f t="array" ref="P95">_xlfn.XLOOKUP(Moult2[[#This Row],[Tecnología]]&amp;Moult2[[#This Row],[Problema]],TbNombres[Tecnología]&amp;TbNombres[Problema],TbNombres[Nombre])</f>
        <v>Advdiff1d</v>
      </c>
      <c r="Q95" s="21">
        <v>5</v>
      </c>
      <c r="R95" s="21">
        <v>2</v>
      </c>
      <c r="S95" s="21">
        <v>1</v>
      </c>
      <c r="T95" s="21">
        <v>20000</v>
      </c>
      <c r="U95" s="21">
        <v>20000</v>
      </c>
      <c r="V95" s="21">
        <v>1406.79</v>
      </c>
      <c r="X95" s="2" t="str">
        <f>_xlfn.XLOOKUP(Moult3[[#This Row],[Metodo]],TbSolver[Metodo],TbSolver[Solver])</f>
        <v>Adams Bashford Moulton</v>
      </c>
      <c r="Y95" s="2" t="str">
        <f>_xlfn.XLOOKUP(Moult3[[#This Row],[Hebras]],TbTecnologia[Hebras],TbTecnologia[Tecnología])</f>
        <v>OMP</v>
      </c>
      <c r="Z95" s="2" t="str" cm="1">
        <f t="array" ref="Z95">_xlfn.XLOOKUP(Moult3[[#This Row],[Tecnología]]&amp;Moult3[[#This Row],[Metodo]],TbTipos[Tecnología]&amp;TbTipos[Metodo],TbTipos[Tipo])</f>
        <v>OMP Operaciones</v>
      </c>
      <c r="AA95" s="2" t="str" cm="1">
        <f t="array" ref="AA95">_xlfn.XLOOKUP(Moult3[[#This Row],[Tecnología]]&amp;Moult3[[#This Row],[Problema]],TbNombres[Tecnología]&amp;TbNombres[Problema],TbNombres[Nombre])</f>
        <v>Brusselator1d</v>
      </c>
      <c r="AB95" s="4">
        <v>5</v>
      </c>
      <c r="AC95" s="4">
        <v>3</v>
      </c>
      <c r="AD95" s="4">
        <v>16</v>
      </c>
      <c r="AE95" s="4">
        <v>15000</v>
      </c>
      <c r="AF95" s="4">
        <v>30000</v>
      </c>
      <c r="AG95" s="4">
        <v>151.649</v>
      </c>
      <c r="AI95" s="2" t="str">
        <f>_xlfn.XLOOKUP(Moult4[[#This Row],[Metodo]],TbSolver[Metodo],TbSolver[Solver])</f>
        <v>Adams Bashford Moulton</v>
      </c>
      <c r="AJ95" s="2" t="str">
        <f>_xlfn.XLOOKUP(Moult4[[#This Row],[Hebras]],TbTecnologia[Hebras],TbTecnologia[Tecnología])</f>
        <v>CUDA</v>
      </c>
      <c r="AK95" s="2" t="str" cm="1">
        <f t="array" ref="AK95">_xlfn.XLOOKUP(Moult4[[#This Row],[Tecnología]]&amp;Moult4[[#This Row],[Metodo]],TbTipos[Tecnología]&amp;TbTipos[Metodo],TbTipos[Tipo])</f>
        <v>CUDA con graph</v>
      </c>
      <c r="AL95" s="2" t="str" cm="1">
        <f t="array" ref="AL95">_xlfn.XLOOKUP(Moult4[[#This Row],[Tecnología]]&amp;Moult4[[#This Row],[Problema]],TbNombres[Tecnología]&amp;TbNombres[Problema],TbNombres[Nombre])</f>
        <v>Brusselator2d</v>
      </c>
      <c r="AM95" s="21">
        <v>6</v>
      </c>
      <c r="AN95" s="21">
        <v>8</v>
      </c>
      <c r="AO95" s="21">
        <v>256</v>
      </c>
      <c r="AP95" s="21">
        <v>300</v>
      </c>
      <c r="AQ95" s="21">
        <v>180000</v>
      </c>
      <c r="AR95" s="21">
        <v>147.21700000000001</v>
      </c>
    </row>
    <row r="96" spans="2:44" x14ac:dyDescent="0.2">
      <c r="B96" s="2" t="str">
        <f>_xlfn.XLOOKUP(Moult1[[#This Row],[Metodo]],TbSolver[Metodo],TbSolver[Solver])</f>
        <v>Adams Bashford Moulton</v>
      </c>
      <c r="C96" s="2" t="str">
        <f>_xlfn.XLOOKUP(Moult1[[#This Row],[Hebras]],TbTecnologia[Hebras],TbTecnologia[Tecnología])</f>
        <v>OMP</v>
      </c>
      <c r="D96" s="2" t="str" cm="1">
        <f t="array" ref="D96">_xlfn.XLOOKUP(Moult1[[#This Row],[Tecnología]]&amp;Moult1[[#This Row],[Metodo]],TbTipos[Tecnología]&amp;TbTipos[Metodo],TbTipos[Tipo])</f>
        <v>OMP Elementos</v>
      </c>
      <c r="E96" s="2" t="str" cm="1">
        <f t="array" ref="E96">_xlfn.XLOOKUP(Moult1[[#This Row],[Tecnología]]&amp;Moult1[[#This Row],[Problema]],TbNombres[Tecnología]&amp;TbNombres[Problema],TbNombres[Nombre])</f>
        <v>Simple Advdiff</v>
      </c>
      <c r="F96" s="21">
        <v>6</v>
      </c>
      <c r="G96" s="21">
        <v>1</v>
      </c>
      <c r="H96" s="21">
        <v>1</v>
      </c>
      <c r="I96" s="21">
        <v>20000</v>
      </c>
      <c r="J96" s="21">
        <v>20000</v>
      </c>
      <c r="K96" s="21">
        <v>532.74800000000005</v>
      </c>
      <c r="M96" s="2" t="str">
        <f>_xlfn.XLOOKUP(Moult2[[#This Row],[Metodo]],TbSolver[Metodo],TbSolver[Solver])</f>
        <v>Adams Bashford Moulton</v>
      </c>
      <c r="N96" s="2" t="str">
        <f>_xlfn.XLOOKUP(Moult2[[#This Row],[Hebras]],TbTecnologia[Hebras],TbTecnologia[Tecnología])</f>
        <v>OMP</v>
      </c>
      <c r="O96" s="2" t="str" cm="1">
        <f t="array" ref="O96">_xlfn.XLOOKUP(Moult2[[#This Row],[Tecnología]]&amp;Moult2[[#This Row],[Metodo]],TbTipos[Tecnología]&amp;TbTipos[Metodo],TbTipos[Tipo])</f>
        <v>OMP Elementos</v>
      </c>
      <c r="P96" s="2" t="str" cm="1">
        <f t="array" ref="P96">_xlfn.XLOOKUP(Moult2[[#This Row],[Tecnología]]&amp;Moult2[[#This Row],[Problema]],TbNombres[Tecnología]&amp;TbNombres[Problema],TbNombres[Nombre])</f>
        <v>Advdiff1d</v>
      </c>
      <c r="Q96" s="21">
        <v>6</v>
      </c>
      <c r="R96" s="21">
        <v>2</v>
      </c>
      <c r="S96" s="21">
        <v>1</v>
      </c>
      <c r="T96" s="21">
        <v>20000</v>
      </c>
      <c r="U96" s="21">
        <v>20000</v>
      </c>
      <c r="V96" s="21">
        <v>1863.51</v>
      </c>
      <c r="X96" s="2" t="str">
        <f>_xlfn.XLOOKUP(Moult3[[#This Row],[Metodo]],TbSolver[Metodo],TbSolver[Solver])</f>
        <v>Adams Bashford Moulton</v>
      </c>
      <c r="Y96" s="2" t="str">
        <f>_xlfn.XLOOKUP(Moult3[[#This Row],[Hebras]],TbTecnologia[Hebras],TbTecnologia[Tecnología])</f>
        <v>OMP</v>
      </c>
      <c r="Z96" s="2" t="str" cm="1">
        <f t="array" ref="Z96">_xlfn.XLOOKUP(Moult3[[#This Row],[Tecnología]]&amp;Moult3[[#This Row],[Metodo]],TbTipos[Tecnología]&amp;TbTipos[Metodo],TbTipos[Tipo])</f>
        <v>OMP Elementos</v>
      </c>
      <c r="AA96" s="2" t="str" cm="1">
        <f t="array" ref="AA96">_xlfn.XLOOKUP(Moult3[[#This Row],[Tecnología]]&amp;Moult3[[#This Row],[Problema]],TbNombres[Tecnología]&amp;TbNombres[Problema],TbNombres[Nombre])</f>
        <v>Brusselator1d</v>
      </c>
      <c r="AB96" s="4">
        <v>6</v>
      </c>
      <c r="AC96" s="4">
        <v>3</v>
      </c>
      <c r="AD96" s="4">
        <v>16</v>
      </c>
      <c r="AE96" s="4">
        <v>15000</v>
      </c>
      <c r="AF96" s="4">
        <v>30000</v>
      </c>
      <c r="AG96" s="4">
        <v>183.87100000000001</v>
      </c>
      <c r="AI96" s="2" t="str">
        <f>_xlfn.XLOOKUP(Moult4[[#This Row],[Metodo]],TbSolver[Metodo],TbSolver[Solver])</f>
        <v>Adams Bashford Moulton</v>
      </c>
      <c r="AJ96" s="2" t="str">
        <f>_xlfn.XLOOKUP(Moult4[[#This Row],[Hebras]],TbTecnologia[Hebras],TbTecnologia[Tecnología])</f>
        <v>CUDA</v>
      </c>
      <c r="AK96" s="2" t="str" cm="1">
        <f t="array" ref="AK96">_xlfn.XLOOKUP(Moult4[[#This Row],[Tecnología]]&amp;Moult4[[#This Row],[Metodo]],TbTipos[Tecnología]&amp;TbTipos[Metodo],TbTipos[Tipo])</f>
        <v>CUDA sin graph</v>
      </c>
      <c r="AL96" s="2" t="str" cm="1">
        <f t="array" ref="AL96">_xlfn.XLOOKUP(Moult4[[#This Row],[Tecnología]]&amp;Moult4[[#This Row],[Problema]],TbNombres[Tecnología]&amp;TbNombres[Problema],TbNombres[Nombre])</f>
        <v>Brusselator2d</v>
      </c>
      <c r="AM96" s="21">
        <v>5</v>
      </c>
      <c r="AN96" s="21">
        <v>8</v>
      </c>
      <c r="AO96" s="21">
        <v>256</v>
      </c>
      <c r="AP96" s="21">
        <v>400</v>
      </c>
      <c r="AQ96" s="21">
        <v>320000</v>
      </c>
      <c r="AR96" s="21">
        <v>213.41800000000001</v>
      </c>
    </row>
    <row r="97" spans="2:44" x14ac:dyDescent="0.2">
      <c r="B97" s="2" t="str">
        <f>_xlfn.XLOOKUP(Moult1[[#This Row],[Metodo]],TbSolver[Metodo],TbSolver[Solver])</f>
        <v>Adams Bashford Moulton</v>
      </c>
      <c r="C97" s="2" t="str">
        <f>_xlfn.XLOOKUP(Moult1[[#This Row],[Hebras]],TbTecnologia[Hebras],TbTecnologia[Tecnología])</f>
        <v>OMP</v>
      </c>
      <c r="D97" s="2" t="str" cm="1">
        <f t="array" ref="D97">_xlfn.XLOOKUP(Moult1[[#This Row],[Tecnología]]&amp;Moult1[[#This Row],[Metodo]],TbTipos[Tecnología]&amp;TbTipos[Metodo],TbTipos[Tipo])</f>
        <v>OMP Elementos</v>
      </c>
      <c r="E97" s="2" t="str" cm="1">
        <f t="array" ref="E97">_xlfn.XLOOKUP(Moult1[[#This Row],[Tecnología]]&amp;Moult1[[#This Row],[Problema]],TbNombres[Tecnología]&amp;TbNombres[Problema],TbNombres[Nombre])</f>
        <v>Simple Advdiff</v>
      </c>
      <c r="F97" s="21">
        <v>6</v>
      </c>
      <c r="G97" s="21">
        <v>1</v>
      </c>
      <c r="H97" s="21">
        <v>16</v>
      </c>
      <c r="I97" s="21">
        <v>25000</v>
      </c>
      <c r="J97" s="21">
        <v>25000</v>
      </c>
      <c r="K97" s="21">
        <v>78.273499999999999</v>
      </c>
      <c r="M97" s="2" t="str">
        <f>_xlfn.XLOOKUP(Moult2[[#This Row],[Metodo]],TbSolver[Metodo],TbSolver[Solver])</f>
        <v>Adams Bashford Moulton</v>
      </c>
      <c r="N97" s="2" t="str">
        <f>_xlfn.XLOOKUP(Moult2[[#This Row],[Hebras]],TbTecnologia[Hebras],TbTecnologia[Tecnología])</f>
        <v>OMP</v>
      </c>
      <c r="O97" s="2" t="str" cm="1">
        <f t="array" ref="O97">_xlfn.XLOOKUP(Moult2[[#This Row],[Tecnología]]&amp;Moult2[[#This Row],[Metodo]],TbTipos[Tecnología]&amp;TbTipos[Metodo],TbTipos[Tipo])</f>
        <v>OMP Elementos</v>
      </c>
      <c r="P97" s="2" t="str" cm="1">
        <f t="array" ref="P97">_xlfn.XLOOKUP(Moult2[[#This Row],[Tecnología]]&amp;Moult2[[#This Row],[Problema]],TbNombres[Tecnología]&amp;TbNombres[Problema],TbNombres[Nombre])</f>
        <v>Advdiff1d</v>
      </c>
      <c r="Q97" s="21">
        <v>6</v>
      </c>
      <c r="R97" s="21">
        <v>2</v>
      </c>
      <c r="S97" s="21">
        <v>16</v>
      </c>
      <c r="T97" s="21">
        <v>25000</v>
      </c>
      <c r="U97" s="21">
        <v>25000</v>
      </c>
      <c r="V97" s="21">
        <v>195.07300000000001</v>
      </c>
      <c r="X97" s="2" t="str">
        <f>_xlfn.XLOOKUP(Moult3[[#This Row],[Metodo]],TbSolver[Metodo],TbSolver[Solver])</f>
        <v>Adams Bashford Moulton</v>
      </c>
      <c r="Y97" s="2" t="str">
        <f>_xlfn.XLOOKUP(Moult3[[#This Row],[Hebras]],TbTecnologia[Hebras],TbTecnologia[Tecnología])</f>
        <v>OMP</v>
      </c>
      <c r="Z97" s="2" t="str" cm="1">
        <f t="array" ref="Z97">_xlfn.XLOOKUP(Moult3[[#This Row],[Tecnología]]&amp;Moult3[[#This Row],[Metodo]],TbTipos[Tecnología]&amp;TbTipos[Metodo],TbTipos[Tipo])</f>
        <v>OMP Elementos</v>
      </c>
      <c r="AA97" s="2" t="str" cm="1">
        <f t="array" ref="AA97">_xlfn.XLOOKUP(Moult3[[#This Row],[Tecnología]]&amp;Moult3[[#This Row],[Problema]],TbNombres[Tecnología]&amp;TbNombres[Problema],TbNombres[Nombre])</f>
        <v>Brusselator1d</v>
      </c>
      <c r="AB97" s="4">
        <v>6</v>
      </c>
      <c r="AC97" s="4">
        <v>3</v>
      </c>
      <c r="AD97" s="4">
        <v>4</v>
      </c>
      <c r="AE97" s="4">
        <v>15000</v>
      </c>
      <c r="AF97" s="4">
        <v>30000</v>
      </c>
      <c r="AG97" s="4">
        <v>250.88</v>
      </c>
      <c r="AI97" s="2" t="str">
        <f>_xlfn.XLOOKUP(Moult4[[#This Row],[Metodo]],TbSolver[Metodo],TbSolver[Solver])</f>
        <v>Adams Bashford Moulton</v>
      </c>
      <c r="AJ97" s="2" t="str">
        <f>_xlfn.XLOOKUP(Moult4[[#This Row],[Hebras]],TbTecnologia[Hebras],TbTecnologia[Tecnología])</f>
        <v>CUDA</v>
      </c>
      <c r="AK97" s="2" t="str" cm="1">
        <f t="array" ref="AK97">_xlfn.XLOOKUP(Moult4[[#This Row],[Tecnología]]&amp;Moult4[[#This Row],[Metodo]],TbTipos[Tecnología]&amp;TbTipos[Metodo],TbTipos[Tipo])</f>
        <v>CUDA con graph</v>
      </c>
      <c r="AL97" s="2" t="str" cm="1">
        <f t="array" ref="AL97">_xlfn.XLOOKUP(Moult4[[#This Row],[Tecnología]]&amp;Moult4[[#This Row],[Problema]],TbNombres[Tecnología]&amp;TbNombres[Problema],TbNombres[Nombre])</f>
        <v>Brusselator2d</v>
      </c>
      <c r="AM97" s="21">
        <v>6</v>
      </c>
      <c r="AN97" s="21">
        <v>8</v>
      </c>
      <c r="AO97" s="21">
        <v>256</v>
      </c>
      <c r="AP97" s="21">
        <v>400</v>
      </c>
      <c r="AQ97" s="21">
        <v>320000</v>
      </c>
      <c r="AR97" s="21">
        <v>264.62400000000002</v>
      </c>
    </row>
    <row r="98" spans="2:44" x14ac:dyDescent="0.2">
      <c r="B98" s="2" t="str">
        <f>_xlfn.XLOOKUP(Moult1[[#This Row],[Metodo]],TbSolver[Metodo],TbSolver[Solver])</f>
        <v>Adams Bashford Moulton</v>
      </c>
      <c r="C98" s="2" t="str">
        <f>_xlfn.XLOOKUP(Moult1[[#This Row],[Hebras]],TbTecnologia[Hebras],TbTecnologia[Tecnología])</f>
        <v>OMP</v>
      </c>
      <c r="D98" s="2" t="str" cm="1">
        <f t="array" ref="D98">_xlfn.XLOOKUP(Moult1[[#This Row],[Tecnología]]&amp;Moult1[[#This Row],[Metodo]],TbTipos[Tecnología]&amp;TbTipos[Metodo],TbTipos[Tipo])</f>
        <v>OMP Operaciones</v>
      </c>
      <c r="E98" s="2" t="str" cm="1">
        <f t="array" ref="E98">_xlfn.XLOOKUP(Moult1[[#This Row],[Tecnología]]&amp;Moult1[[#This Row],[Problema]],TbNombres[Tecnología]&amp;TbNombres[Problema],TbNombres[Nombre])</f>
        <v>Simple Advdiff</v>
      </c>
      <c r="F98" s="21">
        <v>5</v>
      </c>
      <c r="G98" s="21">
        <v>1</v>
      </c>
      <c r="H98" s="21">
        <v>4</v>
      </c>
      <c r="I98" s="21">
        <v>25000</v>
      </c>
      <c r="J98" s="21">
        <v>25000</v>
      </c>
      <c r="K98" s="21">
        <v>87.003200000000007</v>
      </c>
      <c r="M98" s="2" t="str">
        <f>_xlfn.XLOOKUP(Moult2[[#This Row],[Metodo]],TbSolver[Metodo],TbSolver[Solver])</f>
        <v>Adams Bashford Moulton</v>
      </c>
      <c r="N98" s="2" t="str">
        <f>_xlfn.XLOOKUP(Moult2[[#This Row],[Hebras]],TbTecnologia[Hebras],TbTecnologia[Tecnología])</f>
        <v>OMP</v>
      </c>
      <c r="O98" s="2" t="str" cm="1">
        <f t="array" ref="O98">_xlfn.XLOOKUP(Moult2[[#This Row],[Tecnología]]&amp;Moult2[[#This Row],[Metodo]],TbTipos[Tecnología]&amp;TbTipos[Metodo],TbTipos[Tipo])</f>
        <v>OMP Operaciones</v>
      </c>
      <c r="P98" s="2" t="str" cm="1">
        <f t="array" ref="P98">_xlfn.XLOOKUP(Moult2[[#This Row],[Tecnología]]&amp;Moult2[[#This Row],[Problema]],TbNombres[Tecnología]&amp;TbNombres[Problema],TbNombres[Nombre])</f>
        <v>Advdiff1d</v>
      </c>
      <c r="Q98" s="21">
        <v>5</v>
      </c>
      <c r="R98" s="21">
        <v>2</v>
      </c>
      <c r="S98" s="21">
        <v>16</v>
      </c>
      <c r="T98" s="21">
        <v>25000</v>
      </c>
      <c r="U98" s="21">
        <v>25000</v>
      </c>
      <c r="V98" s="21">
        <v>343.608</v>
      </c>
      <c r="X98" s="2" t="str">
        <f>_xlfn.XLOOKUP(Moult3[[#This Row],[Metodo]],TbSolver[Metodo],TbSolver[Solver])</f>
        <v>Adams Bashford Moulton</v>
      </c>
      <c r="Y98" s="2" t="str">
        <f>_xlfn.XLOOKUP(Moult3[[#This Row],[Hebras]],TbTecnologia[Hebras],TbTecnologia[Tecnología])</f>
        <v>OMP</v>
      </c>
      <c r="Z98" s="2" t="str" cm="1">
        <f t="array" ref="Z98">_xlfn.XLOOKUP(Moult3[[#This Row],[Tecnología]]&amp;Moult3[[#This Row],[Metodo]],TbTipos[Tecnología]&amp;TbTipos[Metodo],TbTipos[Tipo])</f>
        <v>OMP Operaciones</v>
      </c>
      <c r="AA98" s="2" t="str" cm="1">
        <f t="array" ref="AA98">_xlfn.XLOOKUP(Moult3[[#This Row],[Tecnología]]&amp;Moult3[[#This Row],[Problema]],TbNombres[Tecnología]&amp;TbNombres[Problema],TbNombres[Nombre])</f>
        <v>Brusselator1d</v>
      </c>
      <c r="AB98" s="4">
        <v>5</v>
      </c>
      <c r="AC98" s="4">
        <v>3</v>
      </c>
      <c r="AD98" s="4">
        <v>1</v>
      </c>
      <c r="AE98" s="4">
        <v>15000</v>
      </c>
      <c r="AF98" s="4">
        <v>30000</v>
      </c>
      <c r="AG98" s="4">
        <v>389.88099999999997</v>
      </c>
      <c r="AI98" s="2" t="str">
        <f>_xlfn.XLOOKUP(Moult4[[#This Row],[Metodo]],TbSolver[Metodo],TbSolver[Solver])</f>
        <v>Adams Bashford Moulton</v>
      </c>
      <c r="AJ98" s="2" t="str">
        <f>_xlfn.XLOOKUP(Moult4[[#This Row],[Hebras]],TbTecnologia[Hebras],TbTecnologia[Tecnología])</f>
        <v>CUDA</v>
      </c>
      <c r="AK98" s="2" t="str" cm="1">
        <f t="array" ref="AK98">_xlfn.XLOOKUP(Moult4[[#This Row],[Tecnología]]&amp;Moult4[[#This Row],[Metodo]],TbTipos[Tecnología]&amp;TbTipos[Metodo],TbTipos[Tipo])</f>
        <v>CUDA sin graph</v>
      </c>
      <c r="AL98" s="2" t="str" cm="1">
        <f t="array" ref="AL98">_xlfn.XLOOKUP(Moult4[[#This Row],[Tecnología]]&amp;Moult4[[#This Row],[Problema]],TbNombres[Tecnología]&amp;TbNombres[Problema],TbNombres[Nombre])</f>
        <v>Brusselator2d shuffle</v>
      </c>
      <c r="AM98" s="2">
        <v>5</v>
      </c>
      <c r="AN98" s="2">
        <v>9</v>
      </c>
      <c r="AO98" s="2">
        <v>256</v>
      </c>
      <c r="AP98" s="2">
        <v>500</v>
      </c>
      <c r="AQ98" s="2">
        <v>500000</v>
      </c>
      <c r="AR98" s="2">
        <v>310.68200000000002</v>
      </c>
    </row>
    <row r="99" spans="2:44" x14ac:dyDescent="0.2">
      <c r="B99" s="2" t="str">
        <f>_xlfn.XLOOKUP(Moult1[[#This Row],[Metodo]],TbSolver[Metodo],TbSolver[Solver])</f>
        <v>Adams Bashford Moulton</v>
      </c>
      <c r="C99" s="2" t="str">
        <f>_xlfn.XLOOKUP(Moult1[[#This Row],[Hebras]],TbTecnologia[Hebras],TbTecnologia[Tecnología])</f>
        <v>OMP</v>
      </c>
      <c r="D99" s="2" t="str" cm="1">
        <f t="array" ref="D99">_xlfn.XLOOKUP(Moult1[[#This Row],[Tecnología]]&amp;Moult1[[#This Row],[Metodo]],TbTipos[Tecnología]&amp;TbTipos[Metodo],TbTipos[Tipo])</f>
        <v>OMP Operaciones</v>
      </c>
      <c r="E99" s="2" t="str" cm="1">
        <f t="array" ref="E99">_xlfn.XLOOKUP(Moult1[[#This Row],[Tecnología]]&amp;Moult1[[#This Row],[Problema]],TbNombres[Tecnología]&amp;TbNombres[Problema],TbNombres[Nombre])</f>
        <v>Simple Advdiff</v>
      </c>
      <c r="F99" s="21">
        <v>5</v>
      </c>
      <c r="G99" s="21">
        <v>1</v>
      </c>
      <c r="H99" s="21">
        <v>16</v>
      </c>
      <c r="I99" s="21">
        <v>25000</v>
      </c>
      <c r="J99" s="21">
        <v>25000</v>
      </c>
      <c r="K99" s="21">
        <v>117.961</v>
      </c>
      <c r="M99" s="2" t="str">
        <f>_xlfn.XLOOKUP(Moult2[[#This Row],[Metodo]],TbSolver[Metodo],TbSolver[Solver])</f>
        <v>Adams Bashford Moulton</v>
      </c>
      <c r="N99" s="2" t="str">
        <f>_xlfn.XLOOKUP(Moult2[[#This Row],[Hebras]],TbTecnologia[Hebras],TbTecnologia[Tecnología])</f>
        <v>OMP</v>
      </c>
      <c r="O99" s="2" t="str" cm="1">
        <f t="array" ref="O99">_xlfn.XLOOKUP(Moult2[[#This Row],[Tecnología]]&amp;Moult2[[#This Row],[Metodo]],TbTipos[Tecnología]&amp;TbTipos[Metodo],TbTipos[Tipo])</f>
        <v>OMP Operaciones</v>
      </c>
      <c r="P99" s="2" t="str" cm="1">
        <f t="array" ref="P99">_xlfn.XLOOKUP(Moult2[[#This Row],[Tecnología]]&amp;Moult2[[#This Row],[Problema]],TbNombres[Tecnología]&amp;TbNombres[Problema],TbNombres[Nombre])</f>
        <v>Advdiff1d</v>
      </c>
      <c r="Q99" s="21">
        <v>5</v>
      </c>
      <c r="R99" s="21">
        <v>2</v>
      </c>
      <c r="S99" s="21">
        <v>4</v>
      </c>
      <c r="T99" s="21">
        <v>25000</v>
      </c>
      <c r="U99" s="21">
        <v>25000</v>
      </c>
      <c r="V99" s="21">
        <v>546.00699999999995</v>
      </c>
      <c r="X99" s="2" t="str">
        <f>_xlfn.XLOOKUP(Moult3[[#This Row],[Metodo]],TbSolver[Metodo],TbSolver[Solver])</f>
        <v>Adams Bashford Moulton</v>
      </c>
      <c r="Y99" s="2" t="str">
        <f>_xlfn.XLOOKUP(Moult3[[#This Row],[Hebras]],TbTecnologia[Hebras],TbTecnologia[Tecnología])</f>
        <v>OMP</v>
      </c>
      <c r="Z99" s="2" t="str" cm="1">
        <f t="array" ref="Z99">_xlfn.XLOOKUP(Moult3[[#This Row],[Tecnología]]&amp;Moult3[[#This Row],[Metodo]],TbTipos[Tecnología]&amp;TbTipos[Metodo],TbTipos[Tipo])</f>
        <v>OMP Elementos</v>
      </c>
      <c r="AA99" s="2" t="str" cm="1">
        <f t="array" ref="AA99">_xlfn.XLOOKUP(Moult3[[#This Row],[Tecnología]]&amp;Moult3[[#This Row],[Problema]],TbNombres[Tecnología]&amp;TbNombres[Problema],TbNombres[Nombre])</f>
        <v>Brusselator1d</v>
      </c>
      <c r="AB99" s="4">
        <v>6</v>
      </c>
      <c r="AC99" s="4">
        <v>3</v>
      </c>
      <c r="AD99" s="4">
        <v>1</v>
      </c>
      <c r="AE99" s="4">
        <v>15000</v>
      </c>
      <c r="AF99" s="4">
        <v>30000</v>
      </c>
      <c r="AG99" s="4">
        <v>871.66899999999998</v>
      </c>
      <c r="AI99" s="2" t="str">
        <f>_xlfn.XLOOKUP(Moult4[[#This Row],[Metodo]],TbSolver[Metodo],TbSolver[Solver])</f>
        <v>Adams Bashford Moulton</v>
      </c>
      <c r="AJ99" s="2" t="str">
        <f>_xlfn.XLOOKUP(Moult4[[#This Row],[Hebras]],TbTecnologia[Hebras],TbTecnologia[Tecnología])</f>
        <v>CUDA</v>
      </c>
      <c r="AK99" s="2" t="str" cm="1">
        <f t="array" ref="AK99">_xlfn.XLOOKUP(Moult4[[#This Row],[Tecnología]]&amp;Moult4[[#This Row],[Metodo]],TbTipos[Tecnología]&amp;TbTipos[Metodo],TbTipos[Tipo])</f>
        <v>CUDA sin graph</v>
      </c>
      <c r="AL99" s="2" t="str" cm="1">
        <f t="array" ref="AL99">_xlfn.XLOOKUP(Moult4[[#This Row],[Tecnología]]&amp;Moult4[[#This Row],[Problema]],TbNombres[Tecnología]&amp;TbNombres[Problema],TbNombres[Nombre])</f>
        <v>Brusselator2d</v>
      </c>
      <c r="AM99" s="2">
        <v>5</v>
      </c>
      <c r="AN99" s="2">
        <v>8</v>
      </c>
      <c r="AO99" s="2">
        <v>256</v>
      </c>
      <c r="AP99" s="2">
        <v>500</v>
      </c>
      <c r="AQ99" s="2">
        <v>500000</v>
      </c>
      <c r="AR99" s="2">
        <v>313.98399999999998</v>
      </c>
    </row>
    <row r="100" spans="2:44" x14ac:dyDescent="0.2">
      <c r="B100" s="2" t="str">
        <f>_xlfn.XLOOKUP(Moult1[[#This Row],[Metodo]],TbSolver[Metodo],TbSolver[Solver])</f>
        <v>Adams Bashford Moulton</v>
      </c>
      <c r="C100" s="2" t="str">
        <f>_xlfn.XLOOKUP(Moult1[[#This Row],[Hebras]],TbTecnologia[Hebras],TbTecnologia[Tecnología])</f>
        <v>OMP</v>
      </c>
      <c r="D100" s="2" t="str" cm="1">
        <f t="array" ref="D100">_xlfn.XLOOKUP(Moult1[[#This Row],[Tecnología]]&amp;Moult1[[#This Row],[Metodo]],TbTipos[Tecnología]&amp;TbTipos[Metodo],TbTipos[Tipo])</f>
        <v>OMP Elementos</v>
      </c>
      <c r="E100" s="2" t="str" cm="1">
        <f t="array" ref="E100">_xlfn.XLOOKUP(Moult1[[#This Row],[Tecnología]]&amp;Moult1[[#This Row],[Problema]],TbNombres[Tecnología]&amp;TbNombres[Problema],TbNombres[Nombre])</f>
        <v>Simple Advdiff</v>
      </c>
      <c r="F100" s="21">
        <v>6</v>
      </c>
      <c r="G100" s="21">
        <v>1</v>
      </c>
      <c r="H100" s="21">
        <v>4</v>
      </c>
      <c r="I100" s="21">
        <v>25000</v>
      </c>
      <c r="J100" s="21">
        <v>25000</v>
      </c>
      <c r="K100" s="21">
        <v>184.96799999999999</v>
      </c>
      <c r="M100" s="2" t="str">
        <f>_xlfn.XLOOKUP(Moult2[[#This Row],[Metodo]],TbSolver[Metodo],TbSolver[Solver])</f>
        <v>Adams Bashford Moulton</v>
      </c>
      <c r="N100" s="2" t="str">
        <f>_xlfn.XLOOKUP(Moult2[[#This Row],[Hebras]],TbTecnologia[Hebras],TbTecnologia[Tecnología])</f>
        <v>OMP</v>
      </c>
      <c r="O100" s="2" t="str" cm="1">
        <f t="array" ref="O100">_xlfn.XLOOKUP(Moult2[[#This Row],[Tecnología]]&amp;Moult2[[#This Row],[Metodo]],TbTipos[Tecnología]&amp;TbTipos[Metodo],TbTipos[Tipo])</f>
        <v>OMP Elementos</v>
      </c>
      <c r="P100" s="2" t="str" cm="1">
        <f t="array" ref="P100">_xlfn.XLOOKUP(Moult2[[#This Row],[Tecnología]]&amp;Moult2[[#This Row],[Problema]],TbNombres[Tecnología]&amp;TbNombres[Problema],TbNombres[Nombre])</f>
        <v>Advdiff1d</v>
      </c>
      <c r="Q100" s="21">
        <v>6</v>
      </c>
      <c r="R100" s="21">
        <v>2</v>
      </c>
      <c r="S100" s="21">
        <v>4</v>
      </c>
      <c r="T100" s="21">
        <v>25000</v>
      </c>
      <c r="U100" s="21">
        <v>25000</v>
      </c>
      <c r="V100" s="21">
        <v>683.74300000000005</v>
      </c>
      <c r="X100" s="2" t="str">
        <f>_xlfn.XLOOKUP(Moult3[[#This Row],[Metodo]],TbSolver[Metodo],TbSolver[Solver])</f>
        <v>Adams Bashford Moulton</v>
      </c>
      <c r="Y100" s="2" t="str">
        <f>_xlfn.XLOOKUP(Moult3[[#This Row],[Hebras]],TbTecnologia[Hebras],TbTecnologia[Tecnología])</f>
        <v>CUDA</v>
      </c>
      <c r="Z100" s="2" t="str" cm="1">
        <f t="array" ref="Z100">_xlfn.XLOOKUP(Moult3[[#This Row],[Tecnología]]&amp;Moult3[[#This Row],[Metodo]],TbTipos[Tecnología]&amp;TbTipos[Metodo],TbTipos[Tipo])</f>
        <v>CUDA sin graph</v>
      </c>
      <c r="AA100" s="2" t="str" cm="1">
        <f t="array" ref="AA100">_xlfn.XLOOKUP(Moult3[[#This Row],[Tecnología]]&amp;Moult3[[#This Row],[Problema]],TbNombres[Tecnología]&amp;TbNombres[Problema],TbNombres[Nombre])</f>
        <v>Brusselator1d</v>
      </c>
      <c r="AB100" s="2">
        <v>5</v>
      </c>
      <c r="AC100" s="2">
        <v>5</v>
      </c>
      <c r="AD100" s="2">
        <v>256</v>
      </c>
      <c r="AE100" s="2">
        <v>20000</v>
      </c>
      <c r="AF100" s="2">
        <v>40000</v>
      </c>
      <c r="AG100" s="2">
        <v>23.7239</v>
      </c>
      <c r="AI100" s="2" t="str">
        <f>_xlfn.XLOOKUP(Moult4[[#This Row],[Metodo]],TbSolver[Metodo],TbSolver[Solver])</f>
        <v>Adams Bashford Moulton</v>
      </c>
      <c r="AJ100" s="2" t="str">
        <f>_xlfn.XLOOKUP(Moult4[[#This Row],[Hebras]],TbTecnologia[Hebras],TbTecnologia[Tecnología])</f>
        <v>CUDA</v>
      </c>
      <c r="AK100" s="2" t="str" cm="1">
        <f t="array" ref="AK100">_xlfn.XLOOKUP(Moult4[[#This Row],[Tecnología]]&amp;Moult4[[#This Row],[Metodo]],TbTipos[Tecnología]&amp;TbTipos[Metodo],TbTipos[Tipo])</f>
        <v>CUDA con graph</v>
      </c>
      <c r="AL100" s="2" t="str" cm="1">
        <f t="array" ref="AL100">_xlfn.XLOOKUP(Moult4[[#This Row],[Tecnología]]&amp;Moult4[[#This Row],[Problema]],TbNombres[Tecnología]&amp;TbNombres[Problema],TbNombres[Nombre])</f>
        <v>Brusselator2d</v>
      </c>
      <c r="AM100" s="2">
        <v>6</v>
      </c>
      <c r="AN100" s="2">
        <v>8</v>
      </c>
      <c r="AO100" s="2">
        <v>256</v>
      </c>
      <c r="AP100" s="2">
        <v>500</v>
      </c>
      <c r="AQ100" s="2">
        <v>500000</v>
      </c>
      <c r="AR100" s="2">
        <v>392.97199999999998</v>
      </c>
    </row>
    <row r="101" spans="2:44" x14ac:dyDescent="0.2">
      <c r="B101" s="2" t="str">
        <f>_xlfn.XLOOKUP(Moult1[[#This Row],[Metodo]],TbSolver[Metodo],TbSolver[Solver])</f>
        <v>Adams Bashford Moulton</v>
      </c>
      <c r="C101" s="2" t="str">
        <f>_xlfn.XLOOKUP(Moult1[[#This Row],[Hebras]],TbTecnologia[Hebras],TbTecnologia[Tecnología])</f>
        <v>OMP</v>
      </c>
      <c r="D101" s="2" t="str" cm="1">
        <f t="array" ref="D101">_xlfn.XLOOKUP(Moult1[[#This Row],[Tecnología]]&amp;Moult1[[#This Row],[Metodo]],TbTipos[Tecnología]&amp;TbTipos[Metodo],TbTipos[Tipo])</f>
        <v>OMP Operaciones</v>
      </c>
      <c r="E101" s="2" t="str" cm="1">
        <f t="array" ref="E101">_xlfn.XLOOKUP(Moult1[[#This Row],[Tecnología]]&amp;Moult1[[#This Row],[Problema]],TbNombres[Tecnología]&amp;TbNombres[Problema],TbNombres[Nombre])</f>
        <v>Simple Advdiff</v>
      </c>
      <c r="F101" s="21">
        <v>5</v>
      </c>
      <c r="G101" s="21">
        <v>1</v>
      </c>
      <c r="H101" s="21">
        <v>1</v>
      </c>
      <c r="I101" s="21">
        <v>25000</v>
      </c>
      <c r="J101" s="21">
        <v>25000</v>
      </c>
      <c r="K101" s="21">
        <v>242.06399999999999</v>
      </c>
      <c r="M101" s="2" t="str">
        <f>_xlfn.XLOOKUP(Moult2[[#This Row],[Metodo]],TbSolver[Metodo],TbSolver[Solver])</f>
        <v>Adams Bashford Moulton</v>
      </c>
      <c r="N101" s="2" t="str">
        <f>_xlfn.XLOOKUP(Moult2[[#This Row],[Hebras]],TbTecnologia[Hebras],TbTecnologia[Tecnología])</f>
        <v>OMP</v>
      </c>
      <c r="O101" s="2" t="str" cm="1">
        <f t="array" ref="O101">_xlfn.XLOOKUP(Moult2[[#This Row],[Tecnología]]&amp;Moult2[[#This Row],[Metodo]],TbTipos[Tecnología]&amp;TbTipos[Metodo],TbTipos[Tipo])</f>
        <v>OMP Operaciones</v>
      </c>
      <c r="P101" s="2" t="str" cm="1">
        <f t="array" ref="P101">_xlfn.XLOOKUP(Moult2[[#This Row],[Tecnología]]&amp;Moult2[[#This Row],[Problema]],TbNombres[Tecnología]&amp;TbNombres[Problema],TbNombres[Nombre])</f>
        <v>Advdiff1d</v>
      </c>
      <c r="Q101" s="21">
        <v>5</v>
      </c>
      <c r="R101" s="21">
        <v>2</v>
      </c>
      <c r="S101" s="21">
        <v>1</v>
      </c>
      <c r="T101" s="21">
        <v>25000</v>
      </c>
      <c r="U101" s="21">
        <v>25000</v>
      </c>
      <c r="V101" s="21">
        <v>1790.35</v>
      </c>
      <c r="X101" s="2" t="str">
        <f>_xlfn.XLOOKUP(Moult3[[#This Row],[Metodo]],TbSolver[Metodo],TbSolver[Solver])</f>
        <v>Adams Bashford Moulton</v>
      </c>
      <c r="Y101" s="2" t="str">
        <f>_xlfn.XLOOKUP(Moult3[[#This Row],[Hebras]],TbTecnologia[Hebras],TbTecnologia[Tecnología])</f>
        <v>CUDA</v>
      </c>
      <c r="Z101" s="2" t="str" cm="1">
        <f t="array" ref="Z101">_xlfn.XLOOKUP(Moult3[[#This Row],[Tecnología]]&amp;Moult3[[#This Row],[Metodo]],TbTipos[Tecnología]&amp;TbTipos[Metodo],TbTipos[Tipo])</f>
        <v>CUDA con graph</v>
      </c>
      <c r="AA101" s="2" t="str" cm="1">
        <f t="array" ref="AA101">_xlfn.XLOOKUP(Moult3[[#This Row],[Tecnología]]&amp;Moult3[[#This Row],[Problema]],TbNombres[Tecnología]&amp;TbNombres[Problema],TbNombres[Nombre])</f>
        <v>Brusselator1d</v>
      </c>
      <c r="AB101" s="21">
        <v>6</v>
      </c>
      <c r="AC101" s="21">
        <v>5</v>
      </c>
      <c r="AD101" s="21">
        <v>256</v>
      </c>
      <c r="AE101" s="21">
        <v>20000</v>
      </c>
      <c r="AF101" s="21">
        <v>40000</v>
      </c>
      <c r="AG101" s="21">
        <v>24.120799999999999</v>
      </c>
      <c r="AI101" s="2" t="str">
        <f>_xlfn.XLOOKUP(Moult4[[#This Row],[Metodo]],TbSolver[Metodo],TbSolver[Solver])</f>
        <v>Adams Bashford Moulton</v>
      </c>
      <c r="AJ101" s="2" t="str">
        <f>_xlfn.XLOOKUP(Moult4[[#This Row],[Hebras]],TbTecnologia[Hebras],TbTecnologia[Tecnología])</f>
        <v>CUDA</v>
      </c>
      <c r="AK101" s="2" t="str" cm="1">
        <f t="array" ref="AK101">_xlfn.XLOOKUP(Moult4[[#This Row],[Tecnología]]&amp;Moult4[[#This Row],[Metodo]],TbTipos[Tecnología]&amp;TbTipos[Metodo],TbTipos[Tipo])</f>
        <v>CUDA con graph</v>
      </c>
      <c r="AL101" s="2" t="str" cm="1">
        <f t="array" ref="AL101">_xlfn.XLOOKUP(Moult4[[#This Row],[Tecnología]]&amp;Moult4[[#This Row],[Problema]],TbNombres[Tecnología]&amp;TbNombres[Problema],TbNombres[Nombre])</f>
        <v>Brusselator2d shuffle</v>
      </c>
      <c r="AM101" s="2">
        <v>6</v>
      </c>
      <c r="AN101" s="2">
        <v>9</v>
      </c>
      <c r="AO101" s="2">
        <v>256</v>
      </c>
      <c r="AP101" s="2">
        <v>500</v>
      </c>
      <c r="AQ101" s="2">
        <v>500000</v>
      </c>
      <c r="AR101" s="2">
        <v>393.34699999999998</v>
      </c>
    </row>
    <row r="102" spans="2:44" x14ac:dyDescent="0.2">
      <c r="B102" s="2" t="str">
        <f>_xlfn.XLOOKUP(Moult1[[#This Row],[Metodo]],TbSolver[Metodo],TbSolver[Solver])</f>
        <v>Adams Bashford Moulton</v>
      </c>
      <c r="C102" s="2" t="str">
        <f>_xlfn.XLOOKUP(Moult1[[#This Row],[Hebras]],TbTecnologia[Hebras],TbTecnologia[Tecnología])</f>
        <v>OMP</v>
      </c>
      <c r="D102" s="2" t="str" cm="1">
        <f t="array" ref="D102">_xlfn.XLOOKUP(Moult1[[#This Row],[Tecnología]]&amp;Moult1[[#This Row],[Metodo]],TbTipos[Tecnología]&amp;TbTipos[Metodo],TbTipos[Tipo])</f>
        <v>OMP Elementos</v>
      </c>
      <c r="E102" s="2" t="str" cm="1">
        <f t="array" ref="E102">_xlfn.XLOOKUP(Moult1[[#This Row],[Tecnología]]&amp;Moult1[[#This Row],[Problema]],TbNombres[Tecnología]&amp;TbNombres[Problema],TbNombres[Nombre])</f>
        <v>Simple Advdiff</v>
      </c>
      <c r="F102" s="21">
        <v>6</v>
      </c>
      <c r="G102" s="21">
        <v>1</v>
      </c>
      <c r="H102" s="21">
        <v>1</v>
      </c>
      <c r="I102" s="21">
        <v>25000</v>
      </c>
      <c r="J102" s="21">
        <v>25000</v>
      </c>
      <c r="K102" s="21">
        <v>666.55</v>
      </c>
      <c r="M102" s="2" t="str">
        <f>_xlfn.XLOOKUP(Moult2[[#This Row],[Metodo]],TbSolver[Metodo],TbSolver[Solver])</f>
        <v>Adams Bashford Moulton</v>
      </c>
      <c r="N102" s="2" t="str">
        <f>_xlfn.XLOOKUP(Moult2[[#This Row],[Hebras]],TbTecnologia[Hebras],TbTecnologia[Tecnología])</f>
        <v>OMP</v>
      </c>
      <c r="O102" s="2" t="str" cm="1">
        <f t="array" ref="O102">_xlfn.XLOOKUP(Moult2[[#This Row],[Tecnología]]&amp;Moult2[[#This Row],[Metodo]],TbTipos[Tecnología]&amp;TbTipos[Metodo],TbTipos[Tipo])</f>
        <v>OMP Elementos</v>
      </c>
      <c r="P102" s="2" t="str" cm="1">
        <f t="array" ref="P102">_xlfn.XLOOKUP(Moult2[[#This Row],[Tecnología]]&amp;Moult2[[#This Row],[Problema]],TbNombres[Tecnología]&amp;TbNombres[Problema],TbNombres[Nombre])</f>
        <v>Advdiff1d</v>
      </c>
      <c r="Q102" s="21">
        <v>6</v>
      </c>
      <c r="R102" s="21">
        <v>2</v>
      </c>
      <c r="S102" s="21">
        <v>1</v>
      </c>
      <c r="T102" s="21">
        <v>25000</v>
      </c>
      <c r="U102" s="21">
        <v>25000</v>
      </c>
      <c r="V102" s="21">
        <v>2315.2399999999998</v>
      </c>
      <c r="X102" s="2" t="str">
        <f>_xlfn.XLOOKUP(Moult3[[#This Row],[Metodo]],TbSolver[Metodo],TbSolver[Solver])</f>
        <v>Adams Bashford Moulton</v>
      </c>
      <c r="Y102" s="2" t="str">
        <f>_xlfn.XLOOKUP(Moult3[[#This Row],[Hebras]],TbTecnologia[Hebras],TbTecnologia[Tecnología])</f>
        <v>CUDA</v>
      </c>
      <c r="Z102" s="2" t="str" cm="1">
        <f t="array" ref="Z102">_xlfn.XLOOKUP(Moult3[[#This Row],[Tecnología]]&amp;Moult3[[#This Row],[Metodo]],TbTipos[Tecnología]&amp;TbTipos[Metodo],TbTipos[Tipo])</f>
        <v>CUDA sin graph</v>
      </c>
      <c r="AA102" s="2" t="str" cm="1">
        <f t="array" ref="AA102">_xlfn.XLOOKUP(Moult3[[#This Row],[Tecnología]]&amp;Moult3[[#This Row],[Problema]],TbNombres[Tecnología]&amp;TbNombres[Problema],TbNombres[Nombre])</f>
        <v>Brusselator1d</v>
      </c>
      <c r="AB102" s="21">
        <v>5</v>
      </c>
      <c r="AC102" s="21">
        <v>5</v>
      </c>
      <c r="AD102" s="21">
        <v>256</v>
      </c>
      <c r="AE102" s="21">
        <v>20000</v>
      </c>
      <c r="AF102" s="21">
        <v>40000</v>
      </c>
      <c r="AG102" s="21">
        <v>24.1877</v>
      </c>
      <c r="AI102" s="2" t="str">
        <f>_xlfn.XLOOKUP(Moult4[[#This Row],[Metodo]],TbSolver[Metodo],TbSolver[Solver])</f>
        <v>Adams Bashford Moulton</v>
      </c>
      <c r="AJ102" s="2" t="str">
        <f>_xlfn.XLOOKUP(Moult4[[#This Row],[Hebras]],TbTecnologia[Hebras],TbTecnologia[Tecnología])</f>
        <v>CUDA</v>
      </c>
      <c r="AK102" s="2" t="str" cm="1">
        <f t="array" ref="AK102">_xlfn.XLOOKUP(Moult4[[#This Row],[Tecnología]]&amp;Moult4[[#This Row],[Metodo]],TbTipos[Tecnología]&amp;TbTipos[Metodo],TbTipos[Tipo])</f>
        <v>CUDA sin graph</v>
      </c>
      <c r="AL102" s="2" t="str" cm="1">
        <f t="array" ref="AL102">_xlfn.XLOOKUP(Moult4[[#This Row],[Tecnología]]&amp;Moult4[[#This Row],[Problema]],TbNombres[Tecnología]&amp;TbNombres[Problema],TbNombres[Nombre])</f>
        <v>Brusselator2d</v>
      </c>
      <c r="AM102" s="21">
        <v>5</v>
      </c>
      <c r="AN102" s="21">
        <v>8</v>
      </c>
      <c r="AO102" s="21">
        <v>256</v>
      </c>
      <c r="AP102" s="21">
        <v>600</v>
      </c>
      <c r="AQ102" s="21">
        <v>720000</v>
      </c>
      <c r="AR102" s="21">
        <v>458.03</v>
      </c>
    </row>
    <row r="103" spans="2:44" x14ac:dyDescent="0.2">
      <c r="B103" s="2" t="str">
        <f>_xlfn.XLOOKUP(Moult1[[#This Row],[Metodo]],TbSolver[Metodo],TbSolver[Solver])</f>
        <v>Adams Bashford Moulton</v>
      </c>
      <c r="C103" s="2" t="str">
        <f>_xlfn.XLOOKUP(Moult1[[#This Row],[Hebras]],TbTecnologia[Hebras],TbTecnologia[Tecnología])</f>
        <v>CUDA</v>
      </c>
      <c r="D103" s="2" t="str" cm="1">
        <f t="array" ref="D103">_xlfn.XLOOKUP(Moult1[[#This Row],[Tecnología]]&amp;Moult1[[#This Row],[Metodo]],TbTipos[Tecnología]&amp;TbTipos[Metodo],TbTipos[Tipo])</f>
        <v>CUDA con graph</v>
      </c>
      <c r="E103" s="2" t="str" cm="1">
        <f t="array" ref="E103">_xlfn.XLOOKUP(Moult1[[#This Row],[Tecnología]]&amp;Moult1[[#This Row],[Problema]],TbNombres[Tecnología]&amp;TbNombres[Problema],TbNombres[Nombre])</f>
        <v>Simple Advdiff</v>
      </c>
      <c r="F103" s="21">
        <v>6</v>
      </c>
      <c r="G103" s="21">
        <v>1</v>
      </c>
      <c r="H103" s="21">
        <v>256</v>
      </c>
      <c r="I103" s="21">
        <v>30000</v>
      </c>
      <c r="J103" s="21">
        <v>30000</v>
      </c>
      <c r="K103" s="21">
        <v>17.755800000000001</v>
      </c>
      <c r="M103" s="2" t="str">
        <f>_xlfn.XLOOKUP(Moult2[[#This Row],[Metodo]],TbSolver[Metodo],TbSolver[Solver])</f>
        <v>Adams Bashford Moulton</v>
      </c>
      <c r="N103" s="2" t="str">
        <f>_xlfn.XLOOKUP(Moult2[[#This Row],[Hebras]],TbTecnologia[Hebras],TbTecnologia[Tecnología])</f>
        <v>CUDA</v>
      </c>
      <c r="O103" s="2" t="str" cm="1">
        <f t="array" ref="O103">_xlfn.XLOOKUP(Moult2[[#This Row],[Tecnología]]&amp;Moult2[[#This Row],[Metodo]],TbTipos[Tecnología]&amp;TbTipos[Metodo],TbTipos[Tipo])</f>
        <v>CUDA sin graph</v>
      </c>
      <c r="P103" s="2" t="str" cm="1">
        <f t="array" ref="P103">_xlfn.XLOOKUP(Moult2[[#This Row],[Tecnología]]&amp;Moult2[[#This Row],[Problema]],TbNombres[Tecnología]&amp;TbNombres[Problema],TbNombres[Nombre])</f>
        <v>Advdiff1d</v>
      </c>
      <c r="Q103" s="21">
        <v>5</v>
      </c>
      <c r="R103" s="21">
        <v>3</v>
      </c>
      <c r="S103" s="21">
        <v>256</v>
      </c>
      <c r="T103" s="21">
        <v>30000</v>
      </c>
      <c r="U103" s="21">
        <v>30000</v>
      </c>
      <c r="V103" s="21">
        <v>42.121200000000002</v>
      </c>
      <c r="X103" s="2" t="str">
        <f>_xlfn.XLOOKUP(Moult3[[#This Row],[Metodo]],TbSolver[Metodo],TbSolver[Solver])</f>
        <v>Adams Bashford Moulton</v>
      </c>
      <c r="Y103" s="2" t="str">
        <f>_xlfn.XLOOKUP(Moult3[[#This Row],[Hebras]],TbTecnologia[Hebras],TbTecnologia[Tecnología])</f>
        <v>OMP</v>
      </c>
      <c r="Z103" s="2" t="str" cm="1">
        <f t="array" ref="Z103">_xlfn.XLOOKUP(Moult3[[#This Row],[Tecnología]]&amp;Moult3[[#This Row],[Metodo]],TbTipos[Tecnología]&amp;TbTipos[Metodo],TbTipos[Tipo])</f>
        <v>OMP Elementos</v>
      </c>
      <c r="AA103" s="2" t="str" cm="1">
        <f t="array" ref="AA103">_xlfn.XLOOKUP(Moult3[[#This Row],[Tecnología]]&amp;Moult3[[#This Row],[Problema]],TbNombres[Tecnología]&amp;TbNombres[Problema],TbNombres[Nombre])</f>
        <v>Brusselator1d</v>
      </c>
      <c r="AB103" s="21">
        <v>6</v>
      </c>
      <c r="AC103" s="21">
        <v>3</v>
      </c>
      <c r="AD103" s="21">
        <v>16</v>
      </c>
      <c r="AE103" s="21">
        <v>20000</v>
      </c>
      <c r="AF103" s="21">
        <v>40000</v>
      </c>
      <c r="AG103" s="21">
        <v>141.559</v>
      </c>
      <c r="AI103" s="2" t="str">
        <f>_xlfn.XLOOKUP(Moult4[[#This Row],[Metodo]],TbSolver[Metodo],TbSolver[Solver])</f>
        <v>Adams Bashford Moulton</v>
      </c>
      <c r="AJ103" s="2" t="str">
        <f>_xlfn.XLOOKUP(Moult4[[#This Row],[Hebras]],TbTecnologia[Hebras],TbTecnologia[Tecnología])</f>
        <v>CUDA</v>
      </c>
      <c r="AK103" s="2" t="str" cm="1">
        <f t="array" ref="AK103">_xlfn.XLOOKUP(Moult4[[#This Row],[Tecnología]]&amp;Moult4[[#This Row],[Metodo]],TbTipos[Tecnología]&amp;TbTipos[Metodo],TbTipos[Tipo])</f>
        <v>CUDA con graph</v>
      </c>
      <c r="AL103" s="2" t="str" cm="1">
        <f t="array" ref="AL103">_xlfn.XLOOKUP(Moult4[[#This Row],[Tecnología]]&amp;Moult4[[#This Row],[Problema]],TbNombres[Tecnología]&amp;TbNombres[Problema],TbNombres[Nombre])</f>
        <v>Brusselator2d</v>
      </c>
      <c r="AM103" s="21">
        <v>6</v>
      </c>
      <c r="AN103" s="21">
        <v>8</v>
      </c>
      <c r="AO103" s="21">
        <v>256</v>
      </c>
      <c r="AP103" s="21">
        <v>600</v>
      </c>
      <c r="AQ103" s="21">
        <v>720000</v>
      </c>
      <c r="AR103" s="21">
        <v>573.024</v>
      </c>
    </row>
    <row r="104" spans="2:44" x14ac:dyDescent="0.2">
      <c r="B104" s="2" t="str">
        <f>_xlfn.XLOOKUP(Moult1[[#This Row],[Metodo]],TbSolver[Metodo],TbSolver[Solver])</f>
        <v>Adams Bashford Moulton</v>
      </c>
      <c r="C104" s="2" t="str">
        <f>_xlfn.XLOOKUP(Moult1[[#This Row],[Hebras]],TbTecnologia[Hebras],TbTecnologia[Tecnología])</f>
        <v>CUDA</v>
      </c>
      <c r="D104" s="2" t="str" cm="1">
        <f t="array" ref="D104">_xlfn.XLOOKUP(Moult1[[#This Row],[Tecnología]]&amp;Moult1[[#This Row],[Metodo]],TbTipos[Tecnología]&amp;TbTipos[Metodo],TbTipos[Tipo])</f>
        <v>CUDA sin graph</v>
      </c>
      <c r="E104" s="2" t="str" cm="1">
        <f t="array" ref="E104">_xlfn.XLOOKUP(Moult1[[#This Row],[Tecnología]]&amp;Moult1[[#This Row],[Problema]],TbNombres[Tecnología]&amp;TbNombres[Problema],TbNombres[Nombre])</f>
        <v>Simple Advdiff</v>
      </c>
      <c r="F104" s="21">
        <v>5</v>
      </c>
      <c r="G104" s="21">
        <v>1</v>
      </c>
      <c r="H104" s="21">
        <v>256</v>
      </c>
      <c r="I104" s="21">
        <v>30000</v>
      </c>
      <c r="J104" s="21">
        <v>30000</v>
      </c>
      <c r="K104" s="21">
        <v>17.9925</v>
      </c>
      <c r="M104" s="2" t="str">
        <f>_xlfn.XLOOKUP(Moult2[[#This Row],[Metodo]],TbSolver[Metodo],TbSolver[Solver])</f>
        <v>Adams Bashford Moulton</v>
      </c>
      <c r="N104" s="2" t="str">
        <f>_xlfn.XLOOKUP(Moult2[[#This Row],[Hebras]],TbTecnologia[Hebras],TbTecnologia[Tecnología])</f>
        <v>CUDA</v>
      </c>
      <c r="O104" s="2" t="str" cm="1">
        <f t="array" ref="O104">_xlfn.XLOOKUP(Moult2[[#This Row],[Tecnología]]&amp;Moult2[[#This Row],[Metodo]],TbTipos[Tecnología]&amp;TbTipos[Metodo],TbTipos[Tipo])</f>
        <v>CUDA con graph</v>
      </c>
      <c r="P104" s="2" t="str" cm="1">
        <f t="array" ref="P104">_xlfn.XLOOKUP(Moult2[[#This Row],[Tecnología]]&amp;Moult2[[#This Row],[Problema]],TbNombres[Tecnología]&amp;TbNombres[Problema],TbNombres[Nombre])</f>
        <v>Advdiff1d</v>
      </c>
      <c r="Q104" s="21">
        <v>6</v>
      </c>
      <c r="R104" s="21">
        <v>3</v>
      </c>
      <c r="S104" s="21">
        <v>256</v>
      </c>
      <c r="T104" s="21">
        <v>30000</v>
      </c>
      <c r="U104" s="21">
        <v>30000</v>
      </c>
      <c r="V104" s="21">
        <v>42.280500000000004</v>
      </c>
      <c r="X104" s="2" t="str">
        <f>_xlfn.XLOOKUP(Moult3[[#This Row],[Metodo]],TbSolver[Metodo],TbSolver[Solver])</f>
        <v>Adams Bashford Moulton</v>
      </c>
      <c r="Y104" s="2" t="str">
        <f>_xlfn.XLOOKUP(Moult3[[#This Row],[Hebras]],TbTecnologia[Hebras],TbTecnologia[Tecnología])</f>
        <v>OMP</v>
      </c>
      <c r="Z104" s="2" t="str" cm="1">
        <f t="array" ref="Z104">_xlfn.XLOOKUP(Moult3[[#This Row],[Tecnología]]&amp;Moult3[[#This Row],[Metodo]],TbTipos[Tecnología]&amp;TbTipos[Metodo],TbTipos[Tipo])</f>
        <v>OMP Operaciones</v>
      </c>
      <c r="AA104" s="2" t="str" cm="1">
        <f t="array" ref="AA104">_xlfn.XLOOKUP(Moult3[[#This Row],[Tecnología]]&amp;Moult3[[#This Row],[Problema]],TbNombres[Tecnología]&amp;TbNombres[Problema],TbNombres[Nombre])</f>
        <v>Brusselator1d</v>
      </c>
      <c r="AB104" s="21">
        <v>5</v>
      </c>
      <c r="AC104" s="21">
        <v>3</v>
      </c>
      <c r="AD104" s="21">
        <v>16</v>
      </c>
      <c r="AE104" s="21">
        <v>20000</v>
      </c>
      <c r="AF104" s="21">
        <v>40000</v>
      </c>
      <c r="AG104" s="21">
        <v>169.41300000000001</v>
      </c>
      <c r="AI104" s="2" t="str">
        <f>_xlfn.XLOOKUP(Moult4[[#This Row],[Metodo]],TbSolver[Metodo],TbSolver[Solver])</f>
        <v>Adams Bashford Moulton</v>
      </c>
      <c r="AJ104" s="2" t="str">
        <f>_xlfn.XLOOKUP(Moult4[[#This Row],[Hebras]],TbTecnologia[Hebras],TbTecnologia[Tecnología])</f>
        <v>CUDA</v>
      </c>
      <c r="AK104" s="2" t="str" cm="1">
        <f t="array" ref="AK104">_xlfn.XLOOKUP(Moult4[[#This Row],[Tecnología]]&amp;Moult4[[#This Row],[Metodo]],TbTipos[Tecnología]&amp;TbTipos[Metodo],TbTipos[Tipo])</f>
        <v>CUDA sin graph</v>
      </c>
      <c r="AL104" s="2" t="str" cm="1">
        <f t="array" ref="AL104">_xlfn.XLOOKUP(Moult4[[#This Row],[Tecnología]]&amp;Moult4[[#This Row],[Problema]],TbNombres[Tecnología]&amp;TbNombres[Problema],TbNombres[Nombre])</f>
        <v>Brusselator2d</v>
      </c>
      <c r="AM104" s="21">
        <v>5</v>
      </c>
      <c r="AN104" s="21">
        <v>8</v>
      </c>
      <c r="AO104" s="21">
        <v>256</v>
      </c>
      <c r="AP104" s="21">
        <v>700</v>
      </c>
      <c r="AQ104" s="21">
        <v>980000</v>
      </c>
      <c r="AR104" s="21">
        <v>615.16499999999996</v>
      </c>
    </row>
    <row r="105" spans="2:44" x14ac:dyDescent="0.2">
      <c r="B105" s="2" t="str">
        <f>_xlfn.XLOOKUP(Moult1[[#This Row],[Metodo]],TbSolver[Metodo],TbSolver[Solver])</f>
        <v>Adams Bashford Moulton</v>
      </c>
      <c r="C105" s="2" t="str">
        <f>_xlfn.XLOOKUP(Moult1[[#This Row],[Hebras]],TbTecnologia[Hebras],TbTecnologia[Tecnología])</f>
        <v>OMP</v>
      </c>
      <c r="D105" s="2" t="str" cm="1">
        <f t="array" ref="D105">_xlfn.XLOOKUP(Moult1[[#This Row],[Tecnología]]&amp;Moult1[[#This Row],[Metodo]],TbTipos[Tecnología]&amp;TbTipos[Metodo],TbTipos[Tipo])</f>
        <v>OMP Elementos</v>
      </c>
      <c r="E105" s="2" t="str" cm="1">
        <f t="array" ref="E105">_xlfn.XLOOKUP(Moult1[[#This Row],[Tecnología]]&amp;Moult1[[#This Row],[Problema]],TbNombres[Tecnología]&amp;TbNombres[Problema],TbNombres[Nombre])</f>
        <v>Simple Advdiff</v>
      </c>
      <c r="F105" s="21">
        <v>6</v>
      </c>
      <c r="G105" s="21">
        <v>1</v>
      </c>
      <c r="H105" s="21">
        <v>16</v>
      </c>
      <c r="I105" s="21">
        <v>30000</v>
      </c>
      <c r="J105" s="21">
        <v>30000</v>
      </c>
      <c r="K105" s="21">
        <v>86.0214</v>
      </c>
      <c r="M105" s="2" t="str">
        <f>_xlfn.XLOOKUP(Moult2[[#This Row],[Metodo]],TbSolver[Metodo],TbSolver[Solver])</f>
        <v>Adams Bashford Moulton</v>
      </c>
      <c r="N105" s="2" t="str">
        <f>_xlfn.XLOOKUP(Moult2[[#This Row],[Hebras]],TbTecnologia[Hebras],TbTecnologia[Tecnología])</f>
        <v>OMP</v>
      </c>
      <c r="O105" s="2" t="str" cm="1">
        <f t="array" ref="O105">_xlfn.XLOOKUP(Moult2[[#This Row],[Tecnología]]&amp;Moult2[[#This Row],[Metodo]],TbTipos[Tecnología]&amp;TbTipos[Metodo],TbTipos[Tipo])</f>
        <v>OMP Elementos</v>
      </c>
      <c r="P105" s="2" t="str" cm="1">
        <f t="array" ref="P105">_xlfn.XLOOKUP(Moult2[[#This Row],[Tecnología]]&amp;Moult2[[#This Row],[Problema]],TbNombres[Tecnología]&amp;TbNombres[Problema],TbNombres[Nombre])</f>
        <v>Advdiff1d</v>
      </c>
      <c r="Q105" s="21">
        <v>6</v>
      </c>
      <c r="R105" s="21">
        <v>2</v>
      </c>
      <c r="S105" s="21">
        <v>16</v>
      </c>
      <c r="T105" s="21">
        <v>30000</v>
      </c>
      <c r="U105" s="21">
        <v>30000</v>
      </c>
      <c r="V105" s="21">
        <v>280.42899999999997</v>
      </c>
      <c r="X105" s="2" t="str">
        <f>_xlfn.XLOOKUP(Moult3[[#This Row],[Metodo]],TbSolver[Metodo],TbSolver[Solver])</f>
        <v>Adams Bashford Moulton</v>
      </c>
      <c r="Y105" s="2" t="str">
        <f>_xlfn.XLOOKUP(Moult3[[#This Row],[Hebras]],TbTecnologia[Hebras],TbTecnologia[Tecnología])</f>
        <v>OMP</v>
      </c>
      <c r="Z105" s="2" t="str" cm="1">
        <f t="array" ref="Z105">_xlfn.XLOOKUP(Moult3[[#This Row],[Tecnología]]&amp;Moult3[[#This Row],[Metodo]],TbTipos[Tecnología]&amp;TbTipos[Metodo],TbTipos[Tipo])</f>
        <v>OMP Operaciones</v>
      </c>
      <c r="AA105" s="2" t="str" cm="1">
        <f t="array" ref="AA105">_xlfn.XLOOKUP(Moult3[[#This Row],[Tecnología]]&amp;Moult3[[#This Row],[Problema]],TbNombres[Tecnología]&amp;TbNombres[Problema],TbNombres[Nombre])</f>
        <v>Brusselator1d</v>
      </c>
      <c r="AB105" s="21">
        <v>5</v>
      </c>
      <c r="AC105" s="21">
        <v>3</v>
      </c>
      <c r="AD105" s="21">
        <v>4</v>
      </c>
      <c r="AE105" s="21">
        <v>20000</v>
      </c>
      <c r="AF105" s="21">
        <v>40000</v>
      </c>
      <c r="AG105" s="21">
        <v>177.84299999999999</v>
      </c>
      <c r="AI105" s="2" t="str">
        <f>_xlfn.XLOOKUP(Moult4[[#This Row],[Metodo]],TbSolver[Metodo],TbSolver[Solver])</f>
        <v>Adams Bashford Moulton</v>
      </c>
      <c r="AJ105" s="2" t="str">
        <f>_xlfn.XLOOKUP(Moult4[[#This Row],[Hebras]],TbTecnologia[Hebras],TbTecnologia[Tecnología])</f>
        <v>CUDA</v>
      </c>
      <c r="AK105" s="2" t="str" cm="1">
        <f t="array" ref="AK105">_xlfn.XLOOKUP(Moult4[[#This Row],[Tecnología]]&amp;Moult4[[#This Row],[Metodo]],TbTipos[Tecnología]&amp;TbTipos[Metodo],TbTipos[Tipo])</f>
        <v>CUDA con graph</v>
      </c>
      <c r="AL105" s="2" t="str" cm="1">
        <f t="array" ref="AL105">_xlfn.XLOOKUP(Moult4[[#This Row],[Tecnología]]&amp;Moult4[[#This Row],[Problema]],TbNombres[Tecnología]&amp;TbNombres[Problema],TbNombres[Nombre])</f>
        <v>Brusselator2d</v>
      </c>
      <c r="AM105" s="21">
        <v>6</v>
      </c>
      <c r="AN105" s="21">
        <v>8</v>
      </c>
      <c r="AO105" s="21">
        <v>256</v>
      </c>
      <c r="AP105" s="21">
        <v>700</v>
      </c>
      <c r="AQ105" s="21">
        <v>980000</v>
      </c>
      <c r="AR105" s="21">
        <v>772.95399999999995</v>
      </c>
    </row>
    <row r="106" spans="2:44" x14ac:dyDescent="0.2">
      <c r="B106" s="2" t="str">
        <f>_xlfn.XLOOKUP(Moult1[[#This Row],[Metodo]],TbSolver[Metodo],TbSolver[Solver])</f>
        <v>Adams Bashford Moulton</v>
      </c>
      <c r="C106" s="2" t="str">
        <f>_xlfn.XLOOKUP(Moult1[[#This Row],[Hebras]],TbTecnologia[Hebras],TbTecnologia[Tecnología])</f>
        <v>OMP</v>
      </c>
      <c r="D106" s="2" t="str" cm="1">
        <f t="array" ref="D106">_xlfn.XLOOKUP(Moult1[[#This Row],[Tecnología]]&amp;Moult1[[#This Row],[Metodo]],TbTipos[Tecnología]&amp;TbTipos[Metodo],TbTipos[Tipo])</f>
        <v>OMP Operaciones</v>
      </c>
      <c r="E106" s="2" t="str" cm="1">
        <f t="array" ref="E106">_xlfn.XLOOKUP(Moult1[[#This Row],[Tecnología]]&amp;Moult1[[#This Row],[Problema]],TbNombres[Tecnología]&amp;TbNombres[Problema],TbNombres[Nombre])</f>
        <v>Simple Advdiff</v>
      </c>
      <c r="F106" s="21">
        <v>5</v>
      </c>
      <c r="G106" s="21">
        <v>1</v>
      </c>
      <c r="H106" s="21">
        <v>4</v>
      </c>
      <c r="I106" s="21">
        <v>30000</v>
      </c>
      <c r="J106" s="21">
        <v>30000</v>
      </c>
      <c r="K106" s="21">
        <v>95.168599999999998</v>
      </c>
      <c r="M106" s="2" t="str">
        <f>_xlfn.XLOOKUP(Moult2[[#This Row],[Metodo]],TbSolver[Metodo],TbSolver[Solver])</f>
        <v>Adams Bashford Moulton</v>
      </c>
      <c r="N106" s="2" t="str">
        <f>_xlfn.XLOOKUP(Moult2[[#This Row],[Hebras]],TbTecnologia[Hebras],TbTecnologia[Tecnología])</f>
        <v>OMP</v>
      </c>
      <c r="O106" s="2" t="str" cm="1">
        <f t="array" ref="O106">_xlfn.XLOOKUP(Moult2[[#This Row],[Tecnología]]&amp;Moult2[[#This Row],[Metodo]],TbTipos[Tecnología]&amp;TbTipos[Metodo],TbTipos[Tipo])</f>
        <v>OMP Operaciones</v>
      </c>
      <c r="P106" s="2" t="str" cm="1">
        <f t="array" ref="P106">_xlfn.XLOOKUP(Moult2[[#This Row],[Tecnología]]&amp;Moult2[[#This Row],[Problema]],TbNombres[Tecnología]&amp;TbNombres[Problema],TbNombres[Nombre])</f>
        <v>Advdiff1d</v>
      </c>
      <c r="Q106" s="21">
        <v>5</v>
      </c>
      <c r="R106" s="21">
        <v>2</v>
      </c>
      <c r="S106" s="21">
        <v>16</v>
      </c>
      <c r="T106" s="21">
        <v>30000</v>
      </c>
      <c r="U106" s="21">
        <v>30000</v>
      </c>
      <c r="V106" s="21">
        <v>286.05700000000002</v>
      </c>
      <c r="X106" s="2" t="str">
        <f>_xlfn.XLOOKUP(Moult3[[#This Row],[Metodo]],TbSolver[Metodo],TbSolver[Solver])</f>
        <v>Adams Bashford Moulton</v>
      </c>
      <c r="Y106" s="2" t="str">
        <f>_xlfn.XLOOKUP(Moult3[[#This Row],[Hebras]],TbTecnologia[Hebras],TbTecnologia[Tecnología])</f>
        <v>OMP</v>
      </c>
      <c r="Z106" s="2" t="str" cm="1">
        <f t="array" ref="Z106">_xlfn.XLOOKUP(Moult3[[#This Row],[Tecnología]]&amp;Moult3[[#This Row],[Metodo]],TbTipos[Tecnología]&amp;TbTipos[Metodo],TbTipos[Tipo])</f>
        <v>OMP Elementos</v>
      </c>
      <c r="AA106" s="2" t="str" cm="1">
        <f t="array" ref="AA106">_xlfn.XLOOKUP(Moult3[[#This Row],[Tecnología]]&amp;Moult3[[#This Row],[Problema]],TbNombres[Tecnología]&amp;TbNombres[Problema],TbNombres[Nombre])</f>
        <v>Brusselator1d</v>
      </c>
      <c r="AB106" s="21">
        <v>6</v>
      </c>
      <c r="AC106" s="21">
        <v>3</v>
      </c>
      <c r="AD106" s="21">
        <v>4</v>
      </c>
      <c r="AE106" s="21">
        <v>20000</v>
      </c>
      <c r="AF106" s="21">
        <v>40000</v>
      </c>
      <c r="AG106" s="21">
        <v>309.46699999999998</v>
      </c>
    </row>
    <row r="107" spans="2:44" x14ac:dyDescent="0.2">
      <c r="B107" s="2" t="str">
        <f>_xlfn.XLOOKUP(Moult1[[#This Row],[Metodo]],TbSolver[Metodo],TbSolver[Solver])</f>
        <v>Adams Bashford Moulton</v>
      </c>
      <c r="C107" s="2" t="str">
        <f>_xlfn.XLOOKUP(Moult1[[#This Row],[Hebras]],TbTecnologia[Hebras],TbTecnologia[Tecnología])</f>
        <v>OMP</v>
      </c>
      <c r="D107" s="2" t="str" cm="1">
        <f t="array" ref="D107">_xlfn.XLOOKUP(Moult1[[#This Row],[Tecnología]]&amp;Moult1[[#This Row],[Metodo]],TbTipos[Tecnología]&amp;TbTipos[Metodo],TbTipos[Tipo])</f>
        <v>OMP Operaciones</v>
      </c>
      <c r="E107" s="2" t="str" cm="1">
        <f t="array" ref="E107">_xlfn.XLOOKUP(Moult1[[#This Row],[Tecnología]]&amp;Moult1[[#This Row],[Problema]],TbNombres[Tecnología]&amp;TbNombres[Problema],TbNombres[Nombre])</f>
        <v>Simple Advdiff</v>
      </c>
      <c r="F107" s="21">
        <v>5</v>
      </c>
      <c r="G107" s="21">
        <v>1</v>
      </c>
      <c r="H107" s="21">
        <v>16</v>
      </c>
      <c r="I107" s="21">
        <v>30000</v>
      </c>
      <c r="J107" s="21">
        <v>30000</v>
      </c>
      <c r="K107" s="21">
        <v>122.59</v>
      </c>
      <c r="M107" s="2" t="str">
        <f>_xlfn.XLOOKUP(Moult2[[#This Row],[Metodo]],TbSolver[Metodo],TbSolver[Solver])</f>
        <v>Adams Bashford Moulton</v>
      </c>
      <c r="N107" s="2" t="str">
        <f>_xlfn.XLOOKUP(Moult2[[#This Row],[Hebras]],TbTecnologia[Hebras],TbTecnologia[Tecnología])</f>
        <v>OMP</v>
      </c>
      <c r="O107" s="2" t="str" cm="1">
        <f t="array" ref="O107">_xlfn.XLOOKUP(Moult2[[#This Row],[Tecnología]]&amp;Moult2[[#This Row],[Metodo]],TbTipos[Tecnología]&amp;TbTipos[Metodo],TbTipos[Tipo])</f>
        <v>OMP Operaciones</v>
      </c>
      <c r="P107" s="2" t="str" cm="1">
        <f t="array" ref="P107">_xlfn.XLOOKUP(Moult2[[#This Row],[Tecnología]]&amp;Moult2[[#This Row],[Problema]],TbNombres[Tecnología]&amp;TbNombres[Problema],TbNombres[Nombre])</f>
        <v>Advdiff1d</v>
      </c>
      <c r="Q107" s="21">
        <v>5</v>
      </c>
      <c r="R107" s="21">
        <v>2</v>
      </c>
      <c r="S107" s="21">
        <v>4</v>
      </c>
      <c r="T107" s="21">
        <v>30000</v>
      </c>
      <c r="U107" s="21">
        <v>30000</v>
      </c>
      <c r="V107" s="21">
        <v>645.56899999999996</v>
      </c>
      <c r="X107" s="2" t="str">
        <f>_xlfn.XLOOKUP(Moult3[[#This Row],[Metodo]],TbSolver[Metodo],TbSolver[Solver])</f>
        <v>Adams Bashford Moulton</v>
      </c>
      <c r="Y107" s="2" t="str">
        <f>_xlfn.XLOOKUP(Moult3[[#This Row],[Hebras]],TbTecnologia[Hebras],TbTecnologia[Tecnología])</f>
        <v>OMP</v>
      </c>
      <c r="Z107" s="2" t="str" cm="1">
        <f t="array" ref="Z107">_xlfn.XLOOKUP(Moult3[[#This Row],[Tecnología]]&amp;Moult3[[#This Row],[Metodo]],TbTipos[Tecnología]&amp;TbTipos[Metodo],TbTipos[Tipo])</f>
        <v>OMP Operaciones</v>
      </c>
      <c r="AA107" s="2" t="str" cm="1">
        <f t="array" ref="AA107">_xlfn.XLOOKUP(Moult3[[#This Row],[Tecnología]]&amp;Moult3[[#This Row],[Problema]],TbNombres[Tecnología]&amp;TbNombres[Problema],TbNombres[Nombre])</f>
        <v>Brusselator1d</v>
      </c>
      <c r="AB107" s="21">
        <v>5</v>
      </c>
      <c r="AC107" s="21">
        <v>3</v>
      </c>
      <c r="AD107" s="21">
        <v>1</v>
      </c>
      <c r="AE107" s="21">
        <v>20000</v>
      </c>
      <c r="AF107" s="21">
        <v>40000</v>
      </c>
      <c r="AG107" s="21">
        <v>644.21699999999998</v>
      </c>
    </row>
    <row r="108" spans="2:44" x14ac:dyDescent="0.2">
      <c r="B108" s="2" t="str">
        <f>_xlfn.XLOOKUP(Moult1[[#This Row],[Metodo]],TbSolver[Metodo],TbSolver[Solver])</f>
        <v>Adams Bashford Moulton</v>
      </c>
      <c r="C108" s="2" t="str">
        <f>_xlfn.XLOOKUP(Moult1[[#This Row],[Hebras]],TbTecnologia[Hebras],TbTecnologia[Tecnología])</f>
        <v>OMP</v>
      </c>
      <c r="D108" s="2" t="str" cm="1">
        <f t="array" ref="D108">_xlfn.XLOOKUP(Moult1[[#This Row],[Tecnología]]&amp;Moult1[[#This Row],[Metodo]],TbTipos[Tecnología]&amp;TbTipos[Metodo],TbTipos[Tipo])</f>
        <v>OMP Elementos</v>
      </c>
      <c r="E108" s="2" t="str" cm="1">
        <f t="array" ref="E108">_xlfn.XLOOKUP(Moult1[[#This Row],[Tecnología]]&amp;Moult1[[#This Row],[Problema]],TbNombres[Tecnología]&amp;TbNombres[Problema],TbNombres[Nombre])</f>
        <v>Simple Advdiff</v>
      </c>
      <c r="F108" s="21">
        <v>6</v>
      </c>
      <c r="G108" s="21">
        <v>1</v>
      </c>
      <c r="H108" s="21">
        <v>4</v>
      </c>
      <c r="I108" s="21">
        <v>30000</v>
      </c>
      <c r="J108" s="21">
        <v>30000</v>
      </c>
      <c r="K108" s="21">
        <v>224.154</v>
      </c>
      <c r="M108" s="2" t="str">
        <f>_xlfn.XLOOKUP(Moult2[[#This Row],[Metodo]],TbSolver[Metodo],TbSolver[Solver])</f>
        <v>Adams Bashford Moulton</v>
      </c>
      <c r="N108" s="2" t="str">
        <f>_xlfn.XLOOKUP(Moult2[[#This Row],[Hebras]],TbTecnologia[Hebras],TbTecnologia[Tecnología])</f>
        <v>OMP</v>
      </c>
      <c r="O108" s="2" t="str" cm="1">
        <f t="array" ref="O108">_xlfn.XLOOKUP(Moult2[[#This Row],[Tecnología]]&amp;Moult2[[#This Row],[Metodo]],TbTipos[Tecnología]&amp;TbTipos[Metodo],TbTipos[Tipo])</f>
        <v>OMP Elementos</v>
      </c>
      <c r="P108" s="2" t="str" cm="1">
        <f t="array" ref="P108">_xlfn.XLOOKUP(Moult2[[#This Row],[Tecnología]]&amp;Moult2[[#This Row],[Problema]],TbNombres[Tecnología]&amp;TbNombres[Problema],TbNombres[Nombre])</f>
        <v>Advdiff1d</v>
      </c>
      <c r="Q108" s="21">
        <v>6</v>
      </c>
      <c r="R108" s="21">
        <v>2</v>
      </c>
      <c r="S108" s="21">
        <v>4</v>
      </c>
      <c r="T108" s="21">
        <v>30000</v>
      </c>
      <c r="U108" s="21">
        <v>30000</v>
      </c>
      <c r="V108" s="21">
        <v>774.84199999999998</v>
      </c>
      <c r="X108" s="2" t="str">
        <f>_xlfn.XLOOKUP(Moult3[[#This Row],[Metodo]],TbSolver[Metodo],TbSolver[Solver])</f>
        <v>Adams Bashford Moulton</v>
      </c>
      <c r="Y108" s="2" t="str">
        <f>_xlfn.XLOOKUP(Moult3[[#This Row],[Hebras]],TbTecnologia[Hebras],TbTecnologia[Tecnología])</f>
        <v>OMP</v>
      </c>
      <c r="Z108" s="2" t="str" cm="1">
        <f t="array" ref="Z108">_xlfn.XLOOKUP(Moult3[[#This Row],[Tecnología]]&amp;Moult3[[#This Row],[Metodo]],TbTipos[Tecnología]&amp;TbTipos[Metodo],TbTipos[Tipo])</f>
        <v>OMP Elementos</v>
      </c>
      <c r="AA108" s="2" t="str" cm="1">
        <f t="array" ref="AA108">_xlfn.XLOOKUP(Moult3[[#This Row],[Tecnología]]&amp;Moult3[[#This Row],[Problema]],TbNombres[Tecnología]&amp;TbNombres[Problema],TbNombres[Nombre])</f>
        <v>Brusselator1d</v>
      </c>
      <c r="AB108" s="21">
        <v>6</v>
      </c>
      <c r="AC108" s="21">
        <v>3</v>
      </c>
      <c r="AD108" s="21">
        <v>1</v>
      </c>
      <c r="AE108" s="21">
        <v>20000</v>
      </c>
      <c r="AF108" s="21">
        <v>40000</v>
      </c>
      <c r="AG108" s="21">
        <v>1167.27</v>
      </c>
    </row>
    <row r="109" spans="2:44" x14ac:dyDescent="0.2">
      <c r="B109" s="2" t="str">
        <f>_xlfn.XLOOKUP(Moult1[[#This Row],[Metodo]],TbSolver[Metodo],TbSolver[Solver])</f>
        <v>Adams Bashford Moulton</v>
      </c>
      <c r="C109" s="2" t="str">
        <f>_xlfn.XLOOKUP(Moult1[[#This Row],[Hebras]],TbTecnologia[Hebras],TbTecnologia[Tecnología])</f>
        <v>OMP</v>
      </c>
      <c r="D109" s="2" t="str" cm="1">
        <f t="array" ref="D109">_xlfn.XLOOKUP(Moult1[[#This Row],[Tecnología]]&amp;Moult1[[#This Row],[Metodo]],TbTipos[Tecnología]&amp;TbTipos[Metodo],TbTipos[Tipo])</f>
        <v>OMP Operaciones</v>
      </c>
      <c r="E109" s="2" t="str" cm="1">
        <f t="array" ref="E109">_xlfn.XLOOKUP(Moult1[[#This Row],[Tecnología]]&amp;Moult1[[#This Row],[Problema]],TbNombres[Tecnología]&amp;TbNombres[Problema],TbNombres[Nombre])</f>
        <v>Simple Advdiff</v>
      </c>
      <c r="F109" s="21">
        <v>5</v>
      </c>
      <c r="G109" s="21">
        <v>1</v>
      </c>
      <c r="H109" s="21">
        <v>1</v>
      </c>
      <c r="I109" s="21">
        <v>30000</v>
      </c>
      <c r="J109" s="21">
        <v>30000</v>
      </c>
      <c r="K109" s="21">
        <v>297.78699999999998</v>
      </c>
      <c r="M109" s="2" t="str">
        <f>_xlfn.XLOOKUP(Moult2[[#This Row],[Metodo]],TbSolver[Metodo],TbSolver[Solver])</f>
        <v>Adams Bashford Moulton</v>
      </c>
      <c r="N109" s="2" t="str">
        <f>_xlfn.XLOOKUP(Moult2[[#This Row],[Hebras]],TbTecnologia[Hebras],TbTecnologia[Tecnología])</f>
        <v>OMP</v>
      </c>
      <c r="O109" s="2" t="str" cm="1">
        <f t="array" ref="O109">_xlfn.XLOOKUP(Moult2[[#This Row],[Tecnología]]&amp;Moult2[[#This Row],[Metodo]],TbTipos[Tecnología]&amp;TbTipos[Metodo],TbTipos[Tipo])</f>
        <v>OMP Operaciones</v>
      </c>
      <c r="P109" s="2" t="str" cm="1">
        <f t="array" ref="P109">_xlfn.XLOOKUP(Moult2[[#This Row],[Tecnología]]&amp;Moult2[[#This Row],[Problema]],TbNombres[Tecnología]&amp;TbNombres[Problema],TbNombres[Nombre])</f>
        <v>Advdiff1d</v>
      </c>
      <c r="Q109" s="21">
        <v>5</v>
      </c>
      <c r="R109" s="21">
        <v>2</v>
      </c>
      <c r="S109" s="21">
        <v>1</v>
      </c>
      <c r="T109" s="21">
        <v>30000</v>
      </c>
      <c r="U109" s="21">
        <v>30000</v>
      </c>
      <c r="V109" s="21">
        <v>2156.1799999999998</v>
      </c>
      <c r="X109" s="2" t="str">
        <f>_xlfn.XLOOKUP(Moult3[[#This Row],[Metodo]],TbSolver[Metodo],TbSolver[Solver])</f>
        <v>Adams Bashford Moulton</v>
      </c>
      <c r="Y109" s="2" t="str">
        <f>_xlfn.XLOOKUP(Moult3[[#This Row],[Hebras]],TbTecnologia[Hebras],TbTecnologia[Tecnología])</f>
        <v>OMP</v>
      </c>
      <c r="Z109" s="2" t="str" cm="1">
        <f t="array" ref="Z109">_xlfn.XLOOKUP(Moult3[[#This Row],[Tecnología]]&amp;Moult3[[#This Row],[Metodo]],TbTipos[Tecnología]&amp;TbTipos[Metodo],TbTipos[Tipo])</f>
        <v>OMP Operaciones</v>
      </c>
      <c r="AA109" s="2" t="str" cm="1">
        <f t="array" ref="AA109">_xlfn.XLOOKUP(Moult3[[#This Row],[Tecnología]]&amp;Moult3[[#This Row],[Problema]],TbNombres[Tecnología]&amp;TbNombres[Problema],TbNombres[Nombre])</f>
        <v>Brusselator1d</v>
      </c>
      <c r="AB109" s="21">
        <v>5</v>
      </c>
      <c r="AC109" s="21">
        <v>3</v>
      </c>
      <c r="AD109" s="21">
        <v>16</v>
      </c>
      <c r="AE109" s="21">
        <v>25000</v>
      </c>
      <c r="AF109" s="21">
        <v>50000</v>
      </c>
      <c r="AG109" s="21">
        <v>175.33</v>
      </c>
    </row>
    <row r="110" spans="2:44" x14ac:dyDescent="0.2">
      <c r="B110" s="2" t="str">
        <f>_xlfn.XLOOKUP(Moult1[[#This Row],[Metodo]],TbSolver[Metodo],TbSolver[Solver])</f>
        <v>Adams Bashford Moulton</v>
      </c>
      <c r="C110" s="2" t="str">
        <f>_xlfn.XLOOKUP(Moult1[[#This Row],[Hebras]],TbTecnologia[Hebras],TbTecnologia[Tecnología])</f>
        <v>OMP</v>
      </c>
      <c r="D110" s="2" t="str" cm="1">
        <f t="array" ref="D110">_xlfn.XLOOKUP(Moult1[[#This Row],[Tecnología]]&amp;Moult1[[#This Row],[Metodo]],TbTipos[Tecnología]&amp;TbTipos[Metodo],TbTipos[Tipo])</f>
        <v>OMP Elementos</v>
      </c>
      <c r="E110" s="2" t="str" cm="1">
        <f t="array" ref="E110">_xlfn.XLOOKUP(Moult1[[#This Row],[Tecnología]]&amp;Moult1[[#This Row],[Problema]],TbNombres[Tecnología]&amp;TbNombres[Problema],TbNombres[Nombre])</f>
        <v>Simple Advdiff</v>
      </c>
      <c r="F110" s="21">
        <v>6</v>
      </c>
      <c r="G110" s="21">
        <v>1</v>
      </c>
      <c r="H110" s="21">
        <v>1</v>
      </c>
      <c r="I110" s="21">
        <v>30000</v>
      </c>
      <c r="J110" s="21">
        <v>30000</v>
      </c>
      <c r="K110" s="21">
        <v>800.73</v>
      </c>
      <c r="M110" s="2" t="str">
        <f>_xlfn.XLOOKUP(Moult2[[#This Row],[Metodo]],TbSolver[Metodo],TbSolver[Solver])</f>
        <v>Adams Bashford Moulton</v>
      </c>
      <c r="N110" s="2" t="str">
        <f>_xlfn.XLOOKUP(Moult2[[#This Row],[Hebras]],TbTecnologia[Hebras],TbTecnologia[Tecnología])</f>
        <v>OMP</v>
      </c>
      <c r="O110" s="2" t="str" cm="1">
        <f t="array" ref="O110">_xlfn.XLOOKUP(Moult2[[#This Row],[Tecnología]]&amp;Moult2[[#This Row],[Metodo]],TbTipos[Tecnología]&amp;TbTipos[Metodo],TbTipos[Tipo])</f>
        <v>OMP Elementos</v>
      </c>
      <c r="P110" s="2" t="str" cm="1">
        <f t="array" ref="P110">_xlfn.XLOOKUP(Moult2[[#This Row],[Tecnología]]&amp;Moult2[[#This Row],[Problema]],TbNombres[Tecnología]&amp;TbNombres[Problema],TbNombres[Nombre])</f>
        <v>Advdiff1d</v>
      </c>
      <c r="Q110" s="21">
        <v>6</v>
      </c>
      <c r="R110" s="21">
        <v>2</v>
      </c>
      <c r="S110" s="21">
        <v>1</v>
      </c>
      <c r="T110" s="21">
        <v>30000</v>
      </c>
      <c r="U110" s="21">
        <v>30000</v>
      </c>
      <c r="V110" s="21">
        <v>2764.86</v>
      </c>
      <c r="X110" s="2" t="str">
        <f>_xlfn.XLOOKUP(Moult3[[#This Row],[Metodo]],TbSolver[Metodo],TbSolver[Solver])</f>
        <v>Adams Bashford Moulton</v>
      </c>
      <c r="Y110" s="2" t="str">
        <f>_xlfn.XLOOKUP(Moult3[[#This Row],[Hebras]],TbTecnologia[Hebras],TbTecnologia[Tecnología])</f>
        <v>OMP</v>
      </c>
      <c r="Z110" s="2" t="str" cm="1">
        <f t="array" ref="Z110">_xlfn.XLOOKUP(Moult3[[#This Row],[Tecnología]]&amp;Moult3[[#This Row],[Metodo]],TbTipos[Tecnología]&amp;TbTipos[Metodo],TbTipos[Tipo])</f>
        <v>OMP Elementos</v>
      </c>
      <c r="AA110" s="2" t="str" cm="1">
        <f t="array" ref="AA110">_xlfn.XLOOKUP(Moult3[[#This Row],[Tecnología]]&amp;Moult3[[#This Row],[Problema]],TbNombres[Tecnología]&amp;TbNombres[Problema],TbNombres[Nombre])</f>
        <v>Brusselator1d</v>
      </c>
      <c r="AB110" s="21">
        <v>6</v>
      </c>
      <c r="AC110" s="21">
        <v>3</v>
      </c>
      <c r="AD110" s="21">
        <v>16</v>
      </c>
      <c r="AE110" s="21">
        <v>25000</v>
      </c>
      <c r="AF110" s="21">
        <v>50000</v>
      </c>
      <c r="AG110" s="21">
        <v>184.202</v>
      </c>
    </row>
    <row r="111" spans="2:44" x14ac:dyDescent="0.2">
      <c r="B111" s="2" t="str">
        <f>_xlfn.XLOOKUP(Moult1[[#This Row],[Metodo]],TbSolver[Metodo],TbSolver[Solver])</f>
        <v>Adams Bashford Moulton</v>
      </c>
      <c r="C111" s="2" t="str">
        <f>_xlfn.XLOOKUP(Moult1[[#This Row],[Hebras]],TbTecnologia[Hebras],TbTecnologia[Tecnología])</f>
        <v>CUDA</v>
      </c>
      <c r="D111" s="2" t="str" cm="1">
        <f t="array" ref="D111">_xlfn.XLOOKUP(Moult1[[#This Row],[Tecnología]]&amp;Moult1[[#This Row],[Metodo]],TbTipos[Tecnología]&amp;TbTipos[Metodo],TbTipos[Tipo])</f>
        <v>CUDA con graph</v>
      </c>
      <c r="E111" s="2" t="str" cm="1">
        <f t="array" ref="E111">_xlfn.XLOOKUP(Moult1[[#This Row],[Tecnología]]&amp;Moult1[[#This Row],[Problema]],TbNombres[Tecnología]&amp;TbNombres[Problema],TbNombres[Nombre])</f>
        <v>Simple Advdiff</v>
      </c>
      <c r="F111" s="21">
        <v>6</v>
      </c>
      <c r="G111" s="21">
        <v>1</v>
      </c>
      <c r="H111" s="21">
        <v>256</v>
      </c>
      <c r="I111" s="21">
        <v>40000</v>
      </c>
      <c r="J111" s="21">
        <v>40000</v>
      </c>
      <c r="K111" s="21">
        <v>21.314699999999998</v>
      </c>
      <c r="M111" s="2" t="str">
        <f>_xlfn.XLOOKUP(Moult2[[#This Row],[Metodo]],TbSolver[Metodo],TbSolver[Solver])</f>
        <v>Adams Bashford Moulton</v>
      </c>
      <c r="N111" s="2" t="str">
        <f>_xlfn.XLOOKUP(Moult2[[#This Row],[Hebras]],TbTecnologia[Hebras],TbTecnologia[Tecnología])</f>
        <v>CUDA</v>
      </c>
      <c r="O111" s="2" t="str" cm="1">
        <f t="array" ref="O111">_xlfn.XLOOKUP(Moult2[[#This Row],[Tecnología]]&amp;Moult2[[#This Row],[Metodo]],TbTipos[Tecnología]&amp;TbTipos[Metodo],TbTipos[Tipo])</f>
        <v>CUDA sin graph</v>
      </c>
      <c r="P111" s="2" t="str" cm="1">
        <f t="array" ref="P111">_xlfn.XLOOKUP(Moult2[[#This Row],[Tecnología]]&amp;Moult2[[#This Row],[Problema]],TbNombres[Tecnología]&amp;TbNombres[Problema],TbNombres[Nombre])</f>
        <v>Advdiff1d</v>
      </c>
      <c r="Q111" s="21">
        <v>5</v>
      </c>
      <c r="R111" s="21">
        <v>3</v>
      </c>
      <c r="S111" s="21">
        <v>256</v>
      </c>
      <c r="T111" s="21">
        <v>40000</v>
      </c>
      <c r="U111" s="21">
        <v>40000</v>
      </c>
      <c r="V111" s="21">
        <v>57.9129</v>
      </c>
      <c r="X111" s="2" t="str">
        <f>_xlfn.XLOOKUP(Moult3[[#This Row],[Metodo]],TbSolver[Metodo],TbSolver[Solver])</f>
        <v>Adams Bashford Moulton</v>
      </c>
      <c r="Y111" s="2" t="str">
        <f>_xlfn.XLOOKUP(Moult3[[#This Row],[Hebras]],TbTecnologia[Hebras],TbTecnologia[Tecnología])</f>
        <v>OMP</v>
      </c>
      <c r="Z111" s="2" t="str" cm="1">
        <f t="array" ref="Z111">_xlfn.XLOOKUP(Moult3[[#This Row],[Tecnología]]&amp;Moult3[[#This Row],[Metodo]],TbTipos[Tecnología]&amp;TbTipos[Metodo],TbTipos[Tipo])</f>
        <v>OMP Operaciones</v>
      </c>
      <c r="AA111" s="2" t="str" cm="1">
        <f t="array" ref="AA111">_xlfn.XLOOKUP(Moult3[[#This Row],[Tecnología]]&amp;Moult3[[#This Row],[Problema]],TbNombres[Tecnología]&amp;TbNombres[Problema],TbNombres[Nombre])</f>
        <v>Brusselator1d</v>
      </c>
      <c r="AB111" s="21">
        <v>5</v>
      </c>
      <c r="AC111" s="21">
        <v>3</v>
      </c>
      <c r="AD111" s="21">
        <v>4</v>
      </c>
      <c r="AE111" s="21">
        <v>25000</v>
      </c>
      <c r="AF111" s="21">
        <v>50000</v>
      </c>
      <c r="AG111" s="21">
        <v>215.36500000000001</v>
      </c>
    </row>
    <row r="112" spans="2:44" x14ac:dyDescent="0.2">
      <c r="B112" s="2" t="str">
        <f>_xlfn.XLOOKUP(Moult1[[#This Row],[Metodo]],TbSolver[Metodo],TbSolver[Solver])</f>
        <v>Adams Bashford Moulton</v>
      </c>
      <c r="C112" s="2" t="str">
        <f>_xlfn.XLOOKUP(Moult1[[#This Row],[Hebras]],TbTecnologia[Hebras],TbTecnologia[Tecnología])</f>
        <v>CUDA</v>
      </c>
      <c r="D112" s="2" t="str" cm="1">
        <f t="array" ref="D112">_xlfn.XLOOKUP(Moult1[[#This Row],[Tecnología]]&amp;Moult1[[#This Row],[Metodo]],TbTipos[Tecnología]&amp;TbTipos[Metodo],TbTipos[Tipo])</f>
        <v>CUDA sin graph</v>
      </c>
      <c r="E112" s="2" t="str" cm="1">
        <f t="array" ref="E112">_xlfn.XLOOKUP(Moult1[[#This Row],[Tecnología]]&amp;Moult1[[#This Row],[Problema]],TbNombres[Tecnología]&amp;TbNombres[Problema],TbNombres[Nombre])</f>
        <v>Simple Advdiff</v>
      </c>
      <c r="F112" s="21">
        <v>5</v>
      </c>
      <c r="G112" s="21">
        <v>1</v>
      </c>
      <c r="H112" s="21">
        <v>256</v>
      </c>
      <c r="I112" s="21">
        <v>40000</v>
      </c>
      <c r="J112" s="21">
        <v>40000</v>
      </c>
      <c r="K112" s="21">
        <v>21.642499999999998</v>
      </c>
      <c r="M112" s="2" t="str">
        <f>_xlfn.XLOOKUP(Moult2[[#This Row],[Metodo]],TbSolver[Metodo],TbSolver[Solver])</f>
        <v>Adams Bashford Moulton</v>
      </c>
      <c r="N112" s="2" t="str">
        <f>_xlfn.XLOOKUP(Moult2[[#This Row],[Hebras]],TbTecnologia[Hebras],TbTecnologia[Tecnología])</f>
        <v>CUDA</v>
      </c>
      <c r="O112" s="2" t="str" cm="1">
        <f t="array" ref="O112">_xlfn.XLOOKUP(Moult2[[#This Row],[Tecnología]]&amp;Moult2[[#This Row],[Metodo]],TbTipos[Tecnología]&amp;TbTipos[Metodo],TbTipos[Tipo])</f>
        <v>CUDA con graph</v>
      </c>
      <c r="P112" s="2" t="str" cm="1">
        <f t="array" ref="P112">_xlfn.XLOOKUP(Moult2[[#This Row],[Tecnología]]&amp;Moult2[[#This Row],[Problema]],TbNombres[Tecnología]&amp;TbNombres[Problema],TbNombres[Nombre])</f>
        <v>Advdiff1d</v>
      </c>
      <c r="Q112" s="21">
        <v>6</v>
      </c>
      <c r="R112" s="21">
        <v>3</v>
      </c>
      <c r="S112" s="21">
        <v>256</v>
      </c>
      <c r="T112" s="21">
        <v>40000</v>
      </c>
      <c r="U112" s="21">
        <v>40000</v>
      </c>
      <c r="V112" s="21">
        <v>58.735199999999999</v>
      </c>
      <c r="X112" s="2" t="str">
        <f>_xlfn.XLOOKUP(Moult3[[#This Row],[Metodo]],TbSolver[Metodo],TbSolver[Solver])</f>
        <v>Adams Bashford Moulton</v>
      </c>
      <c r="Y112" s="2" t="str">
        <f>_xlfn.XLOOKUP(Moult3[[#This Row],[Hebras]],TbTecnologia[Hebras],TbTecnologia[Tecnología])</f>
        <v>OMP</v>
      </c>
      <c r="Z112" s="2" t="str" cm="1">
        <f t="array" ref="Z112">_xlfn.XLOOKUP(Moult3[[#This Row],[Tecnología]]&amp;Moult3[[#This Row],[Metodo]],TbTipos[Tecnología]&amp;TbTipos[Metodo],TbTipos[Tipo])</f>
        <v>OMP Elementos</v>
      </c>
      <c r="AA112" s="2" t="str" cm="1">
        <f t="array" ref="AA112">_xlfn.XLOOKUP(Moult3[[#This Row],[Tecnología]]&amp;Moult3[[#This Row],[Problema]],TbNombres[Tecnología]&amp;TbNombres[Problema],TbNombres[Nombre])</f>
        <v>Brusselator1d</v>
      </c>
      <c r="AB112" s="21">
        <v>6</v>
      </c>
      <c r="AC112" s="21">
        <v>3</v>
      </c>
      <c r="AD112" s="21">
        <v>4</v>
      </c>
      <c r="AE112" s="21">
        <v>25000</v>
      </c>
      <c r="AF112" s="21">
        <v>50000</v>
      </c>
      <c r="AG112" s="21">
        <v>383.76600000000002</v>
      </c>
    </row>
    <row r="113" spans="2:33" x14ac:dyDescent="0.2">
      <c r="B113" s="2" t="str">
        <f>_xlfn.XLOOKUP(Moult1[[#This Row],[Metodo]],TbSolver[Metodo],TbSolver[Solver])</f>
        <v>Adams Bashford Moulton</v>
      </c>
      <c r="C113" s="2" t="str">
        <f>_xlfn.XLOOKUP(Moult1[[#This Row],[Hebras]],TbTecnologia[Hebras],TbTecnologia[Tecnología])</f>
        <v>OMP</v>
      </c>
      <c r="D113" s="2" t="str" cm="1">
        <f t="array" ref="D113">_xlfn.XLOOKUP(Moult1[[#This Row],[Tecnología]]&amp;Moult1[[#This Row],[Metodo]],TbTipos[Tecnología]&amp;TbTipos[Metodo],TbTipos[Tipo])</f>
        <v>OMP Operaciones</v>
      </c>
      <c r="E113" s="2" t="str" cm="1">
        <f t="array" ref="E113">_xlfn.XLOOKUP(Moult1[[#This Row],[Tecnología]]&amp;Moult1[[#This Row],[Problema]],TbNombres[Tecnología]&amp;TbNombres[Problema],TbNombres[Nombre])</f>
        <v>Simple Advdiff</v>
      </c>
      <c r="F113" s="21">
        <v>5</v>
      </c>
      <c r="G113" s="21">
        <v>1</v>
      </c>
      <c r="H113" s="21">
        <v>4</v>
      </c>
      <c r="I113" s="21">
        <v>40000</v>
      </c>
      <c r="J113" s="21">
        <v>40000</v>
      </c>
      <c r="K113" s="21">
        <v>114.928</v>
      </c>
      <c r="M113" s="2" t="str">
        <f>_xlfn.XLOOKUP(Moult2[[#This Row],[Metodo]],TbSolver[Metodo],TbSolver[Solver])</f>
        <v>Adams Bashford Moulton</v>
      </c>
      <c r="N113" s="2" t="str">
        <f>_xlfn.XLOOKUP(Moult2[[#This Row],[Hebras]],TbTecnologia[Hebras],TbTecnologia[Tecnología])</f>
        <v>OMP</v>
      </c>
      <c r="O113" s="2" t="str" cm="1">
        <f t="array" ref="O113">_xlfn.XLOOKUP(Moult2[[#This Row],[Tecnología]]&amp;Moult2[[#This Row],[Metodo]],TbTipos[Tecnología]&amp;TbTipos[Metodo],TbTipos[Tipo])</f>
        <v>OMP Elementos</v>
      </c>
      <c r="P113" s="2" t="str" cm="1">
        <f t="array" ref="P113">_xlfn.XLOOKUP(Moult2[[#This Row],[Tecnología]]&amp;Moult2[[#This Row],[Problema]],TbNombres[Tecnología]&amp;TbNombres[Problema],TbNombres[Nombre])</f>
        <v>Advdiff1d</v>
      </c>
      <c r="Q113" s="21">
        <v>6</v>
      </c>
      <c r="R113" s="21">
        <v>2</v>
      </c>
      <c r="S113" s="21">
        <v>16</v>
      </c>
      <c r="T113" s="21">
        <v>40000</v>
      </c>
      <c r="U113" s="21">
        <v>40000</v>
      </c>
      <c r="V113" s="21">
        <v>335.28500000000003</v>
      </c>
      <c r="X113" s="2" t="str">
        <f>_xlfn.XLOOKUP(Moult3[[#This Row],[Metodo]],TbSolver[Metodo],TbSolver[Solver])</f>
        <v>Adams Bashford Moulton</v>
      </c>
      <c r="Y113" s="2" t="str">
        <f>_xlfn.XLOOKUP(Moult3[[#This Row],[Hebras]],TbTecnologia[Hebras],TbTecnologia[Tecnología])</f>
        <v>OMP</v>
      </c>
      <c r="Z113" s="2" t="str" cm="1">
        <f t="array" ref="Z113">_xlfn.XLOOKUP(Moult3[[#This Row],[Tecnología]]&amp;Moult3[[#This Row],[Metodo]],TbTipos[Tecnología]&amp;TbTipos[Metodo],TbTipos[Tipo])</f>
        <v>OMP Operaciones</v>
      </c>
      <c r="AA113" s="2" t="str" cm="1">
        <f t="array" ref="AA113">_xlfn.XLOOKUP(Moult3[[#This Row],[Tecnología]]&amp;Moult3[[#This Row],[Problema]],TbNombres[Tecnología]&amp;TbNombres[Problema],TbNombres[Nombre])</f>
        <v>Brusselator1d</v>
      </c>
      <c r="AB113" s="21">
        <v>5</v>
      </c>
      <c r="AC113" s="21">
        <v>3</v>
      </c>
      <c r="AD113" s="21">
        <v>1</v>
      </c>
      <c r="AE113" s="21">
        <v>25000</v>
      </c>
      <c r="AF113" s="21">
        <v>50000</v>
      </c>
      <c r="AG113" s="21">
        <v>835.62599999999998</v>
      </c>
    </row>
    <row r="114" spans="2:33" x14ac:dyDescent="0.2">
      <c r="B114" s="2" t="str">
        <f>_xlfn.XLOOKUP(Moult1[[#This Row],[Metodo]],TbSolver[Metodo],TbSolver[Solver])</f>
        <v>Adams Bashford Moulton</v>
      </c>
      <c r="C114" s="2" t="str">
        <f>_xlfn.XLOOKUP(Moult1[[#This Row],[Hebras]],TbTecnologia[Hebras],TbTecnologia[Tecnología])</f>
        <v>OMP</v>
      </c>
      <c r="D114" s="2" t="str" cm="1">
        <f t="array" ref="D114">_xlfn.XLOOKUP(Moult1[[#This Row],[Tecnología]]&amp;Moult1[[#This Row],[Metodo]],TbTipos[Tecnología]&amp;TbTipos[Metodo],TbTipos[Tipo])</f>
        <v>OMP Operaciones</v>
      </c>
      <c r="E114" s="2" t="str" cm="1">
        <f t="array" ref="E114">_xlfn.XLOOKUP(Moult1[[#This Row],[Tecnología]]&amp;Moult1[[#This Row],[Problema]],TbNombres[Tecnología]&amp;TbNombres[Problema],TbNombres[Nombre])</f>
        <v>Simple Advdiff</v>
      </c>
      <c r="F114" s="21">
        <v>5</v>
      </c>
      <c r="G114" s="21">
        <v>1</v>
      </c>
      <c r="H114" s="21">
        <v>16</v>
      </c>
      <c r="I114" s="21">
        <v>40000</v>
      </c>
      <c r="J114" s="21">
        <v>40000</v>
      </c>
      <c r="K114" s="21">
        <v>129.94399999999999</v>
      </c>
      <c r="M114" s="2" t="str">
        <f>_xlfn.XLOOKUP(Moult2[[#This Row],[Metodo]],TbSolver[Metodo],TbSolver[Solver])</f>
        <v>Adams Bashford Moulton</v>
      </c>
      <c r="N114" s="2" t="str">
        <f>_xlfn.XLOOKUP(Moult2[[#This Row],[Hebras]],TbTecnologia[Hebras],TbTecnologia[Tecnología])</f>
        <v>OMP</v>
      </c>
      <c r="O114" s="2" t="str" cm="1">
        <f t="array" ref="O114">_xlfn.XLOOKUP(Moult2[[#This Row],[Tecnología]]&amp;Moult2[[#This Row],[Metodo]],TbTipos[Tecnología]&amp;TbTipos[Metodo],TbTipos[Tipo])</f>
        <v>OMP Operaciones</v>
      </c>
      <c r="P114" s="2" t="str" cm="1">
        <f t="array" ref="P114">_xlfn.XLOOKUP(Moult2[[#This Row],[Tecnología]]&amp;Moult2[[#This Row],[Problema]],TbNombres[Tecnología]&amp;TbNombres[Problema],TbNombres[Nombre])</f>
        <v>Advdiff1d</v>
      </c>
      <c r="Q114" s="21">
        <v>5</v>
      </c>
      <c r="R114" s="21">
        <v>2</v>
      </c>
      <c r="S114" s="21">
        <v>16</v>
      </c>
      <c r="T114" s="21">
        <v>40000</v>
      </c>
      <c r="U114" s="21">
        <v>40000</v>
      </c>
      <c r="V114" s="21">
        <v>343.91399999999999</v>
      </c>
      <c r="X114" s="2" t="str">
        <f>_xlfn.XLOOKUP(Moult3[[#This Row],[Metodo]],TbSolver[Metodo],TbSolver[Solver])</f>
        <v>Adams Bashford Moulton</v>
      </c>
      <c r="Y114" s="2" t="str">
        <f>_xlfn.XLOOKUP(Moult3[[#This Row],[Hebras]],TbTecnologia[Hebras],TbTecnologia[Tecnología])</f>
        <v>OMP</v>
      </c>
      <c r="Z114" s="2" t="str" cm="1">
        <f t="array" ref="Z114">_xlfn.XLOOKUP(Moult3[[#This Row],[Tecnología]]&amp;Moult3[[#This Row],[Metodo]],TbTipos[Tecnología]&amp;TbTipos[Metodo],TbTipos[Tipo])</f>
        <v>OMP Elementos</v>
      </c>
      <c r="AA114" s="2" t="str" cm="1">
        <f t="array" ref="AA114">_xlfn.XLOOKUP(Moult3[[#This Row],[Tecnología]]&amp;Moult3[[#This Row],[Problema]],TbNombres[Tecnología]&amp;TbNombres[Problema],TbNombres[Nombre])</f>
        <v>Brusselator1d</v>
      </c>
      <c r="AB114" s="21">
        <v>6</v>
      </c>
      <c r="AC114" s="21">
        <v>3</v>
      </c>
      <c r="AD114" s="21">
        <v>1</v>
      </c>
      <c r="AE114" s="21">
        <v>25000</v>
      </c>
      <c r="AF114" s="21">
        <v>50000</v>
      </c>
      <c r="AG114" s="21">
        <v>1447.05</v>
      </c>
    </row>
    <row r="115" spans="2:33" x14ac:dyDescent="0.2">
      <c r="B115" s="2" t="str">
        <f>_xlfn.XLOOKUP(Moult1[[#This Row],[Metodo]],TbSolver[Metodo],TbSolver[Solver])</f>
        <v>Adams Bashford Moulton</v>
      </c>
      <c r="C115" s="2" t="str">
        <f>_xlfn.XLOOKUP(Moult1[[#This Row],[Hebras]],TbTecnologia[Hebras],TbTecnologia[Tecnología])</f>
        <v>OMP</v>
      </c>
      <c r="D115" s="2" t="str" cm="1">
        <f t="array" ref="D115">_xlfn.XLOOKUP(Moult1[[#This Row],[Tecnología]]&amp;Moult1[[#This Row],[Metodo]],TbTipos[Tecnología]&amp;TbTipos[Metodo],TbTipos[Tipo])</f>
        <v>OMP Elementos</v>
      </c>
      <c r="E115" s="2" t="str" cm="1">
        <f t="array" ref="E115">_xlfn.XLOOKUP(Moult1[[#This Row],[Tecnología]]&amp;Moult1[[#This Row],[Problema]],TbNombres[Tecnología]&amp;TbNombres[Problema],TbNombres[Nombre])</f>
        <v>Simple Advdiff</v>
      </c>
      <c r="F115" s="21">
        <v>6</v>
      </c>
      <c r="G115" s="21">
        <v>1</v>
      </c>
      <c r="H115" s="21">
        <v>16</v>
      </c>
      <c r="I115" s="21">
        <v>40000</v>
      </c>
      <c r="J115" s="21">
        <v>40000</v>
      </c>
      <c r="K115" s="21">
        <v>171.32599999999999</v>
      </c>
      <c r="M115" s="2" t="str">
        <f>_xlfn.XLOOKUP(Moult2[[#This Row],[Metodo]],TbSolver[Metodo],TbSolver[Solver])</f>
        <v>Adams Bashford Moulton</v>
      </c>
      <c r="N115" s="2" t="str">
        <f>_xlfn.XLOOKUP(Moult2[[#This Row],[Hebras]],TbTecnologia[Hebras],TbTecnologia[Tecnología])</f>
        <v>OMP</v>
      </c>
      <c r="O115" s="2" t="str" cm="1">
        <f t="array" ref="O115">_xlfn.XLOOKUP(Moult2[[#This Row],[Tecnología]]&amp;Moult2[[#This Row],[Metodo]],TbTipos[Tecnología]&amp;TbTipos[Metodo],TbTipos[Tipo])</f>
        <v>OMP Operaciones</v>
      </c>
      <c r="P115" s="2" t="str" cm="1">
        <f t="array" ref="P115">_xlfn.XLOOKUP(Moult2[[#This Row],[Tecnología]]&amp;Moult2[[#This Row],[Problema]],TbNombres[Tecnología]&amp;TbNombres[Problema],TbNombres[Nombre])</f>
        <v>Advdiff1d</v>
      </c>
      <c r="Q115" s="21">
        <v>5</v>
      </c>
      <c r="R115" s="21">
        <v>2</v>
      </c>
      <c r="S115" s="21">
        <v>4</v>
      </c>
      <c r="T115" s="21">
        <v>40000</v>
      </c>
      <c r="U115" s="21">
        <v>40000</v>
      </c>
      <c r="V115" s="21">
        <v>834.20500000000004</v>
      </c>
      <c r="X115" s="2" t="str">
        <f>_xlfn.XLOOKUP(Moult3[[#This Row],[Metodo]],TbSolver[Metodo],TbSolver[Solver])</f>
        <v>Adams Bashford Moulton</v>
      </c>
      <c r="Y115" s="2" t="str">
        <f>_xlfn.XLOOKUP(Moult3[[#This Row],[Hebras]],TbTecnologia[Hebras],TbTecnologia[Tecnología])</f>
        <v>CUDA</v>
      </c>
      <c r="Z115" s="2" t="str" cm="1">
        <f t="array" ref="Z115">_xlfn.XLOOKUP(Moult3[[#This Row],[Tecnología]]&amp;Moult3[[#This Row],[Metodo]],TbTipos[Tecnología]&amp;TbTipos[Metodo],TbTipos[Tipo])</f>
        <v>CUDA sin graph</v>
      </c>
      <c r="AA115" s="2" t="str" cm="1">
        <f t="array" ref="AA115">_xlfn.XLOOKUP(Moult3[[#This Row],[Tecnología]]&amp;Moult3[[#This Row],[Problema]],TbNombres[Tecnología]&amp;TbNombres[Problema],TbNombres[Nombre])</f>
        <v>Brusselator1d</v>
      </c>
      <c r="AB115" s="21">
        <v>5</v>
      </c>
      <c r="AC115" s="21">
        <v>5</v>
      </c>
      <c r="AD115" s="21">
        <v>256</v>
      </c>
      <c r="AE115" s="21">
        <v>30000</v>
      </c>
      <c r="AF115" s="21">
        <v>60000</v>
      </c>
      <c r="AG115" s="21">
        <v>29.398900000000001</v>
      </c>
    </row>
    <row r="116" spans="2:33" x14ac:dyDescent="0.2">
      <c r="B116" s="2" t="str">
        <f>_xlfn.XLOOKUP(Moult1[[#This Row],[Metodo]],TbSolver[Metodo],TbSolver[Solver])</f>
        <v>Adams Bashford Moulton</v>
      </c>
      <c r="C116" s="2" t="str">
        <f>_xlfn.XLOOKUP(Moult1[[#This Row],[Hebras]],TbTecnologia[Hebras],TbTecnologia[Tecnología])</f>
        <v>OMP</v>
      </c>
      <c r="D116" s="2" t="str" cm="1">
        <f t="array" ref="D116">_xlfn.XLOOKUP(Moult1[[#This Row],[Tecnología]]&amp;Moult1[[#This Row],[Metodo]],TbTipos[Tecnología]&amp;TbTipos[Metodo],TbTipos[Tipo])</f>
        <v>OMP Elementos</v>
      </c>
      <c r="E116" s="2" t="str" cm="1">
        <f t="array" ref="E116">_xlfn.XLOOKUP(Moult1[[#This Row],[Tecnología]]&amp;Moult1[[#This Row],[Problema]],TbNombres[Tecnología]&amp;TbNombres[Problema],TbNombres[Nombre])</f>
        <v>Simple Advdiff</v>
      </c>
      <c r="F116" s="21">
        <v>6</v>
      </c>
      <c r="G116" s="21">
        <v>1</v>
      </c>
      <c r="H116" s="21">
        <v>4</v>
      </c>
      <c r="I116" s="21">
        <v>40000</v>
      </c>
      <c r="J116" s="21">
        <v>40000</v>
      </c>
      <c r="K116" s="21">
        <v>287.25400000000002</v>
      </c>
      <c r="M116" s="2" t="str">
        <f>_xlfn.XLOOKUP(Moult2[[#This Row],[Metodo]],TbSolver[Metodo],TbSolver[Solver])</f>
        <v>Adams Bashford Moulton</v>
      </c>
      <c r="N116" s="2" t="str">
        <f>_xlfn.XLOOKUP(Moult2[[#This Row],[Hebras]],TbTecnologia[Hebras],TbTecnologia[Tecnología])</f>
        <v>OMP</v>
      </c>
      <c r="O116" s="2" t="str" cm="1">
        <f t="array" ref="O116">_xlfn.XLOOKUP(Moult2[[#This Row],[Tecnología]]&amp;Moult2[[#This Row],[Metodo]],TbTipos[Tecnología]&amp;TbTipos[Metodo],TbTipos[Tipo])</f>
        <v>OMP Elementos</v>
      </c>
      <c r="P116" s="2" t="str" cm="1">
        <f t="array" ref="P116">_xlfn.XLOOKUP(Moult2[[#This Row],[Tecnología]]&amp;Moult2[[#This Row],[Problema]],TbNombres[Tecnología]&amp;TbNombres[Problema],TbNombres[Nombre])</f>
        <v>Advdiff1d</v>
      </c>
      <c r="Q116" s="21">
        <v>6</v>
      </c>
      <c r="R116" s="21">
        <v>2</v>
      </c>
      <c r="S116" s="21">
        <v>4</v>
      </c>
      <c r="T116" s="21">
        <v>40000</v>
      </c>
      <c r="U116" s="21">
        <v>40000</v>
      </c>
      <c r="V116" s="21">
        <v>1013.32</v>
      </c>
      <c r="X116" s="2" t="str">
        <f>_xlfn.XLOOKUP(Moult3[[#This Row],[Metodo]],TbSolver[Metodo],TbSolver[Solver])</f>
        <v>Adams Bashford Moulton</v>
      </c>
      <c r="Y116" s="2" t="str">
        <f>_xlfn.XLOOKUP(Moult3[[#This Row],[Hebras]],TbTecnologia[Hebras],TbTecnologia[Tecnología])</f>
        <v>CUDA</v>
      </c>
      <c r="Z116" s="2" t="str" cm="1">
        <f t="array" ref="Z116">_xlfn.XLOOKUP(Moult3[[#This Row],[Tecnología]]&amp;Moult3[[#This Row],[Metodo]],TbTipos[Tecnología]&amp;TbTipos[Metodo],TbTipos[Tipo])</f>
        <v>CUDA con graph</v>
      </c>
      <c r="AA116" s="2" t="str" cm="1">
        <f t="array" ref="AA116">_xlfn.XLOOKUP(Moult3[[#This Row],[Tecnología]]&amp;Moult3[[#This Row],[Problema]],TbNombres[Tecnología]&amp;TbNombres[Problema],TbNombres[Nombre])</f>
        <v>Brusselator1d</v>
      </c>
      <c r="AB116" s="21">
        <v>6</v>
      </c>
      <c r="AC116" s="21">
        <v>5</v>
      </c>
      <c r="AD116" s="21">
        <v>256</v>
      </c>
      <c r="AE116" s="21">
        <v>30000</v>
      </c>
      <c r="AF116" s="21">
        <v>60000</v>
      </c>
      <c r="AG116" s="21">
        <v>30.172699999999999</v>
      </c>
    </row>
    <row r="117" spans="2:33" x14ac:dyDescent="0.2">
      <c r="B117" s="2" t="str">
        <f>_xlfn.XLOOKUP(Moult1[[#This Row],[Metodo]],TbSolver[Metodo],TbSolver[Solver])</f>
        <v>Adams Bashford Moulton</v>
      </c>
      <c r="C117" s="2" t="str">
        <f>_xlfn.XLOOKUP(Moult1[[#This Row],[Hebras]],TbTecnologia[Hebras],TbTecnologia[Tecnología])</f>
        <v>OMP</v>
      </c>
      <c r="D117" s="2" t="str" cm="1">
        <f t="array" ref="D117">_xlfn.XLOOKUP(Moult1[[#This Row],[Tecnología]]&amp;Moult1[[#This Row],[Metodo]],TbTipos[Tecnología]&amp;TbTipos[Metodo],TbTipos[Tipo])</f>
        <v>OMP Operaciones</v>
      </c>
      <c r="E117" s="2" t="str" cm="1">
        <f t="array" ref="E117">_xlfn.XLOOKUP(Moult1[[#This Row],[Tecnología]]&amp;Moult1[[#This Row],[Problema]],TbNombres[Tecnología]&amp;TbNombres[Problema],TbNombres[Nombre])</f>
        <v>Simple Advdiff</v>
      </c>
      <c r="F117" s="21">
        <v>5</v>
      </c>
      <c r="G117" s="21">
        <v>1</v>
      </c>
      <c r="H117" s="21">
        <v>1</v>
      </c>
      <c r="I117" s="21">
        <v>40000</v>
      </c>
      <c r="J117" s="21">
        <v>40000</v>
      </c>
      <c r="K117" s="21">
        <v>428.00299999999999</v>
      </c>
      <c r="M117" s="2" t="str">
        <f>_xlfn.XLOOKUP(Moult2[[#This Row],[Metodo]],TbSolver[Metodo],TbSolver[Solver])</f>
        <v>Adams Bashford Moulton</v>
      </c>
      <c r="N117" s="2" t="str">
        <f>_xlfn.XLOOKUP(Moult2[[#This Row],[Hebras]],TbTecnologia[Hebras],TbTecnologia[Tecnología])</f>
        <v>OMP</v>
      </c>
      <c r="O117" s="2" t="str" cm="1">
        <f t="array" ref="O117">_xlfn.XLOOKUP(Moult2[[#This Row],[Tecnología]]&amp;Moult2[[#This Row],[Metodo]],TbTipos[Tecnología]&amp;TbTipos[Metodo],TbTipos[Tipo])</f>
        <v>OMP Operaciones</v>
      </c>
      <c r="P117" s="2" t="str" cm="1">
        <f t="array" ref="P117">_xlfn.XLOOKUP(Moult2[[#This Row],[Tecnología]]&amp;Moult2[[#This Row],[Problema]],TbNombres[Tecnología]&amp;TbNombres[Problema],TbNombres[Nombre])</f>
        <v>Advdiff1d</v>
      </c>
      <c r="Q117" s="21">
        <v>5</v>
      </c>
      <c r="R117" s="21">
        <v>2</v>
      </c>
      <c r="S117" s="21">
        <v>1</v>
      </c>
      <c r="T117" s="21">
        <v>40000</v>
      </c>
      <c r="U117" s="21">
        <v>40000</v>
      </c>
      <c r="V117" s="21">
        <v>2905.23</v>
      </c>
      <c r="X117" s="2" t="str">
        <f>_xlfn.XLOOKUP(Moult3[[#This Row],[Metodo]],TbSolver[Metodo],TbSolver[Solver])</f>
        <v>Adams Bashford Moulton</v>
      </c>
      <c r="Y117" s="2" t="str">
        <f>_xlfn.XLOOKUP(Moult3[[#This Row],[Hebras]],TbTecnologia[Hebras],TbTecnologia[Tecnología])</f>
        <v>OMP</v>
      </c>
      <c r="Z117" s="2" t="str" cm="1">
        <f t="array" ref="Z117">_xlfn.XLOOKUP(Moult3[[#This Row],[Tecnología]]&amp;Moult3[[#This Row],[Metodo]],TbTipos[Tecnología]&amp;TbTipos[Metodo],TbTipos[Tipo])</f>
        <v>OMP Elementos</v>
      </c>
      <c r="AA117" s="2" t="str" cm="1">
        <f t="array" ref="AA117">_xlfn.XLOOKUP(Moult3[[#This Row],[Tecnología]]&amp;Moult3[[#This Row],[Problema]],TbNombres[Tecnología]&amp;TbNombres[Problema],TbNombres[Nombre])</f>
        <v>Brusselator1d</v>
      </c>
      <c r="AB117" s="21">
        <v>6</v>
      </c>
      <c r="AC117" s="21">
        <v>3</v>
      </c>
      <c r="AD117" s="21">
        <v>16</v>
      </c>
      <c r="AE117" s="21">
        <v>30000</v>
      </c>
      <c r="AF117" s="21">
        <v>60000</v>
      </c>
      <c r="AG117" s="21">
        <v>167.673</v>
      </c>
    </row>
    <row r="118" spans="2:33" x14ac:dyDescent="0.2">
      <c r="B118" s="2" t="str">
        <f>_xlfn.XLOOKUP(Moult1[[#This Row],[Metodo]],TbSolver[Metodo],TbSolver[Solver])</f>
        <v>Adams Bashford Moulton</v>
      </c>
      <c r="C118" s="2" t="str">
        <f>_xlfn.XLOOKUP(Moult1[[#This Row],[Hebras]],TbTecnologia[Hebras],TbTecnologia[Tecnología])</f>
        <v>OMP</v>
      </c>
      <c r="D118" s="2" t="str" cm="1">
        <f t="array" ref="D118">_xlfn.XLOOKUP(Moult1[[#This Row],[Tecnología]]&amp;Moult1[[#This Row],[Metodo]],TbTipos[Tecnología]&amp;TbTipos[Metodo],TbTipos[Tipo])</f>
        <v>OMP Elementos</v>
      </c>
      <c r="E118" s="2" t="str" cm="1">
        <f t="array" ref="E118">_xlfn.XLOOKUP(Moult1[[#This Row],[Tecnología]]&amp;Moult1[[#This Row],[Problema]],TbNombres[Tecnología]&amp;TbNombres[Problema],TbNombres[Nombre])</f>
        <v>Simple Advdiff</v>
      </c>
      <c r="F118" s="21">
        <v>6</v>
      </c>
      <c r="G118" s="21">
        <v>1</v>
      </c>
      <c r="H118" s="21">
        <v>1</v>
      </c>
      <c r="I118" s="21">
        <v>40000</v>
      </c>
      <c r="J118" s="21">
        <v>40000</v>
      </c>
      <c r="K118" s="21">
        <v>1081.23</v>
      </c>
      <c r="M118" s="2" t="str">
        <f>_xlfn.XLOOKUP(Moult2[[#This Row],[Metodo]],TbSolver[Metodo],TbSolver[Solver])</f>
        <v>Adams Bashford Moulton</v>
      </c>
      <c r="N118" s="2" t="str">
        <f>_xlfn.XLOOKUP(Moult2[[#This Row],[Hebras]],TbTecnologia[Hebras],TbTecnologia[Tecnología])</f>
        <v>OMP</v>
      </c>
      <c r="O118" s="2" t="str" cm="1">
        <f t="array" ref="O118">_xlfn.XLOOKUP(Moult2[[#This Row],[Tecnología]]&amp;Moult2[[#This Row],[Metodo]],TbTipos[Tecnología]&amp;TbTipos[Metodo],TbTipos[Tipo])</f>
        <v>OMP Elementos</v>
      </c>
      <c r="P118" s="2" t="str" cm="1">
        <f t="array" ref="P118">_xlfn.XLOOKUP(Moult2[[#This Row],[Tecnología]]&amp;Moult2[[#This Row],[Problema]],TbNombres[Tecnología]&amp;TbNombres[Problema],TbNombres[Nombre])</f>
        <v>Advdiff1d</v>
      </c>
      <c r="Q118" s="21">
        <v>6</v>
      </c>
      <c r="R118" s="21">
        <v>2</v>
      </c>
      <c r="S118" s="21">
        <v>1</v>
      </c>
      <c r="T118" s="21">
        <v>40000</v>
      </c>
      <c r="U118" s="21">
        <v>40000</v>
      </c>
      <c r="V118" s="21">
        <v>3681.6</v>
      </c>
      <c r="X118" s="2" t="str">
        <f>_xlfn.XLOOKUP(Moult3[[#This Row],[Metodo]],TbSolver[Metodo],TbSolver[Solver])</f>
        <v>Adams Bashford Moulton</v>
      </c>
      <c r="Y118" s="2" t="str">
        <f>_xlfn.XLOOKUP(Moult3[[#This Row],[Hebras]],TbTecnologia[Hebras],TbTecnologia[Tecnología])</f>
        <v>OMP</v>
      </c>
      <c r="Z118" s="2" t="str" cm="1">
        <f t="array" ref="Z118">_xlfn.XLOOKUP(Moult3[[#This Row],[Tecnología]]&amp;Moult3[[#This Row],[Metodo]],TbTipos[Tecnología]&amp;TbTipos[Metodo],TbTipos[Tipo])</f>
        <v>OMP Operaciones</v>
      </c>
      <c r="AA118" s="2" t="str" cm="1">
        <f t="array" ref="AA118">_xlfn.XLOOKUP(Moult3[[#This Row],[Tecnología]]&amp;Moult3[[#This Row],[Problema]],TbNombres[Tecnología]&amp;TbNombres[Problema],TbNombres[Nombre])</f>
        <v>Brusselator1d</v>
      </c>
      <c r="AB118" s="21">
        <v>5</v>
      </c>
      <c r="AC118" s="21">
        <v>3</v>
      </c>
      <c r="AD118" s="21">
        <v>16</v>
      </c>
      <c r="AE118" s="21">
        <v>30000</v>
      </c>
      <c r="AF118" s="21">
        <v>60000</v>
      </c>
      <c r="AG118" s="21">
        <v>167.68299999999999</v>
      </c>
    </row>
    <row r="119" spans="2:33" x14ac:dyDescent="0.2">
      <c r="B119" s="2" t="str">
        <f>_xlfn.XLOOKUP(Moult1[[#This Row],[Metodo]],TbSolver[Metodo],TbSolver[Solver])</f>
        <v>Adams Bashford Moulton</v>
      </c>
      <c r="C119" s="2" t="str">
        <f>_xlfn.XLOOKUP(Moult1[[#This Row],[Hebras]],TbTecnologia[Hebras],TbTecnologia[Tecnología])</f>
        <v>CUDA</v>
      </c>
      <c r="D119" s="2" t="str" cm="1">
        <f t="array" ref="D119">_xlfn.XLOOKUP(Moult1[[#This Row],[Tecnología]]&amp;Moult1[[#This Row],[Metodo]],TbTipos[Tecnología]&amp;TbTipos[Metodo],TbTipos[Tipo])</f>
        <v>CUDA sin graph</v>
      </c>
      <c r="E119" s="2" t="str" cm="1">
        <f t="array" ref="E119">_xlfn.XLOOKUP(Moult1[[#This Row],[Tecnología]]&amp;Moult1[[#This Row],[Problema]],TbNombres[Tecnología]&amp;TbNombres[Problema],TbNombres[Nombre])</f>
        <v>Simple Advdiff</v>
      </c>
      <c r="F119" s="2">
        <v>5</v>
      </c>
      <c r="G119" s="2">
        <v>1</v>
      </c>
      <c r="H119" s="2">
        <v>256</v>
      </c>
      <c r="I119" s="2">
        <v>50000</v>
      </c>
      <c r="J119" s="2">
        <v>50000</v>
      </c>
      <c r="K119" s="2">
        <v>22.110499999999998</v>
      </c>
      <c r="M119" s="2" t="str">
        <f>_xlfn.XLOOKUP(Moult2[[#This Row],[Metodo]],TbSolver[Metodo],TbSolver[Solver])</f>
        <v>Adams Bashford Moulton</v>
      </c>
      <c r="N119" s="2" t="str">
        <f>_xlfn.XLOOKUP(Moult2[[#This Row],[Hebras]],TbTecnologia[Hebras],TbTecnologia[Tecnología])</f>
        <v>CUDA</v>
      </c>
      <c r="O119" s="2" t="str" cm="1">
        <f t="array" ref="O119">_xlfn.XLOOKUP(Moult2[[#This Row],[Tecnología]]&amp;Moult2[[#This Row],[Metodo]],TbTipos[Tecnología]&amp;TbTipos[Metodo],TbTipos[Tipo])</f>
        <v>CUDA sin graph</v>
      </c>
      <c r="P119" s="2" t="str" cm="1">
        <f t="array" ref="P119">_xlfn.XLOOKUP(Moult2[[#This Row],[Tecnología]]&amp;Moult2[[#This Row],[Problema]],TbNombres[Tecnología]&amp;TbNombres[Problema],TbNombres[Nombre])</f>
        <v>Advdiff1d</v>
      </c>
      <c r="Q119" s="2">
        <v>5</v>
      </c>
      <c r="R119" s="2">
        <v>3</v>
      </c>
      <c r="S119" s="2">
        <v>256</v>
      </c>
      <c r="T119" s="2">
        <v>50000</v>
      </c>
      <c r="U119" s="2">
        <v>50000</v>
      </c>
      <c r="V119" s="2">
        <v>58.4223</v>
      </c>
      <c r="X119" s="2" t="str">
        <f>_xlfn.XLOOKUP(Moult3[[#This Row],[Metodo]],TbSolver[Metodo],TbSolver[Solver])</f>
        <v>Adams Bashford Moulton</v>
      </c>
      <c r="Y119" s="2" t="str">
        <f>_xlfn.XLOOKUP(Moult3[[#This Row],[Hebras]],TbTecnologia[Hebras],TbTecnologia[Tecnología])</f>
        <v>OMP</v>
      </c>
      <c r="Z119" s="2" t="str" cm="1">
        <f t="array" ref="Z119">_xlfn.XLOOKUP(Moult3[[#This Row],[Tecnología]]&amp;Moult3[[#This Row],[Metodo]],TbTipos[Tecnología]&amp;TbTipos[Metodo],TbTipos[Tipo])</f>
        <v>OMP Operaciones</v>
      </c>
      <c r="AA119" s="2" t="str" cm="1">
        <f t="array" ref="AA119">_xlfn.XLOOKUP(Moult3[[#This Row],[Tecnología]]&amp;Moult3[[#This Row],[Problema]],TbNombres[Tecnología]&amp;TbNombres[Problema],TbNombres[Nombre])</f>
        <v>Brusselator1d</v>
      </c>
      <c r="AB119" s="21">
        <v>5</v>
      </c>
      <c r="AC119" s="21">
        <v>3</v>
      </c>
      <c r="AD119" s="21">
        <v>4</v>
      </c>
      <c r="AE119" s="21">
        <v>30000</v>
      </c>
      <c r="AF119" s="21">
        <v>60000</v>
      </c>
      <c r="AG119" s="21">
        <v>255.40799999999999</v>
      </c>
    </row>
    <row r="120" spans="2:33" x14ac:dyDescent="0.2">
      <c r="B120" s="2" t="str">
        <f>_xlfn.XLOOKUP(Moult1[[#This Row],[Metodo]],TbSolver[Metodo],TbSolver[Solver])</f>
        <v>Adams Bashford Moulton</v>
      </c>
      <c r="C120" s="2" t="str">
        <f>_xlfn.XLOOKUP(Moult1[[#This Row],[Hebras]],TbTecnologia[Hebras],TbTecnologia[Tecnología])</f>
        <v>OMP</v>
      </c>
      <c r="D120" s="2" t="str" cm="1">
        <f t="array" ref="D120">_xlfn.XLOOKUP(Moult1[[#This Row],[Tecnología]]&amp;Moult1[[#This Row],[Metodo]],TbTipos[Tecnología]&amp;TbTipos[Metodo],TbTipos[Tipo])</f>
        <v>OMP Operaciones</v>
      </c>
      <c r="E120" s="2" t="str" cm="1">
        <f t="array" ref="E120">_xlfn.XLOOKUP(Moult1[[#This Row],[Tecnología]]&amp;Moult1[[#This Row],[Problema]],TbNombres[Tecnología]&amp;TbNombres[Problema],TbNombres[Nombre])</f>
        <v>Simple Advdiff</v>
      </c>
      <c r="F120" s="21">
        <v>5</v>
      </c>
      <c r="G120" s="21">
        <v>1</v>
      </c>
      <c r="H120" s="21">
        <v>4</v>
      </c>
      <c r="I120" s="21">
        <v>50000</v>
      </c>
      <c r="J120" s="21">
        <v>50000</v>
      </c>
      <c r="K120" s="21">
        <v>138.93100000000001</v>
      </c>
      <c r="M120" s="2" t="str">
        <f>_xlfn.XLOOKUP(Moult2[[#This Row],[Metodo]],TbSolver[Metodo],TbSolver[Solver])</f>
        <v>Adams Bashford Moulton</v>
      </c>
      <c r="N120" s="2" t="str">
        <f>_xlfn.XLOOKUP(Moult2[[#This Row],[Hebras]],TbTecnologia[Hebras],TbTecnologia[Tecnología])</f>
        <v>OMP</v>
      </c>
      <c r="O120" s="2" t="str" cm="1">
        <f t="array" ref="O120">_xlfn.XLOOKUP(Moult2[[#This Row],[Tecnología]]&amp;Moult2[[#This Row],[Metodo]],TbTipos[Tecnología]&amp;TbTipos[Metodo],TbTipos[Tipo])</f>
        <v>OMP Operaciones</v>
      </c>
      <c r="P120" s="2" t="str" cm="1">
        <f t="array" ref="P120">_xlfn.XLOOKUP(Moult2[[#This Row],[Tecnología]]&amp;Moult2[[#This Row],[Problema]],TbNombres[Tecnología]&amp;TbNombres[Problema],TbNombres[Nombre])</f>
        <v>Advdiff1d</v>
      </c>
      <c r="Q120" s="21">
        <v>5</v>
      </c>
      <c r="R120" s="21">
        <v>2</v>
      </c>
      <c r="S120" s="21">
        <v>16</v>
      </c>
      <c r="T120" s="21">
        <v>50000</v>
      </c>
      <c r="U120" s="21">
        <v>50000</v>
      </c>
      <c r="V120" s="21">
        <v>402.35500000000002</v>
      </c>
      <c r="X120" s="2" t="str">
        <f>_xlfn.XLOOKUP(Moult3[[#This Row],[Metodo]],TbSolver[Metodo],TbSolver[Solver])</f>
        <v>Adams Bashford Moulton</v>
      </c>
      <c r="Y120" s="2" t="str">
        <f>_xlfn.XLOOKUP(Moult3[[#This Row],[Hebras]],TbTecnologia[Hebras],TbTecnologia[Tecnología])</f>
        <v>OMP</v>
      </c>
      <c r="Z120" s="2" t="str" cm="1">
        <f t="array" ref="Z120">_xlfn.XLOOKUP(Moult3[[#This Row],[Tecnología]]&amp;Moult3[[#This Row],[Metodo]],TbTipos[Tecnología]&amp;TbTipos[Metodo],TbTipos[Tipo])</f>
        <v>OMP Elementos</v>
      </c>
      <c r="AA120" s="2" t="str" cm="1">
        <f t="array" ref="AA120">_xlfn.XLOOKUP(Moult3[[#This Row],[Tecnología]]&amp;Moult3[[#This Row],[Problema]],TbNombres[Tecnología]&amp;TbNombres[Problema],TbNombres[Nombre])</f>
        <v>Brusselator1d</v>
      </c>
      <c r="AB120" s="21">
        <v>6</v>
      </c>
      <c r="AC120" s="21">
        <v>3</v>
      </c>
      <c r="AD120" s="21">
        <v>4</v>
      </c>
      <c r="AE120" s="21">
        <v>30000</v>
      </c>
      <c r="AF120" s="21">
        <v>60000</v>
      </c>
      <c r="AG120" s="21">
        <v>457.08600000000001</v>
      </c>
    </row>
    <row r="121" spans="2:33" x14ac:dyDescent="0.2">
      <c r="B121" s="2" t="str">
        <f>_xlfn.XLOOKUP(Moult1[[#This Row],[Metodo]],TbSolver[Metodo],TbSolver[Solver])</f>
        <v>Adams Bashford Moulton</v>
      </c>
      <c r="C121" s="2" t="str">
        <f>_xlfn.XLOOKUP(Moult1[[#This Row],[Hebras]],TbTecnologia[Hebras],TbTecnologia[Tecnología])</f>
        <v>OMP</v>
      </c>
      <c r="D121" s="2" t="str" cm="1">
        <f t="array" ref="D121">_xlfn.XLOOKUP(Moult1[[#This Row],[Tecnología]]&amp;Moult1[[#This Row],[Metodo]],TbTipos[Tecnología]&amp;TbTipos[Metodo],TbTipos[Tipo])</f>
        <v>OMP Operaciones</v>
      </c>
      <c r="E121" s="2" t="str" cm="1">
        <f t="array" ref="E121">_xlfn.XLOOKUP(Moult1[[#This Row],[Tecnología]]&amp;Moult1[[#This Row],[Problema]],TbNombres[Tecnología]&amp;TbNombres[Problema],TbNombres[Nombre])</f>
        <v>Simple Advdiff</v>
      </c>
      <c r="F121" s="21">
        <v>5</v>
      </c>
      <c r="G121" s="21">
        <v>1</v>
      </c>
      <c r="H121" s="21">
        <v>16</v>
      </c>
      <c r="I121" s="21">
        <v>50000</v>
      </c>
      <c r="J121" s="21">
        <v>50000</v>
      </c>
      <c r="K121" s="21">
        <v>139.524</v>
      </c>
      <c r="M121" s="2" t="str">
        <f>_xlfn.XLOOKUP(Moult2[[#This Row],[Metodo]],TbSolver[Metodo],TbSolver[Solver])</f>
        <v>Adams Bashford Moulton</v>
      </c>
      <c r="N121" s="2" t="str">
        <f>_xlfn.XLOOKUP(Moult2[[#This Row],[Hebras]],TbTecnologia[Hebras],TbTecnologia[Tecnología])</f>
        <v>OMP</v>
      </c>
      <c r="O121" s="2" t="str" cm="1">
        <f t="array" ref="O121">_xlfn.XLOOKUP(Moult2[[#This Row],[Tecnología]]&amp;Moult2[[#This Row],[Metodo]],TbTipos[Tecnología]&amp;TbTipos[Metodo],TbTipos[Tipo])</f>
        <v>OMP Elementos</v>
      </c>
      <c r="P121" s="2" t="str" cm="1">
        <f t="array" ref="P121">_xlfn.XLOOKUP(Moult2[[#This Row],[Tecnología]]&amp;Moult2[[#This Row],[Problema]],TbNombres[Tecnología]&amp;TbNombres[Problema],TbNombres[Nombre])</f>
        <v>Advdiff1d</v>
      </c>
      <c r="Q121" s="21">
        <v>6</v>
      </c>
      <c r="R121" s="21">
        <v>2</v>
      </c>
      <c r="S121" s="21">
        <v>16</v>
      </c>
      <c r="T121" s="21">
        <v>50000</v>
      </c>
      <c r="U121" s="21">
        <v>50000</v>
      </c>
      <c r="V121" s="21">
        <v>455.31299999999999</v>
      </c>
      <c r="X121" s="2" t="str">
        <f>_xlfn.XLOOKUP(Moult3[[#This Row],[Metodo]],TbSolver[Metodo],TbSolver[Solver])</f>
        <v>Adams Bashford Moulton</v>
      </c>
      <c r="Y121" s="2" t="str">
        <f>_xlfn.XLOOKUP(Moult3[[#This Row],[Hebras]],TbTecnologia[Hebras],TbTecnologia[Tecnología])</f>
        <v>OMP</v>
      </c>
      <c r="Z121" s="2" t="str" cm="1">
        <f t="array" ref="Z121">_xlfn.XLOOKUP(Moult3[[#This Row],[Tecnología]]&amp;Moult3[[#This Row],[Metodo]],TbTipos[Tecnología]&amp;TbTipos[Metodo],TbTipos[Tipo])</f>
        <v>OMP Operaciones</v>
      </c>
      <c r="AA121" s="2" t="str" cm="1">
        <f t="array" ref="AA121">_xlfn.XLOOKUP(Moult3[[#This Row],[Tecnología]]&amp;Moult3[[#This Row],[Problema]],TbNombres[Tecnología]&amp;TbNombres[Problema],TbNombres[Nombre])</f>
        <v>Brusselator1d</v>
      </c>
      <c r="AB121" s="21">
        <v>5</v>
      </c>
      <c r="AC121" s="21">
        <v>3</v>
      </c>
      <c r="AD121" s="21">
        <v>1</v>
      </c>
      <c r="AE121" s="21">
        <v>30000</v>
      </c>
      <c r="AF121" s="21">
        <v>60000</v>
      </c>
      <c r="AG121" s="21">
        <v>1018.56</v>
      </c>
    </row>
    <row r="122" spans="2:33" x14ac:dyDescent="0.2">
      <c r="B122" s="2" t="str">
        <f>_xlfn.XLOOKUP(Moult1[[#This Row],[Metodo]],TbSolver[Metodo],TbSolver[Solver])</f>
        <v>Adams Bashford Moulton</v>
      </c>
      <c r="C122" s="2" t="str">
        <f>_xlfn.XLOOKUP(Moult1[[#This Row],[Hebras]],TbTecnologia[Hebras],TbTecnologia[Tecnología])</f>
        <v>OMP</v>
      </c>
      <c r="D122" s="2" t="str" cm="1">
        <f t="array" ref="D122">_xlfn.XLOOKUP(Moult1[[#This Row],[Tecnología]]&amp;Moult1[[#This Row],[Metodo]],TbTipos[Tecnología]&amp;TbTipos[Metodo],TbTipos[Tipo])</f>
        <v>OMP Elementos</v>
      </c>
      <c r="E122" s="2" t="str" cm="1">
        <f t="array" ref="E122">_xlfn.XLOOKUP(Moult1[[#This Row],[Tecnología]]&amp;Moult1[[#This Row],[Problema]],TbNombres[Tecnología]&amp;TbNombres[Problema],TbNombres[Nombre])</f>
        <v>Simple Advdiff</v>
      </c>
      <c r="F122" s="21">
        <v>6</v>
      </c>
      <c r="G122" s="21">
        <v>1</v>
      </c>
      <c r="H122" s="21">
        <v>16</v>
      </c>
      <c r="I122" s="21">
        <v>50000</v>
      </c>
      <c r="J122" s="21">
        <v>50000</v>
      </c>
      <c r="K122" s="21">
        <v>150.57900000000001</v>
      </c>
      <c r="M122" s="2" t="str">
        <f>_xlfn.XLOOKUP(Moult2[[#This Row],[Metodo]],TbSolver[Metodo],TbSolver[Solver])</f>
        <v>Adams Bashford Moulton</v>
      </c>
      <c r="N122" s="2" t="str">
        <f>_xlfn.XLOOKUP(Moult2[[#This Row],[Hebras]],TbTecnologia[Hebras],TbTecnologia[Tecnología])</f>
        <v>OMP</v>
      </c>
      <c r="O122" s="2" t="str" cm="1">
        <f t="array" ref="O122">_xlfn.XLOOKUP(Moult2[[#This Row],[Tecnología]]&amp;Moult2[[#This Row],[Metodo]],TbTipos[Tecnología]&amp;TbTipos[Metodo],TbTipos[Tipo])</f>
        <v>OMP Operaciones</v>
      </c>
      <c r="P122" s="2" t="str" cm="1">
        <f t="array" ref="P122">_xlfn.XLOOKUP(Moult2[[#This Row],[Tecnología]]&amp;Moult2[[#This Row],[Problema]],TbNombres[Tecnología]&amp;TbNombres[Problema],TbNombres[Nombre])</f>
        <v>Advdiff1d</v>
      </c>
      <c r="Q122" s="21">
        <v>5</v>
      </c>
      <c r="R122" s="21">
        <v>2</v>
      </c>
      <c r="S122" s="21">
        <v>4</v>
      </c>
      <c r="T122" s="21">
        <v>50000</v>
      </c>
      <c r="U122" s="21">
        <v>50000</v>
      </c>
      <c r="V122" s="21">
        <v>1050.78</v>
      </c>
      <c r="X122" s="2" t="str">
        <f>_xlfn.XLOOKUP(Moult3[[#This Row],[Metodo]],TbSolver[Metodo],TbSolver[Solver])</f>
        <v>Adams Bashford Moulton</v>
      </c>
      <c r="Y122" s="2" t="str">
        <f>_xlfn.XLOOKUP(Moult3[[#This Row],[Hebras]],TbTecnologia[Hebras],TbTecnologia[Tecnología])</f>
        <v>OMP</v>
      </c>
      <c r="Z122" s="2" t="str" cm="1">
        <f t="array" ref="Z122">_xlfn.XLOOKUP(Moult3[[#This Row],[Tecnología]]&amp;Moult3[[#This Row],[Metodo]],TbTipos[Tecnología]&amp;TbTipos[Metodo],TbTipos[Tipo])</f>
        <v>OMP Elementos</v>
      </c>
      <c r="AA122" s="2" t="str" cm="1">
        <f t="array" ref="AA122">_xlfn.XLOOKUP(Moult3[[#This Row],[Tecnología]]&amp;Moult3[[#This Row],[Problema]],TbNombres[Tecnología]&amp;TbNombres[Problema],TbNombres[Nombre])</f>
        <v>Brusselator1d</v>
      </c>
      <c r="AB122" s="21">
        <v>6</v>
      </c>
      <c r="AC122" s="21">
        <v>3</v>
      </c>
      <c r="AD122" s="21">
        <v>1</v>
      </c>
      <c r="AE122" s="21">
        <v>30000</v>
      </c>
      <c r="AF122" s="21">
        <v>60000</v>
      </c>
      <c r="AG122" s="21">
        <v>1741.89</v>
      </c>
    </row>
    <row r="123" spans="2:33" x14ac:dyDescent="0.2">
      <c r="B123" s="2" t="str">
        <f>_xlfn.XLOOKUP(Moult1[[#This Row],[Metodo]],TbSolver[Metodo],TbSolver[Solver])</f>
        <v>Adams Bashford Moulton</v>
      </c>
      <c r="C123" s="2" t="str">
        <f>_xlfn.XLOOKUP(Moult1[[#This Row],[Hebras]],TbTecnologia[Hebras],TbTecnologia[Tecnología])</f>
        <v>OMP</v>
      </c>
      <c r="D123" s="2" t="str" cm="1">
        <f t="array" ref="D123">_xlfn.XLOOKUP(Moult1[[#This Row],[Tecnología]]&amp;Moult1[[#This Row],[Metodo]],TbTipos[Tecnología]&amp;TbTipos[Metodo],TbTipos[Tipo])</f>
        <v>OMP Elementos</v>
      </c>
      <c r="E123" s="2" t="str" cm="1">
        <f t="array" ref="E123">_xlfn.XLOOKUP(Moult1[[#This Row],[Tecnología]]&amp;Moult1[[#This Row],[Problema]],TbNombres[Tecnología]&amp;TbNombres[Problema],TbNombres[Nombre])</f>
        <v>Simple Advdiff</v>
      </c>
      <c r="F123" s="21">
        <v>6</v>
      </c>
      <c r="G123" s="21">
        <v>1</v>
      </c>
      <c r="H123" s="21">
        <v>4</v>
      </c>
      <c r="I123" s="21">
        <v>50000</v>
      </c>
      <c r="J123" s="21">
        <v>50000</v>
      </c>
      <c r="K123" s="21">
        <v>359.767</v>
      </c>
      <c r="M123" s="2" t="str">
        <f>_xlfn.XLOOKUP(Moult2[[#This Row],[Metodo]],TbSolver[Metodo],TbSolver[Solver])</f>
        <v>Adams Bashford Moulton</v>
      </c>
      <c r="N123" s="2" t="str">
        <f>_xlfn.XLOOKUP(Moult2[[#This Row],[Hebras]],TbTecnologia[Hebras],TbTecnologia[Tecnología])</f>
        <v>OMP</v>
      </c>
      <c r="O123" s="2" t="str" cm="1">
        <f t="array" ref="O123">_xlfn.XLOOKUP(Moult2[[#This Row],[Tecnología]]&amp;Moult2[[#This Row],[Metodo]],TbTipos[Tecnología]&amp;TbTipos[Metodo],TbTipos[Tipo])</f>
        <v>OMP Elementos</v>
      </c>
      <c r="P123" s="2" t="str" cm="1">
        <f t="array" ref="P123">_xlfn.XLOOKUP(Moult2[[#This Row],[Tecnología]]&amp;Moult2[[#This Row],[Problema]],TbNombres[Tecnología]&amp;TbNombres[Problema],TbNombres[Nombre])</f>
        <v>Advdiff1d</v>
      </c>
      <c r="Q123" s="21">
        <v>6</v>
      </c>
      <c r="R123" s="21">
        <v>2</v>
      </c>
      <c r="S123" s="21">
        <v>4</v>
      </c>
      <c r="T123" s="21">
        <v>50000</v>
      </c>
      <c r="U123" s="21">
        <v>50000</v>
      </c>
      <c r="V123" s="21">
        <v>1291.79</v>
      </c>
      <c r="X123" s="2" t="str">
        <f>_xlfn.XLOOKUP(Moult3[[#This Row],[Metodo]],TbSolver[Metodo],TbSolver[Solver])</f>
        <v>Adams Bashford Moulton</v>
      </c>
      <c r="Y123" s="2" t="str">
        <f>_xlfn.XLOOKUP(Moult3[[#This Row],[Hebras]],TbTecnologia[Hebras],TbTecnologia[Tecnología])</f>
        <v>CUDA</v>
      </c>
      <c r="Z123" s="2" t="str" cm="1">
        <f t="array" ref="Z123">_xlfn.XLOOKUP(Moult3[[#This Row],[Tecnología]]&amp;Moult3[[#This Row],[Metodo]],TbTipos[Tecnología]&amp;TbTipos[Metodo],TbTipos[Tipo])</f>
        <v>CUDA sin graph</v>
      </c>
      <c r="AA123" s="2" t="str" cm="1">
        <f t="array" ref="AA123">_xlfn.XLOOKUP(Moult3[[#This Row],[Tecnología]]&amp;Moult3[[#This Row],[Problema]],TbNombres[Tecnología]&amp;TbNombres[Problema],TbNombres[Nombre])</f>
        <v>Brusselator1d</v>
      </c>
      <c r="AB123" s="21">
        <v>5</v>
      </c>
      <c r="AC123" s="21">
        <v>5</v>
      </c>
      <c r="AD123" s="21">
        <v>256</v>
      </c>
      <c r="AE123" s="21">
        <v>40000</v>
      </c>
      <c r="AF123" s="21">
        <v>80000</v>
      </c>
      <c r="AG123" s="21">
        <v>37.430100000000003</v>
      </c>
    </row>
    <row r="124" spans="2:33" x14ac:dyDescent="0.2">
      <c r="B124" s="2" t="str">
        <f>_xlfn.XLOOKUP(Moult1[[#This Row],[Metodo]],TbSolver[Metodo],TbSolver[Solver])</f>
        <v>Adams Bashford Moulton</v>
      </c>
      <c r="C124" s="2" t="str">
        <f>_xlfn.XLOOKUP(Moult1[[#This Row],[Hebras]],TbTecnologia[Hebras],TbTecnologia[Tecnología])</f>
        <v>OMP</v>
      </c>
      <c r="D124" s="2" t="str" cm="1">
        <f t="array" ref="D124">_xlfn.XLOOKUP(Moult1[[#This Row],[Tecnología]]&amp;Moult1[[#This Row],[Metodo]],TbTipos[Tecnología]&amp;TbTipos[Metodo],TbTipos[Tipo])</f>
        <v>OMP Operaciones</v>
      </c>
      <c r="E124" s="2" t="str" cm="1">
        <f t="array" ref="E124">_xlfn.XLOOKUP(Moult1[[#This Row],[Tecnología]]&amp;Moult1[[#This Row],[Problema]],TbNombres[Tecnología]&amp;TbNombres[Problema],TbNombres[Nombre])</f>
        <v>Simple Advdiff</v>
      </c>
      <c r="F124" s="21">
        <v>5</v>
      </c>
      <c r="G124" s="21">
        <v>1</v>
      </c>
      <c r="H124" s="21">
        <v>1</v>
      </c>
      <c r="I124" s="21">
        <v>50000</v>
      </c>
      <c r="J124" s="21">
        <v>50000</v>
      </c>
      <c r="K124" s="21">
        <v>561.56399999999996</v>
      </c>
      <c r="M124" s="2" t="str">
        <f>_xlfn.XLOOKUP(Moult2[[#This Row],[Metodo]],TbSolver[Metodo],TbSolver[Solver])</f>
        <v>Adams Bashford Moulton</v>
      </c>
      <c r="N124" s="2" t="str">
        <f>_xlfn.XLOOKUP(Moult2[[#This Row],[Hebras]],TbTecnologia[Hebras],TbTecnologia[Tecnología])</f>
        <v>OMP</v>
      </c>
      <c r="O124" s="2" t="str" cm="1">
        <f t="array" ref="O124">_xlfn.XLOOKUP(Moult2[[#This Row],[Tecnología]]&amp;Moult2[[#This Row],[Metodo]],TbTipos[Tecnología]&amp;TbTipos[Metodo],TbTipos[Tipo])</f>
        <v>OMP Operaciones</v>
      </c>
      <c r="P124" s="2" t="str" cm="1">
        <f t="array" ref="P124">_xlfn.XLOOKUP(Moult2[[#This Row],[Tecnología]]&amp;Moult2[[#This Row],[Problema]],TbNombres[Tecnología]&amp;TbNombres[Problema],TbNombres[Nombre])</f>
        <v>Advdiff1d</v>
      </c>
      <c r="Q124" s="21">
        <v>5</v>
      </c>
      <c r="R124" s="21">
        <v>2</v>
      </c>
      <c r="S124" s="21">
        <v>1</v>
      </c>
      <c r="T124" s="21">
        <v>50000</v>
      </c>
      <c r="U124" s="21">
        <v>50000</v>
      </c>
      <c r="V124" s="21">
        <v>3656.44</v>
      </c>
      <c r="X124" s="2" t="str">
        <f>_xlfn.XLOOKUP(Moult3[[#This Row],[Metodo]],TbSolver[Metodo],TbSolver[Solver])</f>
        <v>Adams Bashford Moulton</v>
      </c>
      <c r="Y124" s="2" t="str">
        <f>_xlfn.XLOOKUP(Moult3[[#This Row],[Hebras]],TbTecnologia[Hebras],TbTecnologia[Tecnología])</f>
        <v>CUDA</v>
      </c>
      <c r="Z124" s="2" t="str" cm="1">
        <f t="array" ref="Z124">_xlfn.XLOOKUP(Moult3[[#This Row],[Tecnología]]&amp;Moult3[[#This Row],[Metodo]],TbTipos[Tecnología]&amp;TbTipos[Metodo],TbTipos[Tipo])</f>
        <v>CUDA con graph</v>
      </c>
      <c r="AA124" s="2" t="str" cm="1">
        <f t="array" ref="AA124">_xlfn.XLOOKUP(Moult3[[#This Row],[Tecnología]]&amp;Moult3[[#This Row],[Problema]],TbNombres[Tecnología]&amp;TbNombres[Problema],TbNombres[Nombre])</f>
        <v>Brusselator1d</v>
      </c>
      <c r="AB124" s="21">
        <v>6</v>
      </c>
      <c r="AC124" s="21">
        <v>5</v>
      </c>
      <c r="AD124" s="21">
        <v>256</v>
      </c>
      <c r="AE124" s="21">
        <v>40000</v>
      </c>
      <c r="AF124" s="21">
        <v>80000</v>
      </c>
      <c r="AG124" s="21">
        <v>42.276600000000002</v>
      </c>
    </row>
    <row r="125" spans="2:33" x14ac:dyDescent="0.2">
      <c r="B125" s="2" t="str">
        <f>_xlfn.XLOOKUP(Moult1[[#This Row],[Metodo]],TbSolver[Metodo],TbSolver[Solver])</f>
        <v>Adams Bashford Moulton</v>
      </c>
      <c r="C125" s="2" t="str">
        <f>_xlfn.XLOOKUP(Moult1[[#This Row],[Hebras]],TbTecnologia[Hebras],TbTecnologia[Tecnología])</f>
        <v>OMP</v>
      </c>
      <c r="D125" s="2" t="str" cm="1">
        <f t="array" ref="D125">_xlfn.XLOOKUP(Moult1[[#This Row],[Tecnología]]&amp;Moult1[[#This Row],[Metodo]],TbTipos[Tecnología]&amp;TbTipos[Metodo],TbTipos[Tipo])</f>
        <v>OMP Elementos</v>
      </c>
      <c r="E125" s="2" t="str" cm="1">
        <f t="array" ref="E125">_xlfn.XLOOKUP(Moult1[[#This Row],[Tecnología]]&amp;Moult1[[#This Row],[Problema]],TbNombres[Tecnología]&amp;TbNombres[Problema],TbNombres[Nombre])</f>
        <v>Simple Advdiff</v>
      </c>
      <c r="F125" s="21">
        <v>6</v>
      </c>
      <c r="G125" s="21">
        <v>1</v>
      </c>
      <c r="H125" s="21">
        <v>1</v>
      </c>
      <c r="I125" s="21">
        <v>50000</v>
      </c>
      <c r="J125" s="21">
        <v>50000</v>
      </c>
      <c r="K125" s="21">
        <v>1367.14</v>
      </c>
      <c r="M125" s="2" t="str">
        <f>_xlfn.XLOOKUP(Moult2[[#This Row],[Metodo]],TbSolver[Metodo],TbSolver[Solver])</f>
        <v>Adams Bashford Moulton</v>
      </c>
      <c r="N125" s="2" t="str">
        <f>_xlfn.XLOOKUP(Moult2[[#This Row],[Hebras]],TbTecnologia[Hebras],TbTecnologia[Tecnología])</f>
        <v>OMP</v>
      </c>
      <c r="O125" s="2" t="str" cm="1">
        <f t="array" ref="O125">_xlfn.XLOOKUP(Moult2[[#This Row],[Tecnología]]&amp;Moult2[[#This Row],[Metodo]],TbTipos[Tecnología]&amp;TbTipos[Metodo],TbTipos[Tipo])</f>
        <v>OMP Elementos</v>
      </c>
      <c r="P125" s="2" t="str" cm="1">
        <f t="array" ref="P125">_xlfn.XLOOKUP(Moult2[[#This Row],[Tecnología]]&amp;Moult2[[#This Row],[Problema]],TbNombres[Tecnología]&amp;TbNombres[Problema],TbNombres[Nombre])</f>
        <v>Advdiff1d</v>
      </c>
      <c r="Q125" s="21">
        <v>6</v>
      </c>
      <c r="R125" s="21">
        <v>2</v>
      </c>
      <c r="S125" s="21">
        <v>1</v>
      </c>
      <c r="T125" s="21">
        <v>50000</v>
      </c>
      <c r="U125" s="21">
        <v>50000</v>
      </c>
      <c r="V125" s="21">
        <v>4652.57</v>
      </c>
      <c r="X125" s="2" t="str">
        <f>_xlfn.XLOOKUP(Moult3[[#This Row],[Metodo]],TbSolver[Metodo],TbSolver[Solver])</f>
        <v>Adams Bashford Moulton</v>
      </c>
      <c r="Y125" s="2" t="str">
        <f>_xlfn.XLOOKUP(Moult3[[#This Row],[Hebras]],TbTecnologia[Hebras],TbTecnologia[Tecnología])</f>
        <v>OMP</v>
      </c>
      <c r="Z125" s="2" t="str" cm="1">
        <f t="array" ref="Z125">_xlfn.XLOOKUP(Moult3[[#This Row],[Tecnología]]&amp;Moult3[[#This Row],[Metodo]],TbTipos[Tecnología]&amp;TbTipos[Metodo],TbTipos[Tipo])</f>
        <v>OMP Operaciones</v>
      </c>
      <c r="AA125" s="2" t="str" cm="1">
        <f t="array" ref="AA125">_xlfn.XLOOKUP(Moult3[[#This Row],[Tecnología]]&amp;Moult3[[#This Row],[Problema]],TbNombres[Tecnología]&amp;TbNombres[Problema],TbNombres[Nombre])</f>
        <v>Brusselator1d</v>
      </c>
      <c r="AB125" s="21">
        <v>5</v>
      </c>
      <c r="AC125" s="21">
        <v>3</v>
      </c>
      <c r="AD125" s="21">
        <v>16</v>
      </c>
      <c r="AE125" s="21">
        <v>40000</v>
      </c>
      <c r="AF125" s="21">
        <v>80000</v>
      </c>
      <c r="AG125" s="21">
        <v>191.15799999999999</v>
      </c>
    </row>
    <row r="126" spans="2:33" x14ac:dyDescent="0.2">
      <c r="B126" s="2" t="str">
        <f>_xlfn.XLOOKUP(Moult1[[#This Row],[Metodo]],TbSolver[Metodo],TbSolver[Solver])</f>
        <v>Adams Bashford Moulton</v>
      </c>
      <c r="C126" s="2" t="str">
        <f>_xlfn.XLOOKUP(Moult1[[#This Row],[Hebras]],TbTecnologia[Hebras],TbTecnologia[Tecnología])</f>
        <v>CUDA</v>
      </c>
      <c r="D126" s="2" t="str" cm="1">
        <f t="array" ref="D126">_xlfn.XLOOKUP(Moult1[[#This Row],[Tecnología]]&amp;Moult1[[#This Row],[Metodo]],TbTipos[Tecnología]&amp;TbTipos[Metodo],TbTipos[Tipo])</f>
        <v>CUDA sin graph</v>
      </c>
      <c r="E126" s="2" t="str" cm="1">
        <f t="array" ref="E126">_xlfn.XLOOKUP(Moult1[[#This Row],[Tecnología]]&amp;Moult1[[#This Row],[Problema]],TbNombres[Tecnología]&amp;TbNombres[Problema],TbNombres[Nombre])</f>
        <v>Simple Advdiff</v>
      </c>
      <c r="F126" s="21">
        <v>5</v>
      </c>
      <c r="G126" s="21">
        <v>1</v>
      </c>
      <c r="H126" s="21">
        <v>256</v>
      </c>
      <c r="I126" s="21">
        <v>75000</v>
      </c>
      <c r="J126" s="21">
        <v>75000</v>
      </c>
      <c r="K126" s="21">
        <v>28.554600000000001</v>
      </c>
      <c r="M126" s="2" t="str">
        <f>_xlfn.XLOOKUP(Moult2[[#This Row],[Metodo]],TbSolver[Metodo],TbSolver[Solver])</f>
        <v>Adams Bashford Moulton</v>
      </c>
      <c r="N126" s="2" t="str">
        <f>_xlfn.XLOOKUP(Moult2[[#This Row],[Hebras]],TbTecnologia[Hebras],TbTecnologia[Tecnología])</f>
        <v>CUDA</v>
      </c>
      <c r="O126" s="2" t="str" cm="1">
        <f t="array" ref="O126">_xlfn.XLOOKUP(Moult2[[#This Row],[Tecnología]]&amp;Moult2[[#This Row],[Metodo]],TbTipos[Tecnología]&amp;TbTipos[Metodo],TbTipos[Tipo])</f>
        <v>CUDA sin graph</v>
      </c>
      <c r="P126" s="2" t="str" cm="1">
        <f t="array" ref="P126">_xlfn.XLOOKUP(Moult2[[#This Row],[Tecnología]]&amp;Moult2[[#This Row],[Problema]],TbNombres[Tecnología]&amp;TbNombres[Problema],TbNombres[Nombre])</f>
        <v>Advdiff1d</v>
      </c>
      <c r="Q126" s="21">
        <v>5</v>
      </c>
      <c r="R126" s="21">
        <v>3</v>
      </c>
      <c r="S126" s="21">
        <v>256</v>
      </c>
      <c r="T126" s="21">
        <v>75000</v>
      </c>
      <c r="U126" s="21">
        <v>75000</v>
      </c>
      <c r="V126" s="21">
        <v>91.398099999999999</v>
      </c>
      <c r="X126" s="2" t="str">
        <f>_xlfn.XLOOKUP(Moult3[[#This Row],[Metodo]],TbSolver[Metodo],TbSolver[Solver])</f>
        <v>Adams Bashford Moulton</v>
      </c>
      <c r="Y126" s="2" t="str">
        <f>_xlfn.XLOOKUP(Moult3[[#This Row],[Hebras]],TbTecnologia[Hebras],TbTecnologia[Tecnología])</f>
        <v>OMP</v>
      </c>
      <c r="Z126" s="2" t="str" cm="1">
        <f t="array" ref="Z126">_xlfn.XLOOKUP(Moult3[[#This Row],[Tecnología]]&amp;Moult3[[#This Row],[Metodo]],TbTipos[Tecnología]&amp;TbTipos[Metodo],TbTipos[Tipo])</f>
        <v>OMP Elementos</v>
      </c>
      <c r="AA126" s="2" t="str" cm="1">
        <f t="array" ref="AA126">_xlfn.XLOOKUP(Moult3[[#This Row],[Tecnología]]&amp;Moult3[[#This Row],[Problema]],TbNombres[Tecnología]&amp;TbNombres[Problema],TbNombres[Nombre])</f>
        <v>Brusselator1d</v>
      </c>
      <c r="AB126" s="21">
        <v>6</v>
      </c>
      <c r="AC126" s="21">
        <v>3</v>
      </c>
      <c r="AD126" s="21">
        <v>16</v>
      </c>
      <c r="AE126" s="21">
        <v>40000</v>
      </c>
      <c r="AF126" s="21">
        <v>80000</v>
      </c>
      <c r="AG126" s="21">
        <v>256.63499999999999</v>
      </c>
    </row>
    <row r="127" spans="2:33" x14ac:dyDescent="0.2">
      <c r="B127" s="2" t="str">
        <f>_xlfn.XLOOKUP(Moult1[[#This Row],[Metodo]],TbSolver[Metodo],TbSolver[Solver])</f>
        <v>Adams Bashford Moulton</v>
      </c>
      <c r="C127" s="2" t="str">
        <f>_xlfn.XLOOKUP(Moult1[[#This Row],[Hebras]],TbTecnologia[Hebras],TbTecnologia[Tecnología])</f>
        <v>CUDA</v>
      </c>
      <c r="D127" s="2" t="str" cm="1">
        <f t="array" ref="D127">_xlfn.XLOOKUP(Moult1[[#This Row],[Tecnología]]&amp;Moult1[[#This Row],[Metodo]],TbTipos[Tecnología]&amp;TbTipos[Metodo],TbTipos[Tipo])</f>
        <v>CUDA con graph</v>
      </c>
      <c r="E127" s="2" t="str" cm="1">
        <f t="array" ref="E127">_xlfn.XLOOKUP(Moult1[[#This Row],[Tecnología]]&amp;Moult1[[#This Row],[Problema]],TbNombres[Tecnología]&amp;TbNombres[Problema],TbNombres[Nombre])</f>
        <v>Simple Advdiff</v>
      </c>
      <c r="F127" s="21">
        <v>6</v>
      </c>
      <c r="G127" s="21">
        <v>1</v>
      </c>
      <c r="H127" s="21">
        <v>256</v>
      </c>
      <c r="I127" s="21">
        <v>75000</v>
      </c>
      <c r="J127" s="21">
        <v>75000</v>
      </c>
      <c r="K127" s="21">
        <v>30.4209</v>
      </c>
      <c r="M127" s="2" t="str">
        <f>_xlfn.XLOOKUP(Moult2[[#This Row],[Metodo]],TbSolver[Metodo],TbSolver[Solver])</f>
        <v>Adams Bashford Moulton</v>
      </c>
      <c r="N127" s="2" t="str">
        <f>_xlfn.XLOOKUP(Moult2[[#This Row],[Hebras]],TbTecnologia[Hebras],TbTecnologia[Tecnología])</f>
        <v>CUDA</v>
      </c>
      <c r="O127" s="2" t="str" cm="1">
        <f t="array" ref="O127">_xlfn.XLOOKUP(Moult2[[#This Row],[Tecnología]]&amp;Moult2[[#This Row],[Metodo]],TbTipos[Tecnología]&amp;TbTipos[Metodo],TbTipos[Tipo])</f>
        <v>CUDA con graph</v>
      </c>
      <c r="P127" s="2" t="str" cm="1">
        <f t="array" ref="P127">_xlfn.XLOOKUP(Moult2[[#This Row],[Tecnología]]&amp;Moult2[[#This Row],[Problema]],TbNombres[Tecnología]&amp;TbNombres[Problema],TbNombres[Nombre])</f>
        <v>Advdiff1d</v>
      </c>
      <c r="Q127" s="21">
        <v>6</v>
      </c>
      <c r="R127" s="21">
        <v>3</v>
      </c>
      <c r="S127" s="21">
        <v>256</v>
      </c>
      <c r="T127" s="21">
        <v>75000</v>
      </c>
      <c r="U127" s="21">
        <v>75000</v>
      </c>
      <c r="V127" s="21">
        <v>95.493700000000004</v>
      </c>
      <c r="X127" s="2" t="str">
        <f>_xlfn.XLOOKUP(Moult3[[#This Row],[Metodo]],TbSolver[Metodo],TbSolver[Solver])</f>
        <v>Adams Bashford Moulton</v>
      </c>
      <c r="Y127" s="2" t="str">
        <f>_xlfn.XLOOKUP(Moult3[[#This Row],[Hebras]],TbTecnologia[Hebras],TbTecnologia[Tecnología])</f>
        <v>OMP</v>
      </c>
      <c r="Z127" s="2" t="str" cm="1">
        <f t="array" ref="Z127">_xlfn.XLOOKUP(Moult3[[#This Row],[Tecnología]]&amp;Moult3[[#This Row],[Metodo]],TbTipos[Tecnología]&amp;TbTipos[Metodo],TbTipos[Tipo])</f>
        <v>OMP Operaciones</v>
      </c>
      <c r="AA127" s="2" t="str" cm="1">
        <f t="array" ref="AA127">_xlfn.XLOOKUP(Moult3[[#This Row],[Tecnología]]&amp;Moult3[[#This Row],[Problema]],TbNombres[Tecnología]&amp;TbNombres[Problema],TbNombres[Nombre])</f>
        <v>Brusselator1d</v>
      </c>
      <c r="AB127" s="21">
        <v>5</v>
      </c>
      <c r="AC127" s="21">
        <v>3</v>
      </c>
      <c r="AD127" s="21">
        <v>4</v>
      </c>
      <c r="AE127" s="21">
        <v>40000</v>
      </c>
      <c r="AF127" s="21">
        <v>80000</v>
      </c>
      <c r="AG127" s="21">
        <v>342.346</v>
      </c>
    </row>
    <row r="128" spans="2:33" x14ac:dyDescent="0.2">
      <c r="B128" s="2" t="str">
        <f>_xlfn.XLOOKUP(Moult1[[#This Row],[Metodo]],TbSolver[Metodo],TbSolver[Solver])</f>
        <v>Adams Bashford Moulton</v>
      </c>
      <c r="C128" s="2" t="str">
        <f>_xlfn.XLOOKUP(Moult1[[#This Row],[Hebras]],TbTecnologia[Hebras],TbTecnologia[Tecnología])</f>
        <v>CUDA</v>
      </c>
      <c r="D128" s="2" t="str" cm="1">
        <f t="array" ref="D128">_xlfn.XLOOKUP(Moult1[[#This Row],[Tecnología]]&amp;Moult1[[#This Row],[Metodo]],TbTipos[Tecnología]&amp;TbTipos[Metodo],TbTipos[Tipo])</f>
        <v>CUDA sin graph</v>
      </c>
      <c r="E128" s="2" t="str" cm="1">
        <f t="array" ref="E128">_xlfn.XLOOKUP(Moult1[[#This Row],[Tecnología]]&amp;Moult1[[#This Row],[Problema]],TbNombres[Tecnología]&amp;TbNombres[Problema],TbNombres[Nombre])</f>
        <v>Simple Advdiff</v>
      </c>
      <c r="F128" s="2">
        <v>5</v>
      </c>
      <c r="G128" s="2">
        <v>1</v>
      </c>
      <c r="H128" s="2">
        <v>256</v>
      </c>
      <c r="I128" s="2">
        <v>100000</v>
      </c>
      <c r="J128" s="2">
        <v>100000</v>
      </c>
      <c r="K128" s="2">
        <v>40.3996</v>
      </c>
      <c r="M128" s="2" t="str">
        <f>_xlfn.XLOOKUP(Moult2[[#This Row],[Metodo]],TbSolver[Metodo],TbSolver[Solver])</f>
        <v>Adams Bashford Moulton</v>
      </c>
      <c r="N128" s="2" t="str">
        <f>_xlfn.XLOOKUP(Moult2[[#This Row],[Hebras]],TbTecnologia[Hebras],TbTecnologia[Tecnología])</f>
        <v>CUDA</v>
      </c>
      <c r="O128" s="2" t="str" cm="1">
        <f t="array" ref="O128">_xlfn.XLOOKUP(Moult2[[#This Row],[Tecnología]]&amp;Moult2[[#This Row],[Metodo]],TbTipos[Tecnología]&amp;TbTipos[Metodo],TbTipos[Tipo])</f>
        <v>CUDA sin graph</v>
      </c>
      <c r="P128" s="2" t="str" cm="1">
        <f t="array" ref="P128">_xlfn.XLOOKUP(Moult2[[#This Row],[Tecnología]]&amp;Moult2[[#This Row],[Problema]],TbNombres[Tecnología]&amp;TbNombres[Problema],TbNombres[Nombre])</f>
        <v>Advdiff1d</v>
      </c>
      <c r="Q128" s="2">
        <v>5</v>
      </c>
      <c r="R128" s="2">
        <v>3</v>
      </c>
      <c r="S128" s="2">
        <v>256</v>
      </c>
      <c r="T128" s="2">
        <v>100000</v>
      </c>
      <c r="U128" s="2">
        <v>100000</v>
      </c>
      <c r="V128" s="2">
        <v>116.55800000000001</v>
      </c>
      <c r="X128" s="2" t="str">
        <f>_xlfn.XLOOKUP(Moult3[[#This Row],[Metodo]],TbSolver[Metodo],TbSolver[Solver])</f>
        <v>Adams Bashford Moulton</v>
      </c>
      <c r="Y128" s="2" t="str">
        <f>_xlfn.XLOOKUP(Moult3[[#This Row],[Hebras]],TbTecnologia[Hebras],TbTecnologia[Tecnología])</f>
        <v>OMP</v>
      </c>
      <c r="Z128" s="2" t="str" cm="1">
        <f t="array" ref="Z128">_xlfn.XLOOKUP(Moult3[[#This Row],[Tecnología]]&amp;Moult3[[#This Row],[Metodo]],TbTipos[Tecnología]&amp;TbTipos[Metodo],TbTipos[Tipo])</f>
        <v>OMP Elementos</v>
      </c>
      <c r="AA128" s="2" t="str" cm="1">
        <f t="array" ref="AA128">_xlfn.XLOOKUP(Moult3[[#This Row],[Tecnología]]&amp;Moult3[[#This Row],[Problema]],TbNombres[Tecnología]&amp;TbNombres[Problema],TbNombres[Nombre])</f>
        <v>Brusselator1d</v>
      </c>
      <c r="AB128" s="21">
        <v>6</v>
      </c>
      <c r="AC128" s="21">
        <v>3</v>
      </c>
      <c r="AD128" s="21">
        <v>4</v>
      </c>
      <c r="AE128" s="21">
        <v>40000</v>
      </c>
      <c r="AF128" s="21">
        <v>80000</v>
      </c>
      <c r="AG128" s="21">
        <v>620.35900000000004</v>
      </c>
    </row>
    <row r="129" spans="2:33" x14ac:dyDescent="0.2">
      <c r="B129" s="2" t="str">
        <f>_xlfn.XLOOKUP(Moult1[[#This Row],[Metodo]],TbSolver[Metodo],TbSolver[Solver])</f>
        <v>Adams Bashford Moulton</v>
      </c>
      <c r="C129" s="2" t="str">
        <f>_xlfn.XLOOKUP(Moult1[[#This Row],[Hebras]],TbTecnologia[Hebras],TbTecnologia[Tecnología])</f>
        <v>CUDA</v>
      </c>
      <c r="D129" s="2" t="str" cm="1">
        <f t="array" ref="D129">_xlfn.XLOOKUP(Moult1[[#This Row],[Tecnología]]&amp;Moult1[[#This Row],[Metodo]],TbTipos[Tecnología]&amp;TbTipos[Metodo],TbTipos[Tipo])</f>
        <v>CUDA sin graph</v>
      </c>
      <c r="E129" s="2" t="str" cm="1">
        <f t="array" ref="E129">_xlfn.XLOOKUP(Moult1[[#This Row],[Tecnología]]&amp;Moult1[[#This Row],[Problema]],TbNombres[Tecnología]&amp;TbNombres[Problema],TbNombres[Nombre])</f>
        <v>Simple Advdiff</v>
      </c>
      <c r="F129" s="21">
        <v>5</v>
      </c>
      <c r="G129" s="21">
        <v>1</v>
      </c>
      <c r="H129" s="21">
        <v>256</v>
      </c>
      <c r="I129" s="21">
        <v>125000</v>
      </c>
      <c r="J129" s="21">
        <v>125000</v>
      </c>
      <c r="K129" s="21">
        <v>60.575099999999999</v>
      </c>
      <c r="M129" s="2" t="str">
        <f>_xlfn.XLOOKUP(Moult2[[#This Row],[Metodo]],TbSolver[Metodo],TbSolver[Solver])</f>
        <v>Adams Bashford Moulton</v>
      </c>
      <c r="N129" s="2" t="str">
        <f>_xlfn.XLOOKUP(Moult2[[#This Row],[Hebras]],TbTecnologia[Hebras],TbTecnologia[Tecnología])</f>
        <v>CUDA</v>
      </c>
      <c r="O129" s="2" t="str" cm="1">
        <f t="array" ref="O129">_xlfn.XLOOKUP(Moult2[[#This Row],[Tecnología]]&amp;Moult2[[#This Row],[Metodo]],TbTipos[Tecnología]&amp;TbTipos[Metodo],TbTipos[Tipo])</f>
        <v>CUDA sin graph</v>
      </c>
      <c r="P129" s="2" t="str" cm="1">
        <f t="array" ref="P129">_xlfn.XLOOKUP(Moult2[[#This Row],[Tecnología]]&amp;Moult2[[#This Row],[Problema]],TbNombres[Tecnología]&amp;TbNombres[Problema],TbNombres[Nombre])</f>
        <v>Advdiff1d</v>
      </c>
      <c r="Q129" s="21">
        <v>5</v>
      </c>
      <c r="R129" s="21">
        <v>3</v>
      </c>
      <c r="S129" s="21">
        <v>256</v>
      </c>
      <c r="T129" s="21">
        <v>125000</v>
      </c>
      <c r="U129" s="21">
        <v>125000</v>
      </c>
      <c r="V129" s="21">
        <v>160.917</v>
      </c>
      <c r="X129" s="2" t="str">
        <f>_xlfn.XLOOKUP(Moult3[[#This Row],[Metodo]],TbSolver[Metodo],TbSolver[Solver])</f>
        <v>Adams Bashford Moulton</v>
      </c>
      <c r="Y129" s="2" t="str">
        <f>_xlfn.XLOOKUP(Moult3[[#This Row],[Hebras]],TbTecnologia[Hebras],TbTecnologia[Tecnología])</f>
        <v>OMP</v>
      </c>
      <c r="Z129" s="2" t="str" cm="1">
        <f t="array" ref="Z129">_xlfn.XLOOKUP(Moult3[[#This Row],[Tecnología]]&amp;Moult3[[#This Row],[Metodo]],TbTipos[Tecnología]&amp;TbTipos[Metodo],TbTipos[Tipo])</f>
        <v>OMP Operaciones</v>
      </c>
      <c r="AA129" s="2" t="str" cm="1">
        <f t="array" ref="AA129">_xlfn.XLOOKUP(Moult3[[#This Row],[Tecnología]]&amp;Moult3[[#This Row],[Problema]],TbNombres[Tecnología]&amp;TbNombres[Problema],TbNombres[Nombre])</f>
        <v>Brusselator1d</v>
      </c>
      <c r="AB129" s="21">
        <v>5</v>
      </c>
      <c r="AC129" s="21">
        <v>3</v>
      </c>
      <c r="AD129" s="21">
        <v>1</v>
      </c>
      <c r="AE129" s="21">
        <v>40000</v>
      </c>
      <c r="AF129" s="21">
        <v>80000</v>
      </c>
      <c r="AG129" s="21">
        <v>1409.99</v>
      </c>
    </row>
    <row r="130" spans="2:33" x14ac:dyDescent="0.2">
      <c r="B130" s="2" t="str">
        <f>_xlfn.XLOOKUP(Moult1[[#This Row],[Metodo]],TbSolver[Metodo],TbSolver[Solver])</f>
        <v>Adams Bashford Moulton</v>
      </c>
      <c r="C130" s="2" t="str">
        <f>_xlfn.XLOOKUP(Moult1[[#This Row],[Hebras]],TbTecnologia[Hebras],TbTecnologia[Tecnología])</f>
        <v>CUDA</v>
      </c>
      <c r="D130" s="2" t="str" cm="1">
        <f t="array" ref="D130">_xlfn.XLOOKUP(Moult1[[#This Row],[Tecnología]]&amp;Moult1[[#This Row],[Metodo]],TbTipos[Tecnología]&amp;TbTipos[Metodo],TbTipos[Tipo])</f>
        <v>CUDA con graph</v>
      </c>
      <c r="E130" s="2" t="str" cm="1">
        <f t="array" ref="E130">_xlfn.XLOOKUP(Moult1[[#This Row],[Tecnología]]&amp;Moult1[[#This Row],[Problema]],TbNombres[Tecnología]&amp;TbNombres[Problema],TbNombres[Nombre])</f>
        <v>Simple Advdiff</v>
      </c>
      <c r="F130" s="21">
        <v>6</v>
      </c>
      <c r="G130" s="21">
        <v>1</v>
      </c>
      <c r="H130" s="21">
        <v>256</v>
      </c>
      <c r="I130" s="21">
        <v>125000</v>
      </c>
      <c r="J130" s="21">
        <v>125000</v>
      </c>
      <c r="K130" s="21">
        <v>71.941299999999998</v>
      </c>
      <c r="M130" s="2" t="str">
        <f>_xlfn.XLOOKUP(Moult2[[#This Row],[Metodo]],TbSolver[Metodo],TbSolver[Solver])</f>
        <v>Adams Bashford Moulton</v>
      </c>
      <c r="N130" s="2" t="str">
        <f>_xlfn.XLOOKUP(Moult2[[#This Row],[Hebras]],TbTecnologia[Hebras],TbTecnologia[Tecnología])</f>
        <v>CUDA</v>
      </c>
      <c r="O130" s="2" t="str" cm="1">
        <f t="array" ref="O130">_xlfn.XLOOKUP(Moult2[[#This Row],[Tecnología]]&amp;Moult2[[#This Row],[Metodo]],TbTipos[Tecnología]&amp;TbTipos[Metodo],TbTipos[Tipo])</f>
        <v>CUDA con graph</v>
      </c>
      <c r="P130" s="2" t="str" cm="1">
        <f t="array" ref="P130">_xlfn.XLOOKUP(Moult2[[#This Row],[Tecnología]]&amp;Moult2[[#This Row],[Problema]],TbNombres[Tecnología]&amp;TbNombres[Problema],TbNombres[Nombre])</f>
        <v>Advdiff1d</v>
      </c>
      <c r="Q130" s="21">
        <v>6</v>
      </c>
      <c r="R130" s="21">
        <v>3</v>
      </c>
      <c r="S130" s="21">
        <v>256</v>
      </c>
      <c r="T130" s="21">
        <v>125000</v>
      </c>
      <c r="U130" s="21">
        <v>125000</v>
      </c>
      <c r="V130" s="21">
        <v>174.541</v>
      </c>
      <c r="X130" s="2" t="str">
        <f>_xlfn.XLOOKUP(Moult3[[#This Row],[Metodo]],TbSolver[Metodo],TbSolver[Solver])</f>
        <v>Adams Bashford Moulton</v>
      </c>
      <c r="Y130" s="2" t="str">
        <f>_xlfn.XLOOKUP(Moult3[[#This Row],[Hebras]],TbTecnologia[Hebras],TbTecnologia[Tecnología])</f>
        <v>OMP</v>
      </c>
      <c r="Z130" s="2" t="str" cm="1">
        <f t="array" ref="Z130">_xlfn.XLOOKUP(Moult3[[#This Row],[Tecnología]]&amp;Moult3[[#This Row],[Metodo]],TbTipos[Tecnología]&amp;TbTipos[Metodo],TbTipos[Tipo])</f>
        <v>OMP Elementos</v>
      </c>
      <c r="AA130" s="2" t="str" cm="1">
        <f t="array" ref="AA130">_xlfn.XLOOKUP(Moult3[[#This Row],[Tecnología]]&amp;Moult3[[#This Row],[Problema]],TbNombres[Tecnología]&amp;TbNombres[Problema],TbNombres[Nombre])</f>
        <v>Brusselator1d</v>
      </c>
      <c r="AB130" s="21">
        <v>6</v>
      </c>
      <c r="AC130" s="21">
        <v>3</v>
      </c>
      <c r="AD130" s="21">
        <v>1</v>
      </c>
      <c r="AE130" s="21">
        <v>40000</v>
      </c>
      <c r="AF130" s="21">
        <v>80000</v>
      </c>
      <c r="AG130" s="21">
        <v>2342.64</v>
      </c>
    </row>
    <row r="131" spans="2:33" x14ac:dyDescent="0.2">
      <c r="B131" s="2" t="str">
        <f>_xlfn.XLOOKUP(Moult1[[#This Row],[Metodo]],TbSolver[Metodo],TbSolver[Solver])</f>
        <v>Adams Bashford Moulton</v>
      </c>
      <c r="C131" s="2" t="str">
        <f>_xlfn.XLOOKUP(Moult1[[#This Row],[Hebras]],TbTecnologia[Hebras],TbTecnologia[Tecnología])</f>
        <v>CUDA</v>
      </c>
      <c r="D131" s="2" t="str" cm="1">
        <f t="array" ref="D131">_xlfn.XLOOKUP(Moult1[[#This Row],[Tecnología]]&amp;Moult1[[#This Row],[Metodo]],TbTipos[Tecnología]&amp;TbTipos[Metodo],TbTipos[Tipo])</f>
        <v>CUDA sin graph</v>
      </c>
      <c r="E131" s="2" t="str" cm="1">
        <f t="array" ref="E131">_xlfn.XLOOKUP(Moult1[[#This Row],[Tecnología]]&amp;Moult1[[#This Row],[Problema]],TbNombres[Tecnología]&amp;TbNombres[Problema],TbNombres[Nombre])</f>
        <v>Simple Advdiff</v>
      </c>
      <c r="F131" s="21">
        <v>5</v>
      </c>
      <c r="G131" s="21">
        <v>1</v>
      </c>
      <c r="H131" s="21">
        <v>256</v>
      </c>
      <c r="I131" s="21">
        <v>175000</v>
      </c>
      <c r="J131" s="21">
        <v>175000</v>
      </c>
      <c r="K131" s="21">
        <v>84.310500000000005</v>
      </c>
      <c r="M131" s="2" t="str">
        <f>_xlfn.XLOOKUP(Moult2[[#This Row],[Metodo]],TbSolver[Metodo],TbSolver[Solver])</f>
        <v>Adams Bashford Moulton</v>
      </c>
      <c r="N131" s="2" t="str">
        <f>_xlfn.XLOOKUP(Moult2[[#This Row],[Hebras]],TbTecnologia[Hebras],TbTecnologia[Tecnología])</f>
        <v>CUDA</v>
      </c>
      <c r="O131" s="2" t="str" cm="1">
        <f t="array" ref="O131">_xlfn.XLOOKUP(Moult2[[#This Row],[Tecnología]]&amp;Moult2[[#This Row],[Metodo]],TbTipos[Tecnología]&amp;TbTipos[Metodo],TbTipos[Tipo])</f>
        <v>CUDA sin graph</v>
      </c>
      <c r="P131" s="2" t="str" cm="1">
        <f t="array" ref="P131">_xlfn.XLOOKUP(Moult2[[#This Row],[Tecnología]]&amp;Moult2[[#This Row],[Problema]],TbNombres[Tecnología]&amp;TbNombres[Problema],TbNombres[Nombre])</f>
        <v>Advdiff1d</v>
      </c>
      <c r="Q131" s="21">
        <v>5</v>
      </c>
      <c r="R131" s="21">
        <v>3</v>
      </c>
      <c r="S131" s="21">
        <v>256</v>
      </c>
      <c r="T131" s="21">
        <v>175000</v>
      </c>
      <c r="U131" s="21">
        <v>175000</v>
      </c>
      <c r="V131" s="21">
        <v>220.03800000000001</v>
      </c>
      <c r="X131" s="2" t="str">
        <f>_xlfn.XLOOKUP(Moult3[[#This Row],[Metodo]],TbSolver[Metodo],TbSolver[Solver])</f>
        <v>Adams Bashford Moulton</v>
      </c>
      <c r="Y131" s="2" t="str">
        <f>_xlfn.XLOOKUP(Moult3[[#This Row],[Hebras]],TbTecnologia[Hebras],TbTecnologia[Tecnología])</f>
        <v>CUDA</v>
      </c>
      <c r="Z131" s="2" t="str" cm="1">
        <f t="array" ref="Z131">_xlfn.XLOOKUP(Moult3[[#This Row],[Tecnología]]&amp;Moult3[[#This Row],[Metodo]],TbTipos[Tecnología]&amp;TbTipos[Metodo],TbTipos[Tipo])</f>
        <v>CUDA sin graph</v>
      </c>
      <c r="AA131" s="2" t="str" cm="1">
        <f t="array" ref="AA131">_xlfn.XLOOKUP(Moult3[[#This Row],[Tecnología]]&amp;Moult3[[#This Row],[Problema]],TbNombres[Tecnología]&amp;TbNombres[Problema],TbNombres[Nombre])</f>
        <v>Brusselator1d</v>
      </c>
      <c r="AB131" s="2">
        <v>5</v>
      </c>
      <c r="AC131" s="2">
        <v>5</v>
      </c>
      <c r="AD131" s="2">
        <v>256</v>
      </c>
      <c r="AE131" s="2">
        <v>50000</v>
      </c>
      <c r="AF131" s="2">
        <v>100000</v>
      </c>
      <c r="AG131" s="2">
        <v>51.010599999999997</v>
      </c>
    </row>
    <row r="132" spans="2:33" x14ac:dyDescent="0.2">
      <c r="B132" s="2" t="str">
        <f>_xlfn.XLOOKUP(Moult1[[#This Row],[Metodo]],TbSolver[Metodo],TbSolver[Solver])</f>
        <v>Adams Bashford Moulton</v>
      </c>
      <c r="C132" s="2" t="str">
        <f>_xlfn.XLOOKUP(Moult1[[#This Row],[Hebras]],TbTecnologia[Hebras],TbTecnologia[Tecnología])</f>
        <v>CUDA</v>
      </c>
      <c r="D132" s="2" t="str" cm="1">
        <f t="array" ref="D132">_xlfn.XLOOKUP(Moult1[[#This Row],[Tecnología]]&amp;Moult1[[#This Row],[Metodo]],TbTipos[Tecnología]&amp;TbTipos[Metodo],TbTipos[Tipo])</f>
        <v>CUDA con graph</v>
      </c>
      <c r="E132" s="2" t="str" cm="1">
        <f t="array" ref="E132">_xlfn.XLOOKUP(Moult1[[#This Row],[Tecnología]]&amp;Moult1[[#This Row],[Problema]],TbNombres[Tecnología]&amp;TbNombres[Problema],TbNombres[Nombre])</f>
        <v>Simple Advdiff</v>
      </c>
      <c r="F132" s="21">
        <v>6</v>
      </c>
      <c r="G132" s="21">
        <v>1</v>
      </c>
      <c r="H132" s="21">
        <v>256</v>
      </c>
      <c r="I132" s="21">
        <v>175000</v>
      </c>
      <c r="J132" s="21">
        <v>175000</v>
      </c>
      <c r="K132" s="21">
        <v>106.67</v>
      </c>
      <c r="M132" s="2" t="str">
        <f>_xlfn.XLOOKUP(Moult2[[#This Row],[Metodo]],TbSolver[Metodo],TbSolver[Solver])</f>
        <v>Adams Bashford Moulton</v>
      </c>
      <c r="N132" s="2" t="str">
        <f>_xlfn.XLOOKUP(Moult2[[#This Row],[Hebras]],TbTecnologia[Hebras],TbTecnologia[Tecnología])</f>
        <v>CUDA</v>
      </c>
      <c r="O132" s="2" t="str" cm="1">
        <f t="array" ref="O132">_xlfn.XLOOKUP(Moult2[[#This Row],[Tecnología]]&amp;Moult2[[#This Row],[Metodo]],TbTipos[Tecnología]&amp;TbTipos[Metodo],TbTipos[Tipo])</f>
        <v>CUDA con graph</v>
      </c>
      <c r="P132" s="2" t="str" cm="1">
        <f t="array" ref="P132">_xlfn.XLOOKUP(Moult2[[#This Row],[Tecnología]]&amp;Moult2[[#This Row],[Problema]],TbNombres[Tecnología]&amp;TbNombres[Problema],TbNombres[Nombre])</f>
        <v>Advdiff1d</v>
      </c>
      <c r="Q132" s="21">
        <v>6</v>
      </c>
      <c r="R132" s="21">
        <v>3</v>
      </c>
      <c r="S132" s="21">
        <v>256</v>
      </c>
      <c r="T132" s="21">
        <v>175000</v>
      </c>
      <c r="U132" s="21">
        <v>175000</v>
      </c>
      <c r="V132" s="21">
        <v>246.24100000000001</v>
      </c>
      <c r="X132" s="2" t="str">
        <f>_xlfn.XLOOKUP(Moult3[[#This Row],[Metodo]],TbSolver[Metodo],TbSolver[Solver])</f>
        <v>Adams Bashford Moulton</v>
      </c>
      <c r="Y132" s="2" t="str">
        <f>_xlfn.XLOOKUP(Moult3[[#This Row],[Hebras]],TbTecnologia[Hebras],TbTecnologia[Tecnología])</f>
        <v>OMP</v>
      </c>
      <c r="Z132" s="2" t="str" cm="1">
        <f t="array" ref="Z132">_xlfn.XLOOKUP(Moult3[[#This Row],[Tecnología]]&amp;Moult3[[#This Row],[Metodo]],TbTipos[Tecnología]&amp;TbTipos[Metodo],TbTipos[Tipo])</f>
        <v>OMP Operaciones</v>
      </c>
      <c r="AA132" s="2" t="str" cm="1">
        <f t="array" ref="AA132">_xlfn.XLOOKUP(Moult3[[#This Row],[Tecnología]]&amp;Moult3[[#This Row],[Problema]],TbNombres[Tecnología]&amp;TbNombres[Problema],TbNombres[Nombre])</f>
        <v>Brusselator1d</v>
      </c>
      <c r="AB132" s="21">
        <v>5</v>
      </c>
      <c r="AC132" s="21">
        <v>3</v>
      </c>
      <c r="AD132" s="21">
        <v>16</v>
      </c>
      <c r="AE132" s="21">
        <v>50000</v>
      </c>
      <c r="AF132" s="21">
        <v>100000</v>
      </c>
      <c r="AG132" s="21">
        <v>219.91800000000001</v>
      </c>
    </row>
    <row r="133" spans="2:33" x14ac:dyDescent="0.2">
      <c r="B133" s="2" t="str">
        <f>_xlfn.XLOOKUP(Moult1[[#This Row],[Metodo]],TbSolver[Metodo],TbSolver[Solver])</f>
        <v>Adams Bashford Moulton</v>
      </c>
      <c r="C133" s="2" t="str">
        <f>_xlfn.XLOOKUP(Moult1[[#This Row],[Hebras]],TbTecnologia[Hebras],TbTecnologia[Tecnología])</f>
        <v>CUDA</v>
      </c>
      <c r="D133" s="2" t="str" cm="1">
        <f t="array" ref="D133">_xlfn.XLOOKUP(Moult1[[#This Row],[Tecnología]]&amp;Moult1[[#This Row],[Metodo]],TbTipos[Tecnología]&amp;TbTipos[Metodo],TbTipos[Tipo])</f>
        <v>CUDA sin graph</v>
      </c>
      <c r="E133" s="2" t="str" cm="1">
        <f t="array" ref="E133">_xlfn.XLOOKUP(Moult1[[#This Row],[Tecnología]]&amp;Moult1[[#This Row],[Problema]],TbNombres[Tecnología]&amp;TbNombres[Problema],TbNombres[Nombre])</f>
        <v>Simple Advdiff</v>
      </c>
      <c r="F133" s="2">
        <v>5</v>
      </c>
      <c r="G133" s="2">
        <v>1</v>
      </c>
      <c r="H133" s="2">
        <v>256</v>
      </c>
      <c r="I133" s="2">
        <v>200000</v>
      </c>
      <c r="J133" s="2">
        <v>200000</v>
      </c>
      <c r="K133" s="2">
        <v>94.000799999999998</v>
      </c>
      <c r="M133" s="2" t="str">
        <f>_xlfn.XLOOKUP(Moult2[[#This Row],[Metodo]],TbSolver[Metodo],TbSolver[Solver])</f>
        <v>Adams Bashford Moulton</v>
      </c>
      <c r="N133" s="2" t="str">
        <f>_xlfn.XLOOKUP(Moult2[[#This Row],[Hebras]],TbTecnologia[Hebras],TbTecnologia[Tecnología])</f>
        <v>CUDA</v>
      </c>
      <c r="O133" s="2" t="str" cm="1">
        <f t="array" ref="O133">_xlfn.XLOOKUP(Moult2[[#This Row],[Tecnología]]&amp;Moult2[[#This Row],[Metodo]],TbTipos[Tecnología]&amp;TbTipos[Metodo],TbTipos[Tipo])</f>
        <v>CUDA sin graph</v>
      </c>
      <c r="P133" s="2" t="str" cm="1">
        <f t="array" ref="P133">_xlfn.XLOOKUP(Moult2[[#This Row],[Tecnología]]&amp;Moult2[[#This Row],[Problema]],TbNombres[Tecnología]&amp;TbNombres[Problema],TbNombres[Nombre])</f>
        <v>Advdiff1d</v>
      </c>
      <c r="Q133" s="2">
        <v>5</v>
      </c>
      <c r="R133" s="2">
        <v>3</v>
      </c>
      <c r="S133" s="2">
        <v>256</v>
      </c>
      <c r="T133" s="2">
        <v>200000</v>
      </c>
      <c r="U133" s="2">
        <v>200000</v>
      </c>
      <c r="V133" s="2">
        <v>240.96799999999999</v>
      </c>
      <c r="X133" s="2" t="str">
        <f>_xlfn.XLOOKUP(Moult3[[#This Row],[Metodo]],TbSolver[Metodo],TbSolver[Solver])</f>
        <v>Adams Bashford Moulton</v>
      </c>
      <c r="Y133" s="2" t="str">
        <f>_xlfn.XLOOKUP(Moult3[[#This Row],[Hebras]],TbTecnologia[Hebras],TbTecnologia[Tecnología])</f>
        <v>OMP</v>
      </c>
      <c r="Z133" s="2" t="str" cm="1">
        <f t="array" ref="Z133">_xlfn.XLOOKUP(Moult3[[#This Row],[Tecnología]]&amp;Moult3[[#This Row],[Metodo]],TbTipos[Tecnología]&amp;TbTipos[Metodo],TbTipos[Tipo])</f>
        <v>OMP Elementos</v>
      </c>
      <c r="AA133" s="2" t="str" cm="1">
        <f t="array" ref="AA133">_xlfn.XLOOKUP(Moult3[[#This Row],[Tecnología]]&amp;Moult3[[#This Row],[Problema]],TbNombres[Tecnología]&amp;TbNombres[Problema],TbNombres[Nombre])</f>
        <v>Brusselator1d</v>
      </c>
      <c r="AB133" s="21">
        <v>6</v>
      </c>
      <c r="AC133" s="21">
        <v>3</v>
      </c>
      <c r="AD133" s="21">
        <v>16</v>
      </c>
      <c r="AE133" s="21">
        <v>50000</v>
      </c>
      <c r="AF133" s="21">
        <v>100000</v>
      </c>
      <c r="AG133" s="21">
        <v>237.23599999999999</v>
      </c>
    </row>
    <row r="134" spans="2:33" x14ac:dyDescent="0.2">
      <c r="B134" s="2" t="str">
        <f>_xlfn.XLOOKUP(Moult1[[#This Row],[Metodo]],TbSolver[Metodo],TbSolver[Solver])</f>
        <v>Adams Bashford Moulton</v>
      </c>
      <c r="C134" s="2" t="str">
        <f>_xlfn.XLOOKUP(Moult1[[#This Row],[Hebras]],TbTecnologia[Hebras],TbTecnologia[Tecnología])</f>
        <v>CUDA</v>
      </c>
      <c r="D134" s="2" t="str" cm="1">
        <f t="array" ref="D134">_xlfn.XLOOKUP(Moult1[[#This Row],[Tecnología]]&amp;Moult1[[#This Row],[Metodo]],TbTipos[Tecnología]&amp;TbTipos[Metodo],TbTipos[Tipo])</f>
        <v>CUDA sin graph</v>
      </c>
      <c r="E134" s="2" t="str" cm="1">
        <f t="array" ref="E134">_xlfn.XLOOKUP(Moult1[[#This Row],[Tecnología]]&amp;Moult1[[#This Row],[Problema]],TbNombres[Tecnología]&amp;TbNombres[Problema],TbNombres[Nombre])</f>
        <v>Simple Advdiff</v>
      </c>
      <c r="F134" s="21">
        <v>5</v>
      </c>
      <c r="G134" s="21">
        <v>1</v>
      </c>
      <c r="H134" s="21">
        <v>256</v>
      </c>
      <c r="I134" s="21">
        <v>750000</v>
      </c>
      <c r="J134" s="21">
        <v>750000</v>
      </c>
      <c r="K134" s="21">
        <v>342.39699999999999</v>
      </c>
      <c r="M134" s="2" t="str">
        <f>_xlfn.XLOOKUP(Moult2[[#This Row],[Metodo]],TbSolver[Metodo],TbSolver[Solver])</f>
        <v>Adams Bashford Moulton</v>
      </c>
      <c r="N134" s="2" t="str">
        <f>_xlfn.XLOOKUP(Moult2[[#This Row],[Hebras]],TbTecnologia[Hebras],TbTecnologia[Tecnología])</f>
        <v>CUDA</v>
      </c>
      <c r="O134" s="2" t="str" cm="1">
        <f t="array" ref="O134">_xlfn.XLOOKUP(Moult2[[#This Row],[Tecnología]]&amp;Moult2[[#This Row],[Metodo]],TbTipos[Tecnología]&amp;TbTipos[Metodo],TbTipos[Tipo])</f>
        <v>CUDA sin graph</v>
      </c>
      <c r="P134" s="2" t="str" cm="1">
        <f t="array" ref="P134">_xlfn.XLOOKUP(Moult2[[#This Row],[Tecnología]]&amp;Moult2[[#This Row],[Problema]],TbNombres[Tecnología]&amp;TbNombres[Problema],TbNombres[Nombre])</f>
        <v>Advdiff1d</v>
      </c>
      <c r="Q134" s="21">
        <v>5</v>
      </c>
      <c r="R134" s="21">
        <v>3</v>
      </c>
      <c r="S134" s="21">
        <v>256</v>
      </c>
      <c r="T134" s="21">
        <v>750000</v>
      </c>
      <c r="U134" s="21">
        <v>750000</v>
      </c>
      <c r="V134" s="21">
        <v>890.24800000000005</v>
      </c>
      <c r="X134" s="2" t="str">
        <f>_xlfn.XLOOKUP(Moult3[[#This Row],[Metodo]],TbSolver[Metodo],TbSolver[Solver])</f>
        <v>Adams Bashford Moulton</v>
      </c>
      <c r="Y134" s="2" t="str">
        <f>_xlfn.XLOOKUP(Moult3[[#This Row],[Hebras]],TbTecnologia[Hebras],TbTecnologia[Tecnología])</f>
        <v>OMP</v>
      </c>
      <c r="Z134" s="2" t="str" cm="1">
        <f t="array" ref="Z134">_xlfn.XLOOKUP(Moult3[[#This Row],[Tecnología]]&amp;Moult3[[#This Row],[Metodo]],TbTipos[Tecnología]&amp;TbTipos[Metodo],TbTipos[Tipo])</f>
        <v>OMP Operaciones</v>
      </c>
      <c r="AA134" s="2" t="str" cm="1">
        <f t="array" ref="AA134">_xlfn.XLOOKUP(Moult3[[#This Row],[Tecnología]]&amp;Moult3[[#This Row],[Problema]],TbNombres[Tecnología]&amp;TbNombres[Problema],TbNombres[Nombre])</f>
        <v>Brusselator1d</v>
      </c>
      <c r="AB134" s="21">
        <v>5</v>
      </c>
      <c r="AC134" s="21">
        <v>3</v>
      </c>
      <c r="AD134" s="21">
        <v>4</v>
      </c>
      <c r="AE134" s="21">
        <v>50000</v>
      </c>
      <c r="AF134" s="21">
        <v>100000</v>
      </c>
      <c r="AG134" s="21">
        <v>438.01799999999997</v>
      </c>
    </row>
    <row r="135" spans="2:33" x14ac:dyDescent="0.2">
      <c r="B135" s="2" t="str">
        <f>_xlfn.XLOOKUP(Moult1[[#This Row],[Metodo]],TbSolver[Metodo],TbSolver[Solver])</f>
        <v>Adams Bashford Moulton</v>
      </c>
      <c r="C135" s="2" t="str">
        <f>_xlfn.XLOOKUP(Moult1[[#This Row],[Hebras]],TbTecnologia[Hebras],TbTecnologia[Tecnología])</f>
        <v>CUDA</v>
      </c>
      <c r="D135" s="2" t="str" cm="1">
        <f t="array" ref="D135">_xlfn.XLOOKUP(Moult1[[#This Row],[Tecnología]]&amp;Moult1[[#This Row],[Metodo]],TbTipos[Tecnología]&amp;TbTipos[Metodo],TbTipos[Tipo])</f>
        <v>CUDA con graph</v>
      </c>
      <c r="E135" s="2" t="str" cm="1">
        <f t="array" ref="E135">_xlfn.XLOOKUP(Moult1[[#This Row],[Tecnología]]&amp;Moult1[[#This Row],[Problema]],TbNombres[Tecnología]&amp;TbNombres[Problema],TbNombres[Nombre])</f>
        <v>Simple Advdiff</v>
      </c>
      <c r="F135" s="21">
        <v>6</v>
      </c>
      <c r="G135" s="21">
        <v>1</v>
      </c>
      <c r="H135" s="21">
        <v>256</v>
      </c>
      <c r="I135" s="21">
        <v>750000</v>
      </c>
      <c r="J135" s="21">
        <v>750000</v>
      </c>
      <c r="K135" s="21">
        <v>449.80099999999999</v>
      </c>
      <c r="M135" s="2" t="str">
        <f>_xlfn.XLOOKUP(Moult2[[#This Row],[Metodo]],TbSolver[Metodo],TbSolver[Solver])</f>
        <v>Adams Bashford Moulton</v>
      </c>
      <c r="N135" s="2" t="str">
        <f>_xlfn.XLOOKUP(Moult2[[#This Row],[Hebras]],TbTecnologia[Hebras],TbTecnologia[Tecnología])</f>
        <v>CUDA</v>
      </c>
      <c r="O135" s="2" t="str" cm="1">
        <f t="array" ref="O135">_xlfn.XLOOKUP(Moult2[[#This Row],[Tecnología]]&amp;Moult2[[#This Row],[Metodo]],TbTipos[Tecnología]&amp;TbTipos[Metodo],TbTipos[Tipo])</f>
        <v>CUDA con graph</v>
      </c>
      <c r="P135" s="2" t="str" cm="1">
        <f t="array" ref="P135">_xlfn.XLOOKUP(Moult2[[#This Row],[Tecnología]]&amp;Moult2[[#This Row],[Problema]],TbNombres[Tecnología]&amp;TbNombres[Problema],TbNombres[Nombre])</f>
        <v>Advdiff1d</v>
      </c>
      <c r="Q135" s="21">
        <v>6</v>
      </c>
      <c r="R135" s="21">
        <v>3</v>
      </c>
      <c r="S135" s="21">
        <v>256</v>
      </c>
      <c r="T135" s="21">
        <v>750000</v>
      </c>
      <c r="U135" s="21">
        <v>750000</v>
      </c>
      <c r="V135" s="21">
        <v>1009.62</v>
      </c>
      <c r="X135" s="2" t="str">
        <f>_xlfn.XLOOKUP(Moult3[[#This Row],[Metodo]],TbSolver[Metodo],TbSolver[Solver])</f>
        <v>Adams Bashford Moulton</v>
      </c>
      <c r="Y135" s="2" t="str">
        <f>_xlfn.XLOOKUP(Moult3[[#This Row],[Hebras]],TbTecnologia[Hebras],TbTecnologia[Tecnología])</f>
        <v>OMP</v>
      </c>
      <c r="Z135" s="2" t="str" cm="1">
        <f t="array" ref="Z135">_xlfn.XLOOKUP(Moult3[[#This Row],[Tecnología]]&amp;Moult3[[#This Row],[Metodo]],TbTipos[Tecnología]&amp;TbTipos[Metodo],TbTipos[Tipo])</f>
        <v>OMP Elementos</v>
      </c>
      <c r="AA135" s="2" t="str" cm="1">
        <f t="array" ref="AA135">_xlfn.XLOOKUP(Moult3[[#This Row],[Tecnología]]&amp;Moult3[[#This Row],[Problema]],TbNombres[Tecnología]&amp;TbNombres[Problema],TbNombres[Nombre])</f>
        <v>Brusselator1d</v>
      </c>
      <c r="AB135" s="21">
        <v>6</v>
      </c>
      <c r="AC135" s="21">
        <v>3</v>
      </c>
      <c r="AD135" s="21">
        <v>4</v>
      </c>
      <c r="AE135" s="21">
        <v>50000</v>
      </c>
      <c r="AF135" s="21">
        <v>100000</v>
      </c>
      <c r="AG135" s="21">
        <v>785.55499999999995</v>
      </c>
    </row>
    <row r="136" spans="2:33" x14ac:dyDescent="0.2">
      <c r="B136" s="2" t="str">
        <f>_xlfn.XLOOKUP(Moult1[[#This Row],[Metodo]],TbSolver[Metodo],TbSolver[Solver])</f>
        <v>Adams Bashford Moulton</v>
      </c>
      <c r="C136" s="2" t="str">
        <f>_xlfn.XLOOKUP(Moult1[[#This Row],[Hebras]],TbTecnologia[Hebras],TbTecnologia[Tecnología])</f>
        <v>CUDA</v>
      </c>
      <c r="D136" s="2" t="str" cm="1">
        <f t="array" ref="D136">_xlfn.XLOOKUP(Moult1[[#This Row],[Tecnología]]&amp;Moult1[[#This Row],[Metodo]],TbTipos[Tecnología]&amp;TbTipos[Metodo],TbTipos[Tipo])</f>
        <v>CUDA sin graph</v>
      </c>
      <c r="E136" s="2" t="str" cm="1">
        <f t="array" ref="E136">_xlfn.XLOOKUP(Moult1[[#This Row],[Tecnología]]&amp;Moult1[[#This Row],[Problema]],TbNombres[Tecnología]&amp;TbNombres[Problema],TbNombres[Nombre])</f>
        <v>Simple Advdiff</v>
      </c>
      <c r="F136" s="21">
        <v>5</v>
      </c>
      <c r="G136" s="21">
        <v>1</v>
      </c>
      <c r="H136" s="21">
        <v>256</v>
      </c>
      <c r="I136" s="21">
        <v>1000000</v>
      </c>
      <c r="J136" s="21">
        <v>1000000</v>
      </c>
      <c r="K136" s="21">
        <v>447.18900000000002</v>
      </c>
      <c r="M136" s="2" t="str">
        <f>_xlfn.XLOOKUP(Moult2[[#This Row],[Metodo]],TbSolver[Metodo],TbSolver[Solver])</f>
        <v>Adams Bashford Moulton</v>
      </c>
      <c r="N136" s="2" t="str">
        <f>_xlfn.XLOOKUP(Moult2[[#This Row],[Hebras]],TbTecnologia[Hebras],TbTecnologia[Tecnología])</f>
        <v>CUDA</v>
      </c>
      <c r="O136" s="2" t="str" cm="1">
        <f t="array" ref="O136">_xlfn.XLOOKUP(Moult2[[#This Row],[Tecnología]]&amp;Moult2[[#This Row],[Metodo]],TbTipos[Tecnología]&amp;TbTipos[Metodo],TbTipos[Tipo])</f>
        <v>CUDA sin graph</v>
      </c>
      <c r="P136" s="2" t="str" cm="1">
        <f t="array" ref="P136">_xlfn.XLOOKUP(Moult2[[#This Row],[Tecnología]]&amp;Moult2[[#This Row],[Problema]],TbNombres[Tecnología]&amp;TbNombres[Problema],TbNombres[Nombre])</f>
        <v>Advdiff1d</v>
      </c>
      <c r="Q136" s="21">
        <v>5</v>
      </c>
      <c r="R136" s="21">
        <v>3</v>
      </c>
      <c r="S136" s="21">
        <v>256</v>
      </c>
      <c r="T136" s="21">
        <v>1000000</v>
      </c>
      <c r="U136" s="21">
        <v>1000000</v>
      </c>
      <c r="V136" s="21">
        <v>1172.73</v>
      </c>
      <c r="X136" s="2" t="str">
        <f>_xlfn.XLOOKUP(Moult3[[#This Row],[Metodo]],TbSolver[Metodo],TbSolver[Solver])</f>
        <v>Adams Bashford Moulton</v>
      </c>
      <c r="Y136" s="2" t="str">
        <f>_xlfn.XLOOKUP(Moult3[[#This Row],[Hebras]],TbTecnologia[Hebras],TbTecnologia[Tecnología])</f>
        <v>OMP</v>
      </c>
      <c r="Z136" s="2" t="str" cm="1">
        <f t="array" ref="Z136">_xlfn.XLOOKUP(Moult3[[#This Row],[Tecnología]]&amp;Moult3[[#This Row],[Metodo]],TbTipos[Tecnología]&amp;TbTipos[Metodo],TbTipos[Tipo])</f>
        <v>OMP Operaciones</v>
      </c>
      <c r="AA136" s="2" t="str" cm="1">
        <f t="array" ref="AA136">_xlfn.XLOOKUP(Moult3[[#This Row],[Tecnología]]&amp;Moult3[[#This Row],[Problema]],TbNombres[Tecnología]&amp;TbNombres[Problema],TbNombres[Nombre])</f>
        <v>Brusselator1d</v>
      </c>
      <c r="AB136" s="21">
        <v>5</v>
      </c>
      <c r="AC136" s="21">
        <v>3</v>
      </c>
      <c r="AD136" s="21">
        <v>1</v>
      </c>
      <c r="AE136" s="21">
        <v>50000</v>
      </c>
      <c r="AF136" s="21">
        <v>100000</v>
      </c>
      <c r="AG136" s="21">
        <v>1772.73</v>
      </c>
    </row>
    <row r="137" spans="2:33" x14ac:dyDescent="0.2">
      <c r="B137" s="2" t="str">
        <f>_xlfn.XLOOKUP(Moult1[[#This Row],[Metodo]],TbSolver[Metodo],TbSolver[Solver])</f>
        <v>Adams Bashford Moulton</v>
      </c>
      <c r="C137" s="2" t="str">
        <f>_xlfn.XLOOKUP(Moult1[[#This Row],[Hebras]],TbTecnologia[Hebras],TbTecnologia[Tecnología])</f>
        <v>CUDA</v>
      </c>
      <c r="D137" s="2" t="str" cm="1">
        <f t="array" ref="D137">_xlfn.XLOOKUP(Moult1[[#This Row],[Tecnología]]&amp;Moult1[[#This Row],[Metodo]],TbTipos[Tecnología]&amp;TbTipos[Metodo],TbTipos[Tipo])</f>
        <v>CUDA con graph</v>
      </c>
      <c r="E137" s="2" t="str" cm="1">
        <f t="array" ref="E137">_xlfn.XLOOKUP(Moult1[[#This Row],[Tecnología]]&amp;Moult1[[#This Row],[Problema]],TbNombres[Tecnología]&amp;TbNombres[Problema],TbNombres[Nombre])</f>
        <v>Simple Advdiff</v>
      </c>
      <c r="F137" s="21">
        <v>6</v>
      </c>
      <c r="G137" s="21">
        <v>1</v>
      </c>
      <c r="H137" s="21">
        <v>256</v>
      </c>
      <c r="I137" s="21">
        <v>1000000</v>
      </c>
      <c r="J137" s="21">
        <v>1000000</v>
      </c>
      <c r="K137" s="21">
        <v>592.77099999999996</v>
      </c>
      <c r="M137" s="2" t="str">
        <f>_xlfn.XLOOKUP(Moult2[[#This Row],[Metodo]],TbSolver[Metodo],TbSolver[Solver])</f>
        <v>Adams Bashford Moulton</v>
      </c>
      <c r="N137" s="2" t="str">
        <f>_xlfn.XLOOKUP(Moult2[[#This Row],[Hebras]],TbTecnologia[Hebras],TbTecnologia[Tecnología])</f>
        <v>CUDA</v>
      </c>
      <c r="O137" s="2" t="str" cm="1">
        <f t="array" ref="O137">_xlfn.XLOOKUP(Moult2[[#This Row],[Tecnología]]&amp;Moult2[[#This Row],[Metodo]],TbTipos[Tecnología]&amp;TbTipos[Metodo],TbTipos[Tipo])</f>
        <v>CUDA con graph</v>
      </c>
      <c r="P137" s="2" t="str" cm="1">
        <f t="array" ref="P137">_xlfn.XLOOKUP(Moult2[[#This Row],[Tecnología]]&amp;Moult2[[#This Row],[Problema]],TbNombres[Tecnología]&amp;TbNombres[Problema],TbNombres[Nombre])</f>
        <v>Advdiff1d</v>
      </c>
      <c r="Q137" s="21">
        <v>6</v>
      </c>
      <c r="R137" s="21">
        <v>3</v>
      </c>
      <c r="S137" s="21">
        <v>256</v>
      </c>
      <c r="T137" s="21">
        <v>1000000</v>
      </c>
      <c r="U137" s="21">
        <v>1000000</v>
      </c>
      <c r="V137" s="21">
        <v>1333.37</v>
      </c>
      <c r="X137" s="2" t="str">
        <f>_xlfn.XLOOKUP(Moult3[[#This Row],[Metodo]],TbSolver[Metodo],TbSolver[Solver])</f>
        <v>Adams Bashford Moulton</v>
      </c>
      <c r="Y137" s="2" t="str">
        <f>_xlfn.XLOOKUP(Moult3[[#This Row],[Hebras]],TbTecnologia[Hebras],TbTecnologia[Tecnología])</f>
        <v>OMP</v>
      </c>
      <c r="Z137" s="2" t="str" cm="1">
        <f t="array" ref="Z137">_xlfn.XLOOKUP(Moult3[[#This Row],[Tecnología]]&amp;Moult3[[#This Row],[Metodo]],TbTipos[Tecnología]&amp;TbTipos[Metodo],TbTipos[Tipo])</f>
        <v>OMP Elementos</v>
      </c>
      <c r="AA137" s="2" t="str" cm="1">
        <f t="array" ref="AA137">_xlfn.XLOOKUP(Moult3[[#This Row],[Tecnología]]&amp;Moult3[[#This Row],[Problema]],TbNombres[Tecnología]&amp;TbNombres[Problema],TbNombres[Nombre])</f>
        <v>Brusselator1d</v>
      </c>
      <c r="AB137" s="21">
        <v>6</v>
      </c>
      <c r="AC137" s="21">
        <v>3</v>
      </c>
      <c r="AD137" s="21">
        <v>1</v>
      </c>
      <c r="AE137" s="21">
        <v>50000</v>
      </c>
      <c r="AF137" s="21">
        <v>100000</v>
      </c>
      <c r="AG137" s="21">
        <v>2914.04</v>
      </c>
    </row>
    <row r="138" spans="2:33" x14ac:dyDescent="0.2">
      <c r="X138" s="2" t="str">
        <f>_xlfn.XLOOKUP(Moult3[[#This Row],[Metodo]],TbSolver[Metodo],TbSolver[Solver])</f>
        <v>Adams Bashford Moulton</v>
      </c>
      <c r="Y138" s="2" t="str">
        <f>_xlfn.XLOOKUP(Moult3[[#This Row],[Hebras]],TbTecnologia[Hebras],TbTecnologia[Tecnología])</f>
        <v>CUDA</v>
      </c>
      <c r="Z138" s="2" t="str" cm="1">
        <f t="array" ref="Z138">_xlfn.XLOOKUP(Moult3[[#This Row],[Tecnología]]&amp;Moult3[[#This Row],[Metodo]],TbTipos[Tecnología]&amp;TbTipos[Metodo],TbTipos[Tipo])</f>
        <v>CUDA sin graph</v>
      </c>
      <c r="AA138" s="2" t="str" cm="1">
        <f t="array" ref="AA138">_xlfn.XLOOKUP(Moult3[[#This Row],[Tecnología]]&amp;Moult3[[#This Row],[Problema]],TbNombres[Tecnología]&amp;TbNombres[Problema],TbNombres[Nombre])</f>
        <v>Brusselator1d</v>
      </c>
      <c r="AB138" s="21">
        <v>5</v>
      </c>
      <c r="AC138" s="21">
        <v>5</v>
      </c>
      <c r="AD138" s="21">
        <v>256</v>
      </c>
      <c r="AE138" s="21">
        <v>75000</v>
      </c>
      <c r="AF138" s="21">
        <v>150000</v>
      </c>
      <c r="AG138" s="21">
        <v>80.215500000000006</v>
      </c>
    </row>
    <row r="139" spans="2:33" x14ac:dyDescent="0.2">
      <c r="X139" s="2" t="str">
        <f>_xlfn.XLOOKUP(Moult3[[#This Row],[Metodo]],TbSolver[Metodo],TbSolver[Solver])</f>
        <v>Adams Bashford Moulton</v>
      </c>
      <c r="Y139" s="2" t="str">
        <f>_xlfn.XLOOKUP(Moult3[[#This Row],[Hebras]],TbTecnologia[Hebras],TbTecnologia[Tecnología])</f>
        <v>CUDA</v>
      </c>
      <c r="Z139" s="2" t="str" cm="1">
        <f t="array" ref="Z139">_xlfn.XLOOKUP(Moult3[[#This Row],[Tecnología]]&amp;Moult3[[#This Row],[Metodo]],TbTipos[Tecnología]&amp;TbTipos[Metodo],TbTipos[Tipo])</f>
        <v>CUDA con graph</v>
      </c>
      <c r="AA139" s="2" t="str" cm="1">
        <f t="array" ref="AA139">_xlfn.XLOOKUP(Moult3[[#This Row],[Tecnología]]&amp;Moult3[[#This Row],[Problema]],TbNombres[Tecnología]&amp;TbNombres[Problema],TbNombres[Nombre])</f>
        <v>Brusselator1d</v>
      </c>
      <c r="AB139" s="21">
        <v>6</v>
      </c>
      <c r="AC139" s="21">
        <v>5</v>
      </c>
      <c r="AD139" s="21">
        <v>256</v>
      </c>
      <c r="AE139" s="21">
        <v>75000</v>
      </c>
      <c r="AF139" s="21">
        <v>150000</v>
      </c>
      <c r="AG139" s="21">
        <v>97.3352</v>
      </c>
    </row>
    <row r="140" spans="2:33" x14ac:dyDescent="0.2">
      <c r="X140" s="2" t="str">
        <f>_xlfn.XLOOKUP(Moult3[[#This Row],[Metodo]],TbSolver[Metodo],TbSolver[Solver])</f>
        <v>Adams Bashford Moulton</v>
      </c>
      <c r="Y140" s="2" t="str">
        <f>_xlfn.XLOOKUP(Moult3[[#This Row],[Hebras]],TbTecnologia[Hebras],TbTecnologia[Tecnología])</f>
        <v>CUDA</v>
      </c>
      <c r="Z140" s="2" t="str" cm="1">
        <f t="array" ref="Z140">_xlfn.XLOOKUP(Moult3[[#This Row],[Tecnología]]&amp;Moult3[[#This Row],[Metodo]],TbTipos[Tecnología]&amp;TbTipos[Metodo],TbTipos[Tipo])</f>
        <v>CUDA sin graph</v>
      </c>
      <c r="AA140" s="2" t="str" cm="1">
        <f t="array" ref="AA140">_xlfn.XLOOKUP(Moult3[[#This Row],[Tecnología]]&amp;Moult3[[#This Row],[Problema]],TbNombres[Tecnología]&amp;TbNombres[Problema],TbNombres[Nombre])</f>
        <v>Brusselator1d</v>
      </c>
      <c r="AB140" s="2">
        <v>5</v>
      </c>
      <c r="AC140" s="2">
        <v>5</v>
      </c>
      <c r="AD140" s="2">
        <v>256</v>
      </c>
      <c r="AE140" s="2">
        <v>100000</v>
      </c>
      <c r="AF140" s="2">
        <v>200000</v>
      </c>
      <c r="AG140" s="2">
        <v>104.756</v>
      </c>
    </row>
    <row r="141" spans="2:33" x14ac:dyDescent="0.2">
      <c r="X141" s="2" t="str">
        <f>_xlfn.XLOOKUP(Moult3[[#This Row],[Metodo]],TbSolver[Metodo],TbSolver[Solver])</f>
        <v>Adams Bashford Moulton</v>
      </c>
      <c r="Y141" s="2" t="str">
        <f>_xlfn.XLOOKUP(Moult3[[#This Row],[Hebras]],TbTecnologia[Hebras],TbTecnologia[Tecnología])</f>
        <v>CUDA</v>
      </c>
      <c r="Z141" s="2" t="str" cm="1">
        <f t="array" ref="Z141">_xlfn.XLOOKUP(Moult3[[#This Row],[Tecnología]]&amp;Moult3[[#This Row],[Metodo]],TbTipos[Tecnología]&amp;TbTipos[Metodo],TbTipos[Tipo])</f>
        <v>CUDA sin graph</v>
      </c>
      <c r="AA141" s="2" t="str" cm="1">
        <f t="array" ref="AA141">_xlfn.XLOOKUP(Moult3[[#This Row],[Tecnología]]&amp;Moult3[[#This Row],[Problema]],TbNombres[Tecnología]&amp;TbNombres[Problema],TbNombres[Nombre])</f>
        <v>Brusselator1d</v>
      </c>
      <c r="AB141" s="21">
        <v>5</v>
      </c>
      <c r="AC141" s="21">
        <v>5</v>
      </c>
      <c r="AD141" s="21">
        <v>256</v>
      </c>
      <c r="AE141" s="21">
        <v>125000</v>
      </c>
      <c r="AF141" s="21">
        <v>250000</v>
      </c>
      <c r="AG141" s="21">
        <v>135.49299999999999</v>
      </c>
    </row>
    <row r="142" spans="2:33" x14ac:dyDescent="0.2">
      <c r="X142" s="2" t="str">
        <f>_xlfn.XLOOKUP(Moult3[[#This Row],[Metodo]],TbSolver[Metodo],TbSolver[Solver])</f>
        <v>Adams Bashford Moulton</v>
      </c>
      <c r="Y142" s="2" t="str">
        <f>_xlfn.XLOOKUP(Moult3[[#This Row],[Hebras]],TbTecnologia[Hebras],TbTecnologia[Tecnología])</f>
        <v>CUDA</v>
      </c>
      <c r="Z142" s="2" t="str" cm="1">
        <f t="array" ref="Z142">_xlfn.XLOOKUP(Moult3[[#This Row],[Tecnología]]&amp;Moult3[[#This Row],[Metodo]],TbTipos[Tecnología]&amp;TbTipos[Metodo],TbTipos[Tipo])</f>
        <v>CUDA con graph</v>
      </c>
      <c r="AA142" s="2" t="str" cm="1">
        <f t="array" ref="AA142">_xlfn.XLOOKUP(Moult3[[#This Row],[Tecnología]]&amp;Moult3[[#This Row],[Problema]],TbNombres[Tecnología]&amp;TbNombres[Problema],TbNombres[Nombre])</f>
        <v>Brusselator1d</v>
      </c>
      <c r="AB142" s="21">
        <v>6</v>
      </c>
      <c r="AC142" s="21">
        <v>5</v>
      </c>
      <c r="AD142" s="21">
        <v>256</v>
      </c>
      <c r="AE142" s="21">
        <v>125000</v>
      </c>
      <c r="AF142" s="21">
        <v>250000</v>
      </c>
      <c r="AG142" s="21">
        <v>170.86500000000001</v>
      </c>
    </row>
    <row r="143" spans="2:33" x14ac:dyDescent="0.2">
      <c r="X143" s="2" t="str">
        <f>_xlfn.XLOOKUP(Moult3[[#This Row],[Metodo]],TbSolver[Metodo],TbSolver[Solver])</f>
        <v>Adams Bashford Moulton</v>
      </c>
      <c r="Y143" s="2" t="str">
        <f>_xlfn.XLOOKUP(Moult3[[#This Row],[Hebras]],TbTecnologia[Hebras],TbTecnologia[Tecnología])</f>
        <v>CUDA</v>
      </c>
      <c r="Z143" s="2" t="str" cm="1">
        <f t="array" ref="Z143">_xlfn.XLOOKUP(Moult3[[#This Row],[Tecnología]]&amp;Moult3[[#This Row],[Metodo]],TbTipos[Tecnología]&amp;TbTipos[Metodo],TbTipos[Tipo])</f>
        <v>CUDA sin graph</v>
      </c>
      <c r="AA143" s="2" t="str" cm="1">
        <f t="array" ref="AA143">_xlfn.XLOOKUP(Moult3[[#This Row],[Tecnología]]&amp;Moult3[[#This Row],[Problema]],TbNombres[Tecnología]&amp;TbNombres[Problema],TbNombres[Nombre])</f>
        <v>Brusselator1d</v>
      </c>
      <c r="AB143" s="21">
        <v>5</v>
      </c>
      <c r="AC143" s="21">
        <v>5</v>
      </c>
      <c r="AD143" s="21">
        <v>256</v>
      </c>
      <c r="AE143" s="21">
        <v>175000</v>
      </c>
      <c r="AF143" s="21">
        <v>350000</v>
      </c>
      <c r="AG143" s="21">
        <v>188.30500000000001</v>
      </c>
    </row>
    <row r="144" spans="2:33" x14ac:dyDescent="0.2">
      <c r="X144" s="2" t="str">
        <f>_xlfn.XLOOKUP(Moult3[[#This Row],[Metodo]],TbSolver[Metodo],TbSolver[Solver])</f>
        <v>Adams Bashford Moulton</v>
      </c>
      <c r="Y144" s="2" t="str">
        <f>_xlfn.XLOOKUP(Moult3[[#This Row],[Hebras]],TbTecnologia[Hebras],TbTecnologia[Tecnología])</f>
        <v>CUDA</v>
      </c>
      <c r="Z144" s="2" t="str" cm="1">
        <f t="array" ref="Z144">_xlfn.XLOOKUP(Moult3[[#This Row],[Tecnología]]&amp;Moult3[[#This Row],[Metodo]],TbTipos[Tecnología]&amp;TbTipos[Metodo],TbTipos[Tipo])</f>
        <v>CUDA con graph</v>
      </c>
      <c r="AA144" s="2" t="str" cm="1">
        <f t="array" ref="AA144">_xlfn.XLOOKUP(Moult3[[#This Row],[Tecnología]]&amp;Moult3[[#This Row],[Problema]],TbNombres[Tecnología]&amp;TbNombres[Problema],TbNombres[Nombre])</f>
        <v>Brusselator1d</v>
      </c>
      <c r="AB144" s="21">
        <v>6</v>
      </c>
      <c r="AC144" s="21">
        <v>5</v>
      </c>
      <c r="AD144" s="21">
        <v>256</v>
      </c>
      <c r="AE144" s="21">
        <v>175000</v>
      </c>
      <c r="AF144" s="21">
        <v>350000</v>
      </c>
      <c r="AG144" s="21">
        <v>237.79400000000001</v>
      </c>
    </row>
    <row r="145" spans="24:33" x14ac:dyDescent="0.2">
      <c r="X145" s="2" t="str">
        <f>_xlfn.XLOOKUP(Moult3[[#This Row],[Metodo]],TbSolver[Metodo],TbSolver[Solver])</f>
        <v>Adams Bashford Moulton</v>
      </c>
      <c r="Y145" s="2" t="str">
        <f>_xlfn.XLOOKUP(Moult3[[#This Row],[Hebras]],TbTecnologia[Hebras],TbTecnologia[Tecnología])</f>
        <v>CUDA</v>
      </c>
      <c r="Z145" s="2" t="str" cm="1">
        <f t="array" ref="Z145">_xlfn.XLOOKUP(Moult3[[#This Row],[Tecnología]]&amp;Moult3[[#This Row],[Metodo]],TbTipos[Tecnología]&amp;TbTipos[Metodo],TbTipos[Tipo])</f>
        <v>CUDA sin graph</v>
      </c>
      <c r="AA145" s="2" t="str" cm="1">
        <f t="array" ref="AA145">_xlfn.XLOOKUP(Moult3[[#This Row],[Tecnología]]&amp;Moult3[[#This Row],[Problema]],TbNombres[Tecnología]&amp;TbNombres[Problema],TbNombres[Nombre])</f>
        <v>Brusselator1d</v>
      </c>
      <c r="AB145" s="2">
        <v>5</v>
      </c>
      <c r="AC145" s="2">
        <v>5</v>
      </c>
      <c r="AD145" s="2">
        <v>256</v>
      </c>
      <c r="AE145" s="2">
        <v>200000</v>
      </c>
      <c r="AF145" s="2">
        <v>400000</v>
      </c>
      <c r="AG145" s="2">
        <v>208.50399999999999</v>
      </c>
    </row>
    <row r="146" spans="24:33" x14ac:dyDescent="0.2">
      <c r="X146" s="2" t="str">
        <f>_xlfn.XLOOKUP(Moult3[[#This Row],[Metodo]],TbSolver[Metodo],TbSolver[Solver])</f>
        <v>Adams Bashford Moulton</v>
      </c>
      <c r="Y146" s="2" t="str">
        <f>_xlfn.XLOOKUP(Moult3[[#This Row],[Hebras]],TbTecnologia[Hebras],TbTecnologia[Tecnología])</f>
        <v>CUDA</v>
      </c>
      <c r="Z146" s="2" t="str" cm="1">
        <f t="array" ref="Z146">_xlfn.XLOOKUP(Moult3[[#This Row],[Tecnología]]&amp;Moult3[[#This Row],[Metodo]],TbTipos[Tecnología]&amp;TbTipos[Metodo],TbTipos[Tipo])</f>
        <v>CUDA sin graph</v>
      </c>
      <c r="AA146" s="2" t="str" cm="1">
        <f t="array" ref="AA146">_xlfn.XLOOKUP(Moult3[[#This Row],[Tecnología]]&amp;Moult3[[#This Row],[Problema]],TbNombres[Tecnología]&amp;TbNombres[Problema],TbNombres[Nombre])</f>
        <v>Brusselator1d</v>
      </c>
      <c r="AB146" s="21">
        <v>5</v>
      </c>
      <c r="AC146" s="21">
        <v>5</v>
      </c>
      <c r="AD146" s="21">
        <v>256</v>
      </c>
      <c r="AE146" s="21">
        <v>750000</v>
      </c>
      <c r="AF146" s="21">
        <v>1500000</v>
      </c>
      <c r="AG146" s="21">
        <v>728.73500000000001</v>
      </c>
    </row>
    <row r="147" spans="24:33" x14ac:dyDescent="0.2">
      <c r="X147" s="2" t="str">
        <f>_xlfn.XLOOKUP(Moult3[[#This Row],[Metodo]],TbSolver[Metodo],TbSolver[Solver])</f>
        <v>Adams Bashford Moulton</v>
      </c>
      <c r="Y147" s="2" t="str">
        <f>_xlfn.XLOOKUP(Moult3[[#This Row],[Hebras]],TbTecnologia[Hebras],TbTecnologia[Tecnología])</f>
        <v>CUDA</v>
      </c>
      <c r="Z147" s="2" t="str" cm="1">
        <f t="array" ref="Z147">_xlfn.XLOOKUP(Moult3[[#This Row],[Tecnología]]&amp;Moult3[[#This Row],[Metodo]],TbTipos[Tecnología]&amp;TbTipos[Metodo],TbTipos[Tipo])</f>
        <v>CUDA con graph</v>
      </c>
      <c r="AA147" s="2" t="str" cm="1">
        <f t="array" ref="AA147">_xlfn.XLOOKUP(Moult3[[#This Row],[Tecnología]]&amp;Moult3[[#This Row],[Problema]],TbNombres[Tecnología]&amp;TbNombres[Problema],TbNombres[Nombre])</f>
        <v>Brusselator1d</v>
      </c>
      <c r="AB147" s="21">
        <v>6</v>
      </c>
      <c r="AC147" s="21">
        <v>5</v>
      </c>
      <c r="AD147" s="21">
        <v>256</v>
      </c>
      <c r="AE147" s="21">
        <v>750000</v>
      </c>
      <c r="AF147" s="21">
        <v>1500000</v>
      </c>
      <c r="AG147" s="21">
        <v>946.94100000000003</v>
      </c>
    </row>
    <row r="148" spans="24:33" x14ac:dyDescent="0.2">
      <c r="X148" s="2" t="str">
        <f>_xlfn.XLOOKUP(Moult3[[#This Row],[Metodo]],TbSolver[Metodo],TbSolver[Solver])</f>
        <v>Adams Bashford Moulton</v>
      </c>
      <c r="Y148" s="2" t="str">
        <f>_xlfn.XLOOKUP(Moult3[[#This Row],[Hebras]],TbTecnologia[Hebras],TbTecnologia[Tecnología])</f>
        <v>CUDA</v>
      </c>
      <c r="Z148" s="2" t="str" cm="1">
        <f t="array" ref="Z148">_xlfn.XLOOKUP(Moult3[[#This Row],[Tecnología]]&amp;Moult3[[#This Row],[Metodo]],TbTipos[Tecnología]&amp;TbTipos[Metodo],TbTipos[Tipo])</f>
        <v>CUDA sin graph</v>
      </c>
      <c r="AA148" s="2" t="str" cm="1">
        <f t="array" ref="AA148">_xlfn.XLOOKUP(Moult3[[#This Row],[Tecnología]]&amp;Moult3[[#This Row],[Problema]],TbNombres[Tecnología]&amp;TbNombres[Problema],TbNombres[Nombre])</f>
        <v>Brusselator1d</v>
      </c>
      <c r="AB148" s="21">
        <v>5</v>
      </c>
      <c r="AC148" s="21">
        <v>5</v>
      </c>
      <c r="AD148" s="21">
        <v>256</v>
      </c>
      <c r="AE148" s="21">
        <v>1000000</v>
      </c>
      <c r="AF148" s="21">
        <v>2000000</v>
      </c>
      <c r="AG148" s="21">
        <v>962.81100000000004</v>
      </c>
    </row>
    <row r="149" spans="24:33" x14ac:dyDescent="0.2">
      <c r="X149" s="2" t="str">
        <f>_xlfn.XLOOKUP(Moult3[[#This Row],[Metodo]],TbSolver[Metodo],TbSolver[Solver])</f>
        <v>Adams Bashford Moulton</v>
      </c>
      <c r="Y149" s="2" t="str">
        <f>_xlfn.XLOOKUP(Moult3[[#This Row],[Hebras]],TbTecnologia[Hebras],TbTecnologia[Tecnología])</f>
        <v>CUDA</v>
      </c>
      <c r="Z149" s="2" t="str" cm="1">
        <f t="array" ref="Z149">_xlfn.XLOOKUP(Moult3[[#This Row],[Tecnología]]&amp;Moult3[[#This Row],[Metodo]],TbTipos[Tecnología]&amp;TbTipos[Metodo],TbTipos[Tipo])</f>
        <v>CUDA con graph</v>
      </c>
      <c r="AA149" s="2" t="str" cm="1">
        <f t="array" ref="AA149">_xlfn.XLOOKUP(Moult3[[#This Row],[Tecnología]]&amp;Moult3[[#This Row],[Problema]],TbNombres[Tecnología]&amp;TbNombres[Problema],TbNombres[Nombre])</f>
        <v>Brusselator1d</v>
      </c>
      <c r="AB149" s="21">
        <v>6</v>
      </c>
      <c r="AC149" s="21">
        <v>5</v>
      </c>
      <c r="AD149" s="21">
        <v>256</v>
      </c>
      <c r="AE149" s="21">
        <v>1000000</v>
      </c>
      <c r="AF149" s="21">
        <v>2000000</v>
      </c>
      <c r="AG149" s="21">
        <v>1254.5999999999999</v>
      </c>
    </row>
    <row r="150" spans="24:33" x14ac:dyDescent="0.2">
      <c r="X150" s="2" t="str">
        <f>_xlfn.XLOOKUP(Moult3[[#This Row],[Metodo]],TbSolver[Metodo],TbSolver[Solver])</f>
        <v>Adams Bashford Moulton</v>
      </c>
      <c r="Y150" s="2" t="str">
        <f>_xlfn.XLOOKUP(Moult3[[#This Row],[Hebras]],TbTecnologia[Hebras],TbTecnologia[Tecnología])</f>
        <v>CUDA</v>
      </c>
      <c r="Z150" s="2" t="str" cm="1">
        <f t="array" ref="Z150">_xlfn.XLOOKUP(Moult3[[#This Row],[Tecnología]]&amp;Moult3[[#This Row],[Metodo]],TbTipos[Tecnología]&amp;TbTipos[Metodo],TbTipos[Tipo])</f>
        <v>CUDA sin graph</v>
      </c>
      <c r="AA150" s="2" t="str" cm="1">
        <f t="array" ref="AA150">_xlfn.XLOOKUP(Moult3[[#This Row],[Tecnología]]&amp;Moult3[[#This Row],[Problema]],TbNombres[Tecnología]&amp;TbNombres[Problema],TbNombres[Nombre])</f>
        <v>Brusselator1d</v>
      </c>
      <c r="AB150" s="2">
        <v>5</v>
      </c>
      <c r="AC150" s="2">
        <v>5</v>
      </c>
      <c r="AD150" s="2">
        <v>256</v>
      </c>
      <c r="AE150" s="2">
        <v>300000</v>
      </c>
      <c r="AF150" s="2">
        <v>600000</v>
      </c>
      <c r="AG150" s="2">
        <v>302.76299999999998</v>
      </c>
    </row>
    <row r="151" spans="24:33" x14ac:dyDescent="0.2">
      <c r="X151" s="2" t="str">
        <f>_xlfn.XLOOKUP(Moult3[[#This Row],[Metodo]],TbSolver[Metodo],TbSolver[Solver])</f>
        <v>Adams Bashford Moulton</v>
      </c>
      <c r="Y151" s="2" t="str">
        <f>_xlfn.XLOOKUP(Moult3[[#This Row],[Hebras]],TbTecnologia[Hebras],TbTecnologia[Tecnología])</f>
        <v>CUDA</v>
      </c>
      <c r="Z151" s="2" t="str" cm="1">
        <f t="array" ref="Z151">_xlfn.XLOOKUP(Moult3[[#This Row],[Tecnología]]&amp;Moult3[[#This Row],[Metodo]],TbTipos[Tecnología]&amp;TbTipos[Metodo],TbTipos[Tipo])</f>
        <v>CUDA sin graph</v>
      </c>
      <c r="AA151" s="2" t="str" cm="1">
        <f t="array" ref="AA151">_xlfn.XLOOKUP(Moult3[[#This Row],[Tecnología]]&amp;Moult3[[#This Row],[Problema]],TbNombres[Tecnología]&amp;TbNombres[Problema],TbNombres[Nombre])</f>
        <v>Brusselator1d</v>
      </c>
      <c r="AB151" s="2">
        <v>5</v>
      </c>
      <c r="AC151" s="2">
        <v>5</v>
      </c>
      <c r="AD151" s="2">
        <v>256</v>
      </c>
      <c r="AE151" s="2">
        <v>500000</v>
      </c>
      <c r="AF151" s="2">
        <v>1000000</v>
      </c>
      <c r="AG151" s="2">
        <v>488.18</v>
      </c>
    </row>
    <row r="152" spans="24:33" x14ac:dyDescent="0.2">
      <c r="X152" s="2" t="str">
        <f>_xlfn.XLOOKUP(Moult3[[#This Row],[Metodo]],TbSolver[Metodo],TbSolver[Solver])</f>
        <v>Adams Bashford Moulton</v>
      </c>
      <c r="Y152" s="2" t="str">
        <f>_xlfn.XLOOKUP(Moult3[[#This Row],[Hebras]],TbTecnologia[Hebras],TbTecnologia[Tecnología])</f>
        <v>CUDA</v>
      </c>
      <c r="Z152" s="2" t="str" cm="1">
        <f t="array" ref="Z152">_xlfn.XLOOKUP(Moult3[[#This Row],[Tecnología]]&amp;Moult3[[#This Row],[Metodo]],TbTipos[Tecnología]&amp;TbTipos[Metodo],TbTipos[Tipo])</f>
        <v>CUDA sin graph</v>
      </c>
      <c r="AA152" s="2" t="str" cm="1">
        <f t="array" ref="AA152">_xlfn.XLOOKUP(Moult3[[#This Row],[Tecnología]]&amp;Moult3[[#This Row],[Problema]],TbNombres[Tecnología]&amp;TbNombres[Problema],TbNombres[Nombre])</f>
        <v>Brusselator1d</v>
      </c>
      <c r="AB152" s="2">
        <v>5</v>
      </c>
      <c r="AC152" s="2">
        <v>5</v>
      </c>
      <c r="AD152" s="2">
        <v>256</v>
      </c>
      <c r="AE152" s="2">
        <v>600000</v>
      </c>
      <c r="AF152" s="2">
        <v>1200000</v>
      </c>
      <c r="AG152" s="2">
        <v>579.96500000000003</v>
      </c>
    </row>
    <row r="153" spans="24:33" x14ac:dyDescent="0.2">
      <c r="X153" s="2" t="str">
        <f>_xlfn.XLOOKUP(Moult3[[#This Row],[Metodo]],TbSolver[Metodo],TbSolver[Solver])</f>
        <v>Adams Bashford Moulton</v>
      </c>
      <c r="Y153" s="2" t="str">
        <f>_xlfn.XLOOKUP(Moult3[[#This Row],[Hebras]],TbTecnologia[Hebras],TbTecnologia[Tecnología])</f>
        <v>CUDA</v>
      </c>
      <c r="Z153" s="2" t="str" cm="1">
        <f t="array" ref="Z153">_xlfn.XLOOKUP(Moult3[[#This Row],[Tecnología]]&amp;Moult3[[#This Row],[Metodo]],TbTipos[Tecnología]&amp;TbTipos[Metodo],TbTipos[Tipo])</f>
        <v>CUDA sin graph</v>
      </c>
      <c r="AA153" s="2" t="str" cm="1">
        <f t="array" ref="AA153">_xlfn.XLOOKUP(Moult3[[#This Row],[Tecnología]]&amp;Moult3[[#This Row],[Problema]],TbNombres[Tecnología]&amp;TbNombres[Problema],TbNombres[Nombre])</f>
        <v>Brusselator1d</v>
      </c>
      <c r="AB153" s="2">
        <v>5</v>
      </c>
      <c r="AC153" s="2">
        <v>5</v>
      </c>
      <c r="AD153" s="2">
        <v>256</v>
      </c>
      <c r="AE153" s="2">
        <v>700000</v>
      </c>
      <c r="AF153" s="2">
        <v>1400000</v>
      </c>
      <c r="AG153" s="2">
        <v>673.23500000000001</v>
      </c>
    </row>
    <row r="154" spans="24:33" x14ac:dyDescent="0.2">
      <c r="X154" s="2" t="str">
        <f>_xlfn.XLOOKUP(Moult3[[#This Row],[Metodo]],TbSolver[Metodo],TbSolver[Solver])</f>
        <v>Adams Bashford Moulton</v>
      </c>
      <c r="Y154" s="2" t="str">
        <f>_xlfn.XLOOKUP(Moult3[[#This Row],[Hebras]],TbTecnologia[Hebras],TbTecnologia[Tecnología])</f>
        <v>CUDA</v>
      </c>
      <c r="Z154" s="2" t="str" cm="1">
        <f t="array" ref="Z154">_xlfn.XLOOKUP(Moult3[[#This Row],[Tecnología]]&amp;Moult3[[#This Row],[Metodo]],TbTipos[Tecnología]&amp;TbTipos[Metodo],TbTipos[Tipo])</f>
        <v>CUDA sin graph</v>
      </c>
      <c r="AA154" s="2" t="str" cm="1">
        <f t="array" ref="AA154">_xlfn.XLOOKUP(Moult3[[#This Row],[Tecnología]]&amp;Moult3[[#This Row],[Problema]],TbNombres[Tecnología]&amp;TbNombres[Problema],TbNombres[Nombre])</f>
        <v>Brusselator1d</v>
      </c>
      <c r="AB154" s="2">
        <v>5</v>
      </c>
      <c r="AC154" s="2">
        <v>5</v>
      </c>
      <c r="AD154" s="2">
        <v>256</v>
      </c>
      <c r="AE154" s="2">
        <v>800000</v>
      </c>
      <c r="AF154" s="2">
        <v>1600000</v>
      </c>
      <c r="AG154" s="2">
        <v>765.30100000000004</v>
      </c>
    </row>
    <row r="155" spans="24:33" x14ac:dyDescent="0.2">
      <c r="X155" s="2" t="str">
        <f>_xlfn.XLOOKUP(Moult3[[#This Row],[Metodo]],TbSolver[Metodo],TbSolver[Solver])</f>
        <v>Adams Bashford Moulton</v>
      </c>
      <c r="Y155" s="2" t="str">
        <f>_xlfn.XLOOKUP(Moult3[[#This Row],[Hebras]],TbTecnologia[Hebras],TbTecnologia[Tecnología])</f>
        <v>CUDA</v>
      </c>
      <c r="Z155" s="2" t="str" cm="1">
        <f t="array" ref="Z155">_xlfn.XLOOKUP(Moult3[[#This Row],[Tecnología]]&amp;Moult3[[#This Row],[Metodo]],TbTipos[Tecnología]&amp;TbTipos[Metodo],TbTipos[Tipo])</f>
        <v>CUDA sin graph</v>
      </c>
      <c r="AA155" s="2" t="str" cm="1">
        <f t="array" ref="AA155">_xlfn.XLOOKUP(Moult3[[#This Row],[Tecnología]]&amp;Moult3[[#This Row],[Problema]],TbNombres[Tecnología]&amp;TbNombres[Problema],TbNombres[Nombre])</f>
        <v>Brusselator1d</v>
      </c>
      <c r="AB155" s="2">
        <v>5</v>
      </c>
      <c r="AC155" s="2">
        <v>5</v>
      </c>
      <c r="AD155" s="2">
        <v>256</v>
      </c>
      <c r="AE155" s="2">
        <v>900000</v>
      </c>
      <c r="AF155" s="2">
        <v>1800000</v>
      </c>
      <c r="AG155" s="2">
        <v>861.78300000000002</v>
      </c>
    </row>
    <row r="156" spans="24:33" x14ac:dyDescent="0.2">
      <c r="X156" s="2" t="str">
        <f>_xlfn.XLOOKUP(Moult3[[#This Row],[Metodo]],TbSolver[Metodo],TbSolver[Solver])</f>
        <v>Adams Bashford Moulton</v>
      </c>
      <c r="Y156" s="2" t="str">
        <f>_xlfn.XLOOKUP(Moult3[[#This Row],[Hebras]],TbTecnologia[Hebras],TbTecnologia[Tecnología])</f>
        <v>CUDA</v>
      </c>
      <c r="Z156" s="2" t="str" cm="1">
        <f t="array" ref="Z156">_xlfn.XLOOKUP(Moult3[[#This Row],[Tecnología]]&amp;Moult3[[#This Row],[Metodo]],TbTipos[Tecnología]&amp;TbTipos[Metodo],TbTipos[Tipo])</f>
        <v>CUDA sin graph</v>
      </c>
      <c r="AA156" s="2" t="str" cm="1">
        <f t="array" ref="AA156">_xlfn.XLOOKUP(Moult3[[#This Row],[Tecnología]]&amp;Moult3[[#This Row],[Problema]],TbNombres[Tecnología]&amp;TbNombres[Problema],TbNombres[Nombre])</f>
        <v>Brusselator1d</v>
      </c>
      <c r="AB156" s="2">
        <v>5</v>
      </c>
      <c r="AC156" s="2">
        <v>5</v>
      </c>
      <c r="AD156" s="2">
        <v>256</v>
      </c>
      <c r="AE156" s="2">
        <v>1000000</v>
      </c>
      <c r="AF156" s="2">
        <v>2000000</v>
      </c>
      <c r="AG156" s="2">
        <v>952.55600000000004</v>
      </c>
    </row>
  </sheetData>
  <mergeCells count="8">
    <mergeCell ref="B3:K3"/>
    <mergeCell ref="B4:K4"/>
    <mergeCell ref="X3:AG3"/>
    <mergeCell ref="X4:AG4"/>
    <mergeCell ref="AI3:AR3"/>
    <mergeCell ref="AI4:AR4"/>
    <mergeCell ref="M3:V3"/>
    <mergeCell ref="M4:V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3546-DD1A-4A4D-A513-87A4EF422AE0}">
  <dimension ref="B2:K1673"/>
  <sheetViews>
    <sheetView tabSelected="1" topLeftCell="A1641" workbookViewId="0">
      <selection activeCell="O1671" sqref="O1671"/>
    </sheetView>
  </sheetViews>
  <sheetFormatPr baseColWidth="10" defaultColWidth="9.140625" defaultRowHeight="12.75" x14ac:dyDescent="0.2"/>
  <cols>
    <col min="1" max="1" width="9.140625" style="1"/>
    <col min="2" max="2" width="21" style="1" bestFit="1" customWidth="1"/>
    <col min="3" max="3" width="9.140625" style="1"/>
    <col min="4" max="4" width="16.42578125" style="1" bestFit="1" customWidth="1"/>
    <col min="5" max="5" width="18.5703125" style="1" bestFit="1" customWidth="1"/>
    <col min="6" max="6" width="12.5703125" style="1" bestFit="1" customWidth="1"/>
    <col min="7" max="13" width="9.140625" style="1"/>
    <col min="14" max="14" width="10.85546875" style="1" bestFit="1" customWidth="1"/>
    <col min="15" max="15" width="21" style="1" bestFit="1" customWidth="1"/>
    <col min="16" max="18" width="16.42578125" style="1" bestFit="1" customWidth="1"/>
    <col min="19" max="19" width="9.85546875" style="1" customWidth="1"/>
    <col min="20" max="16384" width="9.140625" style="1"/>
  </cols>
  <sheetData>
    <row r="2" spans="2:11" x14ac:dyDescent="0.2">
      <c r="B2" s="1" t="s">
        <v>31</v>
      </c>
      <c r="C2" s="1" t="s">
        <v>23</v>
      </c>
      <c r="D2" s="1" t="s">
        <v>6</v>
      </c>
      <c r="E2" s="1" t="s">
        <v>30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0</v>
      </c>
      <c r="K2" s="1" t="s">
        <v>5</v>
      </c>
    </row>
    <row r="3" spans="2:11" x14ac:dyDescent="0.2">
      <c r="B3" s="26" t="str">
        <f>_xlfn.XLOOKUP(Total[[#This Row],[Metodo]],TbSolver[Metodo],TbSolver[Solver])</f>
        <v>Runge Kutta</v>
      </c>
      <c r="C3" s="26" t="str">
        <f>_xlfn.XLOOKUP(Total[[#This Row],[Hebras]],TbTecnologia[Hebras],TbTecnologia[Tecnología])</f>
        <v>OMP</v>
      </c>
      <c r="D3" s="26" t="str" cm="1">
        <f t="array" ref="D3">_xlfn.XLOOKUP(Total[[#This Row],[Tecnología]]&amp;Total[[#This Row],[Metodo]],TbTipos[Tecnología]&amp;TbTipos[Metodo],TbTipos[Tipo])</f>
        <v>OMP Operaciones</v>
      </c>
      <c r="E3" s="26" t="str" cm="1">
        <f t="array" ref="E3">_xlfn.XLOOKUP(Total[[#This Row],[Tecnología]]&amp;Total[[#This Row],[Problema]],TbNombres[Tecnología]&amp;TbNombres[Problema],TbNombres[Nombre])</f>
        <v>Simple Advdiff</v>
      </c>
      <c r="F3" s="1">
        <v>1</v>
      </c>
      <c r="G3" s="1">
        <v>1</v>
      </c>
      <c r="H3" s="1">
        <v>1</v>
      </c>
      <c r="I3" s="1">
        <v>100</v>
      </c>
      <c r="J3" s="1">
        <v>100</v>
      </c>
      <c r="K3" s="1">
        <v>2.7344300000000001</v>
      </c>
    </row>
    <row r="4" spans="2:11" x14ac:dyDescent="0.2">
      <c r="B4" s="26" t="str">
        <f>_xlfn.XLOOKUP(Total[[#This Row],[Metodo]],TbSolver[Metodo],TbSolver[Solver])</f>
        <v>Runge Kutta</v>
      </c>
      <c r="C4" s="26" t="str">
        <f>_xlfn.XLOOKUP(Total[[#This Row],[Hebras]],TbTecnologia[Hebras],TbTecnologia[Tecnología])</f>
        <v>OMP</v>
      </c>
      <c r="D4" s="26" t="str" cm="1">
        <f t="array" ref="D4">_xlfn.XLOOKUP(Total[[#This Row],[Tecnología]]&amp;Total[[#This Row],[Metodo]],TbTipos[Tecnología]&amp;TbTipos[Metodo],TbTipos[Tipo])</f>
        <v>OMP Elementos</v>
      </c>
      <c r="E4" s="26" t="str" cm="1">
        <f t="array" ref="E4">_xlfn.XLOOKUP(Total[[#This Row],[Tecnología]]&amp;Total[[#This Row],[Problema]],TbNombres[Tecnología]&amp;TbNombres[Problema],TbNombres[Nombre])</f>
        <v>Simple Advdiff</v>
      </c>
      <c r="F4" s="1">
        <v>2</v>
      </c>
      <c r="G4" s="1">
        <v>1</v>
      </c>
      <c r="H4" s="1">
        <v>1</v>
      </c>
      <c r="I4" s="1">
        <v>100</v>
      </c>
      <c r="J4" s="1">
        <v>100</v>
      </c>
      <c r="K4" s="1">
        <v>3.68499</v>
      </c>
    </row>
    <row r="5" spans="2:11" x14ac:dyDescent="0.2">
      <c r="B5" s="26" t="str">
        <f>_xlfn.XLOOKUP(Total[[#This Row],[Metodo]],TbSolver[Metodo],TbSolver[Solver])</f>
        <v>Runge Kutta</v>
      </c>
      <c r="C5" s="26" t="str">
        <f>_xlfn.XLOOKUP(Total[[#This Row],[Hebras]],TbTecnologia[Hebras],TbTecnologia[Tecnología])</f>
        <v>OMP</v>
      </c>
      <c r="D5" s="26" t="str" cm="1">
        <f t="array" ref="D5">_xlfn.XLOOKUP(Total[[#This Row],[Tecnología]]&amp;Total[[#This Row],[Metodo]],TbTipos[Tecnología]&amp;TbTipos[Metodo],TbTipos[Tipo])</f>
        <v>OMP Elementos</v>
      </c>
      <c r="E5" s="26" t="str" cm="1">
        <f t="array" ref="E5">_xlfn.XLOOKUP(Total[[#This Row],[Tecnología]]&amp;Total[[#This Row],[Problema]],TbNombres[Tecnología]&amp;TbNombres[Problema],TbNombres[Nombre])</f>
        <v>Simple Advdiff</v>
      </c>
      <c r="F5" s="1">
        <v>2</v>
      </c>
      <c r="G5" s="1">
        <v>1</v>
      </c>
      <c r="H5" s="1">
        <v>4</v>
      </c>
      <c r="I5" s="1">
        <v>100</v>
      </c>
      <c r="J5" s="1">
        <v>100</v>
      </c>
      <c r="K5" s="1">
        <v>8.7560699999999994</v>
      </c>
    </row>
    <row r="6" spans="2:11" x14ac:dyDescent="0.2">
      <c r="B6" s="26" t="str">
        <f>_xlfn.XLOOKUP(Total[[#This Row],[Metodo]],TbSolver[Metodo],TbSolver[Solver])</f>
        <v>Runge Kutta</v>
      </c>
      <c r="C6" s="26" t="str">
        <f>_xlfn.XLOOKUP(Total[[#This Row],[Hebras]],TbTecnologia[Hebras],TbTecnologia[Tecnología])</f>
        <v>CUDA</v>
      </c>
      <c r="D6" s="26" t="str" cm="1">
        <f t="array" ref="D6">_xlfn.XLOOKUP(Total[[#This Row],[Tecnología]]&amp;Total[[#This Row],[Metodo]],TbTipos[Tecnología]&amp;TbTipos[Metodo],TbTipos[Tipo])</f>
        <v>CUDA con graph</v>
      </c>
      <c r="E6" s="26" t="str" cm="1">
        <f t="array" ref="E6">_xlfn.XLOOKUP(Total[[#This Row],[Tecnología]]&amp;Total[[#This Row],[Problema]],TbNombres[Tecnología]&amp;TbNombres[Problema],TbNombres[Nombre])</f>
        <v>Simple Advdiff</v>
      </c>
      <c r="F6" s="1">
        <v>2</v>
      </c>
      <c r="G6" s="1">
        <v>1</v>
      </c>
      <c r="H6" s="1">
        <v>256</v>
      </c>
      <c r="I6" s="1">
        <v>100</v>
      </c>
      <c r="J6" s="1">
        <v>100</v>
      </c>
      <c r="K6" s="1">
        <v>10.740600000000001</v>
      </c>
    </row>
    <row r="7" spans="2:11" x14ac:dyDescent="0.2">
      <c r="B7" s="26" t="str">
        <f>_xlfn.XLOOKUP(Total[[#This Row],[Metodo]],TbSolver[Metodo],TbSolver[Solver])</f>
        <v>Runge Kutta</v>
      </c>
      <c r="C7" s="26" t="str">
        <f>_xlfn.XLOOKUP(Total[[#This Row],[Hebras]],TbTecnologia[Hebras],TbTecnologia[Tecnología])</f>
        <v>CUDA</v>
      </c>
      <c r="D7" s="26" t="str" cm="1">
        <f t="array" ref="D7">_xlfn.XLOOKUP(Total[[#This Row],[Tecnología]]&amp;Total[[#This Row],[Metodo]],TbTipos[Tecnología]&amp;TbTipos[Metodo],TbTipos[Tipo])</f>
        <v>CUDA con graph</v>
      </c>
      <c r="E7" s="26" t="str" cm="1">
        <f t="array" ref="E7">_xlfn.XLOOKUP(Total[[#This Row],[Tecnología]]&amp;Total[[#This Row],[Problema]],TbNombres[Tecnología]&amp;TbNombres[Problema],TbNombres[Nombre])</f>
        <v>Simple Advdiff shuffle</v>
      </c>
      <c r="F7" s="1">
        <v>2</v>
      </c>
      <c r="G7" s="1">
        <v>2</v>
      </c>
      <c r="H7" s="1">
        <v>256</v>
      </c>
      <c r="I7" s="1">
        <v>100</v>
      </c>
      <c r="J7" s="1">
        <v>100</v>
      </c>
      <c r="K7" s="1">
        <v>11.0594</v>
      </c>
    </row>
    <row r="8" spans="2:11" x14ac:dyDescent="0.2">
      <c r="B8" s="26" t="str">
        <f>_xlfn.XLOOKUP(Total[[#This Row],[Metodo]],TbSolver[Metodo],TbSolver[Solver])</f>
        <v>Runge Kutta</v>
      </c>
      <c r="C8" s="26" t="str">
        <f>_xlfn.XLOOKUP(Total[[#This Row],[Hebras]],TbTecnologia[Hebras],TbTecnologia[Tecnología])</f>
        <v>CUDA</v>
      </c>
      <c r="D8" s="26" t="str" cm="1">
        <f t="array" ref="D8">_xlfn.XLOOKUP(Total[[#This Row],[Tecnología]]&amp;Total[[#This Row],[Metodo]],TbTipos[Tecnología]&amp;TbTipos[Metodo],TbTipos[Tipo])</f>
        <v>CUDA sin graph</v>
      </c>
      <c r="E8" s="26" t="str" cm="1">
        <f t="array" ref="E8">_xlfn.XLOOKUP(Total[[#This Row],[Tecnología]]&amp;Total[[#This Row],[Problema]],TbNombres[Tecnología]&amp;TbNombres[Problema],TbNombres[Nombre])</f>
        <v>Simple Advdiff</v>
      </c>
      <c r="F8" s="1">
        <v>1</v>
      </c>
      <c r="G8" s="1">
        <v>1</v>
      </c>
      <c r="H8" s="1">
        <v>256</v>
      </c>
      <c r="I8" s="1">
        <v>100</v>
      </c>
      <c r="J8" s="1">
        <v>100</v>
      </c>
      <c r="K8" s="1">
        <v>14.210800000000001</v>
      </c>
    </row>
    <row r="9" spans="2:11" x14ac:dyDescent="0.2">
      <c r="B9" s="26" t="str">
        <f>_xlfn.XLOOKUP(Total[[#This Row],[Metodo]],TbSolver[Metodo],TbSolver[Solver])</f>
        <v>Runge Kutta</v>
      </c>
      <c r="C9" s="26" t="str">
        <f>_xlfn.XLOOKUP(Total[[#This Row],[Hebras]],TbTecnologia[Hebras],TbTecnologia[Tecnología])</f>
        <v>CUDA</v>
      </c>
      <c r="D9" s="26" t="str" cm="1">
        <f t="array" ref="D9">_xlfn.XLOOKUP(Total[[#This Row],[Tecnología]]&amp;Total[[#This Row],[Metodo]],TbTipos[Tecnología]&amp;TbTipos[Metodo],TbTipos[Tipo])</f>
        <v>CUDA sin graph</v>
      </c>
      <c r="E9" s="26" t="str" cm="1">
        <f t="array" ref="E9">_xlfn.XLOOKUP(Total[[#This Row],[Tecnología]]&amp;Total[[#This Row],[Problema]],TbNombres[Tecnología]&amp;TbNombres[Problema],TbNombres[Nombre])</f>
        <v>Simple Advdiff shuffle</v>
      </c>
      <c r="F9" s="1">
        <v>1</v>
      </c>
      <c r="G9" s="1">
        <v>2</v>
      </c>
      <c r="H9" s="1">
        <v>256</v>
      </c>
      <c r="I9" s="1">
        <v>100</v>
      </c>
      <c r="J9" s="1">
        <v>100</v>
      </c>
      <c r="K9" s="1">
        <v>17.4419</v>
      </c>
    </row>
    <row r="10" spans="2:11" x14ac:dyDescent="0.2">
      <c r="B10" s="26" t="str">
        <f>_xlfn.XLOOKUP(Total[[#This Row],[Metodo]],TbSolver[Metodo],TbSolver[Solver])</f>
        <v>Runge Kutta</v>
      </c>
      <c r="C10" s="26" t="str">
        <f>_xlfn.XLOOKUP(Total[[#This Row],[Hebras]],TbTecnologia[Hebras],TbTecnologia[Tecnología])</f>
        <v>OMP</v>
      </c>
      <c r="D10" s="26" t="str" cm="1">
        <f t="array" ref="D10">_xlfn.XLOOKUP(Total[[#This Row],[Tecnología]]&amp;Total[[#This Row],[Metodo]],TbTipos[Tecnología]&amp;TbTipos[Metodo],TbTipos[Tipo])</f>
        <v>OMP Elementos</v>
      </c>
      <c r="E10" s="26" t="str" cm="1">
        <f t="array" ref="E10">_xlfn.XLOOKUP(Total[[#This Row],[Tecnología]]&amp;Total[[#This Row],[Problema]],TbNombres[Tecnología]&amp;TbNombres[Problema],TbNombres[Nombre])</f>
        <v>Simple Advdiff</v>
      </c>
      <c r="F10" s="1">
        <v>2</v>
      </c>
      <c r="G10" s="1">
        <v>1</v>
      </c>
      <c r="H10" s="1">
        <v>16</v>
      </c>
      <c r="I10" s="1">
        <v>100</v>
      </c>
      <c r="J10" s="1">
        <v>100</v>
      </c>
      <c r="K10" s="1">
        <v>22.540800000000001</v>
      </c>
    </row>
    <row r="11" spans="2:11" x14ac:dyDescent="0.2">
      <c r="B11" s="26" t="str">
        <f>_xlfn.XLOOKUP(Total[[#This Row],[Metodo]],TbSolver[Metodo],TbSolver[Solver])</f>
        <v>Runge Kutta</v>
      </c>
      <c r="C11" s="26" t="str">
        <f>_xlfn.XLOOKUP(Total[[#This Row],[Hebras]],TbTecnologia[Hebras],TbTecnologia[Tecnología])</f>
        <v>OMP</v>
      </c>
      <c r="D11" s="26" t="str" cm="1">
        <f t="array" ref="D11">_xlfn.XLOOKUP(Total[[#This Row],[Tecnología]]&amp;Total[[#This Row],[Metodo]],TbTipos[Tecnología]&amp;TbTipos[Metodo],TbTipos[Tipo])</f>
        <v>OMP Operaciones</v>
      </c>
      <c r="E11" s="26" t="str" cm="1">
        <f t="array" ref="E11">_xlfn.XLOOKUP(Total[[#This Row],[Tecnología]]&amp;Total[[#This Row],[Problema]],TbNombres[Tecnología]&amp;TbNombres[Problema],TbNombres[Nombre])</f>
        <v>Simple Advdiff</v>
      </c>
      <c r="F11" s="1">
        <v>1</v>
      </c>
      <c r="G11" s="1">
        <v>1</v>
      </c>
      <c r="H11" s="1">
        <v>4</v>
      </c>
      <c r="I11" s="1">
        <v>100</v>
      </c>
      <c r="J11" s="1">
        <v>100</v>
      </c>
      <c r="K11" s="1">
        <v>25.209800000000001</v>
      </c>
    </row>
    <row r="12" spans="2:11" x14ac:dyDescent="0.2">
      <c r="B12" s="26" t="str">
        <f>_xlfn.XLOOKUP(Total[[#This Row],[Metodo]],TbSolver[Metodo],TbSolver[Solver])</f>
        <v>Runge Kutta</v>
      </c>
      <c r="C12" s="26" t="str">
        <f>_xlfn.XLOOKUP(Total[[#This Row],[Hebras]],TbTecnologia[Hebras],TbTecnologia[Tecnología])</f>
        <v>OMP</v>
      </c>
      <c r="D12" s="26" t="str" cm="1">
        <f t="array" ref="D12">_xlfn.XLOOKUP(Total[[#This Row],[Tecnología]]&amp;Total[[#This Row],[Metodo]],TbTipos[Tecnología]&amp;TbTipos[Metodo],TbTipos[Tipo])</f>
        <v>OMP Operaciones</v>
      </c>
      <c r="E12" s="26" t="str" cm="1">
        <f t="array" ref="E12">_xlfn.XLOOKUP(Total[[#This Row],[Tecnología]]&amp;Total[[#This Row],[Problema]],TbNombres[Tecnología]&amp;TbNombres[Problema],TbNombres[Nombre])</f>
        <v>Simple Advdiff</v>
      </c>
      <c r="F12" s="1">
        <v>1</v>
      </c>
      <c r="G12" s="1">
        <v>1</v>
      </c>
      <c r="H12" s="1">
        <v>16</v>
      </c>
      <c r="I12" s="1">
        <v>100</v>
      </c>
      <c r="J12" s="1">
        <v>100</v>
      </c>
      <c r="K12" s="1">
        <v>61.1526</v>
      </c>
    </row>
    <row r="13" spans="2:11" x14ac:dyDescent="0.2">
      <c r="B13" s="26" t="str">
        <f>_xlfn.XLOOKUP(Total[[#This Row],[Metodo]],TbSolver[Metodo],TbSolver[Solver])</f>
        <v>Runge Kutta</v>
      </c>
      <c r="C13" s="26" t="str">
        <f>_xlfn.XLOOKUP(Total[[#This Row],[Hebras]],TbTecnologia[Hebras],TbTecnologia[Tecnología])</f>
        <v>OMP</v>
      </c>
      <c r="D13" s="26" t="str" cm="1">
        <f t="array" ref="D13">_xlfn.XLOOKUP(Total[[#This Row],[Tecnología]]&amp;Total[[#This Row],[Metodo]],TbTipos[Tecnología]&amp;TbTipos[Metodo],TbTipos[Tipo])</f>
        <v>OMP Operaciones</v>
      </c>
      <c r="E13" s="26" t="str" cm="1">
        <f t="array" ref="E13">_xlfn.XLOOKUP(Total[[#This Row],[Tecnología]]&amp;Total[[#This Row],[Problema]],TbNombres[Tecnología]&amp;TbNombres[Problema],TbNombres[Nombre])</f>
        <v>Simple Advdiff</v>
      </c>
      <c r="F13" s="1">
        <v>1</v>
      </c>
      <c r="G13" s="1">
        <v>1</v>
      </c>
      <c r="H13" s="1">
        <v>1</v>
      </c>
      <c r="I13" s="1">
        <v>200</v>
      </c>
      <c r="J13" s="1">
        <v>200</v>
      </c>
      <c r="K13" s="1">
        <v>3.2512799999999999</v>
      </c>
    </row>
    <row r="14" spans="2:11" x14ac:dyDescent="0.2">
      <c r="B14" s="26" t="str">
        <f>_xlfn.XLOOKUP(Total[[#This Row],[Metodo]],TbSolver[Metodo],TbSolver[Solver])</f>
        <v>Runge Kutta</v>
      </c>
      <c r="C14" s="26" t="str">
        <f>_xlfn.XLOOKUP(Total[[#This Row],[Hebras]],TbTecnologia[Hebras],TbTecnologia[Tecnología])</f>
        <v>OMP</v>
      </c>
      <c r="D14" s="26" t="str" cm="1">
        <f t="array" ref="D14">_xlfn.XLOOKUP(Total[[#This Row],[Tecnología]]&amp;Total[[#This Row],[Metodo]],TbTipos[Tecnología]&amp;TbTipos[Metodo],TbTipos[Tipo])</f>
        <v>OMP Elementos</v>
      </c>
      <c r="E14" s="26" t="str" cm="1">
        <f t="array" ref="E14">_xlfn.XLOOKUP(Total[[#This Row],[Tecnología]]&amp;Total[[#This Row],[Problema]],TbNombres[Tecnología]&amp;TbNombres[Problema],TbNombres[Nombre])</f>
        <v>Simple Advdiff</v>
      </c>
      <c r="F14" s="1">
        <v>2</v>
      </c>
      <c r="G14" s="1">
        <v>1</v>
      </c>
      <c r="H14" s="1">
        <v>1</v>
      </c>
      <c r="I14" s="1">
        <v>200</v>
      </c>
      <c r="J14" s="1">
        <v>200</v>
      </c>
      <c r="K14" s="1">
        <v>6.65367</v>
      </c>
    </row>
    <row r="15" spans="2:11" x14ac:dyDescent="0.2">
      <c r="B15" s="26" t="str">
        <f>_xlfn.XLOOKUP(Total[[#This Row],[Metodo]],TbSolver[Metodo],TbSolver[Solver])</f>
        <v>Runge Kutta</v>
      </c>
      <c r="C15" s="26" t="str">
        <f>_xlfn.XLOOKUP(Total[[#This Row],[Hebras]],TbTecnologia[Hebras],TbTecnologia[Tecnología])</f>
        <v>OMP</v>
      </c>
      <c r="D15" s="26" t="str" cm="1">
        <f t="array" ref="D15">_xlfn.XLOOKUP(Total[[#This Row],[Tecnología]]&amp;Total[[#This Row],[Metodo]],TbTipos[Tecnología]&amp;TbTipos[Metodo],TbTipos[Tipo])</f>
        <v>OMP Elementos</v>
      </c>
      <c r="E15" s="26" t="str" cm="1">
        <f t="array" ref="E15">_xlfn.XLOOKUP(Total[[#This Row],[Tecnología]]&amp;Total[[#This Row],[Problema]],TbNombres[Tecnología]&amp;TbNombres[Problema],TbNombres[Nombre])</f>
        <v>Simple Advdiff</v>
      </c>
      <c r="F15" s="1">
        <v>2</v>
      </c>
      <c r="G15" s="1">
        <v>1</v>
      </c>
      <c r="H15" s="1">
        <v>4</v>
      </c>
      <c r="I15" s="1">
        <v>200</v>
      </c>
      <c r="J15" s="1">
        <v>200</v>
      </c>
      <c r="K15" s="1">
        <v>8.3852899999999995</v>
      </c>
    </row>
    <row r="16" spans="2:11" x14ac:dyDescent="0.2">
      <c r="B16" s="26" t="str">
        <f>_xlfn.XLOOKUP(Total[[#This Row],[Metodo]],TbSolver[Metodo],TbSolver[Solver])</f>
        <v>Runge Kutta</v>
      </c>
      <c r="C16" s="26" t="str">
        <f>_xlfn.XLOOKUP(Total[[#This Row],[Hebras]],TbTecnologia[Hebras],TbTecnologia[Tecnología])</f>
        <v>CUDA</v>
      </c>
      <c r="D16" s="26" t="str" cm="1">
        <f t="array" ref="D16">_xlfn.XLOOKUP(Total[[#This Row],[Tecnología]]&amp;Total[[#This Row],[Metodo]],TbTipos[Tecnología]&amp;TbTipos[Metodo],TbTipos[Tipo])</f>
        <v>CUDA con graph</v>
      </c>
      <c r="E16" s="26" t="str" cm="1">
        <f t="array" ref="E16">_xlfn.XLOOKUP(Total[[#This Row],[Tecnología]]&amp;Total[[#This Row],[Problema]],TbNombres[Tecnología]&amp;TbNombres[Problema],TbNombres[Nombre])</f>
        <v>Simple Advdiff</v>
      </c>
      <c r="F16" s="1">
        <v>2</v>
      </c>
      <c r="G16" s="1">
        <v>1</v>
      </c>
      <c r="H16" s="1">
        <v>256</v>
      </c>
      <c r="I16" s="1">
        <v>200</v>
      </c>
      <c r="J16" s="1">
        <v>200</v>
      </c>
      <c r="K16" s="1">
        <v>12.125500000000001</v>
      </c>
    </row>
    <row r="17" spans="2:11" x14ac:dyDescent="0.2">
      <c r="B17" s="26" t="str">
        <f>_xlfn.XLOOKUP(Total[[#This Row],[Metodo]],TbSolver[Metodo],TbSolver[Solver])</f>
        <v>Runge Kutta</v>
      </c>
      <c r="C17" s="26" t="str">
        <f>_xlfn.XLOOKUP(Total[[#This Row],[Hebras]],TbTecnologia[Hebras],TbTecnologia[Tecnología])</f>
        <v>CUDA</v>
      </c>
      <c r="D17" s="26" t="str" cm="1">
        <f t="array" ref="D17">_xlfn.XLOOKUP(Total[[#This Row],[Tecnología]]&amp;Total[[#This Row],[Metodo]],TbTipos[Tecnología]&amp;TbTipos[Metodo],TbTipos[Tipo])</f>
        <v>CUDA con graph</v>
      </c>
      <c r="E17" s="26" t="str" cm="1">
        <f t="array" ref="E17">_xlfn.XLOOKUP(Total[[#This Row],[Tecnología]]&amp;Total[[#This Row],[Problema]],TbNombres[Tecnología]&amp;TbNombres[Problema],TbNombres[Nombre])</f>
        <v>Simple Advdiff shuffle</v>
      </c>
      <c r="F17" s="1">
        <v>2</v>
      </c>
      <c r="G17" s="1">
        <v>2</v>
      </c>
      <c r="H17" s="1">
        <v>256</v>
      </c>
      <c r="I17" s="1">
        <v>200</v>
      </c>
      <c r="J17" s="1">
        <v>200</v>
      </c>
      <c r="K17" s="1">
        <v>12.1938</v>
      </c>
    </row>
    <row r="18" spans="2:11" x14ac:dyDescent="0.2">
      <c r="B18" s="26" t="str">
        <f>_xlfn.XLOOKUP(Total[[#This Row],[Metodo]],TbSolver[Metodo],TbSolver[Solver])</f>
        <v>Runge Kutta</v>
      </c>
      <c r="C18" s="26" t="str">
        <f>_xlfn.XLOOKUP(Total[[#This Row],[Hebras]],TbTecnologia[Hebras],TbTecnologia[Tecnología])</f>
        <v>CUDA</v>
      </c>
      <c r="D18" s="26" t="str" cm="1">
        <f t="array" ref="D18">_xlfn.XLOOKUP(Total[[#This Row],[Tecnología]]&amp;Total[[#This Row],[Metodo]],TbTipos[Tecnología]&amp;TbTipos[Metodo],TbTipos[Tipo])</f>
        <v>CUDA sin graph</v>
      </c>
      <c r="E18" s="26" t="str" cm="1">
        <f t="array" ref="E18">_xlfn.XLOOKUP(Total[[#This Row],[Tecnología]]&amp;Total[[#This Row],[Problema]],TbNombres[Tecnología]&amp;TbNombres[Problema],TbNombres[Nombre])</f>
        <v>Simple Advdiff</v>
      </c>
      <c r="F18" s="1">
        <v>1</v>
      </c>
      <c r="G18" s="1">
        <v>1</v>
      </c>
      <c r="H18" s="1">
        <v>256</v>
      </c>
      <c r="I18" s="1">
        <v>200</v>
      </c>
      <c r="J18" s="1">
        <v>200</v>
      </c>
      <c r="K18" s="1">
        <v>15.0952</v>
      </c>
    </row>
    <row r="19" spans="2:11" x14ac:dyDescent="0.2">
      <c r="B19" s="26" t="str">
        <f>_xlfn.XLOOKUP(Total[[#This Row],[Metodo]],TbSolver[Metodo],TbSolver[Solver])</f>
        <v>Runge Kutta</v>
      </c>
      <c r="C19" s="26" t="str">
        <f>_xlfn.XLOOKUP(Total[[#This Row],[Hebras]],TbTecnologia[Hebras],TbTecnologia[Tecnología])</f>
        <v>CUDA</v>
      </c>
      <c r="D19" s="26" t="str" cm="1">
        <f t="array" ref="D19">_xlfn.XLOOKUP(Total[[#This Row],[Tecnología]]&amp;Total[[#This Row],[Metodo]],TbTipos[Tecnología]&amp;TbTipos[Metodo],TbTipos[Tipo])</f>
        <v>CUDA sin graph</v>
      </c>
      <c r="E19" s="26" t="str" cm="1">
        <f t="array" ref="E19">_xlfn.XLOOKUP(Total[[#This Row],[Tecnología]]&amp;Total[[#This Row],[Problema]],TbNombres[Tecnología]&amp;TbNombres[Problema],TbNombres[Nombre])</f>
        <v>Simple Advdiff shuffle</v>
      </c>
      <c r="F19" s="1">
        <v>1</v>
      </c>
      <c r="G19" s="1">
        <v>2</v>
      </c>
      <c r="H19" s="1">
        <v>256</v>
      </c>
      <c r="I19" s="1">
        <v>200</v>
      </c>
      <c r="J19" s="1">
        <v>200</v>
      </c>
      <c r="K19" s="1">
        <v>18.799099999999999</v>
      </c>
    </row>
    <row r="20" spans="2:11" x14ac:dyDescent="0.2">
      <c r="B20" s="26" t="str">
        <f>_xlfn.XLOOKUP(Total[[#This Row],[Metodo]],TbSolver[Metodo],TbSolver[Solver])</f>
        <v>Runge Kutta</v>
      </c>
      <c r="C20" s="26" t="str">
        <f>_xlfn.XLOOKUP(Total[[#This Row],[Hebras]],TbTecnologia[Hebras],TbTecnologia[Tecnología])</f>
        <v>OMP</v>
      </c>
      <c r="D20" s="26" t="str" cm="1">
        <f t="array" ref="D20">_xlfn.XLOOKUP(Total[[#This Row],[Tecnología]]&amp;Total[[#This Row],[Metodo]],TbTipos[Tecnología]&amp;TbTipos[Metodo],TbTipos[Tipo])</f>
        <v>OMP Operaciones</v>
      </c>
      <c r="E20" s="26" t="str" cm="1">
        <f t="array" ref="E20">_xlfn.XLOOKUP(Total[[#This Row],[Tecnología]]&amp;Total[[#This Row],[Problema]],TbNombres[Tecnología]&amp;TbNombres[Problema],TbNombres[Nombre])</f>
        <v>Simple Advdiff</v>
      </c>
      <c r="F20" s="1">
        <v>1</v>
      </c>
      <c r="G20" s="1">
        <v>1</v>
      </c>
      <c r="H20" s="1">
        <v>4</v>
      </c>
      <c r="I20" s="1">
        <v>200</v>
      </c>
      <c r="J20" s="1">
        <v>200</v>
      </c>
      <c r="K20" s="1">
        <v>23.6295</v>
      </c>
    </row>
    <row r="21" spans="2:11" x14ac:dyDescent="0.2">
      <c r="B21" s="26" t="str">
        <f>_xlfn.XLOOKUP(Total[[#This Row],[Metodo]],TbSolver[Metodo],TbSolver[Solver])</f>
        <v>Runge Kutta</v>
      </c>
      <c r="C21" s="26" t="str">
        <f>_xlfn.XLOOKUP(Total[[#This Row],[Hebras]],TbTecnologia[Hebras],TbTecnologia[Tecnología])</f>
        <v>OMP</v>
      </c>
      <c r="D21" s="26" t="str" cm="1">
        <f t="array" ref="D21">_xlfn.XLOOKUP(Total[[#This Row],[Tecnología]]&amp;Total[[#This Row],[Metodo]],TbTipos[Tecnología]&amp;TbTipos[Metodo],TbTipos[Tipo])</f>
        <v>OMP Elementos</v>
      </c>
      <c r="E21" s="26" t="str" cm="1">
        <f t="array" ref="E21">_xlfn.XLOOKUP(Total[[#This Row],[Tecnología]]&amp;Total[[#This Row],[Problema]],TbNombres[Tecnología]&amp;TbNombres[Problema],TbNombres[Nombre])</f>
        <v>Simple Advdiff</v>
      </c>
      <c r="F21" s="1">
        <v>2</v>
      </c>
      <c r="G21" s="1">
        <v>1</v>
      </c>
      <c r="H21" s="1">
        <v>16</v>
      </c>
      <c r="I21" s="1">
        <v>200</v>
      </c>
      <c r="J21" s="1">
        <v>200</v>
      </c>
      <c r="K21" s="1">
        <v>25.333300000000001</v>
      </c>
    </row>
    <row r="22" spans="2:11" x14ac:dyDescent="0.2">
      <c r="B22" s="26" t="str">
        <f>_xlfn.XLOOKUP(Total[[#This Row],[Metodo]],TbSolver[Metodo],TbSolver[Solver])</f>
        <v>Runge Kutta</v>
      </c>
      <c r="C22" s="26" t="str">
        <f>_xlfn.XLOOKUP(Total[[#This Row],[Hebras]],TbTecnologia[Hebras],TbTecnologia[Tecnología])</f>
        <v>OMP</v>
      </c>
      <c r="D22" s="26" t="str" cm="1">
        <f t="array" ref="D22">_xlfn.XLOOKUP(Total[[#This Row],[Tecnología]]&amp;Total[[#This Row],[Metodo]],TbTipos[Tecnología]&amp;TbTipos[Metodo],TbTipos[Tipo])</f>
        <v>OMP Operaciones</v>
      </c>
      <c r="E22" s="26" t="str" cm="1">
        <f t="array" ref="E22">_xlfn.XLOOKUP(Total[[#This Row],[Tecnología]]&amp;Total[[#This Row],[Problema]],TbNombres[Tecnología]&amp;TbNombres[Problema],TbNombres[Nombre])</f>
        <v>Simple Advdiff</v>
      </c>
      <c r="F22" s="1">
        <v>1</v>
      </c>
      <c r="G22" s="1">
        <v>1</v>
      </c>
      <c r="H22" s="1">
        <v>16</v>
      </c>
      <c r="I22" s="1">
        <v>200</v>
      </c>
      <c r="J22" s="1">
        <v>200</v>
      </c>
      <c r="K22" s="1">
        <v>63.666400000000003</v>
      </c>
    </row>
    <row r="23" spans="2:11" x14ac:dyDescent="0.2">
      <c r="B23" s="26" t="str">
        <f>_xlfn.XLOOKUP(Total[[#This Row],[Metodo]],TbSolver[Metodo],TbSolver[Solver])</f>
        <v>Runge Kutta</v>
      </c>
      <c r="C23" s="26" t="str">
        <f>_xlfn.XLOOKUP(Total[[#This Row],[Hebras]],TbTecnologia[Hebras],TbTecnologia[Tecnología])</f>
        <v>OMP</v>
      </c>
      <c r="D23" s="26" t="str" cm="1">
        <f t="array" ref="D23">_xlfn.XLOOKUP(Total[[#This Row],[Tecnología]]&amp;Total[[#This Row],[Metodo]],TbTipos[Tecnología]&amp;TbTipos[Metodo],TbTipos[Tipo])</f>
        <v>OMP Operaciones</v>
      </c>
      <c r="E23" s="26" t="str" cm="1">
        <f t="array" ref="E23">_xlfn.XLOOKUP(Total[[#This Row],[Tecnología]]&amp;Total[[#This Row],[Problema]],TbNombres[Tecnología]&amp;TbNombres[Problema],TbNombres[Nombre])</f>
        <v>Simple Advdiff</v>
      </c>
      <c r="F23" s="1">
        <v>1</v>
      </c>
      <c r="G23" s="1">
        <v>1</v>
      </c>
      <c r="H23" s="1">
        <v>1</v>
      </c>
      <c r="I23" s="1">
        <v>500</v>
      </c>
      <c r="J23" s="1">
        <v>500</v>
      </c>
      <c r="K23" s="1">
        <v>4.8437700000000001</v>
      </c>
    </row>
    <row r="24" spans="2:11" x14ac:dyDescent="0.2">
      <c r="B24" s="26" t="str">
        <f>_xlfn.XLOOKUP(Total[[#This Row],[Metodo]],TbSolver[Metodo],TbSolver[Solver])</f>
        <v>Runge Kutta</v>
      </c>
      <c r="C24" s="26" t="str">
        <f>_xlfn.XLOOKUP(Total[[#This Row],[Hebras]],TbTecnologia[Hebras],TbTecnologia[Tecnología])</f>
        <v>OMP</v>
      </c>
      <c r="D24" s="26" t="str" cm="1">
        <f t="array" ref="D24">_xlfn.XLOOKUP(Total[[#This Row],[Tecnología]]&amp;Total[[#This Row],[Metodo]],TbTipos[Tecnología]&amp;TbTipos[Metodo],TbTipos[Tipo])</f>
        <v>OMP Elementos</v>
      </c>
      <c r="E24" s="26" t="str" cm="1">
        <f t="array" ref="E24">_xlfn.XLOOKUP(Total[[#This Row],[Tecnología]]&amp;Total[[#This Row],[Problema]],TbNombres[Tecnología]&amp;TbNombres[Problema],TbNombres[Nombre])</f>
        <v>Simple Advdiff</v>
      </c>
      <c r="F24" s="1">
        <v>2</v>
      </c>
      <c r="G24" s="1">
        <v>1</v>
      </c>
      <c r="H24" s="1">
        <v>4</v>
      </c>
      <c r="I24" s="1">
        <v>500</v>
      </c>
      <c r="J24" s="1">
        <v>500</v>
      </c>
      <c r="K24" s="1">
        <v>9.5966100000000001</v>
      </c>
    </row>
    <row r="25" spans="2:11" x14ac:dyDescent="0.2">
      <c r="B25" s="26" t="str">
        <f>_xlfn.XLOOKUP(Total[[#This Row],[Metodo]],TbSolver[Metodo],TbSolver[Solver])</f>
        <v>Runge Kutta</v>
      </c>
      <c r="C25" s="26" t="str">
        <f>_xlfn.XLOOKUP(Total[[#This Row],[Hebras]],TbTecnologia[Hebras],TbTecnologia[Tecnología])</f>
        <v>CUDA</v>
      </c>
      <c r="D25" s="26" t="str" cm="1">
        <f t="array" ref="D25">_xlfn.XLOOKUP(Total[[#This Row],[Tecnología]]&amp;Total[[#This Row],[Metodo]],TbTipos[Tecnología]&amp;TbTipos[Metodo],TbTipos[Tipo])</f>
        <v>CUDA con graph</v>
      </c>
      <c r="E25" s="26" t="str" cm="1">
        <f t="array" ref="E25">_xlfn.XLOOKUP(Total[[#This Row],[Tecnología]]&amp;Total[[#This Row],[Problema]],TbNombres[Tecnología]&amp;TbNombres[Problema],TbNombres[Nombre])</f>
        <v>Simple Advdiff</v>
      </c>
      <c r="F25" s="1">
        <v>2</v>
      </c>
      <c r="G25" s="1">
        <v>1</v>
      </c>
      <c r="H25" s="1">
        <v>256</v>
      </c>
      <c r="I25" s="1">
        <v>500</v>
      </c>
      <c r="J25" s="1">
        <v>500</v>
      </c>
      <c r="K25" s="1">
        <v>12.6839</v>
      </c>
    </row>
    <row r="26" spans="2:11" x14ac:dyDescent="0.2">
      <c r="B26" s="26" t="str">
        <f>_xlfn.XLOOKUP(Total[[#This Row],[Metodo]],TbSolver[Metodo],TbSolver[Solver])</f>
        <v>Runge Kutta</v>
      </c>
      <c r="C26" s="26" t="str">
        <f>_xlfn.XLOOKUP(Total[[#This Row],[Hebras]],TbTecnologia[Hebras],TbTecnologia[Tecnología])</f>
        <v>CUDA</v>
      </c>
      <c r="D26" s="26" t="str" cm="1">
        <f t="array" ref="D26">_xlfn.XLOOKUP(Total[[#This Row],[Tecnología]]&amp;Total[[#This Row],[Metodo]],TbTipos[Tecnología]&amp;TbTipos[Metodo],TbTipos[Tipo])</f>
        <v>CUDA con graph</v>
      </c>
      <c r="E26" s="26" t="str" cm="1">
        <f t="array" ref="E26">_xlfn.XLOOKUP(Total[[#This Row],[Tecnología]]&amp;Total[[#This Row],[Problema]],TbNombres[Tecnología]&amp;TbNombres[Problema],TbNombres[Nombre])</f>
        <v>Simple Advdiff shuffle</v>
      </c>
      <c r="F26" s="1">
        <v>2</v>
      </c>
      <c r="G26" s="1">
        <v>2</v>
      </c>
      <c r="H26" s="1">
        <v>256</v>
      </c>
      <c r="I26" s="1">
        <v>500</v>
      </c>
      <c r="J26" s="1">
        <v>500</v>
      </c>
      <c r="K26" s="1">
        <v>12.726599999999999</v>
      </c>
    </row>
    <row r="27" spans="2:11" x14ac:dyDescent="0.2">
      <c r="B27" s="26" t="str">
        <f>_xlfn.XLOOKUP(Total[[#This Row],[Metodo]],TbSolver[Metodo],TbSolver[Solver])</f>
        <v>Runge Kutta</v>
      </c>
      <c r="C27" s="26" t="str">
        <f>_xlfn.XLOOKUP(Total[[#This Row],[Hebras]],TbTecnologia[Hebras],TbTecnologia[Tecnología])</f>
        <v>OMP</v>
      </c>
      <c r="D27" s="26" t="str" cm="1">
        <f t="array" ref="D27">_xlfn.XLOOKUP(Total[[#This Row],[Tecnología]]&amp;Total[[#This Row],[Metodo]],TbTipos[Tecnología]&amp;TbTipos[Metodo],TbTipos[Tipo])</f>
        <v>OMP Elementos</v>
      </c>
      <c r="E27" s="26" t="str" cm="1">
        <f t="array" ref="E27">_xlfn.XLOOKUP(Total[[#This Row],[Tecnología]]&amp;Total[[#This Row],[Problema]],TbNombres[Tecnología]&amp;TbNombres[Problema],TbNombres[Nombre])</f>
        <v>Simple Advdiff</v>
      </c>
      <c r="F27" s="1">
        <v>2</v>
      </c>
      <c r="G27" s="1">
        <v>1</v>
      </c>
      <c r="H27" s="1">
        <v>1</v>
      </c>
      <c r="I27" s="1">
        <v>500</v>
      </c>
      <c r="J27" s="1">
        <v>500</v>
      </c>
      <c r="K27" s="1">
        <v>15.7828</v>
      </c>
    </row>
    <row r="28" spans="2:11" x14ac:dyDescent="0.2">
      <c r="B28" s="26" t="str">
        <f>_xlfn.XLOOKUP(Total[[#This Row],[Metodo]],TbSolver[Metodo],TbSolver[Solver])</f>
        <v>Runge Kutta</v>
      </c>
      <c r="C28" s="26" t="str">
        <f>_xlfn.XLOOKUP(Total[[#This Row],[Hebras]],TbTecnologia[Hebras],TbTecnologia[Tecnología])</f>
        <v>CUDA</v>
      </c>
      <c r="D28" s="26" t="str" cm="1">
        <f t="array" ref="D28">_xlfn.XLOOKUP(Total[[#This Row],[Tecnología]]&amp;Total[[#This Row],[Metodo]],TbTipos[Tecnología]&amp;TbTipos[Metodo],TbTipos[Tipo])</f>
        <v>CUDA sin graph</v>
      </c>
      <c r="E28" s="26" t="str" cm="1">
        <f t="array" ref="E28">_xlfn.XLOOKUP(Total[[#This Row],[Tecnología]]&amp;Total[[#This Row],[Problema]],TbNombres[Tecnología]&amp;TbNombres[Problema],TbNombres[Nombre])</f>
        <v>Simple Advdiff</v>
      </c>
      <c r="F28" s="1">
        <v>1</v>
      </c>
      <c r="G28" s="1">
        <v>1</v>
      </c>
      <c r="H28" s="1">
        <v>256</v>
      </c>
      <c r="I28" s="1">
        <v>500</v>
      </c>
      <c r="J28" s="1">
        <v>500</v>
      </c>
      <c r="K28" s="1">
        <v>16.130500000000001</v>
      </c>
    </row>
    <row r="29" spans="2:11" x14ac:dyDescent="0.2">
      <c r="B29" s="26" t="str">
        <f>_xlfn.XLOOKUP(Total[[#This Row],[Metodo]],TbSolver[Metodo],TbSolver[Solver])</f>
        <v>Runge Kutta</v>
      </c>
      <c r="C29" s="26" t="str">
        <f>_xlfn.XLOOKUP(Total[[#This Row],[Hebras]],TbTecnologia[Hebras],TbTecnologia[Tecnología])</f>
        <v>CUDA</v>
      </c>
      <c r="D29" s="26" t="str" cm="1">
        <f t="array" ref="D29">_xlfn.XLOOKUP(Total[[#This Row],[Tecnología]]&amp;Total[[#This Row],[Metodo]],TbTipos[Tecnología]&amp;TbTipos[Metodo],TbTipos[Tipo])</f>
        <v>CUDA sin graph</v>
      </c>
      <c r="E29" s="26" t="str" cm="1">
        <f t="array" ref="E29">_xlfn.XLOOKUP(Total[[#This Row],[Tecnología]]&amp;Total[[#This Row],[Problema]],TbNombres[Tecnología]&amp;TbNombres[Problema],TbNombres[Nombre])</f>
        <v>Simple Advdiff shuffle</v>
      </c>
      <c r="F29" s="1">
        <v>1</v>
      </c>
      <c r="G29" s="1">
        <v>2</v>
      </c>
      <c r="H29" s="1">
        <v>256</v>
      </c>
      <c r="I29" s="1">
        <v>500</v>
      </c>
      <c r="J29" s="1">
        <v>500</v>
      </c>
      <c r="K29" s="1">
        <v>16.178000000000001</v>
      </c>
    </row>
    <row r="30" spans="2:11" x14ac:dyDescent="0.2">
      <c r="B30" s="26" t="str">
        <f>_xlfn.XLOOKUP(Total[[#This Row],[Metodo]],TbSolver[Metodo],TbSolver[Solver])</f>
        <v>Runge Kutta</v>
      </c>
      <c r="C30" s="26" t="str">
        <f>_xlfn.XLOOKUP(Total[[#This Row],[Hebras]],TbTecnologia[Hebras],TbTecnologia[Tecnología])</f>
        <v>OMP</v>
      </c>
      <c r="D30" s="26" t="str" cm="1">
        <f t="array" ref="D30">_xlfn.XLOOKUP(Total[[#This Row],[Tecnología]]&amp;Total[[#This Row],[Metodo]],TbTipos[Tecnología]&amp;TbTipos[Metodo],TbTipos[Tipo])</f>
        <v>OMP Elementos</v>
      </c>
      <c r="E30" s="26" t="str" cm="1">
        <f t="array" ref="E30">_xlfn.XLOOKUP(Total[[#This Row],[Tecnología]]&amp;Total[[#This Row],[Problema]],TbNombres[Tecnología]&amp;TbNombres[Problema],TbNombres[Nombre])</f>
        <v>Simple Advdiff</v>
      </c>
      <c r="F30" s="1">
        <v>2</v>
      </c>
      <c r="G30" s="1">
        <v>1</v>
      </c>
      <c r="H30" s="1">
        <v>16</v>
      </c>
      <c r="I30" s="1">
        <v>500</v>
      </c>
      <c r="J30" s="1">
        <v>500</v>
      </c>
      <c r="K30" s="1">
        <v>16.979199999999999</v>
      </c>
    </row>
    <row r="31" spans="2:11" x14ac:dyDescent="0.2">
      <c r="B31" s="26" t="str">
        <f>_xlfn.XLOOKUP(Total[[#This Row],[Metodo]],TbSolver[Metodo],TbSolver[Solver])</f>
        <v>Runge Kutta</v>
      </c>
      <c r="C31" s="26" t="str">
        <f>_xlfn.XLOOKUP(Total[[#This Row],[Hebras]],TbTecnologia[Hebras],TbTecnologia[Tecnología])</f>
        <v>OMP</v>
      </c>
      <c r="D31" s="26" t="str" cm="1">
        <f t="array" ref="D31">_xlfn.XLOOKUP(Total[[#This Row],[Tecnología]]&amp;Total[[#This Row],[Metodo]],TbTipos[Tecnología]&amp;TbTipos[Metodo],TbTipos[Tipo])</f>
        <v>OMP Operaciones</v>
      </c>
      <c r="E31" s="26" t="str" cm="1">
        <f t="array" ref="E31">_xlfn.XLOOKUP(Total[[#This Row],[Tecnología]]&amp;Total[[#This Row],[Problema]],TbNombres[Tecnología]&amp;TbNombres[Problema],TbNombres[Nombre])</f>
        <v>Simple Advdiff</v>
      </c>
      <c r="F31" s="1">
        <v>1</v>
      </c>
      <c r="G31" s="1">
        <v>1</v>
      </c>
      <c r="H31" s="1">
        <v>4</v>
      </c>
      <c r="I31" s="1">
        <v>500</v>
      </c>
      <c r="J31" s="1">
        <v>500</v>
      </c>
      <c r="K31" s="1">
        <v>24.8307</v>
      </c>
    </row>
    <row r="32" spans="2:11" x14ac:dyDescent="0.2">
      <c r="B32" s="26" t="str">
        <f>_xlfn.XLOOKUP(Total[[#This Row],[Metodo]],TbSolver[Metodo],TbSolver[Solver])</f>
        <v>Runge Kutta</v>
      </c>
      <c r="C32" s="26" t="str">
        <f>_xlfn.XLOOKUP(Total[[#This Row],[Hebras]],TbTecnologia[Hebras],TbTecnologia[Tecnología])</f>
        <v>OMP</v>
      </c>
      <c r="D32" s="26" t="str" cm="1">
        <f t="array" ref="D32">_xlfn.XLOOKUP(Total[[#This Row],[Tecnología]]&amp;Total[[#This Row],[Metodo]],TbTipos[Tecnología]&amp;TbTipos[Metodo],TbTipos[Tipo])</f>
        <v>OMP Operaciones</v>
      </c>
      <c r="E32" s="26" t="str" cm="1">
        <f t="array" ref="E32">_xlfn.XLOOKUP(Total[[#This Row],[Tecnología]]&amp;Total[[#This Row],[Problema]],TbNombres[Tecnología]&amp;TbNombres[Problema],TbNombres[Nombre])</f>
        <v>Simple Advdiff</v>
      </c>
      <c r="F32" s="1">
        <v>1</v>
      </c>
      <c r="G32" s="1">
        <v>1</v>
      </c>
      <c r="H32" s="1">
        <v>16</v>
      </c>
      <c r="I32" s="1">
        <v>500</v>
      </c>
      <c r="J32" s="1">
        <v>500</v>
      </c>
      <c r="K32" s="1">
        <v>58.3352</v>
      </c>
    </row>
    <row r="33" spans="2:11" x14ac:dyDescent="0.2">
      <c r="B33" s="26" t="str">
        <f>_xlfn.XLOOKUP(Total[[#This Row],[Metodo]],TbSolver[Metodo],TbSolver[Solver])</f>
        <v>Runge Kutta</v>
      </c>
      <c r="C33" s="26" t="str">
        <f>_xlfn.XLOOKUP(Total[[#This Row],[Hebras]],TbTecnologia[Hebras],TbTecnologia[Tecnología])</f>
        <v>OMP</v>
      </c>
      <c r="D33" s="26" t="str" cm="1">
        <f t="array" ref="D33">_xlfn.XLOOKUP(Total[[#This Row],[Tecnología]]&amp;Total[[#This Row],[Metodo]],TbTipos[Tecnología]&amp;TbTipos[Metodo],TbTipos[Tipo])</f>
        <v>OMP Operaciones</v>
      </c>
      <c r="E33" s="26" t="str" cm="1">
        <f t="array" ref="E33">_xlfn.XLOOKUP(Total[[#This Row],[Tecnología]]&amp;Total[[#This Row],[Problema]],TbNombres[Tecnología]&amp;TbNombres[Problema],TbNombres[Nombre])</f>
        <v>Simple Advdiff</v>
      </c>
      <c r="F33" s="1">
        <v>1</v>
      </c>
      <c r="G33" s="1">
        <v>1</v>
      </c>
      <c r="H33" s="1">
        <v>1</v>
      </c>
      <c r="I33" s="1">
        <v>1000</v>
      </c>
      <c r="J33" s="1">
        <v>1000</v>
      </c>
      <c r="K33" s="1">
        <v>7.3040399999999996</v>
      </c>
    </row>
    <row r="34" spans="2:11" x14ac:dyDescent="0.2">
      <c r="B34" s="26" t="str">
        <f>_xlfn.XLOOKUP(Total[[#This Row],[Metodo]],TbSolver[Metodo],TbSolver[Solver])</f>
        <v>Runge Kutta</v>
      </c>
      <c r="C34" s="26" t="str">
        <f>_xlfn.XLOOKUP(Total[[#This Row],[Hebras]],TbTecnologia[Hebras],TbTecnologia[Tecnología])</f>
        <v>CUDA</v>
      </c>
      <c r="D34" s="26" t="str" cm="1">
        <f t="array" ref="D34">_xlfn.XLOOKUP(Total[[#This Row],[Tecnología]]&amp;Total[[#This Row],[Metodo]],TbTipos[Tecnología]&amp;TbTipos[Metodo],TbTipos[Tipo])</f>
        <v>CUDA con graph</v>
      </c>
      <c r="E34" s="26" t="str" cm="1">
        <f t="array" ref="E34">_xlfn.XLOOKUP(Total[[#This Row],[Tecnología]]&amp;Total[[#This Row],[Problema]],TbNombres[Tecnología]&amp;TbNombres[Problema],TbNombres[Nombre])</f>
        <v>Simple Advdiff</v>
      </c>
      <c r="F34" s="1">
        <v>2</v>
      </c>
      <c r="G34" s="1">
        <v>1</v>
      </c>
      <c r="H34" s="1">
        <v>256</v>
      </c>
      <c r="I34" s="1">
        <v>1000</v>
      </c>
      <c r="J34" s="1">
        <v>1000</v>
      </c>
      <c r="K34" s="1">
        <v>12.7447</v>
      </c>
    </row>
    <row r="35" spans="2:11" x14ac:dyDescent="0.2">
      <c r="B35" s="26" t="str">
        <f>_xlfn.XLOOKUP(Total[[#This Row],[Metodo]],TbSolver[Metodo],TbSolver[Solver])</f>
        <v>Runge Kutta</v>
      </c>
      <c r="C35" s="26" t="str">
        <f>_xlfn.XLOOKUP(Total[[#This Row],[Hebras]],TbTecnologia[Hebras],TbTecnologia[Tecnología])</f>
        <v>CUDA</v>
      </c>
      <c r="D35" s="26" t="str" cm="1">
        <f t="array" ref="D35">_xlfn.XLOOKUP(Total[[#This Row],[Tecnología]]&amp;Total[[#This Row],[Metodo]],TbTipos[Tecnología]&amp;TbTipos[Metodo],TbTipos[Tipo])</f>
        <v>CUDA con graph</v>
      </c>
      <c r="E35" s="26" t="str" cm="1">
        <f t="array" ref="E35">_xlfn.XLOOKUP(Total[[#This Row],[Tecnología]]&amp;Total[[#This Row],[Problema]],TbNombres[Tecnología]&amp;TbNombres[Problema],TbNombres[Nombre])</f>
        <v>Simple Advdiff shuffle</v>
      </c>
      <c r="F35" s="1">
        <v>2</v>
      </c>
      <c r="G35" s="1">
        <v>2</v>
      </c>
      <c r="H35" s="1">
        <v>256</v>
      </c>
      <c r="I35" s="1">
        <v>1000</v>
      </c>
      <c r="J35" s="1">
        <v>1000</v>
      </c>
      <c r="K35" s="1">
        <v>12.8184</v>
      </c>
    </row>
    <row r="36" spans="2:11" x14ac:dyDescent="0.2">
      <c r="B36" s="26" t="str">
        <f>_xlfn.XLOOKUP(Total[[#This Row],[Metodo]],TbSolver[Metodo],TbSolver[Solver])</f>
        <v>Runge Kutta</v>
      </c>
      <c r="C36" s="26" t="str">
        <f>_xlfn.XLOOKUP(Total[[#This Row],[Hebras]],TbTecnologia[Hebras],TbTecnologia[Tecnología])</f>
        <v>OMP</v>
      </c>
      <c r="D36" s="26" t="str" cm="1">
        <f t="array" ref="D36">_xlfn.XLOOKUP(Total[[#This Row],[Tecnología]]&amp;Total[[#This Row],[Metodo]],TbTipos[Tecnología]&amp;TbTipos[Metodo],TbTipos[Tipo])</f>
        <v>OMP Elementos</v>
      </c>
      <c r="E36" s="26" t="str" cm="1">
        <f t="array" ref="E36">_xlfn.XLOOKUP(Total[[#This Row],[Tecnología]]&amp;Total[[#This Row],[Problema]],TbNombres[Tecnología]&amp;TbNombres[Problema],TbNombres[Nombre])</f>
        <v>Simple Advdiff</v>
      </c>
      <c r="F36" s="1">
        <v>2</v>
      </c>
      <c r="G36" s="1">
        <v>1</v>
      </c>
      <c r="H36" s="1">
        <v>4</v>
      </c>
      <c r="I36" s="1">
        <v>1000</v>
      </c>
      <c r="J36" s="1">
        <v>1000</v>
      </c>
      <c r="K36" s="1">
        <v>13.587999999999999</v>
      </c>
    </row>
    <row r="37" spans="2:11" x14ac:dyDescent="0.2">
      <c r="B37" s="26" t="str">
        <f>_xlfn.XLOOKUP(Total[[#This Row],[Metodo]],TbSolver[Metodo],TbSolver[Solver])</f>
        <v>Runge Kutta</v>
      </c>
      <c r="C37" s="26" t="str">
        <f>_xlfn.XLOOKUP(Total[[#This Row],[Hebras]],TbTecnologia[Hebras],TbTecnologia[Tecnología])</f>
        <v>OMP</v>
      </c>
      <c r="D37" s="26" t="str" cm="1">
        <f t="array" ref="D37">_xlfn.XLOOKUP(Total[[#This Row],[Tecnología]]&amp;Total[[#This Row],[Metodo]],TbTipos[Tecnología]&amp;TbTipos[Metodo],TbTipos[Tipo])</f>
        <v>OMP Elementos</v>
      </c>
      <c r="E37" s="26" t="str" cm="1">
        <f t="array" ref="E37">_xlfn.XLOOKUP(Total[[#This Row],[Tecnología]]&amp;Total[[#This Row],[Problema]],TbNombres[Tecnología]&amp;TbNombres[Problema],TbNombres[Nombre])</f>
        <v>Simple Advdiff</v>
      </c>
      <c r="F37" s="1">
        <v>2</v>
      </c>
      <c r="G37" s="1">
        <v>1</v>
      </c>
      <c r="H37" s="1">
        <v>16</v>
      </c>
      <c r="I37" s="1">
        <v>1000</v>
      </c>
      <c r="J37" s="1">
        <v>1000</v>
      </c>
      <c r="K37" s="1">
        <v>14.6022</v>
      </c>
    </row>
    <row r="38" spans="2:11" x14ac:dyDescent="0.2">
      <c r="B38" s="26" t="str">
        <f>_xlfn.XLOOKUP(Total[[#This Row],[Metodo]],TbSolver[Metodo],TbSolver[Solver])</f>
        <v>Runge Kutta</v>
      </c>
      <c r="C38" s="26" t="str">
        <f>_xlfn.XLOOKUP(Total[[#This Row],[Hebras]],TbTecnologia[Hebras],TbTecnologia[Tecnología])</f>
        <v>CUDA</v>
      </c>
      <c r="D38" s="26" t="str" cm="1">
        <f t="array" ref="D38">_xlfn.XLOOKUP(Total[[#This Row],[Tecnología]]&amp;Total[[#This Row],[Metodo]],TbTipos[Tecnología]&amp;TbTipos[Metodo],TbTipos[Tipo])</f>
        <v>CUDA sin graph</v>
      </c>
      <c r="E38" s="26" t="str" cm="1">
        <f t="array" ref="E38">_xlfn.XLOOKUP(Total[[#This Row],[Tecnología]]&amp;Total[[#This Row],[Problema]],TbNombres[Tecnología]&amp;TbNombres[Problema],TbNombres[Nombre])</f>
        <v>Simple Advdiff</v>
      </c>
      <c r="F38" s="1">
        <v>1</v>
      </c>
      <c r="G38" s="1">
        <v>1</v>
      </c>
      <c r="H38" s="1">
        <v>256</v>
      </c>
      <c r="I38" s="1">
        <v>1000</v>
      </c>
      <c r="J38" s="1">
        <v>1000</v>
      </c>
      <c r="K38" s="1">
        <v>15.9902</v>
      </c>
    </row>
    <row r="39" spans="2:11" x14ac:dyDescent="0.2">
      <c r="B39" s="26" t="str">
        <f>_xlfn.XLOOKUP(Total[[#This Row],[Metodo]],TbSolver[Metodo],TbSolver[Solver])</f>
        <v>Runge Kutta</v>
      </c>
      <c r="C39" s="26" t="str">
        <f>_xlfn.XLOOKUP(Total[[#This Row],[Hebras]],TbTecnologia[Hebras],TbTecnologia[Tecnología])</f>
        <v>CUDA</v>
      </c>
      <c r="D39" s="26" t="str" cm="1">
        <f t="array" ref="D39">_xlfn.XLOOKUP(Total[[#This Row],[Tecnología]]&amp;Total[[#This Row],[Metodo]],TbTipos[Tecnología]&amp;TbTipos[Metodo],TbTipos[Tipo])</f>
        <v>CUDA sin graph</v>
      </c>
      <c r="E39" s="26" t="str" cm="1">
        <f t="array" ref="E39">_xlfn.XLOOKUP(Total[[#This Row],[Tecnología]]&amp;Total[[#This Row],[Problema]],TbNombres[Tecnología]&amp;TbNombres[Problema],TbNombres[Nombre])</f>
        <v>Simple Advdiff shuffle</v>
      </c>
      <c r="F39" s="1">
        <v>1</v>
      </c>
      <c r="G39" s="1">
        <v>2</v>
      </c>
      <c r="H39" s="1">
        <v>256</v>
      </c>
      <c r="I39" s="1">
        <v>1000</v>
      </c>
      <c r="J39" s="1">
        <v>1000</v>
      </c>
      <c r="K39" s="1">
        <v>16.2043</v>
      </c>
    </row>
    <row r="40" spans="2:11" x14ac:dyDescent="0.2">
      <c r="B40" s="26" t="str">
        <f>_xlfn.XLOOKUP(Total[[#This Row],[Metodo]],TbSolver[Metodo],TbSolver[Solver])</f>
        <v>Runge Kutta</v>
      </c>
      <c r="C40" s="26" t="str">
        <f>_xlfn.XLOOKUP(Total[[#This Row],[Hebras]],TbTecnologia[Hebras],TbTecnologia[Tecnología])</f>
        <v>OMP</v>
      </c>
      <c r="D40" s="26" t="str" cm="1">
        <f t="array" ref="D40">_xlfn.XLOOKUP(Total[[#This Row],[Tecnología]]&amp;Total[[#This Row],[Metodo]],TbTipos[Tecnología]&amp;TbTipos[Metodo],TbTipos[Tipo])</f>
        <v>OMP Operaciones</v>
      </c>
      <c r="E40" s="26" t="str" cm="1">
        <f t="array" ref="E40">_xlfn.XLOOKUP(Total[[#This Row],[Tecnología]]&amp;Total[[#This Row],[Problema]],TbNombres[Tecnología]&amp;TbNombres[Problema],TbNombres[Nombre])</f>
        <v>Simple Advdiff</v>
      </c>
      <c r="F40" s="1">
        <v>1</v>
      </c>
      <c r="G40" s="1">
        <v>1</v>
      </c>
      <c r="H40" s="1">
        <v>4</v>
      </c>
      <c r="I40" s="1">
        <v>1000</v>
      </c>
      <c r="J40" s="1">
        <v>1000</v>
      </c>
      <c r="K40" s="1">
        <v>25.951699999999999</v>
      </c>
    </row>
    <row r="41" spans="2:11" x14ac:dyDescent="0.2">
      <c r="B41" s="26" t="str">
        <f>_xlfn.XLOOKUP(Total[[#This Row],[Metodo]],TbSolver[Metodo],TbSolver[Solver])</f>
        <v>Runge Kutta</v>
      </c>
      <c r="C41" s="26" t="str">
        <f>_xlfn.XLOOKUP(Total[[#This Row],[Hebras]],TbTecnologia[Hebras],TbTecnologia[Tecnología])</f>
        <v>OMP</v>
      </c>
      <c r="D41" s="26" t="str" cm="1">
        <f t="array" ref="D41">_xlfn.XLOOKUP(Total[[#This Row],[Tecnología]]&amp;Total[[#This Row],[Metodo]],TbTipos[Tecnología]&amp;TbTipos[Metodo],TbTipos[Tipo])</f>
        <v>OMP Elementos</v>
      </c>
      <c r="E41" s="26" t="str" cm="1">
        <f t="array" ref="E41">_xlfn.XLOOKUP(Total[[#This Row],[Tecnología]]&amp;Total[[#This Row],[Problema]],TbNombres[Tecnología]&amp;TbNombres[Problema],TbNombres[Nombre])</f>
        <v>Simple Advdiff</v>
      </c>
      <c r="F41" s="1">
        <v>2</v>
      </c>
      <c r="G41" s="1">
        <v>1</v>
      </c>
      <c r="H41" s="1">
        <v>1</v>
      </c>
      <c r="I41" s="1">
        <v>1000</v>
      </c>
      <c r="J41" s="1">
        <v>1000</v>
      </c>
      <c r="K41" s="1">
        <v>30.9483</v>
      </c>
    </row>
    <row r="42" spans="2:11" x14ac:dyDescent="0.2">
      <c r="B42" s="26" t="str">
        <f>_xlfn.XLOOKUP(Total[[#This Row],[Metodo]],TbSolver[Metodo],TbSolver[Solver])</f>
        <v>Runge Kutta</v>
      </c>
      <c r="C42" s="26" t="str">
        <f>_xlfn.XLOOKUP(Total[[#This Row],[Hebras]],TbTecnologia[Hebras],TbTecnologia[Tecnología])</f>
        <v>OMP</v>
      </c>
      <c r="D42" s="26" t="str" cm="1">
        <f t="array" ref="D42">_xlfn.XLOOKUP(Total[[#This Row],[Tecnología]]&amp;Total[[#This Row],[Metodo]],TbTipos[Tecnología]&amp;TbTipos[Metodo],TbTipos[Tipo])</f>
        <v>OMP Operaciones</v>
      </c>
      <c r="E42" s="26" t="str" cm="1">
        <f t="array" ref="E42">_xlfn.XLOOKUP(Total[[#This Row],[Tecnología]]&amp;Total[[#This Row],[Problema]],TbNombres[Tecnología]&amp;TbNombres[Problema],TbNombres[Nombre])</f>
        <v>Simple Advdiff</v>
      </c>
      <c r="F42" s="1">
        <v>1</v>
      </c>
      <c r="G42" s="1">
        <v>1</v>
      </c>
      <c r="H42" s="1">
        <v>16</v>
      </c>
      <c r="I42" s="1">
        <v>1000</v>
      </c>
      <c r="J42" s="1">
        <v>1000</v>
      </c>
      <c r="K42" s="1">
        <v>61.305300000000003</v>
      </c>
    </row>
    <row r="43" spans="2:11" x14ac:dyDescent="0.2">
      <c r="B43" s="26" t="str">
        <f>_xlfn.XLOOKUP(Total[[#This Row],[Metodo]],TbSolver[Metodo],TbSolver[Solver])</f>
        <v>Runge Kutta</v>
      </c>
      <c r="C43" s="26" t="str">
        <f>_xlfn.XLOOKUP(Total[[#This Row],[Hebras]],TbTecnologia[Hebras],TbTecnologia[Tecnología])</f>
        <v>CUDA</v>
      </c>
      <c r="D43" s="26" t="str" cm="1">
        <f t="array" ref="D43">_xlfn.XLOOKUP(Total[[#This Row],[Tecnología]]&amp;Total[[#This Row],[Metodo]],TbTipos[Tecnología]&amp;TbTipos[Metodo],TbTipos[Tipo])</f>
        <v>CUDA con graph</v>
      </c>
      <c r="E43" s="26" t="str" cm="1">
        <f t="array" ref="E43">_xlfn.XLOOKUP(Total[[#This Row],[Tecnología]]&amp;Total[[#This Row],[Problema]],TbNombres[Tecnología]&amp;TbNombres[Problema],TbNombres[Nombre])</f>
        <v>Simple Advdiff</v>
      </c>
      <c r="F43" s="1">
        <v>2</v>
      </c>
      <c r="G43" s="1">
        <v>1</v>
      </c>
      <c r="H43" s="1">
        <v>256</v>
      </c>
      <c r="I43" s="1">
        <v>2000</v>
      </c>
      <c r="J43" s="1">
        <v>2000</v>
      </c>
      <c r="K43" s="1">
        <v>12.811299999999999</v>
      </c>
    </row>
    <row r="44" spans="2:11" x14ac:dyDescent="0.2">
      <c r="B44" s="26" t="str">
        <f>_xlfn.XLOOKUP(Total[[#This Row],[Metodo]],TbSolver[Metodo],TbSolver[Solver])</f>
        <v>Runge Kutta</v>
      </c>
      <c r="C44" s="26" t="str">
        <f>_xlfn.XLOOKUP(Total[[#This Row],[Hebras]],TbTecnologia[Hebras],TbTecnologia[Tecnología])</f>
        <v>CUDA</v>
      </c>
      <c r="D44" s="26" t="str" cm="1">
        <f t="array" ref="D44">_xlfn.XLOOKUP(Total[[#This Row],[Tecnología]]&amp;Total[[#This Row],[Metodo]],TbTipos[Tecnología]&amp;TbTipos[Metodo],TbTipos[Tipo])</f>
        <v>CUDA con graph</v>
      </c>
      <c r="E44" s="26" t="str" cm="1">
        <f t="array" ref="E44">_xlfn.XLOOKUP(Total[[#This Row],[Tecnología]]&amp;Total[[#This Row],[Problema]],TbNombres[Tecnología]&amp;TbNombres[Problema],TbNombres[Nombre])</f>
        <v>Simple Advdiff shuffle</v>
      </c>
      <c r="F44" s="1">
        <v>2</v>
      </c>
      <c r="G44" s="1">
        <v>2</v>
      </c>
      <c r="H44" s="1">
        <v>256</v>
      </c>
      <c r="I44" s="1">
        <v>2000</v>
      </c>
      <c r="J44" s="1">
        <v>2000</v>
      </c>
      <c r="K44" s="1">
        <v>12.8325</v>
      </c>
    </row>
    <row r="45" spans="2:11" x14ac:dyDescent="0.2">
      <c r="B45" s="26" t="str">
        <f>_xlfn.XLOOKUP(Total[[#This Row],[Metodo]],TbSolver[Metodo],TbSolver[Solver])</f>
        <v>Runge Kutta</v>
      </c>
      <c r="C45" s="26" t="str">
        <f>_xlfn.XLOOKUP(Total[[#This Row],[Hebras]],TbTecnologia[Hebras],TbTecnologia[Tecnología])</f>
        <v>CUDA</v>
      </c>
      <c r="D45" s="26" t="str" cm="1">
        <f t="array" ref="D45">_xlfn.XLOOKUP(Total[[#This Row],[Tecnología]]&amp;Total[[#This Row],[Metodo]],TbTipos[Tecnología]&amp;TbTipos[Metodo],TbTipos[Tipo])</f>
        <v>CUDA sin graph</v>
      </c>
      <c r="E45" s="26" t="str" cm="1">
        <f t="array" ref="E45">_xlfn.XLOOKUP(Total[[#This Row],[Tecnología]]&amp;Total[[#This Row],[Problema]],TbNombres[Tecnología]&amp;TbNombres[Problema],TbNombres[Nombre])</f>
        <v>Simple Advdiff</v>
      </c>
      <c r="F45" s="1">
        <v>1</v>
      </c>
      <c r="G45" s="1">
        <v>1</v>
      </c>
      <c r="H45" s="1">
        <v>256</v>
      </c>
      <c r="I45" s="1">
        <v>2000</v>
      </c>
      <c r="J45" s="1">
        <v>2000</v>
      </c>
      <c r="K45" s="1">
        <v>16.205400000000001</v>
      </c>
    </row>
    <row r="46" spans="2:11" x14ac:dyDescent="0.2">
      <c r="B46" s="26" t="str">
        <f>_xlfn.XLOOKUP(Total[[#This Row],[Metodo]],TbSolver[Metodo],TbSolver[Solver])</f>
        <v>Runge Kutta</v>
      </c>
      <c r="C46" s="26" t="str">
        <f>_xlfn.XLOOKUP(Total[[#This Row],[Hebras]],TbTecnologia[Hebras],TbTecnologia[Tecnología])</f>
        <v>CUDA</v>
      </c>
      <c r="D46" s="26" t="str" cm="1">
        <f t="array" ref="D46">_xlfn.XLOOKUP(Total[[#This Row],[Tecnología]]&amp;Total[[#This Row],[Metodo]],TbTipos[Tecnología]&amp;TbTipos[Metodo],TbTipos[Tipo])</f>
        <v>CUDA sin graph</v>
      </c>
      <c r="E46" s="26" t="str" cm="1">
        <f t="array" ref="E46">_xlfn.XLOOKUP(Total[[#This Row],[Tecnología]]&amp;Total[[#This Row],[Problema]],TbNombres[Tecnología]&amp;TbNombres[Problema],TbNombres[Nombre])</f>
        <v>Simple Advdiff shuffle</v>
      </c>
      <c r="F46" s="1">
        <v>1</v>
      </c>
      <c r="G46" s="1">
        <v>2</v>
      </c>
      <c r="H46" s="1">
        <v>256</v>
      </c>
      <c r="I46" s="1">
        <v>2000</v>
      </c>
      <c r="J46" s="1">
        <v>2000</v>
      </c>
      <c r="K46" s="1">
        <v>17.6327</v>
      </c>
    </row>
    <row r="47" spans="2:11" x14ac:dyDescent="0.2">
      <c r="B47" s="26" t="str">
        <f>_xlfn.XLOOKUP(Total[[#This Row],[Metodo]],TbSolver[Metodo],TbSolver[Solver])</f>
        <v>Runge Kutta</v>
      </c>
      <c r="C47" s="26" t="str">
        <f>_xlfn.XLOOKUP(Total[[#This Row],[Hebras]],TbTecnologia[Hebras],TbTecnologia[Tecnología])</f>
        <v>CUDA</v>
      </c>
      <c r="D47" s="26" t="str" cm="1">
        <f t="array" ref="D47">_xlfn.XLOOKUP(Total[[#This Row],[Tecnología]]&amp;Total[[#This Row],[Metodo]],TbTipos[Tecnología]&amp;TbTipos[Metodo],TbTipos[Tipo])</f>
        <v>CUDA con graph</v>
      </c>
      <c r="E47" s="26" t="str" cm="1">
        <f t="array" ref="E47">_xlfn.XLOOKUP(Total[[#This Row],[Tecnología]]&amp;Total[[#This Row],[Problema]],TbNombres[Tecnología]&amp;TbNombres[Problema],TbNombres[Nombre])</f>
        <v>Simple Advdiff shuffle</v>
      </c>
      <c r="F47" s="1">
        <v>2</v>
      </c>
      <c r="G47" s="1">
        <v>2</v>
      </c>
      <c r="H47" s="1">
        <v>256</v>
      </c>
      <c r="I47" s="1">
        <v>5000</v>
      </c>
      <c r="J47" s="1">
        <v>5000</v>
      </c>
      <c r="K47" s="1">
        <v>13.033099999999999</v>
      </c>
    </row>
    <row r="48" spans="2:11" x14ac:dyDescent="0.2">
      <c r="B48" s="26" t="str">
        <f>_xlfn.XLOOKUP(Total[[#This Row],[Metodo]],TbSolver[Metodo],TbSolver[Solver])</f>
        <v>Runge Kutta</v>
      </c>
      <c r="C48" s="26" t="str">
        <f>_xlfn.XLOOKUP(Total[[#This Row],[Hebras]],TbTecnologia[Hebras],TbTecnologia[Tecnología])</f>
        <v>CUDA</v>
      </c>
      <c r="D48" s="26" t="str" cm="1">
        <f t="array" ref="D48">_xlfn.XLOOKUP(Total[[#This Row],[Tecnología]]&amp;Total[[#This Row],[Metodo]],TbTipos[Tecnología]&amp;TbTipos[Metodo],TbTipos[Tipo])</f>
        <v>CUDA con graph</v>
      </c>
      <c r="E48" s="26" t="str" cm="1">
        <f t="array" ref="E48">_xlfn.XLOOKUP(Total[[#This Row],[Tecnología]]&amp;Total[[#This Row],[Problema]],TbNombres[Tecnología]&amp;TbNombres[Problema],TbNombres[Nombre])</f>
        <v>Simple Advdiff</v>
      </c>
      <c r="F48" s="1">
        <v>2</v>
      </c>
      <c r="G48" s="1">
        <v>1</v>
      </c>
      <c r="H48" s="1">
        <v>256</v>
      </c>
      <c r="I48" s="1">
        <v>5000</v>
      </c>
      <c r="J48" s="1">
        <v>5000</v>
      </c>
      <c r="K48" s="1">
        <v>13.042</v>
      </c>
    </row>
    <row r="49" spans="2:11" x14ac:dyDescent="0.2">
      <c r="B49" s="26" t="str">
        <f>_xlfn.XLOOKUP(Total[[#This Row],[Metodo]],TbSolver[Metodo],TbSolver[Solver])</f>
        <v>Runge Kutta</v>
      </c>
      <c r="C49" s="26" t="str">
        <f>_xlfn.XLOOKUP(Total[[#This Row],[Hebras]],TbTecnologia[Hebras],TbTecnologia[Tecnología])</f>
        <v>CUDA</v>
      </c>
      <c r="D49" s="26" t="str" cm="1">
        <f t="array" ref="D49">_xlfn.XLOOKUP(Total[[#This Row],[Tecnología]]&amp;Total[[#This Row],[Metodo]],TbTipos[Tecnología]&amp;TbTipos[Metodo],TbTipos[Tipo])</f>
        <v>CUDA sin graph</v>
      </c>
      <c r="E49" s="26" t="str" cm="1">
        <f t="array" ref="E49">_xlfn.XLOOKUP(Total[[#This Row],[Tecnología]]&amp;Total[[#This Row],[Problema]],TbNombres[Tecnología]&amp;TbNombres[Problema],TbNombres[Nombre])</f>
        <v>Simple Advdiff</v>
      </c>
      <c r="F49" s="1">
        <v>1</v>
      </c>
      <c r="G49" s="1">
        <v>1</v>
      </c>
      <c r="H49" s="1">
        <v>256</v>
      </c>
      <c r="I49" s="1">
        <v>5000</v>
      </c>
      <c r="J49" s="1">
        <v>5000</v>
      </c>
      <c r="K49" s="1">
        <v>16.254300000000001</v>
      </c>
    </row>
    <row r="50" spans="2:11" x14ac:dyDescent="0.2">
      <c r="B50" s="26" t="str">
        <f>_xlfn.XLOOKUP(Total[[#This Row],[Metodo]],TbSolver[Metodo],TbSolver[Solver])</f>
        <v>Runge Kutta</v>
      </c>
      <c r="C50" s="26" t="str">
        <f>_xlfn.XLOOKUP(Total[[#This Row],[Hebras]],TbTecnologia[Hebras],TbTecnologia[Tecnología])</f>
        <v>CUDA</v>
      </c>
      <c r="D50" s="26" t="str" cm="1">
        <f t="array" ref="D50">_xlfn.XLOOKUP(Total[[#This Row],[Tecnología]]&amp;Total[[#This Row],[Metodo]],TbTipos[Tecnología]&amp;TbTipos[Metodo],TbTipos[Tipo])</f>
        <v>CUDA sin graph</v>
      </c>
      <c r="E50" s="26" t="str" cm="1">
        <f t="array" ref="E50">_xlfn.XLOOKUP(Total[[#This Row],[Tecnología]]&amp;Total[[#This Row],[Problema]],TbNombres[Tecnología]&amp;TbNombres[Problema],TbNombres[Nombre])</f>
        <v>Simple Advdiff shuffle</v>
      </c>
      <c r="F50" s="1">
        <v>1</v>
      </c>
      <c r="G50" s="1">
        <v>2</v>
      </c>
      <c r="H50" s="1">
        <v>256</v>
      </c>
      <c r="I50" s="1">
        <v>5000</v>
      </c>
      <c r="J50" s="1">
        <v>5000</v>
      </c>
      <c r="K50" s="1">
        <v>16.41</v>
      </c>
    </row>
    <row r="51" spans="2:11" x14ac:dyDescent="0.2">
      <c r="B51" s="26" t="str">
        <f>_xlfn.XLOOKUP(Total[[#This Row],[Metodo]],TbSolver[Metodo],TbSolver[Solver])</f>
        <v>Runge Kutta</v>
      </c>
      <c r="C51" s="26" t="str">
        <f>_xlfn.XLOOKUP(Total[[#This Row],[Hebras]],TbTecnologia[Hebras],TbTecnologia[Tecnología])</f>
        <v>CUDA</v>
      </c>
      <c r="D51" s="26" t="str" cm="1">
        <f t="array" ref="D51">_xlfn.XLOOKUP(Total[[#This Row],[Tecnología]]&amp;Total[[#This Row],[Metodo]],TbTipos[Tecnología]&amp;TbTipos[Metodo],TbTipos[Tipo])</f>
        <v>CUDA sin graph</v>
      </c>
      <c r="E51" s="26" t="str" cm="1">
        <f t="array" ref="E51">_xlfn.XLOOKUP(Total[[#This Row],[Tecnología]]&amp;Total[[#This Row],[Problema]],TbNombres[Tecnología]&amp;TbNombres[Problema],TbNombres[Nombre])</f>
        <v>Simple Advdiff</v>
      </c>
      <c r="F51" s="1">
        <v>1</v>
      </c>
      <c r="G51" s="1">
        <v>1</v>
      </c>
      <c r="H51" s="1">
        <v>256</v>
      </c>
      <c r="I51" s="1">
        <v>10000</v>
      </c>
      <c r="J51" s="1">
        <v>10000</v>
      </c>
      <c r="K51" s="1">
        <v>19.186399999999999</v>
      </c>
    </row>
    <row r="52" spans="2:11" x14ac:dyDescent="0.2">
      <c r="B52" s="26" t="str">
        <f>_xlfn.XLOOKUP(Total[[#This Row],[Metodo]],TbSolver[Metodo],TbSolver[Solver])</f>
        <v>Runge Kutta</v>
      </c>
      <c r="C52" s="26" t="str">
        <f>_xlfn.XLOOKUP(Total[[#This Row],[Hebras]],TbTecnologia[Hebras],TbTecnologia[Tecnología])</f>
        <v>CUDA</v>
      </c>
      <c r="D52" s="26" t="str" cm="1">
        <f t="array" ref="D52">_xlfn.XLOOKUP(Total[[#This Row],[Tecnología]]&amp;Total[[#This Row],[Metodo]],TbTipos[Tecnología]&amp;TbTipos[Metodo],TbTipos[Tipo])</f>
        <v>CUDA sin graph</v>
      </c>
      <c r="E52" s="26" t="str" cm="1">
        <f t="array" ref="E52">_xlfn.XLOOKUP(Total[[#This Row],[Tecnología]]&amp;Total[[#This Row],[Problema]],TbNombres[Tecnología]&amp;TbNombres[Problema],TbNombres[Nombre])</f>
        <v>Simple Advdiff</v>
      </c>
      <c r="F52" s="1">
        <v>1</v>
      </c>
      <c r="G52" s="1">
        <v>1</v>
      </c>
      <c r="H52" s="1">
        <v>256</v>
      </c>
      <c r="I52" s="1">
        <v>20000</v>
      </c>
      <c r="J52" s="1">
        <v>20000</v>
      </c>
      <c r="K52" s="1">
        <v>20.569500000000001</v>
      </c>
    </row>
    <row r="53" spans="2:11" x14ac:dyDescent="0.2">
      <c r="B53" s="26" t="str">
        <f>_xlfn.XLOOKUP(Total[[#This Row],[Metodo]],TbSolver[Metodo],TbSolver[Solver])</f>
        <v>Runge Kutta</v>
      </c>
      <c r="C53" s="26" t="str">
        <f>_xlfn.XLOOKUP(Total[[#This Row],[Hebras]],TbTecnologia[Hebras],TbTecnologia[Tecnología])</f>
        <v>CUDA</v>
      </c>
      <c r="D53" s="26" t="str" cm="1">
        <f t="array" ref="D53">_xlfn.XLOOKUP(Total[[#This Row],[Tecnología]]&amp;Total[[#This Row],[Metodo]],TbTipos[Tecnología]&amp;TbTipos[Metodo],TbTipos[Tipo])</f>
        <v>CUDA sin graph</v>
      </c>
      <c r="E53" s="26" t="str" cm="1">
        <f t="array" ref="E53">_xlfn.XLOOKUP(Total[[#This Row],[Tecnología]]&amp;Total[[#This Row],[Problema]],TbNombres[Tecnología]&amp;TbNombres[Problema],TbNombres[Nombre])</f>
        <v>Simple Advdiff</v>
      </c>
      <c r="F53" s="1">
        <v>1</v>
      </c>
      <c r="G53" s="1">
        <v>1</v>
      </c>
      <c r="H53" s="1">
        <v>256</v>
      </c>
      <c r="I53" s="1">
        <v>50000</v>
      </c>
      <c r="J53" s="1">
        <v>50000</v>
      </c>
      <c r="K53" s="1">
        <v>25.6021</v>
      </c>
    </row>
    <row r="54" spans="2:11" x14ac:dyDescent="0.2">
      <c r="B54" s="26" t="str">
        <f>_xlfn.XLOOKUP(Total[[#This Row],[Metodo]],TbSolver[Metodo],TbSolver[Solver])</f>
        <v>Runge Kutta</v>
      </c>
      <c r="C54" s="26" t="str">
        <f>_xlfn.XLOOKUP(Total[[#This Row],[Hebras]],TbTecnologia[Hebras],TbTecnologia[Tecnología])</f>
        <v>CUDA</v>
      </c>
      <c r="D54" s="26" t="str" cm="1">
        <f t="array" ref="D54">_xlfn.XLOOKUP(Total[[#This Row],[Tecnología]]&amp;Total[[#This Row],[Metodo]],TbTipos[Tecnología]&amp;TbTipos[Metodo],TbTipos[Tipo])</f>
        <v>CUDA sin graph</v>
      </c>
      <c r="E54" s="26" t="str" cm="1">
        <f t="array" ref="E54">_xlfn.XLOOKUP(Total[[#This Row],[Tecnología]]&amp;Total[[#This Row],[Problema]],TbNombres[Tecnología]&amp;TbNombres[Problema],TbNombres[Nombre])</f>
        <v>Simple Advdiff</v>
      </c>
      <c r="F54" s="1">
        <v>1</v>
      </c>
      <c r="G54" s="1">
        <v>1</v>
      </c>
      <c r="H54" s="1">
        <v>256</v>
      </c>
      <c r="I54" s="1">
        <v>100000</v>
      </c>
      <c r="J54" s="1">
        <v>100000</v>
      </c>
      <c r="K54" s="1">
        <v>36.124099999999999</v>
      </c>
    </row>
    <row r="55" spans="2:11" x14ac:dyDescent="0.2">
      <c r="B55" s="26" t="str">
        <f>_xlfn.XLOOKUP(Total[[#This Row],[Metodo]],TbSolver[Metodo],TbSolver[Solver])</f>
        <v>Runge Kutta</v>
      </c>
      <c r="C55" s="26" t="str">
        <f>_xlfn.XLOOKUP(Total[[#This Row],[Hebras]],TbTecnologia[Hebras],TbTecnologia[Tecnología])</f>
        <v>CUDA</v>
      </c>
      <c r="D55" s="26" t="str" cm="1">
        <f t="array" ref="D55">_xlfn.XLOOKUP(Total[[#This Row],[Tecnología]]&amp;Total[[#This Row],[Metodo]],TbTipos[Tecnología]&amp;TbTipos[Metodo],TbTipos[Tipo])</f>
        <v>CUDA sin graph</v>
      </c>
      <c r="E55" s="26" t="str" cm="1">
        <f t="array" ref="E55">_xlfn.XLOOKUP(Total[[#This Row],[Tecnología]]&amp;Total[[#This Row],[Problema]],TbNombres[Tecnología]&amp;TbNombres[Problema],TbNombres[Nombre])</f>
        <v>Simple Advdiff</v>
      </c>
      <c r="F55" s="1">
        <v>1</v>
      </c>
      <c r="G55" s="1">
        <v>1</v>
      </c>
      <c r="H55" s="1">
        <v>256</v>
      </c>
      <c r="I55" s="1">
        <v>200000</v>
      </c>
      <c r="J55" s="1">
        <v>200000</v>
      </c>
      <c r="K55" s="1">
        <v>72.234200000000001</v>
      </c>
    </row>
    <row r="56" spans="2:11" x14ac:dyDescent="0.2">
      <c r="B56" s="26" t="str">
        <f>_xlfn.XLOOKUP(Total[[#This Row],[Metodo]],TbSolver[Metodo],TbSolver[Solver])</f>
        <v>Runge Kutta</v>
      </c>
      <c r="C56" s="26" t="str">
        <f>_xlfn.XLOOKUP(Total[[#This Row],[Hebras]],TbTecnologia[Hebras],TbTecnologia[Tecnología])</f>
        <v>OMP</v>
      </c>
      <c r="D56" s="15" t="str" cm="1">
        <f t="array" ref="D56">_xlfn.XLOOKUP(Total[[#This Row],[Tecnología]]&amp;Total[[#This Row],[Metodo]],TbTipos[Tecnología]&amp;TbTipos[Metodo],TbTipos[Tipo])</f>
        <v>OMP Elementos</v>
      </c>
      <c r="E56" s="15" t="str" cm="1">
        <f t="array" ref="E56">_xlfn.XLOOKUP(Total[[#This Row],[Tecnología]]&amp;Total[[#This Row],[Problema]],TbNombres[Tecnología]&amp;TbNombres[Problema],TbNombres[Nombre])</f>
        <v>Advdiff1d</v>
      </c>
      <c r="F56" s="2">
        <v>2</v>
      </c>
      <c r="G56" s="2">
        <v>2</v>
      </c>
      <c r="H56" s="2">
        <v>4</v>
      </c>
      <c r="I56" s="2">
        <v>100</v>
      </c>
      <c r="J56" s="2">
        <v>100</v>
      </c>
      <c r="K56" s="2">
        <v>11.9709</v>
      </c>
    </row>
    <row r="57" spans="2:11" x14ac:dyDescent="0.2">
      <c r="B57" s="26" t="str">
        <f>_xlfn.XLOOKUP(Total[[#This Row],[Metodo]],TbSolver[Metodo],TbSolver[Solver])</f>
        <v>Runge Kutta</v>
      </c>
      <c r="C57" s="26" t="str">
        <f>_xlfn.XLOOKUP(Total[[#This Row],[Hebras]],TbTecnologia[Hebras],TbTecnologia[Tecnología])</f>
        <v>OMP</v>
      </c>
      <c r="D57" s="15" t="str" cm="1">
        <f t="array" ref="D57">_xlfn.XLOOKUP(Total[[#This Row],[Tecnología]]&amp;Total[[#This Row],[Metodo]],TbTipos[Tecnología]&amp;TbTipos[Metodo],TbTipos[Tipo])</f>
        <v>OMP Elementos</v>
      </c>
      <c r="E57" s="15" t="str" cm="1">
        <f t="array" ref="E57">_xlfn.XLOOKUP(Total[[#This Row],[Tecnología]]&amp;Total[[#This Row],[Problema]],TbNombres[Tecnología]&amp;TbNombres[Problema],TbNombres[Nombre])</f>
        <v>Advdiff1d</v>
      </c>
      <c r="F57" s="2">
        <v>2</v>
      </c>
      <c r="G57" s="2">
        <v>2</v>
      </c>
      <c r="H57" s="2">
        <v>1</v>
      </c>
      <c r="I57" s="2">
        <v>100</v>
      </c>
      <c r="J57" s="2">
        <v>100</v>
      </c>
      <c r="K57" s="2">
        <v>12.3429</v>
      </c>
    </row>
    <row r="58" spans="2:11" x14ac:dyDescent="0.2">
      <c r="B58" s="26" t="str">
        <f>_xlfn.XLOOKUP(Total[[#This Row],[Metodo]],TbSolver[Metodo],TbSolver[Solver])</f>
        <v>Runge Kutta</v>
      </c>
      <c r="C58" s="26" t="str">
        <f>_xlfn.XLOOKUP(Total[[#This Row],[Hebras]],TbTecnologia[Hebras],TbTecnologia[Tecnología])</f>
        <v>OMP</v>
      </c>
      <c r="D58" s="15" t="str" cm="1">
        <f t="array" ref="D58">_xlfn.XLOOKUP(Total[[#This Row],[Tecnología]]&amp;Total[[#This Row],[Metodo]],TbTipos[Tecnología]&amp;TbTipos[Metodo],TbTipos[Tipo])</f>
        <v>OMP Operaciones</v>
      </c>
      <c r="E58" s="15" t="str" cm="1">
        <f t="array" ref="E58">_xlfn.XLOOKUP(Total[[#This Row],[Tecnología]]&amp;Total[[#This Row],[Problema]],TbNombres[Tecnología]&amp;TbNombres[Problema],TbNombres[Nombre])</f>
        <v>Advdiff1d</v>
      </c>
      <c r="F58" s="2">
        <v>1</v>
      </c>
      <c r="G58" s="2">
        <v>2</v>
      </c>
      <c r="H58" s="2">
        <v>1</v>
      </c>
      <c r="I58" s="2">
        <v>100</v>
      </c>
      <c r="J58" s="2">
        <v>100</v>
      </c>
      <c r="K58" s="2">
        <v>12.4354</v>
      </c>
    </row>
    <row r="59" spans="2:11" x14ac:dyDescent="0.2">
      <c r="B59" s="26" t="str">
        <f>_xlfn.XLOOKUP(Total[[#This Row],[Metodo]],TbSolver[Metodo],TbSolver[Solver])</f>
        <v>Runge Kutta</v>
      </c>
      <c r="C59" s="26" t="str">
        <f>_xlfn.XLOOKUP(Total[[#This Row],[Hebras]],TbTecnologia[Hebras],TbTecnologia[Tecnología])</f>
        <v>CUDA</v>
      </c>
      <c r="D59" s="15" t="str" cm="1">
        <f t="array" ref="D59">_xlfn.XLOOKUP(Total[[#This Row],[Tecnología]]&amp;Total[[#This Row],[Metodo]],TbTipos[Tecnología]&amp;TbTipos[Metodo],TbTipos[Tipo])</f>
        <v>CUDA con graph</v>
      </c>
      <c r="E59" s="15" t="str" cm="1">
        <f t="array" ref="E59">_xlfn.XLOOKUP(Total[[#This Row],[Tecnología]]&amp;Total[[#This Row],[Problema]],TbNombres[Tecnología]&amp;TbNombres[Problema],TbNombres[Nombre])</f>
        <v>Advdiff1d</v>
      </c>
      <c r="F59" s="2">
        <v>2</v>
      </c>
      <c r="G59" s="2">
        <v>3</v>
      </c>
      <c r="H59" s="2">
        <v>256</v>
      </c>
      <c r="I59" s="2">
        <v>100</v>
      </c>
      <c r="J59" s="2">
        <v>100</v>
      </c>
      <c r="K59" s="2">
        <v>18.482600000000001</v>
      </c>
    </row>
    <row r="60" spans="2:11" x14ac:dyDescent="0.2">
      <c r="B60" s="26" t="str">
        <f>_xlfn.XLOOKUP(Total[[#This Row],[Metodo]],TbSolver[Metodo],TbSolver[Solver])</f>
        <v>Runge Kutta</v>
      </c>
      <c r="C60" s="26" t="str">
        <f>_xlfn.XLOOKUP(Total[[#This Row],[Hebras]],TbTecnologia[Hebras],TbTecnologia[Tecnología])</f>
        <v>CUDA</v>
      </c>
      <c r="D60" s="15" t="str" cm="1">
        <f t="array" ref="D60">_xlfn.XLOOKUP(Total[[#This Row],[Tecnología]]&amp;Total[[#This Row],[Metodo]],TbTipos[Tecnología]&amp;TbTipos[Metodo],TbTipos[Tipo])</f>
        <v>CUDA con graph</v>
      </c>
      <c r="E60" s="15" t="str" cm="1">
        <f t="array" ref="E60">_xlfn.XLOOKUP(Total[[#This Row],[Tecnología]]&amp;Total[[#This Row],[Problema]],TbNombres[Tecnología]&amp;TbNombres[Problema],TbNombres[Nombre])</f>
        <v>Advdiff1d shuffle</v>
      </c>
      <c r="F60" s="2">
        <v>2</v>
      </c>
      <c r="G60" s="2">
        <v>4</v>
      </c>
      <c r="H60" s="2">
        <v>256</v>
      </c>
      <c r="I60" s="2">
        <v>100</v>
      </c>
      <c r="J60" s="2">
        <v>100</v>
      </c>
      <c r="K60" s="2">
        <v>18.9876</v>
      </c>
    </row>
    <row r="61" spans="2:11" x14ac:dyDescent="0.2">
      <c r="B61" s="26" t="str">
        <f>_xlfn.XLOOKUP(Total[[#This Row],[Metodo]],TbSolver[Metodo],TbSolver[Solver])</f>
        <v>Runge Kutta</v>
      </c>
      <c r="C61" s="26" t="str">
        <f>_xlfn.XLOOKUP(Total[[#This Row],[Hebras]],TbTecnologia[Hebras],TbTecnologia[Tecnología])</f>
        <v>OMP</v>
      </c>
      <c r="D61" s="15" t="str" cm="1">
        <f t="array" ref="D61">_xlfn.XLOOKUP(Total[[#This Row],[Tecnología]]&amp;Total[[#This Row],[Metodo]],TbTipos[Tecnología]&amp;TbTipos[Metodo],TbTipos[Tipo])</f>
        <v>OMP Elementos</v>
      </c>
      <c r="E61" s="15" t="str" cm="1">
        <f t="array" ref="E61">_xlfn.XLOOKUP(Total[[#This Row],[Tecnología]]&amp;Total[[#This Row],[Problema]],TbNombres[Tecnología]&amp;TbNombres[Problema],TbNombres[Nombre])</f>
        <v>Advdiff1d</v>
      </c>
      <c r="F61" s="2">
        <v>2</v>
      </c>
      <c r="G61" s="2">
        <v>2</v>
      </c>
      <c r="H61" s="2">
        <v>16</v>
      </c>
      <c r="I61" s="2">
        <v>100</v>
      </c>
      <c r="J61" s="2">
        <v>100</v>
      </c>
      <c r="K61" s="2">
        <v>21.2547</v>
      </c>
    </row>
    <row r="62" spans="2:11" x14ac:dyDescent="0.2">
      <c r="B62" s="26" t="str">
        <f>_xlfn.XLOOKUP(Total[[#This Row],[Metodo]],TbSolver[Metodo],TbSolver[Solver])</f>
        <v>Runge Kutta</v>
      </c>
      <c r="C62" s="26" t="str">
        <f>_xlfn.XLOOKUP(Total[[#This Row],[Hebras]],TbTecnologia[Hebras],TbTecnologia[Tecnología])</f>
        <v>CUDA</v>
      </c>
      <c r="D62" s="15" t="str" cm="1">
        <f t="array" ref="D62">_xlfn.XLOOKUP(Total[[#This Row],[Tecnología]]&amp;Total[[#This Row],[Metodo]],TbTipos[Tecnología]&amp;TbTipos[Metodo],TbTipos[Tipo])</f>
        <v>CUDA sin graph</v>
      </c>
      <c r="E62" s="15" t="str" cm="1">
        <f t="array" ref="E62">_xlfn.XLOOKUP(Total[[#This Row],[Tecnología]]&amp;Total[[#This Row],[Problema]],TbNombres[Tecnología]&amp;TbNombres[Problema],TbNombres[Nombre])</f>
        <v>Advdiff1d</v>
      </c>
      <c r="F62" s="2">
        <v>1</v>
      </c>
      <c r="G62" s="2">
        <v>3</v>
      </c>
      <c r="H62" s="2">
        <v>256</v>
      </c>
      <c r="I62" s="2">
        <v>100</v>
      </c>
      <c r="J62" s="2">
        <v>100</v>
      </c>
      <c r="K62" s="2">
        <v>21.426300000000001</v>
      </c>
    </row>
    <row r="63" spans="2:11" x14ac:dyDescent="0.2">
      <c r="B63" s="26" t="str">
        <f>_xlfn.XLOOKUP(Total[[#This Row],[Metodo]],TbSolver[Metodo],TbSolver[Solver])</f>
        <v>Runge Kutta</v>
      </c>
      <c r="C63" s="26" t="str">
        <f>_xlfn.XLOOKUP(Total[[#This Row],[Hebras]],TbTecnologia[Hebras],TbTecnologia[Tecnología])</f>
        <v>CUDA</v>
      </c>
      <c r="D63" s="15" t="str" cm="1">
        <f t="array" ref="D63">_xlfn.XLOOKUP(Total[[#This Row],[Tecnología]]&amp;Total[[#This Row],[Metodo]],TbTipos[Tecnología]&amp;TbTipos[Metodo],TbTipos[Tipo])</f>
        <v>CUDA sin graph</v>
      </c>
      <c r="E63" s="15" t="str" cm="1">
        <f t="array" ref="E63">_xlfn.XLOOKUP(Total[[#This Row],[Tecnología]]&amp;Total[[#This Row],[Problema]],TbNombres[Tecnología]&amp;TbNombres[Problema],TbNombres[Nombre])</f>
        <v>Advdiff1d shuffle</v>
      </c>
      <c r="F63" s="2">
        <v>1</v>
      </c>
      <c r="G63" s="2">
        <v>4</v>
      </c>
      <c r="H63" s="2">
        <v>256</v>
      </c>
      <c r="I63" s="2">
        <v>100</v>
      </c>
      <c r="J63" s="2">
        <v>100</v>
      </c>
      <c r="K63" s="2">
        <v>22.0703</v>
      </c>
    </row>
    <row r="64" spans="2:11" x14ac:dyDescent="0.2">
      <c r="B64" s="26" t="str">
        <f>_xlfn.XLOOKUP(Total[[#This Row],[Metodo]],TbSolver[Metodo],TbSolver[Solver])</f>
        <v>Runge Kutta</v>
      </c>
      <c r="C64" s="26" t="str">
        <f>_xlfn.XLOOKUP(Total[[#This Row],[Hebras]],TbTecnologia[Hebras],TbTecnologia[Tecnología])</f>
        <v>OMP</v>
      </c>
      <c r="D64" s="15" t="str" cm="1">
        <f t="array" ref="D64">_xlfn.XLOOKUP(Total[[#This Row],[Tecnología]]&amp;Total[[#This Row],[Metodo]],TbTipos[Tecnología]&amp;TbTipos[Metodo],TbTipos[Tipo])</f>
        <v>OMP Operaciones</v>
      </c>
      <c r="E64" s="15" t="str" cm="1">
        <f t="array" ref="E64">_xlfn.XLOOKUP(Total[[#This Row],[Tecnología]]&amp;Total[[#This Row],[Problema]],TbNombres[Tecnología]&amp;TbNombres[Problema],TbNombres[Nombre])</f>
        <v>Advdiff1d</v>
      </c>
      <c r="F64" s="2">
        <v>1</v>
      </c>
      <c r="G64" s="2">
        <v>2</v>
      </c>
      <c r="H64" s="2">
        <v>4</v>
      </c>
      <c r="I64" s="2">
        <v>100</v>
      </c>
      <c r="J64" s="2">
        <v>100</v>
      </c>
      <c r="K64" s="2">
        <v>39.386400000000002</v>
      </c>
    </row>
    <row r="65" spans="2:11" x14ac:dyDescent="0.2">
      <c r="B65" s="26" t="str">
        <f>_xlfn.XLOOKUP(Total[[#This Row],[Metodo]],TbSolver[Metodo],TbSolver[Solver])</f>
        <v>Runge Kutta</v>
      </c>
      <c r="C65" s="26" t="str">
        <f>_xlfn.XLOOKUP(Total[[#This Row],[Hebras]],TbTecnologia[Hebras],TbTecnologia[Tecnología])</f>
        <v>OMP</v>
      </c>
      <c r="D65" s="15" t="str" cm="1">
        <f t="array" ref="D65">_xlfn.XLOOKUP(Total[[#This Row],[Tecnología]]&amp;Total[[#This Row],[Metodo]],TbTipos[Tecnología]&amp;TbTipos[Metodo],TbTipos[Tipo])</f>
        <v>OMP Operaciones</v>
      </c>
      <c r="E65" s="15" t="str" cm="1">
        <f t="array" ref="E65">_xlfn.XLOOKUP(Total[[#This Row],[Tecnología]]&amp;Total[[#This Row],[Problema]],TbNombres[Tecnología]&amp;TbNombres[Problema],TbNombres[Nombre])</f>
        <v>Advdiff1d</v>
      </c>
      <c r="F65" s="2">
        <v>1</v>
      </c>
      <c r="G65" s="2">
        <v>2</v>
      </c>
      <c r="H65" s="2">
        <v>16</v>
      </c>
      <c r="I65" s="2">
        <v>100</v>
      </c>
      <c r="J65" s="2">
        <v>100</v>
      </c>
      <c r="K65" s="2">
        <v>94.412800000000004</v>
      </c>
    </row>
    <row r="66" spans="2:11" x14ac:dyDescent="0.2">
      <c r="B66" s="26" t="str">
        <f>_xlfn.XLOOKUP(Total[[#This Row],[Metodo]],TbSolver[Metodo],TbSolver[Solver])</f>
        <v>Runge Kutta</v>
      </c>
      <c r="C66" s="26" t="str">
        <f>_xlfn.XLOOKUP(Total[[#This Row],[Hebras]],TbTecnologia[Hebras],TbTecnologia[Tecnología])</f>
        <v>OMP</v>
      </c>
      <c r="D66" s="15" t="str" cm="1">
        <f t="array" ref="D66">_xlfn.XLOOKUP(Total[[#This Row],[Tecnología]]&amp;Total[[#This Row],[Metodo]],TbTipos[Tecnología]&amp;TbTipos[Metodo],TbTipos[Tipo])</f>
        <v>OMP Elementos</v>
      </c>
      <c r="E66" s="15" t="str" cm="1">
        <f t="array" ref="E66">_xlfn.XLOOKUP(Total[[#This Row],[Tecnología]]&amp;Total[[#This Row],[Problema]],TbNombres[Tecnología]&amp;TbNombres[Problema],TbNombres[Nombre])</f>
        <v>Advdiff1d</v>
      </c>
      <c r="F66" s="2">
        <v>2</v>
      </c>
      <c r="G66" s="2">
        <v>2</v>
      </c>
      <c r="H66" s="2">
        <v>4</v>
      </c>
      <c r="I66" s="2">
        <v>200</v>
      </c>
      <c r="J66" s="2">
        <v>200</v>
      </c>
      <c r="K66" s="2">
        <v>14.2638</v>
      </c>
    </row>
    <row r="67" spans="2:11" x14ac:dyDescent="0.2">
      <c r="B67" s="26" t="str">
        <f>_xlfn.XLOOKUP(Total[[#This Row],[Metodo]],TbSolver[Metodo],TbSolver[Solver])</f>
        <v>Runge Kutta</v>
      </c>
      <c r="C67" s="26" t="str">
        <f>_xlfn.XLOOKUP(Total[[#This Row],[Hebras]],TbTecnologia[Hebras],TbTecnologia[Tecnología])</f>
        <v>OMP</v>
      </c>
      <c r="D67" s="15" t="str" cm="1">
        <f t="array" ref="D67">_xlfn.XLOOKUP(Total[[#This Row],[Tecnología]]&amp;Total[[#This Row],[Metodo]],TbTipos[Tecnología]&amp;TbTipos[Metodo],TbTipos[Tipo])</f>
        <v>OMP Elementos</v>
      </c>
      <c r="E67" s="15" t="str" cm="1">
        <f t="array" ref="E67">_xlfn.XLOOKUP(Total[[#This Row],[Tecnología]]&amp;Total[[#This Row],[Problema]],TbNombres[Tecnología]&amp;TbNombres[Problema],TbNombres[Nombre])</f>
        <v>Advdiff1d</v>
      </c>
      <c r="F67" s="2">
        <v>2</v>
      </c>
      <c r="G67" s="2">
        <v>2</v>
      </c>
      <c r="H67" s="2">
        <v>16</v>
      </c>
      <c r="I67" s="2">
        <v>200</v>
      </c>
      <c r="J67" s="2">
        <v>200</v>
      </c>
      <c r="K67" s="2">
        <v>20.928599999999999</v>
      </c>
    </row>
    <row r="68" spans="2:11" x14ac:dyDescent="0.2">
      <c r="B68" s="26" t="str">
        <f>_xlfn.XLOOKUP(Total[[#This Row],[Metodo]],TbSolver[Metodo],TbSolver[Solver])</f>
        <v>Runge Kutta</v>
      </c>
      <c r="C68" s="26" t="str">
        <f>_xlfn.XLOOKUP(Total[[#This Row],[Hebras]],TbTecnologia[Hebras],TbTecnologia[Tecnología])</f>
        <v>OMP</v>
      </c>
      <c r="D68" s="15" t="str" cm="1">
        <f t="array" ref="D68">_xlfn.XLOOKUP(Total[[#This Row],[Tecnología]]&amp;Total[[#This Row],[Metodo]],TbTipos[Tecnología]&amp;TbTipos[Metodo],TbTipos[Tipo])</f>
        <v>OMP Operaciones</v>
      </c>
      <c r="E68" s="15" t="str" cm="1">
        <f t="array" ref="E68">_xlfn.XLOOKUP(Total[[#This Row],[Tecnología]]&amp;Total[[#This Row],[Problema]],TbNombres[Tecnología]&amp;TbNombres[Problema],TbNombres[Nombre])</f>
        <v>Advdiff1d</v>
      </c>
      <c r="F68" s="2">
        <v>1</v>
      </c>
      <c r="G68" s="2">
        <v>2</v>
      </c>
      <c r="H68" s="2">
        <v>1</v>
      </c>
      <c r="I68" s="2">
        <v>200</v>
      </c>
      <c r="J68" s="2">
        <v>200</v>
      </c>
      <c r="K68" s="2">
        <v>21.302299999999999</v>
      </c>
    </row>
    <row r="69" spans="2:11" x14ac:dyDescent="0.2">
      <c r="B69" s="26" t="str">
        <f>_xlfn.XLOOKUP(Total[[#This Row],[Metodo]],TbSolver[Metodo],TbSolver[Solver])</f>
        <v>Runge Kutta</v>
      </c>
      <c r="C69" s="26" t="str">
        <f>_xlfn.XLOOKUP(Total[[#This Row],[Hebras]],TbTecnologia[Hebras],TbTecnologia[Tecnología])</f>
        <v>OMP</v>
      </c>
      <c r="D69" s="15" t="str" cm="1">
        <f t="array" ref="D69">_xlfn.XLOOKUP(Total[[#This Row],[Tecnología]]&amp;Total[[#This Row],[Metodo]],TbTipos[Tecnología]&amp;TbTipos[Metodo],TbTipos[Tipo])</f>
        <v>OMP Elementos</v>
      </c>
      <c r="E69" s="15" t="str" cm="1">
        <f t="array" ref="E69">_xlfn.XLOOKUP(Total[[#This Row],[Tecnología]]&amp;Total[[#This Row],[Problema]],TbNombres[Tecnología]&amp;TbNombres[Problema],TbNombres[Nombre])</f>
        <v>Advdiff1d</v>
      </c>
      <c r="F69" s="2">
        <v>2</v>
      </c>
      <c r="G69" s="2">
        <v>2</v>
      </c>
      <c r="H69" s="2">
        <v>1</v>
      </c>
      <c r="I69" s="2">
        <v>200</v>
      </c>
      <c r="J69" s="2">
        <v>200</v>
      </c>
      <c r="K69" s="2">
        <v>23.9864</v>
      </c>
    </row>
    <row r="70" spans="2:11" x14ac:dyDescent="0.2">
      <c r="B70" s="26" t="str">
        <f>_xlfn.XLOOKUP(Total[[#This Row],[Metodo]],TbSolver[Metodo],TbSolver[Solver])</f>
        <v>Runge Kutta</v>
      </c>
      <c r="C70" s="26" t="str">
        <f>_xlfn.XLOOKUP(Total[[#This Row],[Hebras]],TbTecnologia[Hebras],TbTecnologia[Tecnología])</f>
        <v>CUDA</v>
      </c>
      <c r="D70" s="15" t="str" cm="1">
        <f t="array" ref="D70">_xlfn.XLOOKUP(Total[[#This Row],[Tecnología]]&amp;Total[[#This Row],[Metodo]],TbTipos[Tecnología]&amp;TbTipos[Metodo],TbTipos[Tipo])</f>
        <v>CUDA con graph</v>
      </c>
      <c r="E70" s="15" t="str" cm="1">
        <f t="array" ref="E70">_xlfn.XLOOKUP(Total[[#This Row],[Tecnología]]&amp;Total[[#This Row],[Problema]],TbNombres[Tecnología]&amp;TbNombres[Problema],TbNombres[Nombre])</f>
        <v>Advdiff1d</v>
      </c>
      <c r="F70" s="2">
        <v>2</v>
      </c>
      <c r="G70" s="2">
        <v>3</v>
      </c>
      <c r="H70" s="2">
        <v>256</v>
      </c>
      <c r="I70" s="2">
        <v>200</v>
      </c>
      <c r="J70" s="2">
        <v>200</v>
      </c>
      <c r="K70" s="2">
        <v>25.8079</v>
      </c>
    </row>
    <row r="71" spans="2:11" x14ac:dyDescent="0.2">
      <c r="B71" s="26" t="str">
        <f>_xlfn.XLOOKUP(Total[[#This Row],[Metodo]],TbSolver[Metodo],TbSolver[Solver])</f>
        <v>Runge Kutta</v>
      </c>
      <c r="C71" s="26" t="str">
        <f>_xlfn.XLOOKUP(Total[[#This Row],[Hebras]],TbTecnologia[Hebras],TbTecnologia[Tecnología])</f>
        <v>CUDA</v>
      </c>
      <c r="D71" s="15" t="str" cm="1">
        <f t="array" ref="D71">_xlfn.XLOOKUP(Total[[#This Row],[Tecnología]]&amp;Total[[#This Row],[Metodo]],TbTipos[Tecnología]&amp;TbTipos[Metodo],TbTipos[Tipo])</f>
        <v>CUDA con graph</v>
      </c>
      <c r="E71" s="15" t="str" cm="1">
        <f t="array" ref="E71">_xlfn.XLOOKUP(Total[[#This Row],[Tecnología]]&amp;Total[[#This Row],[Problema]],TbNombres[Tecnología]&amp;TbNombres[Problema],TbNombres[Nombre])</f>
        <v>Advdiff1d shuffle</v>
      </c>
      <c r="F71" s="2">
        <v>2</v>
      </c>
      <c r="G71" s="2">
        <v>4</v>
      </c>
      <c r="H71" s="2">
        <v>256</v>
      </c>
      <c r="I71" s="2">
        <v>200</v>
      </c>
      <c r="J71" s="2">
        <v>200</v>
      </c>
      <c r="K71" s="2">
        <v>26.537299999999998</v>
      </c>
    </row>
    <row r="72" spans="2:11" x14ac:dyDescent="0.2">
      <c r="B72" s="26" t="str">
        <f>_xlfn.XLOOKUP(Total[[#This Row],[Metodo]],TbSolver[Metodo],TbSolver[Solver])</f>
        <v>Runge Kutta</v>
      </c>
      <c r="C72" s="26" t="str">
        <f>_xlfn.XLOOKUP(Total[[#This Row],[Hebras]],TbTecnologia[Hebras],TbTecnologia[Tecnología])</f>
        <v>CUDA</v>
      </c>
      <c r="D72" s="15" t="str" cm="1">
        <f t="array" ref="D72">_xlfn.XLOOKUP(Total[[#This Row],[Tecnología]]&amp;Total[[#This Row],[Metodo]],TbTipos[Tecnología]&amp;TbTipos[Metodo],TbTipos[Tipo])</f>
        <v>CUDA sin graph</v>
      </c>
      <c r="E72" s="15" t="str" cm="1">
        <f t="array" ref="E72">_xlfn.XLOOKUP(Total[[#This Row],[Tecnología]]&amp;Total[[#This Row],[Problema]],TbNombres[Tecnología]&amp;TbNombres[Problema],TbNombres[Nombre])</f>
        <v>Advdiff1d</v>
      </c>
      <c r="F72" s="2">
        <v>1</v>
      </c>
      <c r="G72" s="2">
        <v>3</v>
      </c>
      <c r="H72" s="2">
        <v>256</v>
      </c>
      <c r="I72" s="2">
        <v>200</v>
      </c>
      <c r="J72" s="2">
        <v>200</v>
      </c>
      <c r="K72" s="2">
        <v>28.723600000000001</v>
      </c>
    </row>
    <row r="73" spans="2:11" x14ac:dyDescent="0.2">
      <c r="B73" s="26" t="str">
        <f>_xlfn.XLOOKUP(Total[[#This Row],[Metodo]],TbSolver[Metodo],TbSolver[Solver])</f>
        <v>Runge Kutta</v>
      </c>
      <c r="C73" s="26" t="str">
        <f>_xlfn.XLOOKUP(Total[[#This Row],[Hebras]],TbTecnologia[Hebras],TbTecnologia[Tecnología])</f>
        <v>CUDA</v>
      </c>
      <c r="D73" s="15" t="str" cm="1">
        <f t="array" ref="D73">_xlfn.XLOOKUP(Total[[#This Row],[Tecnología]]&amp;Total[[#This Row],[Metodo]],TbTipos[Tecnología]&amp;TbTipos[Metodo],TbTipos[Tipo])</f>
        <v>CUDA sin graph</v>
      </c>
      <c r="E73" s="15" t="str" cm="1">
        <f t="array" ref="E73">_xlfn.XLOOKUP(Total[[#This Row],[Tecnología]]&amp;Total[[#This Row],[Problema]],TbNombres[Tecnología]&amp;TbNombres[Problema],TbNombres[Nombre])</f>
        <v>Advdiff1d shuffle</v>
      </c>
      <c r="F73" s="2">
        <v>1</v>
      </c>
      <c r="G73" s="2">
        <v>4</v>
      </c>
      <c r="H73" s="2">
        <v>256</v>
      </c>
      <c r="I73" s="2">
        <v>200</v>
      </c>
      <c r="J73" s="2">
        <v>200</v>
      </c>
      <c r="K73" s="2">
        <v>29.5016</v>
      </c>
    </row>
    <row r="74" spans="2:11" x14ac:dyDescent="0.2">
      <c r="B74" s="26" t="str">
        <f>_xlfn.XLOOKUP(Total[[#This Row],[Metodo]],TbSolver[Metodo],TbSolver[Solver])</f>
        <v>Runge Kutta</v>
      </c>
      <c r="C74" s="26" t="str">
        <f>_xlfn.XLOOKUP(Total[[#This Row],[Hebras]],TbTecnologia[Hebras],TbTecnologia[Tecnología])</f>
        <v>OMP</v>
      </c>
      <c r="D74" s="15" t="str" cm="1">
        <f t="array" ref="D74">_xlfn.XLOOKUP(Total[[#This Row],[Tecnología]]&amp;Total[[#This Row],[Metodo]],TbTipos[Tecnología]&amp;TbTipos[Metodo],TbTipos[Tipo])</f>
        <v>OMP Operaciones</v>
      </c>
      <c r="E74" s="15" t="str" cm="1">
        <f t="array" ref="E74">_xlfn.XLOOKUP(Total[[#This Row],[Tecnología]]&amp;Total[[#This Row],[Problema]],TbNombres[Tecnología]&amp;TbNombres[Problema],TbNombres[Nombre])</f>
        <v>Advdiff1d</v>
      </c>
      <c r="F74" s="2">
        <v>1</v>
      </c>
      <c r="G74" s="2">
        <v>2</v>
      </c>
      <c r="H74" s="2">
        <v>4</v>
      </c>
      <c r="I74" s="2">
        <v>200</v>
      </c>
      <c r="J74" s="2">
        <v>200</v>
      </c>
      <c r="K74" s="2">
        <v>41.730200000000004</v>
      </c>
    </row>
    <row r="75" spans="2:11" x14ac:dyDescent="0.2">
      <c r="B75" s="26" t="str">
        <f>_xlfn.XLOOKUP(Total[[#This Row],[Metodo]],TbSolver[Metodo],TbSolver[Solver])</f>
        <v>Runge Kutta</v>
      </c>
      <c r="C75" s="26" t="str">
        <f>_xlfn.XLOOKUP(Total[[#This Row],[Hebras]],TbTecnologia[Hebras],TbTecnologia[Tecnología])</f>
        <v>OMP</v>
      </c>
      <c r="D75" s="15" t="str" cm="1">
        <f t="array" ref="D75">_xlfn.XLOOKUP(Total[[#This Row],[Tecnología]]&amp;Total[[#This Row],[Metodo]],TbTipos[Tecnología]&amp;TbTipos[Metodo],TbTipos[Tipo])</f>
        <v>OMP Operaciones</v>
      </c>
      <c r="E75" s="15" t="str" cm="1">
        <f t="array" ref="E75">_xlfn.XLOOKUP(Total[[#This Row],[Tecnología]]&amp;Total[[#This Row],[Problema]],TbNombres[Tecnología]&amp;TbNombres[Problema],TbNombres[Nombre])</f>
        <v>Advdiff1d</v>
      </c>
      <c r="F75" s="2">
        <v>1</v>
      </c>
      <c r="G75" s="2">
        <v>2</v>
      </c>
      <c r="H75" s="2">
        <v>16</v>
      </c>
      <c r="I75" s="2">
        <v>200</v>
      </c>
      <c r="J75" s="2">
        <v>200</v>
      </c>
      <c r="K75" s="2">
        <v>97.440100000000001</v>
      </c>
    </row>
    <row r="76" spans="2:11" x14ac:dyDescent="0.2">
      <c r="B76" s="26" t="str">
        <f>_xlfn.XLOOKUP(Total[[#This Row],[Metodo]],TbSolver[Metodo],TbSolver[Solver])</f>
        <v>Runge Kutta</v>
      </c>
      <c r="C76" s="26" t="str">
        <f>_xlfn.XLOOKUP(Total[[#This Row],[Hebras]],TbTecnologia[Hebras],TbTecnologia[Tecnología])</f>
        <v>OMP</v>
      </c>
      <c r="D76" s="15" t="str" cm="1">
        <f t="array" ref="D76">_xlfn.XLOOKUP(Total[[#This Row],[Tecnología]]&amp;Total[[#This Row],[Metodo]],TbTipos[Tecnología]&amp;TbTipos[Metodo],TbTipos[Tipo])</f>
        <v>OMP Elementos</v>
      </c>
      <c r="E76" s="15" t="str" cm="1">
        <f t="array" ref="E76">_xlfn.XLOOKUP(Total[[#This Row],[Tecnología]]&amp;Total[[#This Row],[Problema]],TbNombres[Tecnología]&amp;TbNombres[Problema],TbNombres[Nombre])</f>
        <v>Advdiff1d</v>
      </c>
      <c r="F76" s="2">
        <v>2</v>
      </c>
      <c r="G76" s="2">
        <v>2</v>
      </c>
      <c r="H76" s="2">
        <v>16</v>
      </c>
      <c r="I76" s="2">
        <v>500</v>
      </c>
      <c r="J76" s="2">
        <v>500</v>
      </c>
      <c r="K76" s="2">
        <v>18.952200000000001</v>
      </c>
    </row>
    <row r="77" spans="2:11" x14ac:dyDescent="0.2">
      <c r="B77" s="26" t="str">
        <f>_xlfn.XLOOKUP(Total[[#This Row],[Metodo]],TbSolver[Metodo],TbSolver[Solver])</f>
        <v>Runge Kutta</v>
      </c>
      <c r="C77" s="26" t="str">
        <f>_xlfn.XLOOKUP(Total[[#This Row],[Hebras]],TbTecnologia[Hebras],TbTecnologia[Tecnología])</f>
        <v>OMP</v>
      </c>
      <c r="D77" s="15" t="str" cm="1">
        <f t="array" ref="D77">_xlfn.XLOOKUP(Total[[#This Row],[Tecnología]]&amp;Total[[#This Row],[Metodo]],TbTipos[Tecnología]&amp;TbTipos[Metodo],TbTipos[Tipo])</f>
        <v>OMP Elementos</v>
      </c>
      <c r="E77" s="15" t="str" cm="1">
        <f t="array" ref="E77">_xlfn.XLOOKUP(Total[[#This Row],[Tecnología]]&amp;Total[[#This Row],[Problema]],TbNombres[Tecnología]&amp;TbNombres[Problema],TbNombres[Nombre])</f>
        <v>Advdiff1d</v>
      </c>
      <c r="F77" s="2">
        <v>2</v>
      </c>
      <c r="G77" s="2">
        <v>2</v>
      </c>
      <c r="H77" s="2">
        <v>4</v>
      </c>
      <c r="I77" s="2">
        <v>500</v>
      </c>
      <c r="J77" s="2">
        <v>500</v>
      </c>
      <c r="K77" s="2">
        <v>21.177099999999999</v>
      </c>
    </row>
    <row r="78" spans="2:11" x14ac:dyDescent="0.2">
      <c r="B78" s="26" t="str">
        <f>_xlfn.XLOOKUP(Total[[#This Row],[Metodo]],TbSolver[Metodo],TbSolver[Solver])</f>
        <v>Runge Kutta</v>
      </c>
      <c r="C78" s="26" t="str">
        <f>_xlfn.XLOOKUP(Total[[#This Row],[Hebras]],TbTecnologia[Hebras],TbTecnologia[Tecnología])</f>
        <v>CUDA</v>
      </c>
      <c r="D78" s="15" t="str" cm="1">
        <f t="array" ref="D78">_xlfn.XLOOKUP(Total[[#This Row],[Tecnología]]&amp;Total[[#This Row],[Metodo]],TbTipos[Tecnología]&amp;TbTipos[Metodo],TbTipos[Tipo])</f>
        <v>CUDA con graph</v>
      </c>
      <c r="E78" s="15" t="str" cm="1">
        <f t="array" ref="E78">_xlfn.XLOOKUP(Total[[#This Row],[Tecnología]]&amp;Total[[#This Row],[Problema]],TbNombres[Tecnología]&amp;TbNombres[Problema],TbNombres[Nombre])</f>
        <v>Advdiff1d</v>
      </c>
      <c r="F78" s="2">
        <v>2</v>
      </c>
      <c r="G78" s="2">
        <v>3</v>
      </c>
      <c r="H78" s="2">
        <v>256</v>
      </c>
      <c r="I78" s="2">
        <v>500</v>
      </c>
      <c r="J78" s="2">
        <v>500</v>
      </c>
      <c r="K78" s="2">
        <v>28.0899</v>
      </c>
    </row>
    <row r="79" spans="2:11" x14ac:dyDescent="0.2">
      <c r="B79" s="26" t="str">
        <f>_xlfn.XLOOKUP(Total[[#This Row],[Metodo]],TbSolver[Metodo],TbSolver[Solver])</f>
        <v>Runge Kutta</v>
      </c>
      <c r="C79" s="26" t="str">
        <f>_xlfn.XLOOKUP(Total[[#This Row],[Hebras]],TbTecnologia[Hebras],TbTecnologia[Tecnología])</f>
        <v>CUDA</v>
      </c>
      <c r="D79" s="15" t="str" cm="1">
        <f t="array" ref="D79">_xlfn.XLOOKUP(Total[[#This Row],[Tecnología]]&amp;Total[[#This Row],[Metodo]],TbTipos[Tecnología]&amp;TbTipos[Metodo],TbTipos[Tipo])</f>
        <v>CUDA con graph</v>
      </c>
      <c r="E79" s="15" t="str" cm="1">
        <f t="array" ref="E79">_xlfn.XLOOKUP(Total[[#This Row],[Tecnología]]&amp;Total[[#This Row],[Problema]],TbNombres[Tecnología]&amp;TbNombres[Problema],TbNombres[Nombre])</f>
        <v>Advdiff1d shuffle</v>
      </c>
      <c r="F79" s="2">
        <v>2</v>
      </c>
      <c r="G79" s="2">
        <v>4</v>
      </c>
      <c r="H79" s="2">
        <v>256</v>
      </c>
      <c r="I79" s="2">
        <v>500</v>
      </c>
      <c r="J79" s="2">
        <v>500</v>
      </c>
      <c r="K79" s="2">
        <v>28.9773</v>
      </c>
    </row>
    <row r="80" spans="2:11" x14ac:dyDescent="0.2">
      <c r="B80" s="26" t="str">
        <f>_xlfn.XLOOKUP(Total[[#This Row],[Metodo]],TbSolver[Metodo],TbSolver[Solver])</f>
        <v>Runge Kutta</v>
      </c>
      <c r="C80" s="26" t="str">
        <f>_xlfn.XLOOKUP(Total[[#This Row],[Hebras]],TbTecnologia[Hebras],TbTecnologia[Tecnología])</f>
        <v>CUDA</v>
      </c>
      <c r="D80" s="15" t="str" cm="1">
        <f t="array" ref="D80">_xlfn.XLOOKUP(Total[[#This Row],[Tecnología]]&amp;Total[[#This Row],[Metodo]],TbTipos[Tecnología]&amp;TbTipos[Metodo],TbTipos[Tipo])</f>
        <v>CUDA sin graph</v>
      </c>
      <c r="E80" s="15" t="str" cm="1">
        <f t="array" ref="E80">_xlfn.XLOOKUP(Total[[#This Row],[Tecnología]]&amp;Total[[#This Row],[Problema]],TbNombres[Tecnología]&amp;TbNombres[Problema],TbNombres[Nombre])</f>
        <v>Advdiff1d</v>
      </c>
      <c r="F80" s="2">
        <v>1</v>
      </c>
      <c r="G80" s="2">
        <v>3</v>
      </c>
      <c r="H80" s="2">
        <v>256</v>
      </c>
      <c r="I80" s="2">
        <v>500</v>
      </c>
      <c r="J80" s="2">
        <v>500</v>
      </c>
      <c r="K80" s="2">
        <v>31.041499999999999</v>
      </c>
    </row>
    <row r="81" spans="2:11" x14ac:dyDescent="0.2">
      <c r="B81" s="26" t="str">
        <f>_xlfn.XLOOKUP(Total[[#This Row],[Metodo]],TbSolver[Metodo],TbSolver[Solver])</f>
        <v>Runge Kutta</v>
      </c>
      <c r="C81" s="26" t="str">
        <f>_xlfn.XLOOKUP(Total[[#This Row],[Hebras]],TbTecnologia[Hebras],TbTecnologia[Tecnología])</f>
        <v>CUDA</v>
      </c>
      <c r="D81" s="15" t="str" cm="1">
        <f t="array" ref="D81">_xlfn.XLOOKUP(Total[[#This Row],[Tecnología]]&amp;Total[[#This Row],[Metodo]],TbTipos[Tecnología]&amp;TbTipos[Metodo],TbTipos[Tipo])</f>
        <v>CUDA sin graph</v>
      </c>
      <c r="E81" s="15" t="str" cm="1">
        <f t="array" ref="E81">_xlfn.XLOOKUP(Total[[#This Row],[Tecnología]]&amp;Total[[#This Row],[Problema]],TbNombres[Tecnología]&amp;TbNombres[Problema],TbNombres[Nombre])</f>
        <v>Advdiff1d shuffle</v>
      </c>
      <c r="F81" s="2">
        <v>1</v>
      </c>
      <c r="G81" s="2">
        <v>4</v>
      </c>
      <c r="H81" s="2">
        <v>256</v>
      </c>
      <c r="I81" s="2">
        <v>500</v>
      </c>
      <c r="J81" s="2">
        <v>500</v>
      </c>
      <c r="K81" s="2">
        <v>32.172199999999997</v>
      </c>
    </row>
    <row r="82" spans="2:11" x14ac:dyDescent="0.2">
      <c r="B82" s="26" t="str">
        <f>_xlfn.XLOOKUP(Total[[#This Row],[Metodo]],TbSolver[Metodo],TbSolver[Solver])</f>
        <v>Runge Kutta</v>
      </c>
      <c r="C82" s="26" t="str">
        <f>_xlfn.XLOOKUP(Total[[#This Row],[Hebras]],TbTecnologia[Hebras],TbTecnologia[Tecnología])</f>
        <v>OMP</v>
      </c>
      <c r="D82" s="15" t="str" cm="1">
        <f t="array" ref="D82">_xlfn.XLOOKUP(Total[[#This Row],[Tecnología]]&amp;Total[[#This Row],[Metodo]],TbTipos[Tecnología]&amp;TbTipos[Metodo],TbTipos[Tipo])</f>
        <v>OMP Operaciones</v>
      </c>
      <c r="E82" s="15" t="str" cm="1">
        <f t="array" ref="E82">_xlfn.XLOOKUP(Total[[#This Row],[Tecnología]]&amp;Total[[#This Row],[Problema]],TbNombres[Tecnología]&amp;TbNombres[Problema],TbNombres[Nombre])</f>
        <v>Advdiff1d</v>
      </c>
      <c r="F82" s="2">
        <v>1</v>
      </c>
      <c r="G82" s="2">
        <v>2</v>
      </c>
      <c r="H82" s="2">
        <v>4</v>
      </c>
      <c r="I82" s="2">
        <v>500</v>
      </c>
      <c r="J82" s="2">
        <v>500</v>
      </c>
      <c r="K82" s="2">
        <v>46.340800000000002</v>
      </c>
    </row>
    <row r="83" spans="2:11" x14ac:dyDescent="0.2">
      <c r="B83" s="26" t="str">
        <f>_xlfn.XLOOKUP(Total[[#This Row],[Metodo]],TbSolver[Metodo],TbSolver[Solver])</f>
        <v>Runge Kutta</v>
      </c>
      <c r="C83" s="26" t="str">
        <f>_xlfn.XLOOKUP(Total[[#This Row],[Hebras]],TbTecnologia[Hebras],TbTecnologia[Tecnología])</f>
        <v>OMP</v>
      </c>
      <c r="D83" s="15" t="str" cm="1">
        <f t="array" ref="D83">_xlfn.XLOOKUP(Total[[#This Row],[Tecnología]]&amp;Total[[#This Row],[Metodo]],TbTipos[Tecnología]&amp;TbTipos[Metodo],TbTipos[Tipo])</f>
        <v>OMP Operaciones</v>
      </c>
      <c r="E83" s="15" t="str" cm="1">
        <f t="array" ref="E83">_xlfn.XLOOKUP(Total[[#This Row],[Tecnología]]&amp;Total[[#This Row],[Problema]],TbNombres[Tecnología]&amp;TbNombres[Problema],TbNombres[Nombre])</f>
        <v>Advdiff1d</v>
      </c>
      <c r="F83" s="2">
        <v>1</v>
      </c>
      <c r="G83" s="2">
        <v>2</v>
      </c>
      <c r="H83" s="2">
        <v>1</v>
      </c>
      <c r="I83" s="2">
        <v>500</v>
      </c>
      <c r="J83" s="2">
        <v>500</v>
      </c>
      <c r="K83" s="2">
        <v>47.666899999999998</v>
      </c>
    </row>
    <row r="84" spans="2:11" x14ac:dyDescent="0.2">
      <c r="B84" s="26" t="str">
        <f>_xlfn.XLOOKUP(Total[[#This Row],[Metodo]],TbSolver[Metodo],TbSolver[Solver])</f>
        <v>Runge Kutta</v>
      </c>
      <c r="C84" s="26" t="str">
        <f>_xlfn.XLOOKUP(Total[[#This Row],[Hebras]],TbTecnologia[Hebras],TbTecnologia[Tecnología])</f>
        <v>OMP</v>
      </c>
      <c r="D84" s="15" t="str" cm="1">
        <f t="array" ref="D84">_xlfn.XLOOKUP(Total[[#This Row],[Tecnología]]&amp;Total[[#This Row],[Metodo]],TbTipos[Tecnología]&amp;TbTipos[Metodo],TbTipos[Tipo])</f>
        <v>OMP Elementos</v>
      </c>
      <c r="E84" s="15" t="str" cm="1">
        <f t="array" ref="E84">_xlfn.XLOOKUP(Total[[#This Row],[Tecnología]]&amp;Total[[#This Row],[Problema]],TbNombres[Tecnología]&amp;TbNombres[Problema],TbNombres[Nombre])</f>
        <v>Advdiff1d</v>
      </c>
      <c r="F84" s="2">
        <v>2</v>
      </c>
      <c r="G84" s="2">
        <v>2</v>
      </c>
      <c r="H84" s="2">
        <v>1</v>
      </c>
      <c r="I84" s="2">
        <v>500</v>
      </c>
      <c r="J84" s="2">
        <v>500</v>
      </c>
      <c r="K84" s="2">
        <v>59.217599999999997</v>
      </c>
    </row>
    <row r="85" spans="2:11" x14ac:dyDescent="0.2">
      <c r="B85" s="26" t="str">
        <f>_xlfn.XLOOKUP(Total[[#This Row],[Metodo]],TbSolver[Metodo],TbSolver[Solver])</f>
        <v>Runge Kutta</v>
      </c>
      <c r="C85" s="26" t="str">
        <f>_xlfn.XLOOKUP(Total[[#This Row],[Hebras]],TbTecnologia[Hebras],TbTecnologia[Tecnología])</f>
        <v>OMP</v>
      </c>
      <c r="D85" s="15" t="str" cm="1">
        <f t="array" ref="D85">_xlfn.XLOOKUP(Total[[#This Row],[Tecnología]]&amp;Total[[#This Row],[Metodo]],TbTipos[Tecnología]&amp;TbTipos[Metodo],TbTipos[Tipo])</f>
        <v>OMP Operaciones</v>
      </c>
      <c r="E85" s="15" t="str" cm="1">
        <f t="array" ref="E85">_xlfn.XLOOKUP(Total[[#This Row],[Tecnología]]&amp;Total[[#This Row],[Problema]],TbNombres[Tecnología]&amp;TbNombres[Problema],TbNombres[Nombre])</f>
        <v>Advdiff1d</v>
      </c>
      <c r="F85" s="2">
        <v>1</v>
      </c>
      <c r="G85" s="2">
        <v>2</v>
      </c>
      <c r="H85" s="2">
        <v>16</v>
      </c>
      <c r="I85" s="2">
        <v>500</v>
      </c>
      <c r="J85" s="2">
        <v>500</v>
      </c>
      <c r="K85" s="2">
        <v>97.687299999999993</v>
      </c>
    </row>
    <row r="86" spans="2:11" x14ac:dyDescent="0.2">
      <c r="B86" s="26" t="str">
        <f>_xlfn.XLOOKUP(Total[[#This Row],[Metodo]],TbSolver[Metodo],TbSolver[Solver])</f>
        <v>Runge Kutta</v>
      </c>
      <c r="C86" s="26" t="str">
        <f>_xlfn.XLOOKUP(Total[[#This Row],[Hebras]],TbTecnologia[Hebras],TbTecnologia[Tecnología])</f>
        <v>OMP</v>
      </c>
      <c r="D86" s="15" t="str" cm="1">
        <f t="array" ref="D86">_xlfn.XLOOKUP(Total[[#This Row],[Tecnología]]&amp;Total[[#This Row],[Metodo]],TbTipos[Tecnología]&amp;TbTipos[Metodo],TbTipos[Tipo])</f>
        <v>OMP Elementos</v>
      </c>
      <c r="E86" s="15" t="str" cm="1">
        <f t="array" ref="E86">_xlfn.XLOOKUP(Total[[#This Row],[Tecnología]]&amp;Total[[#This Row],[Problema]],TbNombres[Tecnología]&amp;TbNombres[Problema],TbNombres[Nombre])</f>
        <v>Advdiff1d</v>
      </c>
      <c r="F86" s="2">
        <v>2</v>
      </c>
      <c r="G86" s="2">
        <v>2</v>
      </c>
      <c r="H86" s="2">
        <v>16</v>
      </c>
      <c r="I86" s="2">
        <v>1000</v>
      </c>
      <c r="J86" s="2">
        <v>1000</v>
      </c>
      <c r="K86" s="2">
        <v>21.362100000000002</v>
      </c>
    </row>
    <row r="87" spans="2:11" x14ac:dyDescent="0.2">
      <c r="B87" s="26" t="str">
        <f>_xlfn.XLOOKUP(Total[[#This Row],[Metodo]],TbSolver[Metodo],TbSolver[Solver])</f>
        <v>Runge Kutta</v>
      </c>
      <c r="C87" s="26" t="str">
        <f>_xlfn.XLOOKUP(Total[[#This Row],[Hebras]],TbTecnologia[Hebras],TbTecnologia[Tecnología])</f>
        <v>CUDA</v>
      </c>
      <c r="D87" s="15" t="str" cm="1">
        <f t="array" ref="D87">_xlfn.XLOOKUP(Total[[#This Row],[Tecnología]]&amp;Total[[#This Row],[Metodo]],TbTipos[Tecnología]&amp;TbTipos[Metodo],TbTipos[Tipo])</f>
        <v>CUDA con graph</v>
      </c>
      <c r="E87" s="15" t="str" cm="1">
        <f t="array" ref="E87">_xlfn.XLOOKUP(Total[[#This Row],[Tecnología]]&amp;Total[[#This Row],[Problema]],TbNombres[Tecnología]&amp;TbNombres[Problema],TbNombres[Nombre])</f>
        <v>Advdiff1d</v>
      </c>
      <c r="F87" s="2">
        <v>2</v>
      </c>
      <c r="G87" s="2">
        <v>3</v>
      </c>
      <c r="H87" s="2">
        <v>256</v>
      </c>
      <c r="I87" s="2">
        <v>1000</v>
      </c>
      <c r="J87" s="2">
        <v>1000</v>
      </c>
      <c r="K87" s="2">
        <v>28.155000000000001</v>
      </c>
    </row>
    <row r="88" spans="2:11" x14ac:dyDescent="0.2">
      <c r="B88" s="26" t="str">
        <f>_xlfn.XLOOKUP(Total[[#This Row],[Metodo]],TbSolver[Metodo],TbSolver[Solver])</f>
        <v>Runge Kutta</v>
      </c>
      <c r="C88" s="26" t="str">
        <f>_xlfn.XLOOKUP(Total[[#This Row],[Hebras]],TbTecnologia[Hebras],TbTecnologia[Tecnología])</f>
        <v>CUDA</v>
      </c>
      <c r="D88" s="15" t="str" cm="1">
        <f t="array" ref="D88">_xlfn.XLOOKUP(Total[[#This Row],[Tecnología]]&amp;Total[[#This Row],[Metodo]],TbTipos[Tecnología]&amp;TbTipos[Metodo],TbTipos[Tipo])</f>
        <v>CUDA con graph</v>
      </c>
      <c r="E88" s="15" t="str" cm="1">
        <f t="array" ref="E88">_xlfn.XLOOKUP(Total[[#This Row],[Tecnología]]&amp;Total[[#This Row],[Problema]],TbNombres[Tecnología]&amp;TbNombres[Problema],TbNombres[Nombre])</f>
        <v>Advdiff1d shuffle</v>
      </c>
      <c r="F88" s="2">
        <v>2</v>
      </c>
      <c r="G88" s="2">
        <v>4</v>
      </c>
      <c r="H88" s="2">
        <v>256</v>
      </c>
      <c r="I88" s="2">
        <v>1000</v>
      </c>
      <c r="J88" s="2">
        <v>1000</v>
      </c>
      <c r="K88" s="2">
        <v>29.179400000000001</v>
      </c>
    </row>
    <row r="89" spans="2:11" x14ac:dyDescent="0.2">
      <c r="B89" s="26" t="str">
        <f>_xlfn.XLOOKUP(Total[[#This Row],[Metodo]],TbSolver[Metodo],TbSolver[Solver])</f>
        <v>Runge Kutta</v>
      </c>
      <c r="C89" s="26" t="str">
        <f>_xlfn.XLOOKUP(Total[[#This Row],[Hebras]],TbTecnologia[Hebras],TbTecnologia[Tecnología])</f>
        <v>CUDA</v>
      </c>
      <c r="D89" s="15" t="str" cm="1">
        <f t="array" ref="D89">_xlfn.XLOOKUP(Total[[#This Row],[Tecnología]]&amp;Total[[#This Row],[Metodo]],TbTipos[Tecnología]&amp;TbTipos[Metodo],TbTipos[Tipo])</f>
        <v>CUDA sin graph</v>
      </c>
      <c r="E89" s="15" t="str" cm="1">
        <f t="array" ref="E89">_xlfn.XLOOKUP(Total[[#This Row],[Tecnología]]&amp;Total[[#This Row],[Problema]],TbNombres[Tecnología]&amp;TbNombres[Problema],TbNombres[Nombre])</f>
        <v>Advdiff1d</v>
      </c>
      <c r="F89" s="2">
        <v>1</v>
      </c>
      <c r="G89" s="2">
        <v>3</v>
      </c>
      <c r="H89" s="2">
        <v>256</v>
      </c>
      <c r="I89" s="2">
        <v>1000</v>
      </c>
      <c r="J89" s="2">
        <v>1000</v>
      </c>
      <c r="K89" s="2">
        <v>30.878</v>
      </c>
    </row>
    <row r="90" spans="2:11" x14ac:dyDescent="0.2">
      <c r="B90" s="26" t="str">
        <f>_xlfn.XLOOKUP(Total[[#This Row],[Metodo]],TbSolver[Metodo],TbSolver[Solver])</f>
        <v>Runge Kutta</v>
      </c>
      <c r="C90" s="26" t="str">
        <f>_xlfn.XLOOKUP(Total[[#This Row],[Hebras]],TbTecnologia[Hebras],TbTecnologia[Tecnología])</f>
        <v>CUDA</v>
      </c>
      <c r="D90" s="15" t="str" cm="1">
        <f t="array" ref="D90">_xlfn.XLOOKUP(Total[[#This Row],[Tecnología]]&amp;Total[[#This Row],[Metodo]],TbTipos[Tecnología]&amp;TbTipos[Metodo],TbTipos[Tipo])</f>
        <v>CUDA sin graph</v>
      </c>
      <c r="E90" s="15" t="str" cm="1">
        <f t="array" ref="E90">_xlfn.XLOOKUP(Total[[#This Row],[Tecnología]]&amp;Total[[#This Row],[Problema]],TbNombres[Tecnología]&amp;TbNombres[Problema],TbNombres[Nombre])</f>
        <v>Advdiff1d shuffle</v>
      </c>
      <c r="F90" s="2">
        <v>1</v>
      </c>
      <c r="G90" s="2">
        <v>4</v>
      </c>
      <c r="H90" s="2">
        <v>256</v>
      </c>
      <c r="I90" s="2">
        <v>1000</v>
      </c>
      <c r="J90" s="2">
        <v>1000</v>
      </c>
      <c r="K90" s="2">
        <v>31.9133</v>
      </c>
    </row>
    <row r="91" spans="2:11" x14ac:dyDescent="0.2">
      <c r="B91" s="26" t="str">
        <f>_xlfn.XLOOKUP(Total[[#This Row],[Metodo]],TbSolver[Metodo],TbSolver[Solver])</f>
        <v>Runge Kutta</v>
      </c>
      <c r="C91" s="26" t="str">
        <f>_xlfn.XLOOKUP(Total[[#This Row],[Hebras]],TbTecnologia[Hebras],TbTecnologia[Tecnología])</f>
        <v>OMP</v>
      </c>
      <c r="D91" s="15" t="str" cm="1">
        <f t="array" ref="D91">_xlfn.XLOOKUP(Total[[#This Row],[Tecnología]]&amp;Total[[#This Row],[Metodo]],TbTipos[Tecnología]&amp;TbTipos[Metodo],TbTipos[Tipo])</f>
        <v>OMP Elementos</v>
      </c>
      <c r="E91" s="15" t="str" cm="1">
        <f t="array" ref="E91">_xlfn.XLOOKUP(Total[[#This Row],[Tecnología]]&amp;Total[[#This Row],[Problema]],TbNombres[Tecnología]&amp;TbNombres[Problema],TbNombres[Nombre])</f>
        <v>Advdiff1d</v>
      </c>
      <c r="F91" s="2">
        <v>2</v>
      </c>
      <c r="G91" s="2">
        <v>2</v>
      </c>
      <c r="H91" s="2">
        <v>4</v>
      </c>
      <c r="I91" s="2">
        <v>1000</v>
      </c>
      <c r="J91" s="2">
        <v>1000</v>
      </c>
      <c r="K91" s="2">
        <v>36.563499999999998</v>
      </c>
    </row>
    <row r="92" spans="2:11" x14ac:dyDescent="0.2">
      <c r="B92" s="26" t="str">
        <f>_xlfn.XLOOKUP(Total[[#This Row],[Metodo]],TbSolver[Metodo],TbSolver[Solver])</f>
        <v>Runge Kutta</v>
      </c>
      <c r="C92" s="26" t="str">
        <f>_xlfn.XLOOKUP(Total[[#This Row],[Hebras]],TbTecnologia[Hebras],TbTecnologia[Tecnología])</f>
        <v>OMP</v>
      </c>
      <c r="D92" s="15" t="str" cm="1">
        <f t="array" ref="D92">_xlfn.XLOOKUP(Total[[#This Row],[Tecnología]]&amp;Total[[#This Row],[Metodo]],TbTipos[Tecnología]&amp;TbTipos[Metodo],TbTipos[Tipo])</f>
        <v>OMP Operaciones</v>
      </c>
      <c r="E92" s="15" t="str" cm="1">
        <f t="array" ref="E92">_xlfn.XLOOKUP(Total[[#This Row],[Tecnología]]&amp;Total[[#This Row],[Problema]],TbNombres[Tecnología]&amp;TbNombres[Problema],TbNombres[Nombre])</f>
        <v>Advdiff1d</v>
      </c>
      <c r="F92" s="2">
        <v>1</v>
      </c>
      <c r="G92" s="2">
        <v>2</v>
      </c>
      <c r="H92" s="2">
        <v>4</v>
      </c>
      <c r="I92" s="2">
        <v>1000</v>
      </c>
      <c r="J92" s="2">
        <v>1000</v>
      </c>
      <c r="K92" s="2">
        <v>60.924799999999998</v>
      </c>
    </row>
    <row r="93" spans="2:11" x14ac:dyDescent="0.2">
      <c r="B93" s="26" t="str">
        <f>_xlfn.XLOOKUP(Total[[#This Row],[Metodo]],TbSolver[Metodo],TbSolver[Solver])</f>
        <v>Runge Kutta</v>
      </c>
      <c r="C93" s="26" t="str">
        <f>_xlfn.XLOOKUP(Total[[#This Row],[Hebras]],TbTecnologia[Hebras],TbTecnologia[Tecnología])</f>
        <v>OMP</v>
      </c>
      <c r="D93" s="15" t="str" cm="1">
        <f t="array" ref="D93">_xlfn.XLOOKUP(Total[[#This Row],[Tecnología]]&amp;Total[[#This Row],[Metodo]],TbTipos[Tecnología]&amp;TbTipos[Metodo],TbTipos[Tipo])</f>
        <v>OMP Operaciones</v>
      </c>
      <c r="E93" s="15" t="str" cm="1">
        <f t="array" ref="E93">_xlfn.XLOOKUP(Total[[#This Row],[Tecnología]]&amp;Total[[#This Row],[Problema]],TbNombres[Tecnología]&amp;TbNombres[Problema],TbNombres[Nombre])</f>
        <v>Advdiff1d</v>
      </c>
      <c r="F93" s="2">
        <v>1</v>
      </c>
      <c r="G93" s="2">
        <v>2</v>
      </c>
      <c r="H93" s="2">
        <v>16</v>
      </c>
      <c r="I93" s="2">
        <v>1000</v>
      </c>
      <c r="J93" s="2">
        <v>1000</v>
      </c>
      <c r="K93" s="2">
        <v>89.934100000000001</v>
      </c>
    </row>
    <row r="94" spans="2:11" x14ac:dyDescent="0.2">
      <c r="B94" s="26" t="str">
        <f>_xlfn.XLOOKUP(Total[[#This Row],[Metodo]],TbSolver[Metodo],TbSolver[Solver])</f>
        <v>Runge Kutta</v>
      </c>
      <c r="C94" s="26" t="str">
        <f>_xlfn.XLOOKUP(Total[[#This Row],[Hebras]],TbTecnologia[Hebras],TbTecnologia[Tecnología])</f>
        <v>OMP</v>
      </c>
      <c r="D94" s="15" t="str" cm="1">
        <f t="array" ref="D94">_xlfn.XLOOKUP(Total[[#This Row],[Tecnología]]&amp;Total[[#This Row],[Metodo]],TbTipos[Tecnología]&amp;TbTipos[Metodo],TbTipos[Tipo])</f>
        <v>OMP Operaciones</v>
      </c>
      <c r="E94" s="15" t="str" cm="1">
        <f t="array" ref="E94">_xlfn.XLOOKUP(Total[[#This Row],[Tecnología]]&amp;Total[[#This Row],[Problema]],TbNombres[Tecnología]&amp;TbNombres[Problema],TbNombres[Nombre])</f>
        <v>Advdiff1d</v>
      </c>
      <c r="F94" s="2">
        <v>1</v>
      </c>
      <c r="G94" s="2">
        <v>2</v>
      </c>
      <c r="H94" s="2">
        <v>1</v>
      </c>
      <c r="I94" s="2">
        <v>1000</v>
      </c>
      <c r="J94" s="2">
        <v>1000</v>
      </c>
      <c r="K94" s="2">
        <v>92.846000000000004</v>
      </c>
    </row>
    <row r="95" spans="2:11" x14ac:dyDescent="0.2">
      <c r="B95" s="26" t="str">
        <f>_xlfn.XLOOKUP(Total[[#This Row],[Metodo]],TbSolver[Metodo],TbSolver[Solver])</f>
        <v>Runge Kutta</v>
      </c>
      <c r="C95" s="26" t="str">
        <f>_xlfn.XLOOKUP(Total[[#This Row],[Hebras]],TbTecnologia[Hebras],TbTecnologia[Tecnología])</f>
        <v>OMP</v>
      </c>
      <c r="D95" s="15" t="str" cm="1">
        <f t="array" ref="D95">_xlfn.XLOOKUP(Total[[#This Row],[Tecnología]]&amp;Total[[#This Row],[Metodo]],TbTipos[Tecnología]&amp;TbTipos[Metodo],TbTipos[Tipo])</f>
        <v>OMP Elementos</v>
      </c>
      <c r="E95" s="15" t="str" cm="1">
        <f t="array" ref="E95">_xlfn.XLOOKUP(Total[[#This Row],[Tecnología]]&amp;Total[[#This Row],[Problema]],TbNombres[Tecnología]&amp;TbNombres[Problema],TbNombres[Nombre])</f>
        <v>Advdiff1d</v>
      </c>
      <c r="F95" s="2">
        <v>2</v>
      </c>
      <c r="G95" s="2">
        <v>2</v>
      </c>
      <c r="H95" s="2">
        <v>1</v>
      </c>
      <c r="I95" s="2">
        <v>1000</v>
      </c>
      <c r="J95" s="2">
        <v>1000</v>
      </c>
      <c r="K95" s="2">
        <v>115.922</v>
      </c>
    </row>
    <row r="96" spans="2:11" x14ac:dyDescent="0.2">
      <c r="B96" s="26" t="str">
        <f>_xlfn.XLOOKUP(Total[[#This Row],[Metodo]],TbSolver[Metodo],TbSolver[Solver])</f>
        <v>Runge Kutta</v>
      </c>
      <c r="C96" s="26" t="str">
        <f>_xlfn.XLOOKUP(Total[[#This Row],[Hebras]],TbTecnologia[Hebras],TbTecnologia[Tecnología])</f>
        <v>CUDA</v>
      </c>
      <c r="D96" s="15" t="str" cm="1">
        <f t="array" ref="D96">_xlfn.XLOOKUP(Total[[#This Row],[Tecnología]]&amp;Total[[#This Row],[Metodo]],TbTipos[Tecnología]&amp;TbTipos[Metodo],TbTipos[Tipo])</f>
        <v>CUDA con graph</v>
      </c>
      <c r="E96" s="15" t="str" cm="1">
        <f t="array" ref="E96">_xlfn.XLOOKUP(Total[[#This Row],[Tecnología]]&amp;Total[[#This Row],[Problema]],TbNombres[Tecnología]&amp;TbNombres[Problema],TbNombres[Nombre])</f>
        <v>Advdiff1d</v>
      </c>
      <c r="F96" s="2">
        <v>2</v>
      </c>
      <c r="G96" s="2">
        <v>3</v>
      </c>
      <c r="H96" s="2">
        <v>256</v>
      </c>
      <c r="I96" s="2">
        <v>2000</v>
      </c>
      <c r="J96" s="2">
        <v>2000</v>
      </c>
      <c r="K96" s="2">
        <v>28.197199999999999</v>
      </c>
    </row>
    <row r="97" spans="2:11" x14ac:dyDescent="0.2">
      <c r="B97" s="26" t="str">
        <f>_xlfn.XLOOKUP(Total[[#This Row],[Metodo]],TbSolver[Metodo],TbSolver[Solver])</f>
        <v>Runge Kutta</v>
      </c>
      <c r="C97" s="26" t="str">
        <f>_xlfn.XLOOKUP(Total[[#This Row],[Hebras]],TbTecnologia[Hebras],TbTecnologia[Tecnología])</f>
        <v>CUDA</v>
      </c>
      <c r="D97" s="15" t="str" cm="1">
        <f t="array" ref="D97">_xlfn.XLOOKUP(Total[[#This Row],[Tecnología]]&amp;Total[[#This Row],[Metodo]],TbTipos[Tecnología]&amp;TbTipos[Metodo],TbTipos[Tipo])</f>
        <v>CUDA con graph</v>
      </c>
      <c r="E97" s="15" t="str" cm="1">
        <f t="array" ref="E97">_xlfn.XLOOKUP(Total[[#This Row],[Tecnología]]&amp;Total[[#This Row],[Problema]],TbNombres[Tecnología]&amp;TbNombres[Problema],TbNombres[Nombre])</f>
        <v>Advdiff1d shuffle</v>
      </c>
      <c r="F97" s="2">
        <v>2</v>
      </c>
      <c r="G97" s="2">
        <v>4</v>
      </c>
      <c r="H97" s="2">
        <v>256</v>
      </c>
      <c r="I97" s="2">
        <v>2000</v>
      </c>
      <c r="J97" s="2">
        <v>2000</v>
      </c>
      <c r="K97" s="2">
        <v>29.2395</v>
      </c>
    </row>
    <row r="98" spans="2:11" x14ac:dyDescent="0.2">
      <c r="B98" s="26" t="str">
        <f>_xlfn.XLOOKUP(Total[[#This Row],[Metodo]],TbSolver[Metodo],TbSolver[Solver])</f>
        <v>Runge Kutta</v>
      </c>
      <c r="C98" s="26" t="str">
        <f>_xlfn.XLOOKUP(Total[[#This Row],[Hebras]],TbTecnologia[Hebras],TbTecnologia[Tecnología])</f>
        <v>CUDA</v>
      </c>
      <c r="D98" s="15" t="str" cm="1">
        <f t="array" ref="D98">_xlfn.XLOOKUP(Total[[#This Row],[Tecnología]]&amp;Total[[#This Row],[Metodo]],TbTipos[Tecnología]&amp;TbTipos[Metodo],TbTipos[Tipo])</f>
        <v>CUDA sin graph</v>
      </c>
      <c r="E98" s="15" t="str" cm="1">
        <f t="array" ref="E98">_xlfn.XLOOKUP(Total[[#This Row],[Tecnología]]&amp;Total[[#This Row],[Problema]],TbNombres[Tecnología]&amp;TbNombres[Problema],TbNombres[Nombre])</f>
        <v>Advdiff1d</v>
      </c>
      <c r="F98" s="2">
        <v>1</v>
      </c>
      <c r="G98" s="2">
        <v>3</v>
      </c>
      <c r="H98" s="2">
        <v>256</v>
      </c>
      <c r="I98" s="2">
        <v>2000</v>
      </c>
      <c r="J98" s="2">
        <v>2000</v>
      </c>
      <c r="K98" s="2">
        <v>31.2256</v>
      </c>
    </row>
    <row r="99" spans="2:11" x14ac:dyDescent="0.2">
      <c r="B99" s="26" t="str">
        <f>_xlfn.XLOOKUP(Total[[#This Row],[Metodo]],TbSolver[Metodo],TbSolver[Solver])</f>
        <v>Runge Kutta</v>
      </c>
      <c r="C99" s="26" t="str">
        <f>_xlfn.XLOOKUP(Total[[#This Row],[Hebras]],TbTecnologia[Hebras],TbTecnologia[Tecnología])</f>
        <v>CUDA</v>
      </c>
      <c r="D99" s="15" t="str" cm="1">
        <f t="array" ref="D99">_xlfn.XLOOKUP(Total[[#This Row],[Tecnología]]&amp;Total[[#This Row],[Metodo]],TbTipos[Tecnología]&amp;TbTipos[Metodo],TbTipos[Tipo])</f>
        <v>CUDA sin graph</v>
      </c>
      <c r="E99" s="15" t="str" cm="1">
        <f t="array" ref="E99">_xlfn.XLOOKUP(Total[[#This Row],[Tecnología]]&amp;Total[[#This Row],[Problema]],TbNombres[Tecnología]&amp;TbNombres[Problema],TbNombres[Nombre])</f>
        <v>Advdiff1d shuffle</v>
      </c>
      <c r="F99" s="2">
        <v>1</v>
      </c>
      <c r="G99" s="2">
        <v>4</v>
      </c>
      <c r="H99" s="2">
        <v>256</v>
      </c>
      <c r="I99" s="2">
        <v>2000</v>
      </c>
      <c r="J99" s="2">
        <v>2000</v>
      </c>
      <c r="K99" s="2">
        <v>32.1464</v>
      </c>
    </row>
    <row r="100" spans="2:11" x14ac:dyDescent="0.2">
      <c r="B100" s="26" t="str">
        <f>_xlfn.XLOOKUP(Total[[#This Row],[Metodo]],TbSolver[Metodo],TbSolver[Solver])</f>
        <v>Runge Kutta</v>
      </c>
      <c r="C100" s="26" t="str">
        <f>_xlfn.XLOOKUP(Total[[#This Row],[Hebras]],TbTecnologia[Hebras],TbTecnologia[Tecnología])</f>
        <v>CUDA</v>
      </c>
      <c r="D100" s="15" t="str" cm="1">
        <f t="array" ref="D100">_xlfn.XLOOKUP(Total[[#This Row],[Tecnología]]&amp;Total[[#This Row],[Metodo]],TbTipos[Tecnología]&amp;TbTipos[Metodo],TbTipos[Tipo])</f>
        <v>CUDA con graph</v>
      </c>
      <c r="E100" s="15" t="str" cm="1">
        <f t="array" ref="E100">_xlfn.XLOOKUP(Total[[#This Row],[Tecnología]]&amp;Total[[#This Row],[Problema]],TbNombres[Tecnología]&amp;TbNombres[Problema],TbNombres[Nombre])</f>
        <v>Advdiff1d</v>
      </c>
      <c r="F100" s="2">
        <v>2</v>
      </c>
      <c r="G100" s="2">
        <v>3</v>
      </c>
      <c r="H100" s="2">
        <v>256</v>
      </c>
      <c r="I100" s="2">
        <v>5000</v>
      </c>
      <c r="J100" s="2">
        <v>5000</v>
      </c>
      <c r="K100" s="2">
        <v>28.538799999999998</v>
      </c>
    </row>
    <row r="101" spans="2:11" x14ac:dyDescent="0.2">
      <c r="B101" s="26" t="str">
        <f>_xlfn.XLOOKUP(Total[[#This Row],[Metodo]],TbSolver[Metodo],TbSolver[Solver])</f>
        <v>Runge Kutta</v>
      </c>
      <c r="C101" s="26" t="str">
        <f>_xlfn.XLOOKUP(Total[[#This Row],[Hebras]],TbTecnologia[Hebras],TbTecnologia[Tecnología])</f>
        <v>CUDA</v>
      </c>
      <c r="D101" s="15" t="str" cm="1">
        <f t="array" ref="D101">_xlfn.XLOOKUP(Total[[#This Row],[Tecnología]]&amp;Total[[#This Row],[Metodo]],TbTipos[Tecnología]&amp;TbTipos[Metodo],TbTipos[Tipo])</f>
        <v>CUDA con graph</v>
      </c>
      <c r="E101" s="15" t="str" cm="1">
        <f t="array" ref="E101">_xlfn.XLOOKUP(Total[[#This Row],[Tecnología]]&amp;Total[[#This Row],[Problema]],TbNombres[Tecnología]&amp;TbNombres[Problema],TbNombres[Nombre])</f>
        <v>Advdiff1d shuffle</v>
      </c>
      <c r="F101" s="2">
        <v>2</v>
      </c>
      <c r="G101" s="2">
        <v>4</v>
      </c>
      <c r="H101" s="2">
        <v>256</v>
      </c>
      <c r="I101" s="2">
        <v>5000</v>
      </c>
      <c r="J101" s="2">
        <v>5000</v>
      </c>
      <c r="K101" s="2">
        <v>29.455300000000001</v>
      </c>
    </row>
    <row r="102" spans="2:11" x14ac:dyDescent="0.2">
      <c r="B102" s="26" t="str">
        <f>_xlfn.XLOOKUP(Total[[#This Row],[Metodo]],TbSolver[Metodo],TbSolver[Solver])</f>
        <v>Runge Kutta</v>
      </c>
      <c r="C102" s="26" t="str">
        <f>_xlfn.XLOOKUP(Total[[#This Row],[Hebras]],TbTecnologia[Hebras],TbTecnologia[Tecnología])</f>
        <v>CUDA</v>
      </c>
      <c r="D102" s="15" t="str" cm="1">
        <f t="array" ref="D102">_xlfn.XLOOKUP(Total[[#This Row],[Tecnología]]&amp;Total[[#This Row],[Metodo]],TbTipos[Tecnología]&amp;TbTipos[Metodo],TbTipos[Tipo])</f>
        <v>CUDA sin graph</v>
      </c>
      <c r="E102" s="15" t="str" cm="1">
        <f t="array" ref="E102">_xlfn.XLOOKUP(Total[[#This Row],[Tecnología]]&amp;Total[[#This Row],[Problema]],TbNombres[Tecnología]&amp;TbNombres[Problema],TbNombres[Nombre])</f>
        <v>Advdiff1d</v>
      </c>
      <c r="F102" s="2">
        <v>1</v>
      </c>
      <c r="G102" s="2">
        <v>3</v>
      </c>
      <c r="H102" s="2">
        <v>256</v>
      </c>
      <c r="I102" s="2">
        <v>5000</v>
      </c>
      <c r="J102" s="2">
        <v>5000</v>
      </c>
      <c r="K102" s="2">
        <v>31.218399999999999</v>
      </c>
    </row>
    <row r="103" spans="2:11" x14ac:dyDescent="0.2">
      <c r="B103" s="26" t="str">
        <f>_xlfn.XLOOKUP(Total[[#This Row],[Metodo]],TbSolver[Metodo],TbSolver[Solver])</f>
        <v>Runge Kutta</v>
      </c>
      <c r="C103" s="26" t="str">
        <f>_xlfn.XLOOKUP(Total[[#This Row],[Hebras]],TbTecnologia[Hebras],TbTecnologia[Tecnología])</f>
        <v>CUDA</v>
      </c>
      <c r="D103" s="15" t="str" cm="1">
        <f t="array" ref="D103">_xlfn.XLOOKUP(Total[[#This Row],[Tecnología]]&amp;Total[[#This Row],[Metodo]],TbTipos[Tecnología]&amp;TbTipos[Metodo],TbTipos[Tipo])</f>
        <v>CUDA sin graph</v>
      </c>
      <c r="E103" s="15" t="str" cm="1">
        <f t="array" ref="E103">_xlfn.XLOOKUP(Total[[#This Row],[Tecnología]]&amp;Total[[#This Row],[Problema]],TbNombres[Tecnología]&amp;TbNombres[Problema],TbNombres[Nombre])</f>
        <v>Advdiff1d shuffle</v>
      </c>
      <c r="F103" s="2">
        <v>1</v>
      </c>
      <c r="G103" s="2">
        <v>4</v>
      </c>
      <c r="H103" s="2">
        <v>256</v>
      </c>
      <c r="I103" s="2">
        <v>5000</v>
      </c>
      <c r="J103" s="2">
        <v>5000</v>
      </c>
      <c r="K103" s="2">
        <v>32.3249</v>
      </c>
    </row>
    <row r="104" spans="2:11" x14ac:dyDescent="0.2">
      <c r="B104" s="26" t="str">
        <f>_xlfn.XLOOKUP(Total[[#This Row],[Metodo]],TbSolver[Metodo],TbSolver[Solver])</f>
        <v>Runge Kutta</v>
      </c>
      <c r="C104" s="26" t="str">
        <f>_xlfn.XLOOKUP(Total[[#This Row],[Hebras]],TbTecnologia[Hebras],TbTecnologia[Tecnología])</f>
        <v>CUDA</v>
      </c>
      <c r="D104" s="15" t="str" cm="1">
        <f t="array" ref="D104">_xlfn.XLOOKUP(Total[[#This Row],[Tecnología]]&amp;Total[[#This Row],[Metodo]],TbTipos[Tecnología]&amp;TbTipos[Metodo],TbTipos[Tipo])</f>
        <v>CUDA sin graph</v>
      </c>
      <c r="E104" s="15" t="str" cm="1">
        <f t="array" ref="E104">_xlfn.XLOOKUP(Total[[#This Row],[Tecnología]]&amp;Total[[#This Row],[Problema]],TbNombres[Tecnología]&amp;TbNombres[Problema],TbNombres[Nombre])</f>
        <v>Advdiff1d</v>
      </c>
      <c r="F104" s="2">
        <v>1</v>
      </c>
      <c r="G104" s="2">
        <v>3</v>
      </c>
      <c r="H104" s="2">
        <v>256</v>
      </c>
      <c r="I104" s="2">
        <v>10000</v>
      </c>
      <c r="J104" s="2">
        <v>10000</v>
      </c>
      <c r="K104" s="2">
        <v>31.145700000000001</v>
      </c>
    </row>
    <row r="105" spans="2:11" x14ac:dyDescent="0.2">
      <c r="B105" s="26" t="str">
        <f>_xlfn.XLOOKUP(Total[[#This Row],[Metodo]],TbSolver[Metodo],TbSolver[Solver])</f>
        <v>Runge Kutta</v>
      </c>
      <c r="C105" s="26" t="str">
        <f>_xlfn.XLOOKUP(Total[[#This Row],[Hebras]],TbTecnologia[Hebras],TbTecnologia[Tecnología])</f>
        <v>CUDA</v>
      </c>
      <c r="D105" s="15" t="str" cm="1">
        <f t="array" ref="D105">_xlfn.XLOOKUP(Total[[#This Row],[Tecnología]]&amp;Total[[#This Row],[Metodo]],TbTipos[Tecnología]&amp;TbTipos[Metodo],TbTipos[Tipo])</f>
        <v>CUDA sin graph</v>
      </c>
      <c r="E105" s="15" t="str" cm="1">
        <f t="array" ref="E105">_xlfn.XLOOKUP(Total[[#This Row],[Tecnología]]&amp;Total[[#This Row],[Problema]],TbNombres[Tecnología]&amp;TbNombres[Problema],TbNombres[Nombre])</f>
        <v>Advdiff1d</v>
      </c>
      <c r="F105" s="2">
        <v>1</v>
      </c>
      <c r="G105" s="2">
        <v>3</v>
      </c>
      <c r="H105" s="2">
        <v>256</v>
      </c>
      <c r="I105" s="2">
        <v>20000</v>
      </c>
      <c r="J105" s="2">
        <v>20000</v>
      </c>
      <c r="K105" s="2">
        <v>51.704099999999997</v>
      </c>
    </row>
    <row r="106" spans="2:11" x14ac:dyDescent="0.2">
      <c r="B106" s="26" t="str">
        <f>_xlfn.XLOOKUP(Total[[#This Row],[Metodo]],TbSolver[Metodo],TbSolver[Solver])</f>
        <v>Runge Kutta</v>
      </c>
      <c r="C106" s="26" t="str">
        <f>_xlfn.XLOOKUP(Total[[#This Row],[Hebras]],TbTecnologia[Hebras],TbTecnologia[Tecnología])</f>
        <v>CUDA</v>
      </c>
      <c r="D106" s="15" t="str" cm="1">
        <f t="array" ref="D106">_xlfn.XLOOKUP(Total[[#This Row],[Tecnología]]&amp;Total[[#This Row],[Metodo]],TbTipos[Tecnología]&amp;TbTipos[Metodo],TbTipos[Tipo])</f>
        <v>CUDA sin graph</v>
      </c>
      <c r="E106" s="15" t="str" cm="1">
        <f t="array" ref="E106">_xlfn.XLOOKUP(Total[[#This Row],[Tecnología]]&amp;Total[[#This Row],[Problema]],TbNombres[Tecnología]&amp;TbNombres[Problema],TbNombres[Nombre])</f>
        <v>Advdiff1d</v>
      </c>
      <c r="F106" s="2">
        <v>1</v>
      </c>
      <c r="G106" s="2">
        <v>3</v>
      </c>
      <c r="H106" s="2">
        <v>256</v>
      </c>
      <c r="I106" s="2">
        <v>50000</v>
      </c>
      <c r="J106" s="2">
        <v>50000</v>
      </c>
      <c r="K106" s="2">
        <v>73.457300000000004</v>
      </c>
    </row>
    <row r="107" spans="2:11" x14ac:dyDescent="0.2">
      <c r="B107" s="26" t="str">
        <f>_xlfn.XLOOKUP(Total[[#This Row],[Metodo]],TbSolver[Metodo],TbSolver[Solver])</f>
        <v>Runge Kutta</v>
      </c>
      <c r="C107" s="26" t="str">
        <f>_xlfn.XLOOKUP(Total[[#This Row],[Hebras]],TbTecnologia[Hebras],TbTecnologia[Tecnología])</f>
        <v>CUDA</v>
      </c>
      <c r="D107" s="15" t="str" cm="1">
        <f t="array" ref="D107">_xlfn.XLOOKUP(Total[[#This Row],[Tecnología]]&amp;Total[[#This Row],[Metodo]],TbTipos[Tecnología]&amp;TbTipos[Metodo],TbTipos[Tipo])</f>
        <v>CUDA sin graph</v>
      </c>
      <c r="E107" s="15" t="str" cm="1">
        <f t="array" ref="E107">_xlfn.XLOOKUP(Total[[#This Row],[Tecnología]]&amp;Total[[#This Row],[Problema]],TbNombres[Tecnología]&amp;TbNombres[Problema],TbNombres[Nombre])</f>
        <v>Advdiff1d</v>
      </c>
      <c r="F107" s="2">
        <v>1</v>
      </c>
      <c r="G107" s="2">
        <v>3</v>
      </c>
      <c r="H107" s="2">
        <v>256</v>
      </c>
      <c r="I107" s="2">
        <v>100000</v>
      </c>
      <c r="J107" s="2">
        <v>100000</v>
      </c>
      <c r="K107" s="2">
        <v>134.52500000000001</v>
      </c>
    </row>
    <row r="108" spans="2:11" x14ac:dyDescent="0.2">
      <c r="B108" s="26" t="str">
        <f>_xlfn.XLOOKUP(Total[[#This Row],[Metodo]],TbSolver[Metodo],TbSolver[Solver])</f>
        <v>Runge Kutta</v>
      </c>
      <c r="C108" s="26" t="str">
        <f>_xlfn.XLOOKUP(Total[[#This Row],[Hebras]],TbTecnologia[Hebras],TbTecnologia[Tecnología])</f>
        <v>CUDA</v>
      </c>
      <c r="D108" s="15" t="str" cm="1">
        <f t="array" ref="D108">_xlfn.XLOOKUP(Total[[#This Row],[Tecnología]]&amp;Total[[#This Row],[Metodo]],TbTipos[Tecnología]&amp;TbTipos[Metodo],TbTipos[Tipo])</f>
        <v>CUDA sin graph</v>
      </c>
      <c r="E108" s="15" t="str" cm="1">
        <f t="array" ref="E108">_xlfn.XLOOKUP(Total[[#This Row],[Tecnología]]&amp;Total[[#This Row],[Problema]],TbNombres[Tecnología]&amp;TbNombres[Problema],TbNombres[Nombre])</f>
        <v>Advdiff1d</v>
      </c>
      <c r="F108" s="2">
        <v>1</v>
      </c>
      <c r="G108" s="2">
        <v>3</v>
      </c>
      <c r="H108" s="2">
        <v>256</v>
      </c>
      <c r="I108" s="2">
        <v>200000</v>
      </c>
      <c r="J108" s="2">
        <v>200000</v>
      </c>
      <c r="K108" s="2">
        <v>270.13499999999999</v>
      </c>
    </row>
    <row r="109" spans="2:11" x14ac:dyDescent="0.2">
      <c r="B109" s="26" t="str">
        <f>_xlfn.XLOOKUP(Total[[#This Row],[Metodo]],TbSolver[Metodo],TbSolver[Solver])</f>
        <v>Runge Kutta</v>
      </c>
      <c r="C109" s="26" t="str">
        <f>_xlfn.XLOOKUP(Total[[#This Row],[Hebras]],TbTecnologia[Hebras],TbTecnologia[Tecnología])</f>
        <v>OMP</v>
      </c>
      <c r="D109" s="15" t="str" cm="1">
        <f t="array" ref="D109">_xlfn.XLOOKUP(Total[[#This Row],[Tecnología]]&amp;Total[[#This Row],[Metodo]],TbTipos[Tecnología]&amp;TbTipos[Metodo],TbTipos[Tipo])</f>
        <v>OMP Elementos</v>
      </c>
      <c r="E109" s="15" t="str" cm="1">
        <f t="array" ref="E109">_xlfn.XLOOKUP(Total[[#This Row],[Tecnología]]&amp;Total[[#This Row],[Problema]],TbNombres[Tecnología]&amp;TbNombres[Problema],TbNombres[Nombre])</f>
        <v>Brusselator1d</v>
      </c>
      <c r="F109" s="2">
        <v>2</v>
      </c>
      <c r="G109" s="2">
        <v>3</v>
      </c>
      <c r="H109" s="2">
        <v>1</v>
      </c>
      <c r="I109" s="2">
        <v>100</v>
      </c>
      <c r="J109" s="2">
        <v>200</v>
      </c>
      <c r="K109" s="2">
        <v>5.33148</v>
      </c>
    </row>
    <row r="110" spans="2:11" x14ac:dyDescent="0.2">
      <c r="B110" s="26" t="str">
        <f>_xlfn.XLOOKUP(Total[[#This Row],[Metodo]],TbSolver[Metodo],TbSolver[Solver])</f>
        <v>Runge Kutta</v>
      </c>
      <c r="C110" s="26" t="str">
        <f>_xlfn.XLOOKUP(Total[[#This Row],[Hebras]],TbTecnologia[Hebras],TbTecnologia[Tecnología])</f>
        <v>OMP</v>
      </c>
      <c r="D110" s="15" t="str" cm="1">
        <f t="array" ref="D110">_xlfn.XLOOKUP(Total[[#This Row],[Tecnología]]&amp;Total[[#This Row],[Metodo]],TbTipos[Tecnología]&amp;TbTipos[Metodo],TbTipos[Tipo])</f>
        <v>OMP Operaciones</v>
      </c>
      <c r="E110" s="15" t="str" cm="1">
        <f t="array" ref="E110">_xlfn.XLOOKUP(Total[[#This Row],[Tecnología]]&amp;Total[[#This Row],[Problema]],TbNombres[Tecnología]&amp;TbNombres[Problema],TbNombres[Nombre])</f>
        <v>Brusselator1d</v>
      </c>
      <c r="F110" s="2">
        <v>1</v>
      </c>
      <c r="G110" s="2">
        <v>3</v>
      </c>
      <c r="H110" s="2">
        <v>1</v>
      </c>
      <c r="I110" s="2">
        <v>100</v>
      </c>
      <c r="J110" s="2">
        <v>200</v>
      </c>
      <c r="K110" s="2">
        <v>5.4470700000000001</v>
      </c>
    </row>
    <row r="111" spans="2:11" x14ac:dyDescent="0.2">
      <c r="B111" s="26" t="str">
        <f>_xlfn.XLOOKUP(Total[[#This Row],[Metodo]],TbSolver[Metodo],TbSolver[Solver])</f>
        <v>Runge Kutta</v>
      </c>
      <c r="C111" s="26" t="str">
        <f>_xlfn.XLOOKUP(Total[[#This Row],[Hebras]],TbTecnologia[Hebras],TbTecnologia[Tecnología])</f>
        <v>OMP</v>
      </c>
      <c r="D111" s="15" t="str" cm="1">
        <f t="array" ref="D111">_xlfn.XLOOKUP(Total[[#This Row],[Tecnología]]&amp;Total[[#This Row],[Metodo]],TbTipos[Tecnología]&amp;TbTipos[Metodo],TbTipos[Tipo])</f>
        <v>OMP Elementos</v>
      </c>
      <c r="E111" s="15" t="str" cm="1">
        <f t="array" ref="E111">_xlfn.XLOOKUP(Total[[#This Row],[Tecnología]]&amp;Total[[#This Row],[Problema]],TbNombres[Tecnología]&amp;TbNombres[Problema],TbNombres[Nombre])</f>
        <v>Brusselator1d</v>
      </c>
      <c r="F111" s="2">
        <v>2</v>
      </c>
      <c r="G111" s="2">
        <v>3</v>
      </c>
      <c r="H111" s="2">
        <v>4</v>
      </c>
      <c r="I111" s="2">
        <v>100</v>
      </c>
      <c r="J111" s="2">
        <v>200</v>
      </c>
      <c r="K111" s="2">
        <v>8.7904599999999995</v>
      </c>
    </row>
    <row r="112" spans="2:11" x14ac:dyDescent="0.2">
      <c r="B112" s="26" t="str">
        <f>_xlfn.XLOOKUP(Total[[#This Row],[Metodo]],TbSolver[Metodo],TbSolver[Solver])</f>
        <v>Runge Kutta</v>
      </c>
      <c r="C112" s="26" t="str">
        <f>_xlfn.XLOOKUP(Total[[#This Row],[Hebras]],TbTecnologia[Hebras],TbTecnologia[Tecnología])</f>
        <v>CUDA</v>
      </c>
      <c r="D112" s="15" t="str" cm="1">
        <f t="array" ref="D112">_xlfn.XLOOKUP(Total[[#This Row],[Tecnología]]&amp;Total[[#This Row],[Metodo]],TbTipos[Tecnología]&amp;TbTipos[Metodo],TbTipos[Tipo])</f>
        <v>CUDA con graph</v>
      </c>
      <c r="E112" s="15" t="str" cm="1">
        <f t="array" ref="E112">_xlfn.XLOOKUP(Total[[#This Row],[Tecnología]]&amp;Total[[#This Row],[Problema]],TbNombres[Tecnología]&amp;TbNombres[Problema],TbNombres[Nombre])</f>
        <v>Brusselator1d</v>
      </c>
      <c r="F112" s="2">
        <v>2</v>
      </c>
      <c r="G112" s="2">
        <v>5</v>
      </c>
      <c r="H112" s="2">
        <v>256</v>
      </c>
      <c r="I112" s="2">
        <v>100</v>
      </c>
      <c r="J112" s="2">
        <v>200</v>
      </c>
      <c r="K112" s="2">
        <v>13.028600000000001</v>
      </c>
    </row>
    <row r="113" spans="2:11" x14ac:dyDescent="0.2">
      <c r="B113" s="26" t="str">
        <f>_xlfn.XLOOKUP(Total[[#This Row],[Metodo]],TbSolver[Metodo],TbSolver[Solver])</f>
        <v>Runge Kutta</v>
      </c>
      <c r="C113" s="26" t="str">
        <f>_xlfn.XLOOKUP(Total[[#This Row],[Hebras]],TbTecnologia[Hebras],TbTecnologia[Tecnología])</f>
        <v>CUDA</v>
      </c>
      <c r="D113" s="15" t="str" cm="1">
        <f t="array" ref="D113">_xlfn.XLOOKUP(Total[[#This Row],[Tecnología]]&amp;Total[[#This Row],[Metodo]],TbTipos[Tecnología]&amp;TbTipos[Metodo],TbTipos[Tipo])</f>
        <v>CUDA con graph</v>
      </c>
      <c r="E113" s="15" t="str" cm="1">
        <f t="array" ref="E113">_xlfn.XLOOKUP(Total[[#This Row],[Tecnología]]&amp;Total[[#This Row],[Problema]],TbNombres[Tecnología]&amp;TbNombres[Problema],TbNombres[Nombre])</f>
        <v>Brusselator1d shuffle</v>
      </c>
      <c r="F113" s="2">
        <v>2</v>
      </c>
      <c r="G113" s="2">
        <v>6</v>
      </c>
      <c r="H113" s="2">
        <v>256</v>
      </c>
      <c r="I113" s="2">
        <v>100</v>
      </c>
      <c r="J113" s="2">
        <v>200</v>
      </c>
      <c r="K113" s="2">
        <v>13.157400000000001</v>
      </c>
    </row>
    <row r="114" spans="2:11" x14ac:dyDescent="0.2">
      <c r="B114" s="26" t="str">
        <f>_xlfn.XLOOKUP(Total[[#This Row],[Metodo]],TbSolver[Metodo],TbSolver[Solver])</f>
        <v>Runge Kutta</v>
      </c>
      <c r="C114" s="26" t="str">
        <f>_xlfn.XLOOKUP(Total[[#This Row],[Hebras]],TbTecnologia[Hebras],TbTecnologia[Tecnología])</f>
        <v>CUDA</v>
      </c>
      <c r="D114" s="15" t="str" cm="1">
        <f t="array" ref="D114">_xlfn.XLOOKUP(Total[[#This Row],[Tecnología]]&amp;Total[[#This Row],[Metodo]],TbTipos[Tecnología]&amp;TbTipos[Metodo],TbTipos[Tipo])</f>
        <v>CUDA con graph</v>
      </c>
      <c r="E114" s="15" t="str" cm="1">
        <f t="array" ref="E114">_xlfn.XLOOKUP(Total[[#This Row],[Tecnología]]&amp;Total[[#This Row],[Problema]],TbNombres[Tecnología]&amp;TbNombres[Problema],TbNombres[Nombre])</f>
        <v>Brusselator1d grid</v>
      </c>
      <c r="F114" s="2">
        <v>2</v>
      </c>
      <c r="G114" s="2">
        <v>7</v>
      </c>
      <c r="H114" s="2">
        <v>256</v>
      </c>
      <c r="I114" s="2">
        <v>100</v>
      </c>
      <c r="J114" s="2">
        <v>200</v>
      </c>
      <c r="K114" s="2">
        <v>13.540100000000001</v>
      </c>
    </row>
    <row r="115" spans="2:11" x14ac:dyDescent="0.2">
      <c r="B115" s="26" t="str">
        <f>_xlfn.XLOOKUP(Total[[#This Row],[Metodo]],TbSolver[Metodo],TbSolver[Solver])</f>
        <v>Runge Kutta</v>
      </c>
      <c r="C115" s="26" t="str">
        <f>_xlfn.XLOOKUP(Total[[#This Row],[Hebras]],TbTecnologia[Hebras],TbTecnologia[Tecnología])</f>
        <v>CUDA</v>
      </c>
      <c r="D115" s="15" t="str" cm="1">
        <f t="array" ref="D115">_xlfn.XLOOKUP(Total[[#This Row],[Tecnología]]&amp;Total[[#This Row],[Metodo]],TbTipos[Tecnología]&amp;TbTipos[Metodo],TbTipos[Tipo])</f>
        <v>CUDA sin graph</v>
      </c>
      <c r="E115" s="15" t="str" cm="1">
        <f t="array" ref="E115">_xlfn.XLOOKUP(Total[[#This Row],[Tecnología]]&amp;Total[[#This Row],[Problema]],TbNombres[Tecnología]&amp;TbNombres[Problema],TbNombres[Nombre])</f>
        <v>Brusselator1d shuffle</v>
      </c>
      <c r="F115" s="2">
        <v>1</v>
      </c>
      <c r="G115" s="2">
        <v>6</v>
      </c>
      <c r="H115" s="2">
        <v>256</v>
      </c>
      <c r="I115" s="2">
        <v>100</v>
      </c>
      <c r="J115" s="2">
        <v>200</v>
      </c>
      <c r="K115" s="2">
        <v>16.420000000000002</v>
      </c>
    </row>
    <row r="116" spans="2:11" x14ac:dyDescent="0.2">
      <c r="B116" s="26" t="str">
        <f>_xlfn.XLOOKUP(Total[[#This Row],[Metodo]],TbSolver[Metodo],TbSolver[Solver])</f>
        <v>Runge Kutta</v>
      </c>
      <c r="C116" s="26" t="str">
        <f>_xlfn.XLOOKUP(Total[[#This Row],[Hebras]],TbTecnologia[Hebras],TbTecnologia[Tecnología])</f>
        <v>CUDA</v>
      </c>
      <c r="D116" s="15" t="str" cm="1">
        <f t="array" ref="D116">_xlfn.XLOOKUP(Total[[#This Row],[Tecnología]]&amp;Total[[#This Row],[Metodo]],TbTipos[Tecnología]&amp;TbTipos[Metodo],TbTipos[Tipo])</f>
        <v>CUDA sin graph</v>
      </c>
      <c r="E116" s="15" t="str" cm="1">
        <f t="array" ref="E116">_xlfn.XLOOKUP(Total[[#This Row],[Tecnología]]&amp;Total[[#This Row],[Problema]],TbNombres[Tecnología]&amp;TbNombres[Problema],TbNombres[Nombre])</f>
        <v>Brusselator1d grid</v>
      </c>
      <c r="F116" s="2">
        <v>1</v>
      </c>
      <c r="G116" s="2">
        <v>7</v>
      </c>
      <c r="H116" s="2">
        <v>256</v>
      </c>
      <c r="I116" s="2">
        <v>100</v>
      </c>
      <c r="J116" s="2">
        <v>200</v>
      </c>
      <c r="K116" s="2">
        <v>16.6784</v>
      </c>
    </row>
    <row r="117" spans="2:11" x14ac:dyDescent="0.2">
      <c r="B117" s="26" t="str">
        <f>_xlfn.XLOOKUP(Total[[#This Row],[Metodo]],TbSolver[Metodo],TbSolver[Solver])</f>
        <v>Runge Kutta</v>
      </c>
      <c r="C117" s="26" t="str">
        <f>_xlfn.XLOOKUP(Total[[#This Row],[Hebras]],TbTecnologia[Hebras],TbTecnologia[Tecnología])</f>
        <v>CUDA</v>
      </c>
      <c r="D117" s="15" t="str" cm="1">
        <f t="array" ref="D117">_xlfn.XLOOKUP(Total[[#This Row],[Tecnología]]&amp;Total[[#This Row],[Metodo]],TbTipos[Tecnología]&amp;TbTipos[Metodo],TbTipos[Tipo])</f>
        <v>CUDA sin graph</v>
      </c>
      <c r="E117" s="15" t="str" cm="1">
        <f t="array" ref="E117">_xlfn.XLOOKUP(Total[[#This Row],[Tecnología]]&amp;Total[[#This Row],[Problema]],TbNombres[Tecnología]&amp;TbNombres[Problema],TbNombres[Nombre])</f>
        <v>Brusselator1d</v>
      </c>
      <c r="F117" s="2">
        <v>1</v>
      </c>
      <c r="G117" s="2">
        <v>5</v>
      </c>
      <c r="H117" s="2">
        <v>256</v>
      </c>
      <c r="I117" s="2">
        <v>100</v>
      </c>
      <c r="J117" s="2">
        <v>200</v>
      </c>
      <c r="K117" s="2">
        <v>18.841999999999999</v>
      </c>
    </row>
    <row r="118" spans="2:11" x14ac:dyDescent="0.2">
      <c r="B118" s="26" t="str">
        <f>_xlfn.XLOOKUP(Total[[#This Row],[Metodo]],TbSolver[Metodo],TbSolver[Solver])</f>
        <v>Runge Kutta</v>
      </c>
      <c r="C118" s="26" t="str">
        <f>_xlfn.XLOOKUP(Total[[#This Row],[Hebras]],TbTecnologia[Hebras],TbTecnologia[Tecnología])</f>
        <v>OMP</v>
      </c>
      <c r="D118" s="15" t="str" cm="1">
        <f t="array" ref="D118">_xlfn.XLOOKUP(Total[[#This Row],[Tecnología]]&amp;Total[[#This Row],[Metodo]],TbTipos[Tecnología]&amp;TbTipos[Metodo],TbTipos[Tipo])</f>
        <v>OMP Elementos</v>
      </c>
      <c r="E118" s="15" t="str" cm="1">
        <f t="array" ref="E118">_xlfn.XLOOKUP(Total[[#This Row],[Tecnología]]&amp;Total[[#This Row],[Problema]],TbNombres[Tecnología]&amp;TbNombres[Problema],TbNombres[Nombre])</f>
        <v>Brusselator1d</v>
      </c>
      <c r="F118" s="2">
        <v>2</v>
      </c>
      <c r="G118" s="2">
        <v>3</v>
      </c>
      <c r="H118" s="2">
        <v>16</v>
      </c>
      <c r="I118" s="2">
        <v>100</v>
      </c>
      <c r="J118" s="2">
        <v>200</v>
      </c>
      <c r="K118" s="2">
        <v>23.809799999999999</v>
      </c>
    </row>
    <row r="119" spans="2:11" x14ac:dyDescent="0.2">
      <c r="B119" s="26" t="str">
        <f>_xlfn.XLOOKUP(Total[[#This Row],[Metodo]],TbSolver[Metodo],TbSolver[Solver])</f>
        <v>Runge Kutta</v>
      </c>
      <c r="C119" s="26" t="str">
        <f>_xlfn.XLOOKUP(Total[[#This Row],[Hebras]],TbTecnologia[Hebras],TbTecnologia[Tecnología])</f>
        <v>OMP</v>
      </c>
      <c r="D119" s="15" t="str" cm="1">
        <f t="array" ref="D119">_xlfn.XLOOKUP(Total[[#This Row],[Tecnología]]&amp;Total[[#This Row],[Metodo]],TbTipos[Tecnología]&amp;TbTipos[Metodo],TbTipos[Tipo])</f>
        <v>OMP Operaciones</v>
      </c>
      <c r="E119" s="15" t="str" cm="1">
        <f t="array" ref="E119">_xlfn.XLOOKUP(Total[[#This Row],[Tecnología]]&amp;Total[[#This Row],[Problema]],TbNombres[Tecnología]&amp;TbNombres[Problema],TbNombres[Nombre])</f>
        <v>Brusselator1d</v>
      </c>
      <c r="F119" s="2">
        <v>1</v>
      </c>
      <c r="G119" s="2">
        <v>3</v>
      </c>
      <c r="H119" s="2">
        <v>4</v>
      </c>
      <c r="I119" s="2">
        <v>100</v>
      </c>
      <c r="J119" s="2">
        <v>200</v>
      </c>
      <c r="K119" s="2">
        <v>34.713299999999997</v>
      </c>
    </row>
    <row r="120" spans="2:11" x14ac:dyDescent="0.2">
      <c r="B120" s="26" t="str">
        <f>_xlfn.XLOOKUP(Total[[#This Row],[Metodo]],TbSolver[Metodo],TbSolver[Solver])</f>
        <v>Runge Kutta</v>
      </c>
      <c r="C120" s="26" t="str">
        <f>_xlfn.XLOOKUP(Total[[#This Row],[Hebras]],TbTecnologia[Hebras],TbTecnologia[Tecnología])</f>
        <v>OMP</v>
      </c>
      <c r="D120" s="15" t="str" cm="1">
        <f t="array" ref="D120">_xlfn.XLOOKUP(Total[[#This Row],[Tecnología]]&amp;Total[[#This Row],[Metodo]],TbTipos[Tecnología]&amp;TbTipos[Metodo],TbTipos[Tipo])</f>
        <v>OMP Operaciones</v>
      </c>
      <c r="E120" s="15" t="str" cm="1">
        <f t="array" ref="E120">_xlfn.XLOOKUP(Total[[#This Row],[Tecnología]]&amp;Total[[#This Row],[Problema]],TbNombres[Tecnología]&amp;TbNombres[Problema],TbNombres[Nombre])</f>
        <v>Brusselator1d</v>
      </c>
      <c r="F120" s="2">
        <v>1</v>
      </c>
      <c r="G120" s="2">
        <v>3</v>
      </c>
      <c r="H120" s="2">
        <v>16</v>
      </c>
      <c r="I120" s="2">
        <v>100</v>
      </c>
      <c r="J120" s="2">
        <v>200</v>
      </c>
      <c r="K120" s="2">
        <v>95.696600000000004</v>
      </c>
    </row>
    <row r="121" spans="2:11" x14ac:dyDescent="0.2">
      <c r="B121" s="26" t="str">
        <f>_xlfn.XLOOKUP(Total[[#This Row],[Metodo]],TbSolver[Metodo],TbSolver[Solver])</f>
        <v>Runge Kutta</v>
      </c>
      <c r="C121" s="26" t="str">
        <f>_xlfn.XLOOKUP(Total[[#This Row],[Hebras]],TbTecnologia[Hebras],TbTecnologia[Tecnología])</f>
        <v>OMP</v>
      </c>
      <c r="D121" s="15" t="str" cm="1">
        <f t="array" ref="D121">_xlfn.XLOOKUP(Total[[#This Row],[Tecnología]]&amp;Total[[#This Row],[Metodo]],TbTipos[Tecnología]&amp;TbTipos[Metodo],TbTipos[Tipo])</f>
        <v>OMP Operaciones</v>
      </c>
      <c r="E121" s="15" t="str" cm="1">
        <f t="array" ref="E121">_xlfn.XLOOKUP(Total[[#This Row],[Tecnología]]&amp;Total[[#This Row],[Problema]],TbNombres[Tecnología]&amp;TbNombres[Problema],TbNombres[Nombre])</f>
        <v>Brusselator1d</v>
      </c>
      <c r="F121" s="2">
        <v>1</v>
      </c>
      <c r="G121" s="2">
        <v>3</v>
      </c>
      <c r="H121" s="2">
        <v>1</v>
      </c>
      <c r="I121" s="2">
        <v>200</v>
      </c>
      <c r="J121" s="2">
        <v>400</v>
      </c>
      <c r="K121" s="2">
        <v>7.2618</v>
      </c>
    </row>
    <row r="122" spans="2:11" x14ac:dyDescent="0.2">
      <c r="B122" s="26" t="str">
        <f>_xlfn.XLOOKUP(Total[[#This Row],[Metodo]],TbSolver[Metodo],TbSolver[Solver])</f>
        <v>Runge Kutta</v>
      </c>
      <c r="C122" s="26" t="str">
        <f>_xlfn.XLOOKUP(Total[[#This Row],[Hebras]],TbTecnologia[Hebras],TbTecnologia[Tecnología])</f>
        <v>OMP</v>
      </c>
      <c r="D122" s="15" t="str" cm="1">
        <f t="array" ref="D122">_xlfn.XLOOKUP(Total[[#This Row],[Tecnología]]&amp;Total[[#This Row],[Metodo]],TbTipos[Tecnología]&amp;TbTipos[Metodo],TbTipos[Tipo])</f>
        <v>OMP Elementos</v>
      </c>
      <c r="E122" s="15" t="str" cm="1">
        <f t="array" ref="E122">_xlfn.XLOOKUP(Total[[#This Row],[Tecnología]]&amp;Total[[#This Row],[Problema]],TbNombres[Tecnología]&amp;TbNombres[Problema],TbNombres[Nombre])</f>
        <v>Brusselator1d</v>
      </c>
      <c r="F122" s="2">
        <v>2</v>
      </c>
      <c r="G122" s="2">
        <v>3</v>
      </c>
      <c r="H122" s="2">
        <v>4</v>
      </c>
      <c r="I122" s="2">
        <v>200</v>
      </c>
      <c r="J122" s="2">
        <v>400</v>
      </c>
      <c r="K122" s="2">
        <v>9.9756999999999998</v>
      </c>
    </row>
    <row r="123" spans="2:11" x14ac:dyDescent="0.2">
      <c r="B123" s="26" t="str">
        <f>_xlfn.XLOOKUP(Total[[#This Row],[Metodo]],TbSolver[Metodo],TbSolver[Solver])</f>
        <v>Runge Kutta</v>
      </c>
      <c r="C123" s="26" t="str">
        <f>_xlfn.XLOOKUP(Total[[#This Row],[Hebras]],TbTecnologia[Hebras],TbTecnologia[Tecnología])</f>
        <v>OMP</v>
      </c>
      <c r="D123" s="15" t="str" cm="1">
        <f t="array" ref="D123">_xlfn.XLOOKUP(Total[[#This Row],[Tecnología]]&amp;Total[[#This Row],[Metodo]],TbTipos[Tecnología]&amp;TbTipos[Metodo],TbTipos[Tipo])</f>
        <v>OMP Elementos</v>
      </c>
      <c r="E123" s="15" t="str" cm="1">
        <f t="array" ref="E123">_xlfn.XLOOKUP(Total[[#This Row],[Tecnología]]&amp;Total[[#This Row],[Problema]],TbNombres[Tecnología]&amp;TbNombres[Problema],TbNombres[Nombre])</f>
        <v>Brusselator1d</v>
      </c>
      <c r="F123" s="2">
        <v>2</v>
      </c>
      <c r="G123" s="2">
        <v>3</v>
      </c>
      <c r="H123" s="2">
        <v>1</v>
      </c>
      <c r="I123" s="2">
        <v>200</v>
      </c>
      <c r="J123" s="2">
        <v>400</v>
      </c>
      <c r="K123" s="2">
        <v>9.9896200000000004</v>
      </c>
    </row>
    <row r="124" spans="2:11" x14ac:dyDescent="0.2">
      <c r="B124" s="26" t="str">
        <f>_xlfn.XLOOKUP(Total[[#This Row],[Metodo]],TbSolver[Metodo],TbSolver[Solver])</f>
        <v>Runge Kutta</v>
      </c>
      <c r="C124" s="26" t="str">
        <f>_xlfn.XLOOKUP(Total[[#This Row],[Hebras]],TbTecnologia[Hebras],TbTecnologia[Tecnología])</f>
        <v>CUDA</v>
      </c>
      <c r="D124" s="15" t="str" cm="1">
        <f t="array" ref="D124">_xlfn.XLOOKUP(Total[[#This Row],[Tecnología]]&amp;Total[[#This Row],[Metodo]],TbTipos[Tecnología]&amp;TbTipos[Metodo],TbTipos[Tipo])</f>
        <v>CUDA con graph</v>
      </c>
      <c r="E124" s="15" t="str" cm="1">
        <f t="array" ref="E124">_xlfn.XLOOKUP(Total[[#This Row],[Tecnología]]&amp;Total[[#This Row],[Problema]],TbNombres[Tecnología]&amp;TbNombres[Problema],TbNombres[Nombre])</f>
        <v>Brusselator1d</v>
      </c>
      <c r="F124" s="2">
        <v>2</v>
      </c>
      <c r="G124" s="2">
        <v>5</v>
      </c>
      <c r="H124" s="2">
        <v>256</v>
      </c>
      <c r="I124" s="2">
        <v>200</v>
      </c>
      <c r="J124" s="2">
        <v>400</v>
      </c>
      <c r="K124" s="2">
        <v>13.7011</v>
      </c>
    </row>
    <row r="125" spans="2:11" x14ac:dyDescent="0.2">
      <c r="B125" s="26" t="str">
        <f>_xlfn.XLOOKUP(Total[[#This Row],[Metodo]],TbSolver[Metodo],TbSolver[Solver])</f>
        <v>Runge Kutta</v>
      </c>
      <c r="C125" s="26" t="str">
        <f>_xlfn.XLOOKUP(Total[[#This Row],[Hebras]],TbTecnologia[Hebras],TbTecnologia[Tecnología])</f>
        <v>CUDA</v>
      </c>
      <c r="D125" s="15" t="str" cm="1">
        <f t="array" ref="D125">_xlfn.XLOOKUP(Total[[#This Row],[Tecnología]]&amp;Total[[#This Row],[Metodo]],TbTipos[Tecnología]&amp;TbTipos[Metodo],TbTipos[Tipo])</f>
        <v>CUDA con graph</v>
      </c>
      <c r="E125" s="15" t="str" cm="1">
        <f t="array" ref="E125">_xlfn.XLOOKUP(Total[[#This Row],[Tecnología]]&amp;Total[[#This Row],[Problema]],TbNombres[Tecnología]&amp;TbNombres[Problema],TbNombres[Nombre])</f>
        <v>Brusselator1d shuffle</v>
      </c>
      <c r="F125" s="2">
        <v>2</v>
      </c>
      <c r="G125" s="2">
        <v>6</v>
      </c>
      <c r="H125" s="2">
        <v>256</v>
      </c>
      <c r="I125" s="2">
        <v>200</v>
      </c>
      <c r="J125" s="2">
        <v>400</v>
      </c>
      <c r="K125" s="2">
        <v>13.7067</v>
      </c>
    </row>
    <row r="126" spans="2:11" x14ac:dyDescent="0.2">
      <c r="B126" s="26" t="str">
        <f>_xlfn.XLOOKUP(Total[[#This Row],[Metodo]],TbSolver[Metodo],TbSolver[Solver])</f>
        <v>Runge Kutta</v>
      </c>
      <c r="C126" s="26" t="str">
        <f>_xlfn.XLOOKUP(Total[[#This Row],[Hebras]],TbTecnologia[Hebras],TbTecnologia[Tecnología])</f>
        <v>CUDA</v>
      </c>
      <c r="D126" s="15" t="str" cm="1">
        <f t="array" ref="D126">_xlfn.XLOOKUP(Total[[#This Row],[Tecnología]]&amp;Total[[#This Row],[Metodo]],TbTipos[Tecnología]&amp;TbTipos[Metodo],TbTipos[Tipo])</f>
        <v>CUDA con graph</v>
      </c>
      <c r="E126" s="15" t="str" cm="1">
        <f t="array" ref="E126">_xlfn.XLOOKUP(Total[[#This Row],[Tecnología]]&amp;Total[[#This Row],[Problema]],TbNombres[Tecnología]&amp;TbNombres[Problema],TbNombres[Nombre])</f>
        <v>Brusselator1d grid</v>
      </c>
      <c r="F126" s="2">
        <v>2</v>
      </c>
      <c r="G126" s="2">
        <v>7</v>
      </c>
      <c r="H126" s="2">
        <v>256</v>
      </c>
      <c r="I126" s="2">
        <v>200</v>
      </c>
      <c r="J126" s="2">
        <v>400</v>
      </c>
      <c r="K126" s="2">
        <v>13.7905</v>
      </c>
    </row>
    <row r="127" spans="2:11" x14ac:dyDescent="0.2">
      <c r="B127" s="26" t="str">
        <f>_xlfn.XLOOKUP(Total[[#This Row],[Metodo]],TbSolver[Metodo],TbSolver[Solver])</f>
        <v>Runge Kutta</v>
      </c>
      <c r="C127" s="26" t="str">
        <f>_xlfn.XLOOKUP(Total[[#This Row],[Hebras]],TbTecnologia[Hebras],TbTecnologia[Tecnología])</f>
        <v>CUDA</v>
      </c>
      <c r="D127" s="15" t="str" cm="1">
        <f t="array" ref="D127">_xlfn.XLOOKUP(Total[[#This Row],[Tecnología]]&amp;Total[[#This Row],[Metodo]],TbTipos[Tecnología]&amp;TbTipos[Metodo],TbTipos[Tipo])</f>
        <v>CUDA sin graph</v>
      </c>
      <c r="E127" s="15" t="str" cm="1">
        <f t="array" ref="E127">_xlfn.XLOOKUP(Total[[#This Row],[Tecnología]]&amp;Total[[#This Row],[Problema]],TbNombres[Tecnología]&amp;TbNombres[Problema],TbNombres[Nombre])</f>
        <v>Brusselator1d shuffle</v>
      </c>
      <c r="F127" s="2">
        <v>1</v>
      </c>
      <c r="G127" s="2">
        <v>6</v>
      </c>
      <c r="H127" s="2">
        <v>256</v>
      </c>
      <c r="I127" s="2">
        <v>200</v>
      </c>
      <c r="J127" s="2">
        <v>400</v>
      </c>
      <c r="K127" s="2">
        <v>16.845500000000001</v>
      </c>
    </row>
    <row r="128" spans="2:11" x14ac:dyDescent="0.2">
      <c r="B128" s="26" t="str">
        <f>_xlfn.XLOOKUP(Total[[#This Row],[Metodo]],TbSolver[Metodo],TbSolver[Solver])</f>
        <v>Runge Kutta</v>
      </c>
      <c r="C128" s="26" t="str">
        <f>_xlfn.XLOOKUP(Total[[#This Row],[Hebras]],TbTecnologia[Hebras],TbTecnologia[Tecnología])</f>
        <v>OMP</v>
      </c>
      <c r="D128" s="15" t="str" cm="1">
        <f t="array" ref="D128">_xlfn.XLOOKUP(Total[[#This Row],[Tecnología]]&amp;Total[[#This Row],[Metodo]],TbTipos[Tecnología]&amp;TbTipos[Metodo],TbTipos[Tipo])</f>
        <v>OMP Elementos</v>
      </c>
      <c r="E128" s="15" t="str" cm="1">
        <f t="array" ref="E128">_xlfn.XLOOKUP(Total[[#This Row],[Tecnología]]&amp;Total[[#This Row],[Problema]],TbNombres[Tecnología]&amp;TbNombres[Problema],TbNombres[Nombre])</f>
        <v>Brusselator1d</v>
      </c>
      <c r="F128" s="2">
        <v>2</v>
      </c>
      <c r="G128" s="2">
        <v>3</v>
      </c>
      <c r="H128" s="2">
        <v>16</v>
      </c>
      <c r="I128" s="2">
        <v>200</v>
      </c>
      <c r="J128" s="2">
        <v>400</v>
      </c>
      <c r="K128" s="2">
        <v>17.2044</v>
      </c>
    </row>
    <row r="129" spans="2:11" x14ac:dyDescent="0.2">
      <c r="B129" s="26" t="str">
        <f>_xlfn.XLOOKUP(Total[[#This Row],[Metodo]],TbSolver[Metodo],TbSolver[Solver])</f>
        <v>Runge Kutta</v>
      </c>
      <c r="C129" s="26" t="str">
        <f>_xlfn.XLOOKUP(Total[[#This Row],[Hebras]],TbTecnologia[Hebras],TbTecnologia[Tecnología])</f>
        <v>CUDA</v>
      </c>
      <c r="D129" s="15" t="str" cm="1">
        <f t="array" ref="D129">_xlfn.XLOOKUP(Total[[#This Row],[Tecnología]]&amp;Total[[#This Row],[Metodo]],TbTipos[Tecnología]&amp;TbTipos[Metodo],TbTipos[Tipo])</f>
        <v>CUDA sin graph</v>
      </c>
      <c r="E129" s="15" t="str" cm="1">
        <f t="array" ref="E129">_xlfn.XLOOKUP(Total[[#This Row],[Tecnología]]&amp;Total[[#This Row],[Problema]],TbNombres[Tecnología]&amp;TbNombres[Problema],TbNombres[Nombre])</f>
        <v>Brusselator1d</v>
      </c>
      <c r="F129" s="2">
        <v>1</v>
      </c>
      <c r="G129" s="2">
        <v>5</v>
      </c>
      <c r="H129" s="2">
        <v>256</v>
      </c>
      <c r="I129" s="2">
        <v>200</v>
      </c>
      <c r="J129" s="2">
        <v>400</v>
      </c>
      <c r="K129" s="2">
        <v>19.164300000000001</v>
      </c>
    </row>
    <row r="130" spans="2:11" x14ac:dyDescent="0.2">
      <c r="B130" s="26" t="str">
        <f>_xlfn.XLOOKUP(Total[[#This Row],[Metodo]],TbSolver[Metodo],TbSolver[Solver])</f>
        <v>Runge Kutta</v>
      </c>
      <c r="C130" s="26" t="str">
        <f>_xlfn.XLOOKUP(Total[[#This Row],[Hebras]],TbTecnologia[Hebras],TbTecnologia[Tecnología])</f>
        <v>CUDA</v>
      </c>
      <c r="D130" s="15" t="str" cm="1">
        <f t="array" ref="D130">_xlfn.XLOOKUP(Total[[#This Row],[Tecnología]]&amp;Total[[#This Row],[Metodo]],TbTipos[Tecnología]&amp;TbTipos[Metodo],TbTipos[Tipo])</f>
        <v>CUDA sin graph</v>
      </c>
      <c r="E130" s="15" t="str" cm="1">
        <f t="array" ref="E130">_xlfn.XLOOKUP(Total[[#This Row],[Tecnología]]&amp;Total[[#This Row],[Problema]],TbNombres[Tecnología]&amp;TbNombres[Problema],TbNombres[Nombre])</f>
        <v>Brusselator1d grid</v>
      </c>
      <c r="F130" s="2">
        <v>1</v>
      </c>
      <c r="G130" s="2">
        <v>7</v>
      </c>
      <c r="H130" s="2">
        <v>256</v>
      </c>
      <c r="I130" s="2">
        <v>200</v>
      </c>
      <c r="J130" s="2">
        <v>400</v>
      </c>
      <c r="K130" s="2">
        <v>19.444700000000001</v>
      </c>
    </row>
    <row r="131" spans="2:11" x14ac:dyDescent="0.2">
      <c r="B131" s="26" t="str">
        <f>_xlfn.XLOOKUP(Total[[#This Row],[Metodo]],TbSolver[Metodo],TbSolver[Solver])</f>
        <v>Runge Kutta</v>
      </c>
      <c r="C131" s="26" t="str">
        <f>_xlfn.XLOOKUP(Total[[#This Row],[Hebras]],TbTecnologia[Hebras],TbTecnologia[Tecnología])</f>
        <v>OMP</v>
      </c>
      <c r="D131" s="15" t="str" cm="1">
        <f t="array" ref="D131">_xlfn.XLOOKUP(Total[[#This Row],[Tecnología]]&amp;Total[[#This Row],[Metodo]],TbTipos[Tecnología]&amp;TbTipos[Metodo],TbTipos[Tipo])</f>
        <v>OMP Operaciones</v>
      </c>
      <c r="E131" s="15" t="str" cm="1">
        <f t="array" ref="E131">_xlfn.XLOOKUP(Total[[#This Row],[Tecnología]]&amp;Total[[#This Row],[Problema]],TbNombres[Tecnología]&amp;TbNombres[Problema],TbNombres[Nombre])</f>
        <v>Brusselator1d</v>
      </c>
      <c r="F131" s="2">
        <v>1</v>
      </c>
      <c r="G131" s="2">
        <v>3</v>
      </c>
      <c r="H131" s="2">
        <v>4</v>
      </c>
      <c r="I131" s="2">
        <v>200</v>
      </c>
      <c r="J131" s="2">
        <v>400</v>
      </c>
      <c r="K131" s="2">
        <v>36.188600000000001</v>
      </c>
    </row>
    <row r="132" spans="2:11" x14ac:dyDescent="0.2">
      <c r="B132" s="26" t="str">
        <f>_xlfn.XLOOKUP(Total[[#This Row],[Metodo]],TbSolver[Metodo],TbSolver[Solver])</f>
        <v>Runge Kutta</v>
      </c>
      <c r="C132" s="26" t="str">
        <f>_xlfn.XLOOKUP(Total[[#This Row],[Hebras]],TbTecnologia[Hebras],TbTecnologia[Tecnología])</f>
        <v>OMP</v>
      </c>
      <c r="D132" s="15" t="str" cm="1">
        <f t="array" ref="D132">_xlfn.XLOOKUP(Total[[#This Row],[Tecnología]]&amp;Total[[#This Row],[Metodo]],TbTipos[Tecnología]&amp;TbTipos[Metodo],TbTipos[Tipo])</f>
        <v>OMP Operaciones</v>
      </c>
      <c r="E132" s="15" t="str" cm="1">
        <f t="array" ref="E132">_xlfn.XLOOKUP(Total[[#This Row],[Tecnología]]&amp;Total[[#This Row],[Problema]],TbNombres[Tecnología]&amp;TbNombres[Problema],TbNombres[Nombre])</f>
        <v>Brusselator1d</v>
      </c>
      <c r="F132" s="2">
        <v>1</v>
      </c>
      <c r="G132" s="2">
        <v>3</v>
      </c>
      <c r="H132" s="2">
        <v>16</v>
      </c>
      <c r="I132" s="2">
        <v>200</v>
      </c>
      <c r="J132" s="2">
        <v>400</v>
      </c>
      <c r="K132" s="2">
        <v>89.827600000000004</v>
      </c>
    </row>
    <row r="133" spans="2:11" x14ac:dyDescent="0.2">
      <c r="B133" s="26" t="str">
        <f>_xlfn.XLOOKUP(Total[[#This Row],[Metodo]],TbSolver[Metodo],TbSolver[Solver])</f>
        <v>Runge Kutta</v>
      </c>
      <c r="C133" s="26" t="str">
        <f>_xlfn.XLOOKUP(Total[[#This Row],[Hebras]],TbTecnologia[Hebras],TbTecnologia[Tecnología])</f>
        <v>OMP</v>
      </c>
      <c r="D133" s="15" t="str" cm="1">
        <f t="array" ref="D133">_xlfn.XLOOKUP(Total[[#This Row],[Tecnología]]&amp;Total[[#This Row],[Metodo]],TbTipos[Tecnología]&amp;TbTipos[Metodo],TbTipos[Tipo])</f>
        <v>OMP Elementos</v>
      </c>
      <c r="E133" s="15" t="str" cm="1">
        <f t="array" ref="E133">_xlfn.XLOOKUP(Total[[#This Row],[Tecnología]]&amp;Total[[#This Row],[Problema]],TbNombres[Tecnología]&amp;TbNombres[Problema],TbNombres[Nombre])</f>
        <v>Brusselator1d</v>
      </c>
      <c r="F133" s="2">
        <v>2</v>
      </c>
      <c r="G133" s="2">
        <v>3</v>
      </c>
      <c r="H133" s="2">
        <v>4</v>
      </c>
      <c r="I133" s="2">
        <v>500</v>
      </c>
      <c r="J133" s="2">
        <v>1000</v>
      </c>
      <c r="K133" s="2">
        <v>12.1547</v>
      </c>
    </row>
    <row r="134" spans="2:11" x14ac:dyDescent="0.2">
      <c r="B134" s="26" t="str">
        <f>_xlfn.XLOOKUP(Total[[#This Row],[Metodo]],TbSolver[Metodo],TbSolver[Solver])</f>
        <v>Runge Kutta</v>
      </c>
      <c r="C134" s="26" t="str">
        <f>_xlfn.XLOOKUP(Total[[#This Row],[Hebras]],TbTecnologia[Hebras],TbTecnologia[Tecnología])</f>
        <v>OMP</v>
      </c>
      <c r="D134" s="15" t="str" cm="1">
        <f t="array" ref="D134">_xlfn.XLOOKUP(Total[[#This Row],[Tecnología]]&amp;Total[[#This Row],[Metodo]],TbTipos[Tecnología]&amp;TbTipos[Metodo],TbTipos[Tipo])</f>
        <v>OMP Operaciones</v>
      </c>
      <c r="E134" s="15" t="str" cm="1">
        <f t="array" ref="E134">_xlfn.XLOOKUP(Total[[#This Row],[Tecnología]]&amp;Total[[#This Row],[Problema]],TbNombres[Tecnología]&amp;TbNombres[Problema],TbNombres[Nombre])</f>
        <v>Brusselator1d</v>
      </c>
      <c r="F134" s="2">
        <v>1</v>
      </c>
      <c r="G134" s="2">
        <v>3</v>
      </c>
      <c r="H134" s="2">
        <v>1</v>
      </c>
      <c r="I134" s="2">
        <v>500</v>
      </c>
      <c r="J134" s="2">
        <v>1000</v>
      </c>
      <c r="K134" s="2">
        <v>12.882199999999999</v>
      </c>
    </row>
    <row r="135" spans="2:11" x14ac:dyDescent="0.2">
      <c r="B135" s="26" t="str">
        <f>_xlfn.XLOOKUP(Total[[#This Row],[Metodo]],TbSolver[Metodo],TbSolver[Solver])</f>
        <v>Runge Kutta</v>
      </c>
      <c r="C135" s="26" t="str">
        <f>_xlfn.XLOOKUP(Total[[#This Row],[Hebras]],TbTecnologia[Hebras],TbTecnologia[Tecnología])</f>
        <v>CUDA</v>
      </c>
      <c r="D135" s="15" t="str" cm="1">
        <f t="array" ref="D135">_xlfn.XLOOKUP(Total[[#This Row],[Tecnología]]&amp;Total[[#This Row],[Metodo]],TbTipos[Tecnología]&amp;TbTipos[Metodo],TbTipos[Tipo])</f>
        <v>CUDA con graph</v>
      </c>
      <c r="E135" s="15" t="str" cm="1">
        <f t="array" ref="E135">_xlfn.XLOOKUP(Total[[#This Row],[Tecnología]]&amp;Total[[#This Row],[Problema]],TbNombres[Tecnología]&amp;TbNombres[Problema],TbNombres[Nombre])</f>
        <v>Brusselator1d</v>
      </c>
      <c r="F135" s="2">
        <v>2</v>
      </c>
      <c r="G135" s="2">
        <v>5</v>
      </c>
      <c r="H135" s="2">
        <v>256</v>
      </c>
      <c r="I135" s="2">
        <v>500</v>
      </c>
      <c r="J135" s="2">
        <v>1000</v>
      </c>
      <c r="K135" s="2">
        <v>13.7845</v>
      </c>
    </row>
    <row r="136" spans="2:11" x14ac:dyDescent="0.2">
      <c r="B136" s="26" t="str">
        <f>_xlfn.XLOOKUP(Total[[#This Row],[Metodo]],TbSolver[Metodo],TbSolver[Solver])</f>
        <v>Runge Kutta</v>
      </c>
      <c r="C136" s="26" t="str">
        <f>_xlfn.XLOOKUP(Total[[#This Row],[Hebras]],TbTecnologia[Hebras],TbTecnologia[Tecnología])</f>
        <v>CUDA</v>
      </c>
      <c r="D136" s="15" t="str" cm="1">
        <f t="array" ref="D136">_xlfn.XLOOKUP(Total[[#This Row],[Tecnología]]&amp;Total[[#This Row],[Metodo]],TbTipos[Tecnología]&amp;TbTipos[Metodo],TbTipos[Tipo])</f>
        <v>CUDA con graph</v>
      </c>
      <c r="E136" s="15" t="str" cm="1">
        <f t="array" ref="E136">_xlfn.XLOOKUP(Total[[#This Row],[Tecnología]]&amp;Total[[#This Row],[Problema]],TbNombres[Tecnología]&amp;TbNombres[Problema],TbNombres[Nombre])</f>
        <v>Brusselator1d grid</v>
      </c>
      <c r="F136" s="2">
        <v>2</v>
      </c>
      <c r="G136" s="2">
        <v>7</v>
      </c>
      <c r="H136" s="2">
        <v>256</v>
      </c>
      <c r="I136" s="2">
        <v>500</v>
      </c>
      <c r="J136" s="2">
        <v>1000</v>
      </c>
      <c r="K136" s="2">
        <v>13.8317</v>
      </c>
    </row>
    <row r="137" spans="2:11" x14ac:dyDescent="0.2">
      <c r="B137" s="26" t="str">
        <f>_xlfn.XLOOKUP(Total[[#This Row],[Metodo]],TbSolver[Metodo],TbSolver[Solver])</f>
        <v>Runge Kutta</v>
      </c>
      <c r="C137" s="26" t="str">
        <f>_xlfn.XLOOKUP(Total[[#This Row],[Hebras]],TbTecnologia[Hebras],TbTecnologia[Tecnología])</f>
        <v>CUDA</v>
      </c>
      <c r="D137" s="15" t="str" cm="1">
        <f t="array" ref="D137">_xlfn.XLOOKUP(Total[[#This Row],[Tecnología]]&amp;Total[[#This Row],[Metodo]],TbTipos[Tecnología]&amp;TbTipos[Metodo],TbTipos[Tipo])</f>
        <v>CUDA con graph</v>
      </c>
      <c r="E137" s="15" t="str" cm="1">
        <f t="array" ref="E137">_xlfn.XLOOKUP(Total[[#This Row],[Tecnología]]&amp;Total[[#This Row],[Problema]],TbNombres[Tecnología]&amp;TbNombres[Problema],TbNombres[Nombre])</f>
        <v>Brusselator1d shuffle</v>
      </c>
      <c r="F137" s="2">
        <v>2</v>
      </c>
      <c r="G137" s="2">
        <v>6</v>
      </c>
      <c r="H137" s="2">
        <v>256</v>
      </c>
      <c r="I137" s="2">
        <v>500</v>
      </c>
      <c r="J137" s="2">
        <v>1000</v>
      </c>
      <c r="K137" s="2">
        <v>13.8804</v>
      </c>
    </row>
    <row r="138" spans="2:11" x14ac:dyDescent="0.2">
      <c r="B138" s="26" t="str">
        <f>_xlfn.XLOOKUP(Total[[#This Row],[Metodo]],TbSolver[Metodo],TbSolver[Solver])</f>
        <v>Runge Kutta</v>
      </c>
      <c r="C138" s="26" t="str">
        <f>_xlfn.XLOOKUP(Total[[#This Row],[Hebras]],TbTecnologia[Hebras],TbTecnologia[Tecnología])</f>
        <v>OMP</v>
      </c>
      <c r="D138" s="15" t="str" cm="1">
        <f t="array" ref="D138">_xlfn.XLOOKUP(Total[[#This Row],[Tecnología]]&amp;Total[[#This Row],[Metodo]],TbTipos[Tecnología]&amp;TbTipos[Metodo],TbTipos[Tipo])</f>
        <v>OMP Elementos</v>
      </c>
      <c r="E138" s="15" t="str" cm="1">
        <f t="array" ref="E138">_xlfn.XLOOKUP(Total[[#This Row],[Tecnología]]&amp;Total[[#This Row],[Problema]],TbNombres[Tecnología]&amp;TbNombres[Problema],TbNombres[Nombre])</f>
        <v>Brusselator1d</v>
      </c>
      <c r="F138" s="2">
        <v>2</v>
      </c>
      <c r="G138" s="2">
        <v>3</v>
      </c>
      <c r="H138" s="2">
        <v>16</v>
      </c>
      <c r="I138" s="2">
        <v>500</v>
      </c>
      <c r="J138" s="2">
        <v>1000</v>
      </c>
      <c r="K138" s="2">
        <v>15.1356</v>
      </c>
    </row>
    <row r="139" spans="2:11" x14ac:dyDescent="0.2">
      <c r="B139" s="26" t="str">
        <f>_xlfn.XLOOKUP(Total[[#This Row],[Metodo]],TbSolver[Metodo],TbSolver[Solver])</f>
        <v>Runge Kutta</v>
      </c>
      <c r="C139" s="26" t="str">
        <f>_xlfn.XLOOKUP(Total[[#This Row],[Hebras]],TbTecnologia[Hebras],TbTecnologia[Tecnología])</f>
        <v>CUDA</v>
      </c>
      <c r="D139" s="15" t="str" cm="1">
        <f t="array" ref="D139">_xlfn.XLOOKUP(Total[[#This Row],[Tecnología]]&amp;Total[[#This Row],[Metodo]],TbTipos[Tecnología]&amp;TbTipos[Metodo],TbTipos[Tipo])</f>
        <v>CUDA sin graph</v>
      </c>
      <c r="E139" s="15" t="str" cm="1">
        <f t="array" ref="E139">_xlfn.XLOOKUP(Total[[#This Row],[Tecnología]]&amp;Total[[#This Row],[Problema]],TbNombres[Tecnología]&amp;TbNombres[Problema],TbNombres[Nombre])</f>
        <v>Brusselator1d grid</v>
      </c>
      <c r="F139" s="2">
        <v>1</v>
      </c>
      <c r="G139" s="2">
        <v>7</v>
      </c>
      <c r="H139" s="2">
        <v>256</v>
      </c>
      <c r="I139" s="2">
        <v>500</v>
      </c>
      <c r="J139" s="2">
        <v>1000</v>
      </c>
      <c r="K139" s="2">
        <v>16.8781</v>
      </c>
    </row>
    <row r="140" spans="2:11" x14ac:dyDescent="0.2">
      <c r="B140" s="26" t="str">
        <f>_xlfn.XLOOKUP(Total[[#This Row],[Metodo]],TbSolver[Metodo],TbSolver[Solver])</f>
        <v>Runge Kutta</v>
      </c>
      <c r="C140" s="26" t="str">
        <f>_xlfn.XLOOKUP(Total[[#This Row],[Hebras]],TbTecnologia[Hebras],TbTecnologia[Tecnología])</f>
        <v>CUDA</v>
      </c>
      <c r="D140" s="15" t="str" cm="1">
        <f t="array" ref="D140">_xlfn.XLOOKUP(Total[[#This Row],[Tecnología]]&amp;Total[[#This Row],[Metodo]],TbTipos[Tecnología]&amp;TbTipos[Metodo],TbTipos[Tipo])</f>
        <v>CUDA sin graph</v>
      </c>
      <c r="E140" s="15" t="str" cm="1">
        <f t="array" ref="E140">_xlfn.XLOOKUP(Total[[#This Row],[Tecnología]]&amp;Total[[#This Row],[Problema]],TbNombres[Tecnología]&amp;TbNombres[Problema],TbNombres[Nombre])</f>
        <v>Brusselator1d shuffle</v>
      </c>
      <c r="F140" s="2">
        <v>1</v>
      </c>
      <c r="G140" s="2">
        <v>6</v>
      </c>
      <c r="H140" s="2">
        <v>256</v>
      </c>
      <c r="I140" s="2">
        <v>500</v>
      </c>
      <c r="J140" s="2">
        <v>1000</v>
      </c>
      <c r="K140" s="2">
        <v>16.9712</v>
      </c>
    </row>
    <row r="141" spans="2:11" x14ac:dyDescent="0.2">
      <c r="B141" s="26" t="str">
        <f>_xlfn.XLOOKUP(Total[[#This Row],[Metodo]],TbSolver[Metodo],TbSolver[Solver])</f>
        <v>Runge Kutta</v>
      </c>
      <c r="C141" s="26" t="str">
        <f>_xlfn.XLOOKUP(Total[[#This Row],[Hebras]],TbTecnologia[Hebras],TbTecnologia[Tecnología])</f>
        <v>CUDA</v>
      </c>
      <c r="D141" s="15" t="str" cm="1">
        <f t="array" ref="D141">_xlfn.XLOOKUP(Total[[#This Row],[Tecnología]]&amp;Total[[#This Row],[Metodo]],TbTipos[Tecnología]&amp;TbTipos[Metodo],TbTipos[Tipo])</f>
        <v>CUDA sin graph</v>
      </c>
      <c r="E141" s="15" t="str" cm="1">
        <f t="array" ref="E141">_xlfn.XLOOKUP(Total[[#This Row],[Tecnología]]&amp;Total[[#This Row],[Problema]],TbNombres[Tecnología]&amp;TbNombres[Problema],TbNombres[Nombre])</f>
        <v>Brusselator1d</v>
      </c>
      <c r="F141" s="2">
        <v>1</v>
      </c>
      <c r="G141" s="2">
        <v>5</v>
      </c>
      <c r="H141" s="2">
        <v>256</v>
      </c>
      <c r="I141" s="2">
        <v>500</v>
      </c>
      <c r="J141" s="2">
        <v>1000</v>
      </c>
      <c r="K141" s="2">
        <v>17.084399999999999</v>
      </c>
    </row>
    <row r="142" spans="2:11" x14ac:dyDescent="0.2">
      <c r="B142" s="26" t="str">
        <f>_xlfn.XLOOKUP(Total[[#This Row],[Metodo]],TbSolver[Metodo],TbSolver[Solver])</f>
        <v>Runge Kutta</v>
      </c>
      <c r="C142" s="26" t="str">
        <f>_xlfn.XLOOKUP(Total[[#This Row],[Hebras]],TbTecnologia[Hebras],TbTecnologia[Tecnología])</f>
        <v>OMP</v>
      </c>
      <c r="D142" s="15" t="str" cm="1">
        <f t="array" ref="D142">_xlfn.XLOOKUP(Total[[#This Row],[Tecnología]]&amp;Total[[#This Row],[Metodo]],TbTipos[Tecnología]&amp;TbTipos[Metodo],TbTipos[Tipo])</f>
        <v>OMP Elementos</v>
      </c>
      <c r="E142" s="15" t="str" cm="1">
        <f t="array" ref="E142">_xlfn.XLOOKUP(Total[[#This Row],[Tecnología]]&amp;Total[[#This Row],[Problema]],TbNombres[Tecnología]&amp;TbNombres[Problema],TbNombres[Nombre])</f>
        <v>Brusselator1d</v>
      </c>
      <c r="F142" s="2">
        <v>2</v>
      </c>
      <c r="G142" s="2">
        <v>3</v>
      </c>
      <c r="H142" s="2">
        <v>1</v>
      </c>
      <c r="I142" s="2">
        <v>500</v>
      </c>
      <c r="J142" s="2">
        <v>1000</v>
      </c>
      <c r="K142" s="2">
        <v>24.2197</v>
      </c>
    </row>
    <row r="143" spans="2:11" x14ac:dyDescent="0.2">
      <c r="B143" s="26" t="str">
        <f>_xlfn.XLOOKUP(Total[[#This Row],[Metodo]],TbSolver[Metodo],TbSolver[Solver])</f>
        <v>Runge Kutta</v>
      </c>
      <c r="C143" s="26" t="str">
        <f>_xlfn.XLOOKUP(Total[[#This Row],[Hebras]],TbTecnologia[Hebras],TbTecnologia[Tecnología])</f>
        <v>OMP</v>
      </c>
      <c r="D143" s="15" t="str" cm="1">
        <f t="array" ref="D143">_xlfn.XLOOKUP(Total[[#This Row],[Tecnología]]&amp;Total[[#This Row],[Metodo]],TbTipos[Tecnología]&amp;TbTipos[Metodo],TbTipos[Tipo])</f>
        <v>OMP Operaciones</v>
      </c>
      <c r="E143" s="15" t="str" cm="1">
        <f t="array" ref="E143">_xlfn.XLOOKUP(Total[[#This Row],[Tecnología]]&amp;Total[[#This Row],[Problema]],TbNombres[Tecnología]&amp;TbNombres[Problema],TbNombres[Nombre])</f>
        <v>Brusselator1d</v>
      </c>
      <c r="F143" s="2">
        <v>1</v>
      </c>
      <c r="G143" s="2">
        <v>3</v>
      </c>
      <c r="H143" s="2">
        <v>4</v>
      </c>
      <c r="I143" s="2">
        <v>500</v>
      </c>
      <c r="J143" s="2">
        <v>1000</v>
      </c>
      <c r="K143" s="2">
        <v>36.987299999999998</v>
      </c>
    </row>
    <row r="144" spans="2:11" x14ac:dyDescent="0.2">
      <c r="B144" s="26" t="str">
        <f>_xlfn.XLOOKUP(Total[[#This Row],[Metodo]],TbSolver[Metodo],TbSolver[Solver])</f>
        <v>Runge Kutta</v>
      </c>
      <c r="C144" s="26" t="str">
        <f>_xlfn.XLOOKUP(Total[[#This Row],[Hebras]],TbTecnologia[Hebras],TbTecnologia[Tecnología])</f>
        <v>OMP</v>
      </c>
      <c r="D144" s="15" t="str" cm="1">
        <f t="array" ref="D144">_xlfn.XLOOKUP(Total[[#This Row],[Tecnología]]&amp;Total[[#This Row],[Metodo]],TbTipos[Tecnología]&amp;TbTipos[Metodo],TbTipos[Tipo])</f>
        <v>OMP Operaciones</v>
      </c>
      <c r="E144" s="15" t="str" cm="1">
        <f t="array" ref="E144">_xlfn.XLOOKUP(Total[[#This Row],[Tecnología]]&amp;Total[[#This Row],[Problema]],TbNombres[Tecnología]&amp;TbNombres[Problema],TbNombres[Nombre])</f>
        <v>Brusselator1d</v>
      </c>
      <c r="F144" s="2">
        <v>1</v>
      </c>
      <c r="G144" s="2">
        <v>3</v>
      </c>
      <c r="H144" s="2">
        <v>16</v>
      </c>
      <c r="I144" s="2">
        <v>500</v>
      </c>
      <c r="J144" s="2">
        <v>1000</v>
      </c>
      <c r="K144" s="2">
        <v>91.450400000000002</v>
      </c>
    </row>
    <row r="145" spans="2:11" x14ac:dyDescent="0.2">
      <c r="B145" s="26" t="str">
        <f>_xlfn.XLOOKUP(Total[[#This Row],[Metodo]],TbSolver[Metodo],TbSolver[Solver])</f>
        <v>Runge Kutta</v>
      </c>
      <c r="C145" s="26" t="str">
        <f>_xlfn.XLOOKUP(Total[[#This Row],[Hebras]],TbTecnologia[Hebras],TbTecnologia[Tecnología])</f>
        <v>CUDA</v>
      </c>
      <c r="D145" s="15" t="str" cm="1">
        <f t="array" ref="D145">_xlfn.XLOOKUP(Total[[#This Row],[Tecnología]]&amp;Total[[#This Row],[Metodo]],TbTipos[Tecnología]&amp;TbTipos[Metodo],TbTipos[Tipo])</f>
        <v>CUDA con graph</v>
      </c>
      <c r="E145" s="15" t="str" cm="1">
        <f t="array" ref="E145">_xlfn.XLOOKUP(Total[[#This Row],[Tecnología]]&amp;Total[[#This Row],[Problema]],TbNombres[Tecnología]&amp;TbNombres[Problema],TbNombres[Nombre])</f>
        <v>Brusselator1d</v>
      </c>
      <c r="F145" s="2">
        <v>2</v>
      </c>
      <c r="G145" s="2">
        <v>5</v>
      </c>
      <c r="H145" s="2">
        <v>256</v>
      </c>
      <c r="I145" s="2">
        <v>1000</v>
      </c>
      <c r="J145" s="2">
        <v>2000</v>
      </c>
      <c r="K145" s="2">
        <v>13.797800000000001</v>
      </c>
    </row>
    <row r="146" spans="2:11" x14ac:dyDescent="0.2">
      <c r="B146" s="26" t="str">
        <f>_xlfn.XLOOKUP(Total[[#This Row],[Metodo]],TbSolver[Metodo],TbSolver[Solver])</f>
        <v>Runge Kutta</v>
      </c>
      <c r="C146" s="26" t="str">
        <f>_xlfn.XLOOKUP(Total[[#This Row],[Hebras]],TbTecnologia[Hebras],TbTecnologia[Tecnología])</f>
        <v>CUDA</v>
      </c>
      <c r="D146" s="15" t="str" cm="1">
        <f t="array" ref="D146">_xlfn.XLOOKUP(Total[[#This Row],[Tecnología]]&amp;Total[[#This Row],[Metodo]],TbTipos[Tecnología]&amp;TbTipos[Metodo],TbTipos[Tipo])</f>
        <v>CUDA con graph</v>
      </c>
      <c r="E146" s="15" t="str" cm="1">
        <f t="array" ref="E146">_xlfn.XLOOKUP(Total[[#This Row],[Tecnología]]&amp;Total[[#This Row],[Problema]],TbNombres[Tecnología]&amp;TbNombres[Problema],TbNombres[Nombre])</f>
        <v>Brusselator1d grid</v>
      </c>
      <c r="F146" s="2">
        <v>2</v>
      </c>
      <c r="G146" s="2">
        <v>7</v>
      </c>
      <c r="H146" s="2">
        <v>256</v>
      </c>
      <c r="I146" s="2">
        <v>1000</v>
      </c>
      <c r="J146" s="2">
        <v>2000</v>
      </c>
      <c r="K146" s="2">
        <v>13.9056</v>
      </c>
    </row>
    <row r="147" spans="2:11" x14ac:dyDescent="0.2">
      <c r="B147" s="26" t="str">
        <f>_xlfn.XLOOKUP(Total[[#This Row],[Metodo]],TbSolver[Metodo],TbSolver[Solver])</f>
        <v>Runge Kutta</v>
      </c>
      <c r="C147" s="26" t="str">
        <f>_xlfn.XLOOKUP(Total[[#This Row],[Hebras]],TbTecnologia[Hebras],TbTecnologia[Tecnología])</f>
        <v>CUDA</v>
      </c>
      <c r="D147" s="15" t="str" cm="1">
        <f t="array" ref="D147">_xlfn.XLOOKUP(Total[[#This Row],[Tecnología]]&amp;Total[[#This Row],[Metodo]],TbTipos[Tecnología]&amp;TbTipos[Metodo],TbTipos[Tipo])</f>
        <v>CUDA con graph</v>
      </c>
      <c r="E147" s="15" t="str" cm="1">
        <f t="array" ref="E147">_xlfn.XLOOKUP(Total[[#This Row],[Tecnología]]&amp;Total[[#This Row],[Problema]],TbNombres[Tecnología]&amp;TbNombres[Problema],TbNombres[Nombre])</f>
        <v>Brusselator1d shuffle</v>
      </c>
      <c r="F147" s="2">
        <v>2</v>
      </c>
      <c r="G147" s="2">
        <v>6</v>
      </c>
      <c r="H147" s="2">
        <v>256</v>
      </c>
      <c r="I147" s="2">
        <v>1000</v>
      </c>
      <c r="J147" s="2">
        <v>2000</v>
      </c>
      <c r="K147" s="2">
        <v>13.928100000000001</v>
      </c>
    </row>
    <row r="148" spans="2:11" x14ac:dyDescent="0.2">
      <c r="B148" s="26" t="str">
        <f>_xlfn.XLOOKUP(Total[[#This Row],[Metodo]],TbSolver[Metodo],TbSolver[Solver])</f>
        <v>Runge Kutta</v>
      </c>
      <c r="C148" s="26" t="str">
        <f>_xlfn.XLOOKUP(Total[[#This Row],[Hebras]],TbTecnologia[Hebras],TbTecnologia[Tecnología])</f>
        <v>CUDA</v>
      </c>
      <c r="D148" s="15" t="str" cm="1">
        <f t="array" ref="D148">_xlfn.XLOOKUP(Total[[#This Row],[Tecnología]]&amp;Total[[#This Row],[Metodo]],TbTipos[Tecnología]&amp;TbTipos[Metodo],TbTipos[Tipo])</f>
        <v>CUDA sin graph</v>
      </c>
      <c r="E148" s="15" t="str" cm="1">
        <f t="array" ref="E148">_xlfn.XLOOKUP(Total[[#This Row],[Tecnología]]&amp;Total[[#This Row],[Problema]],TbNombres[Tecnología]&amp;TbNombres[Problema],TbNombres[Nombre])</f>
        <v>Brusselator1d grid</v>
      </c>
      <c r="F148" s="2">
        <v>1</v>
      </c>
      <c r="G148" s="2">
        <v>7</v>
      </c>
      <c r="H148" s="2">
        <v>256</v>
      </c>
      <c r="I148" s="2">
        <v>1000</v>
      </c>
      <c r="J148" s="2">
        <v>2000</v>
      </c>
      <c r="K148" s="2">
        <v>16.9695</v>
      </c>
    </row>
    <row r="149" spans="2:11" x14ac:dyDescent="0.2">
      <c r="B149" s="26" t="str">
        <f>_xlfn.XLOOKUP(Total[[#This Row],[Metodo]],TbSolver[Metodo],TbSolver[Solver])</f>
        <v>Runge Kutta</v>
      </c>
      <c r="C149" s="26" t="str">
        <f>_xlfn.XLOOKUP(Total[[#This Row],[Hebras]],TbTecnologia[Hebras],TbTecnologia[Tecnología])</f>
        <v>CUDA</v>
      </c>
      <c r="D149" s="15" t="str" cm="1">
        <f t="array" ref="D149">_xlfn.XLOOKUP(Total[[#This Row],[Tecnología]]&amp;Total[[#This Row],[Metodo]],TbTipos[Tecnología]&amp;TbTipos[Metodo],TbTipos[Tipo])</f>
        <v>CUDA sin graph</v>
      </c>
      <c r="E149" s="15" t="str" cm="1">
        <f t="array" ref="E149">_xlfn.XLOOKUP(Total[[#This Row],[Tecnología]]&amp;Total[[#This Row],[Problema]],TbNombres[Tecnología]&amp;TbNombres[Problema],TbNombres[Nombre])</f>
        <v>Brusselator1d shuffle</v>
      </c>
      <c r="F149" s="2">
        <v>1</v>
      </c>
      <c r="G149" s="2">
        <v>6</v>
      </c>
      <c r="H149" s="2">
        <v>256</v>
      </c>
      <c r="I149" s="2">
        <v>1000</v>
      </c>
      <c r="J149" s="2">
        <v>2000</v>
      </c>
      <c r="K149" s="2">
        <v>16.985800000000001</v>
      </c>
    </row>
    <row r="150" spans="2:11" x14ac:dyDescent="0.2">
      <c r="B150" s="26" t="str">
        <f>_xlfn.XLOOKUP(Total[[#This Row],[Metodo]],TbSolver[Metodo],TbSolver[Solver])</f>
        <v>Runge Kutta</v>
      </c>
      <c r="C150" s="26" t="str">
        <f>_xlfn.XLOOKUP(Total[[#This Row],[Hebras]],TbTecnologia[Hebras],TbTecnologia[Tecnología])</f>
        <v>CUDA</v>
      </c>
      <c r="D150" s="15" t="str" cm="1">
        <f t="array" ref="D150">_xlfn.XLOOKUP(Total[[#This Row],[Tecnología]]&amp;Total[[#This Row],[Metodo]],TbTipos[Tecnología]&amp;TbTipos[Metodo],TbTipos[Tipo])</f>
        <v>CUDA sin graph</v>
      </c>
      <c r="E150" s="15" t="str" cm="1">
        <f t="array" ref="E150">_xlfn.XLOOKUP(Total[[#This Row],[Tecnología]]&amp;Total[[#This Row],[Problema]],TbNombres[Tecnología]&amp;TbNombres[Problema],TbNombres[Nombre])</f>
        <v>Brusselator1d</v>
      </c>
      <c r="F150" s="2">
        <v>1</v>
      </c>
      <c r="G150" s="2">
        <v>5</v>
      </c>
      <c r="H150" s="2">
        <v>256</v>
      </c>
      <c r="I150" s="2">
        <v>1000</v>
      </c>
      <c r="J150" s="2">
        <v>2000</v>
      </c>
      <c r="K150" s="2">
        <v>17.097100000000001</v>
      </c>
    </row>
    <row r="151" spans="2:11" x14ac:dyDescent="0.2">
      <c r="B151" s="26" t="str">
        <f>_xlfn.XLOOKUP(Total[[#This Row],[Metodo]],TbSolver[Metodo],TbSolver[Solver])</f>
        <v>Runge Kutta</v>
      </c>
      <c r="C151" s="26" t="str">
        <f>_xlfn.XLOOKUP(Total[[#This Row],[Hebras]],TbTecnologia[Hebras],TbTecnologia[Tecnología])</f>
        <v>OMP</v>
      </c>
      <c r="D151" s="15" t="str" cm="1">
        <f t="array" ref="D151">_xlfn.XLOOKUP(Total[[#This Row],[Tecnología]]&amp;Total[[#This Row],[Metodo]],TbTipos[Tecnología]&amp;TbTipos[Metodo],TbTipos[Tipo])</f>
        <v>OMP Elementos</v>
      </c>
      <c r="E151" s="15" t="str" cm="1">
        <f t="array" ref="E151">_xlfn.XLOOKUP(Total[[#This Row],[Tecnología]]&amp;Total[[#This Row],[Problema]],TbNombres[Tecnología]&amp;TbNombres[Problema],TbNombres[Nombre])</f>
        <v>Brusselator1d</v>
      </c>
      <c r="F151" s="2">
        <v>2</v>
      </c>
      <c r="G151" s="2">
        <v>3</v>
      </c>
      <c r="H151" s="2">
        <v>4</v>
      </c>
      <c r="I151" s="2">
        <v>1000</v>
      </c>
      <c r="J151" s="2">
        <v>2000</v>
      </c>
      <c r="K151" s="2">
        <v>17.784600000000001</v>
      </c>
    </row>
    <row r="152" spans="2:11" x14ac:dyDescent="0.2">
      <c r="B152" s="26" t="str">
        <f>_xlfn.XLOOKUP(Total[[#This Row],[Metodo]],TbSolver[Metodo],TbSolver[Solver])</f>
        <v>Runge Kutta</v>
      </c>
      <c r="C152" s="26" t="str">
        <f>_xlfn.XLOOKUP(Total[[#This Row],[Hebras]],TbTecnologia[Hebras],TbTecnologia[Tecnología])</f>
        <v>OMP</v>
      </c>
      <c r="D152" s="15" t="str" cm="1">
        <f t="array" ref="D152">_xlfn.XLOOKUP(Total[[#This Row],[Tecnología]]&amp;Total[[#This Row],[Metodo]],TbTipos[Tecnología]&amp;TbTipos[Metodo],TbTipos[Tipo])</f>
        <v>OMP Elementos</v>
      </c>
      <c r="E152" s="15" t="str" cm="1">
        <f t="array" ref="E152">_xlfn.XLOOKUP(Total[[#This Row],[Tecnología]]&amp;Total[[#This Row],[Problema]],TbNombres[Tecnología]&amp;TbNombres[Problema],TbNombres[Nombre])</f>
        <v>Brusselator1d</v>
      </c>
      <c r="F152" s="2">
        <v>2</v>
      </c>
      <c r="G152" s="2">
        <v>3</v>
      </c>
      <c r="H152" s="2">
        <v>16</v>
      </c>
      <c r="I152" s="2">
        <v>1000</v>
      </c>
      <c r="J152" s="2">
        <v>2000</v>
      </c>
      <c r="K152" s="2">
        <v>19.337499999999999</v>
      </c>
    </row>
    <row r="153" spans="2:11" x14ac:dyDescent="0.2">
      <c r="B153" s="26" t="str">
        <f>_xlfn.XLOOKUP(Total[[#This Row],[Metodo]],TbSolver[Metodo],TbSolver[Solver])</f>
        <v>Runge Kutta</v>
      </c>
      <c r="C153" s="26" t="str">
        <f>_xlfn.XLOOKUP(Total[[#This Row],[Hebras]],TbTecnologia[Hebras],TbTecnologia[Tecnología])</f>
        <v>OMP</v>
      </c>
      <c r="D153" s="15" t="str" cm="1">
        <f t="array" ref="D153">_xlfn.XLOOKUP(Total[[#This Row],[Tecnología]]&amp;Total[[#This Row],[Metodo]],TbTipos[Tecnología]&amp;TbTipos[Metodo],TbTipos[Tipo])</f>
        <v>OMP Operaciones</v>
      </c>
      <c r="E153" s="15" t="str" cm="1">
        <f t="array" ref="E153">_xlfn.XLOOKUP(Total[[#This Row],[Tecnología]]&amp;Total[[#This Row],[Problema]],TbNombres[Tecnología]&amp;TbNombres[Problema],TbNombres[Nombre])</f>
        <v>Brusselator1d</v>
      </c>
      <c r="F153" s="2">
        <v>1</v>
      </c>
      <c r="G153" s="2">
        <v>3</v>
      </c>
      <c r="H153" s="2">
        <v>1</v>
      </c>
      <c r="I153" s="2">
        <v>1000</v>
      </c>
      <c r="J153" s="2">
        <v>2000</v>
      </c>
      <c r="K153" s="2">
        <v>22.602</v>
      </c>
    </row>
    <row r="154" spans="2:11" x14ac:dyDescent="0.2">
      <c r="B154" s="26" t="str">
        <f>_xlfn.XLOOKUP(Total[[#This Row],[Metodo]],TbSolver[Metodo],TbSolver[Solver])</f>
        <v>Runge Kutta</v>
      </c>
      <c r="C154" s="26" t="str">
        <f>_xlfn.XLOOKUP(Total[[#This Row],[Hebras]],TbTecnologia[Hebras],TbTecnologia[Tecnología])</f>
        <v>OMP</v>
      </c>
      <c r="D154" s="15" t="str" cm="1">
        <f t="array" ref="D154">_xlfn.XLOOKUP(Total[[#This Row],[Tecnología]]&amp;Total[[#This Row],[Metodo]],TbTipos[Tecnología]&amp;TbTipos[Metodo],TbTipos[Tipo])</f>
        <v>OMP Operaciones</v>
      </c>
      <c r="E154" s="15" t="str" cm="1">
        <f t="array" ref="E154">_xlfn.XLOOKUP(Total[[#This Row],[Tecnología]]&amp;Total[[#This Row],[Problema]],TbNombres[Tecnología]&amp;TbNombres[Problema],TbNombres[Nombre])</f>
        <v>Brusselator1d</v>
      </c>
      <c r="F154" s="2">
        <v>1</v>
      </c>
      <c r="G154" s="2">
        <v>3</v>
      </c>
      <c r="H154" s="2">
        <v>4</v>
      </c>
      <c r="I154" s="2">
        <v>1000</v>
      </c>
      <c r="J154" s="2">
        <v>2000</v>
      </c>
      <c r="K154" s="2">
        <v>39.355499999999999</v>
      </c>
    </row>
    <row r="155" spans="2:11" x14ac:dyDescent="0.2">
      <c r="B155" s="26" t="str">
        <f>_xlfn.XLOOKUP(Total[[#This Row],[Metodo]],TbSolver[Metodo],TbSolver[Solver])</f>
        <v>Runge Kutta</v>
      </c>
      <c r="C155" s="26" t="str">
        <f>_xlfn.XLOOKUP(Total[[#This Row],[Hebras]],TbTecnologia[Hebras],TbTecnologia[Tecnología])</f>
        <v>OMP</v>
      </c>
      <c r="D155" s="15" t="str" cm="1">
        <f t="array" ref="D155">_xlfn.XLOOKUP(Total[[#This Row],[Tecnología]]&amp;Total[[#This Row],[Metodo]],TbTipos[Tecnología]&amp;TbTipos[Metodo],TbTipos[Tipo])</f>
        <v>OMP Elementos</v>
      </c>
      <c r="E155" s="15" t="str" cm="1">
        <f t="array" ref="E155">_xlfn.XLOOKUP(Total[[#This Row],[Tecnología]]&amp;Total[[#This Row],[Problema]],TbNombres[Tecnología]&amp;TbNombres[Problema],TbNombres[Nombre])</f>
        <v>Brusselator1d</v>
      </c>
      <c r="F155" s="2">
        <v>2</v>
      </c>
      <c r="G155" s="2">
        <v>3</v>
      </c>
      <c r="H155" s="2">
        <v>1</v>
      </c>
      <c r="I155" s="2">
        <v>1000</v>
      </c>
      <c r="J155" s="2">
        <v>2000</v>
      </c>
      <c r="K155" s="2">
        <v>47.749899999999997</v>
      </c>
    </row>
    <row r="156" spans="2:11" x14ac:dyDescent="0.2">
      <c r="B156" s="26" t="str">
        <f>_xlfn.XLOOKUP(Total[[#This Row],[Metodo]],TbSolver[Metodo],TbSolver[Solver])</f>
        <v>Runge Kutta</v>
      </c>
      <c r="C156" s="26" t="str">
        <f>_xlfn.XLOOKUP(Total[[#This Row],[Hebras]],TbTecnologia[Hebras],TbTecnologia[Tecnología])</f>
        <v>OMP</v>
      </c>
      <c r="D156" s="15" t="str" cm="1">
        <f t="array" ref="D156">_xlfn.XLOOKUP(Total[[#This Row],[Tecnología]]&amp;Total[[#This Row],[Metodo]],TbTipos[Tecnología]&amp;TbTipos[Metodo],TbTipos[Tipo])</f>
        <v>OMP Operaciones</v>
      </c>
      <c r="E156" s="15" t="str" cm="1">
        <f t="array" ref="E156">_xlfn.XLOOKUP(Total[[#This Row],[Tecnología]]&amp;Total[[#This Row],[Problema]],TbNombres[Tecnología]&amp;TbNombres[Problema],TbNombres[Nombre])</f>
        <v>Brusselator1d</v>
      </c>
      <c r="F156" s="2">
        <v>1</v>
      </c>
      <c r="G156" s="2">
        <v>3</v>
      </c>
      <c r="H156" s="2">
        <v>16</v>
      </c>
      <c r="I156" s="2">
        <v>1000</v>
      </c>
      <c r="J156" s="2">
        <v>2000</v>
      </c>
      <c r="K156" s="2">
        <v>96.912199999999999</v>
      </c>
    </row>
    <row r="157" spans="2:11" x14ac:dyDescent="0.2">
      <c r="B157" s="26" t="str">
        <f>_xlfn.XLOOKUP(Total[[#This Row],[Metodo]],TbSolver[Metodo],TbSolver[Solver])</f>
        <v>Runge Kutta</v>
      </c>
      <c r="C157" s="26" t="str">
        <f>_xlfn.XLOOKUP(Total[[#This Row],[Hebras]],TbTecnologia[Hebras],TbTecnologia[Tecnología])</f>
        <v>CUDA</v>
      </c>
      <c r="D157" s="15" t="str" cm="1">
        <f t="array" ref="D157">_xlfn.XLOOKUP(Total[[#This Row],[Tecnología]]&amp;Total[[#This Row],[Metodo]],TbTipos[Tecnología]&amp;TbTipos[Metodo],TbTipos[Tipo])</f>
        <v>CUDA con graph</v>
      </c>
      <c r="E157" s="15" t="str" cm="1">
        <f t="array" ref="E157">_xlfn.XLOOKUP(Total[[#This Row],[Tecnología]]&amp;Total[[#This Row],[Problema]],TbNombres[Tecnología]&amp;TbNombres[Problema],TbNombres[Nombre])</f>
        <v>Brusselator1d</v>
      </c>
      <c r="F157" s="2">
        <v>2</v>
      </c>
      <c r="G157" s="2">
        <v>5</v>
      </c>
      <c r="H157" s="2">
        <v>256</v>
      </c>
      <c r="I157" s="2">
        <v>2000</v>
      </c>
      <c r="J157" s="2">
        <v>4000</v>
      </c>
      <c r="K157" s="2">
        <v>13.908799999999999</v>
      </c>
    </row>
    <row r="158" spans="2:11" x14ac:dyDescent="0.2">
      <c r="B158" s="26" t="str">
        <f>_xlfn.XLOOKUP(Total[[#This Row],[Metodo]],TbSolver[Metodo],TbSolver[Solver])</f>
        <v>Runge Kutta</v>
      </c>
      <c r="C158" s="26" t="str">
        <f>_xlfn.XLOOKUP(Total[[#This Row],[Hebras]],TbTecnologia[Hebras],TbTecnologia[Tecnología])</f>
        <v>CUDA</v>
      </c>
      <c r="D158" s="15" t="str" cm="1">
        <f t="array" ref="D158">_xlfn.XLOOKUP(Total[[#This Row],[Tecnología]]&amp;Total[[#This Row],[Metodo]],TbTipos[Tecnología]&amp;TbTipos[Metodo],TbTipos[Tipo])</f>
        <v>CUDA con graph</v>
      </c>
      <c r="E158" s="15" t="str" cm="1">
        <f t="array" ref="E158">_xlfn.XLOOKUP(Total[[#This Row],[Tecnología]]&amp;Total[[#This Row],[Problema]],TbNombres[Tecnología]&amp;TbNombres[Problema],TbNombres[Nombre])</f>
        <v>Brusselator1d grid</v>
      </c>
      <c r="F158" s="2">
        <v>2</v>
      </c>
      <c r="G158" s="2">
        <v>7</v>
      </c>
      <c r="H158" s="2">
        <v>256</v>
      </c>
      <c r="I158" s="2">
        <v>2000</v>
      </c>
      <c r="J158" s="2">
        <v>4000</v>
      </c>
      <c r="K158" s="2">
        <v>13.9933</v>
      </c>
    </row>
    <row r="159" spans="2:11" x14ac:dyDescent="0.2">
      <c r="B159" s="26" t="str">
        <f>_xlfn.XLOOKUP(Total[[#This Row],[Metodo]],TbSolver[Metodo],TbSolver[Solver])</f>
        <v>Runge Kutta</v>
      </c>
      <c r="C159" s="26" t="str">
        <f>_xlfn.XLOOKUP(Total[[#This Row],[Hebras]],TbTecnologia[Hebras],TbTecnologia[Tecnología])</f>
        <v>CUDA</v>
      </c>
      <c r="D159" s="15" t="str" cm="1">
        <f t="array" ref="D159">_xlfn.XLOOKUP(Total[[#This Row],[Tecnología]]&amp;Total[[#This Row],[Metodo]],TbTipos[Tecnología]&amp;TbTipos[Metodo],TbTipos[Tipo])</f>
        <v>CUDA con graph</v>
      </c>
      <c r="E159" s="15" t="str" cm="1">
        <f t="array" ref="E159">_xlfn.XLOOKUP(Total[[#This Row],[Tecnología]]&amp;Total[[#This Row],[Problema]],TbNombres[Tecnología]&amp;TbNombres[Problema],TbNombres[Nombre])</f>
        <v>Brusselator1d shuffle</v>
      </c>
      <c r="F159" s="2">
        <v>2</v>
      </c>
      <c r="G159" s="2">
        <v>6</v>
      </c>
      <c r="H159" s="2">
        <v>256</v>
      </c>
      <c r="I159" s="2">
        <v>2000</v>
      </c>
      <c r="J159" s="2">
        <v>4000</v>
      </c>
      <c r="K159" s="2">
        <v>14.0442</v>
      </c>
    </row>
    <row r="160" spans="2:11" x14ac:dyDescent="0.2">
      <c r="B160" s="26" t="str">
        <f>_xlfn.XLOOKUP(Total[[#This Row],[Metodo]],TbSolver[Metodo],TbSolver[Solver])</f>
        <v>Runge Kutta</v>
      </c>
      <c r="C160" s="26" t="str">
        <f>_xlfn.XLOOKUP(Total[[#This Row],[Hebras]],TbTecnologia[Hebras],TbTecnologia[Tecnología])</f>
        <v>CUDA</v>
      </c>
      <c r="D160" s="15" t="str" cm="1">
        <f t="array" ref="D160">_xlfn.XLOOKUP(Total[[#This Row],[Tecnología]]&amp;Total[[#This Row],[Metodo]],TbTipos[Tecnología]&amp;TbTipos[Metodo],TbTipos[Tipo])</f>
        <v>CUDA sin graph</v>
      </c>
      <c r="E160" s="15" t="str" cm="1">
        <f t="array" ref="E160">_xlfn.XLOOKUP(Total[[#This Row],[Tecnología]]&amp;Total[[#This Row],[Problema]],TbNombres[Tecnología]&amp;TbNombres[Problema],TbNombres[Nombre])</f>
        <v>Brusselator1d shuffle</v>
      </c>
      <c r="F160" s="2">
        <v>1</v>
      </c>
      <c r="G160" s="2">
        <v>6</v>
      </c>
      <c r="H160" s="2">
        <v>256</v>
      </c>
      <c r="I160" s="2">
        <v>2000</v>
      </c>
      <c r="J160" s="2">
        <v>4000</v>
      </c>
      <c r="K160" s="2">
        <v>17.095600000000001</v>
      </c>
    </row>
    <row r="161" spans="2:11" x14ac:dyDescent="0.2">
      <c r="B161" s="26" t="str">
        <f>_xlfn.XLOOKUP(Total[[#This Row],[Metodo]],TbSolver[Metodo],TbSolver[Solver])</f>
        <v>Runge Kutta</v>
      </c>
      <c r="C161" s="26" t="str">
        <f>_xlfn.XLOOKUP(Total[[#This Row],[Hebras]],TbTecnologia[Hebras],TbTecnologia[Tecnología])</f>
        <v>CUDA</v>
      </c>
      <c r="D161" s="15" t="str" cm="1">
        <f t="array" ref="D161">_xlfn.XLOOKUP(Total[[#This Row],[Tecnología]]&amp;Total[[#This Row],[Metodo]],TbTipos[Tecnología]&amp;TbTipos[Metodo],TbTipos[Tipo])</f>
        <v>CUDA sin graph</v>
      </c>
      <c r="E161" s="15" t="str" cm="1">
        <f t="array" ref="E161">_xlfn.XLOOKUP(Total[[#This Row],[Tecnología]]&amp;Total[[#This Row],[Problema]],TbNombres[Tecnología]&amp;TbNombres[Problema],TbNombres[Nombre])</f>
        <v>Brusselator1d</v>
      </c>
      <c r="F161" s="2">
        <v>1</v>
      </c>
      <c r="G161" s="2">
        <v>5</v>
      </c>
      <c r="H161" s="2">
        <v>256</v>
      </c>
      <c r="I161" s="2">
        <v>2000</v>
      </c>
      <c r="J161" s="2">
        <v>4000</v>
      </c>
      <c r="K161" s="2">
        <v>17.201499999999999</v>
      </c>
    </row>
    <row r="162" spans="2:11" x14ac:dyDescent="0.2">
      <c r="B162" s="26" t="str">
        <f>_xlfn.XLOOKUP(Total[[#This Row],[Metodo]],TbSolver[Metodo],TbSolver[Solver])</f>
        <v>Runge Kutta</v>
      </c>
      <c r="C162" s="26" t="str">
        <f>_xlfn.XLOOKUP(Total[[#This Row],[Hebras]],TbTecnologia[Hebras],TbTecnologia[Tecnología])</f>
        <v>CUDA</v>
      </c>
      <c r="D162" s="15" t="str" cm="1">
        <f t="array" ref="D162">_xlfn.XLOOKUP(Total[[#This Row],[Tecnología]]&amp;Total[[#This Row],[Metodo]],TbTipos[Tecnología]&amp;TbTipos[Metodo],TbTipos[Tipo])</f>
        <v>CUDA sin graph</v>
      </c>
      <c r="E162" s="15" t="str" cm="1">
        <f t="array" ref="E162">_xlfn.XLOOKUP(Total[[#This Row],[Tecnología]]&amp;Total[[#This Row],[Problema]],TbNombres[Tecnología]&amp;TbNombres[Problema],TbNombres[Nombre])</f>
        <v>Brusselator1d grid</v>
      </c>
      <c r="F162" s="2">
        <v>1</v>
      </c>
      <c r="G162" s="2">
        <v>7</v>
      </c>
      <c r="H162" s="2">
        <v>256</v>
      </c>
      <c r="I162" s="2">
        <v>2000</v>
      </c>
      <c r="J162" s="2">
        <v>4000</v>
      </c>
      <c r="K162" s="2">
        <v>17.2821</v>
      </c>
    </row>
    <row r="163" spans="2:11" x14ac:dyDescent="0.2">
      <c r="B163" s="26" t="str">
        <f>_xlfn.XLOOKUP(Total[[#This Row],[Metodo]],TbSolver[Metodo],TbSolver[Solver])</f>
        <v>Runge Kutta</v>
      </c>
      <c r="C163" s="26" t="str">
        <f>_xlfn.XLOOKUP(Total[[#This Row],[Hebras]],TbTecnologia[Hebras],TbTecnologia[Tecnología])</f>
        <v>CUDA</v>
      </c>
      <c r="D163" s="15" t="str" cm="1">
        <f t="array" ref="D163">_xlfn.XLOOKUP(Total[[#This Row],[Tecnología]]&amp;Total[[#This Row],[Metodo]],TbTipos[Tecnología]&amp;TbTipos[Metodo],TbTipos[Tipo])</f>
        <v>CUDA con graph</v>
      </c>
      <c r="E163" s="15" t="str" cm="1">
        <f t="array" ref="E163">_xlfn.XLOOKUP(Total[[#This Row],[Tecnología]]&amp;Total[[#This Row],[Problema]],TbNombres[Tecnología]&amp;TbNombres[Problema],TbNombres[Nombre])</f>
        <v>Brusselator1d</v>
      </c>
      <c r="F163" s="2">
        <v>2</v>
      </c>
      <c r="G163" s="2">
        <v>5</v>
      </c>
      <c r="H163" s="2">
        <v>256</v>
      </c>
      <c r="I163" s="2">
        <v>5000</v>
      </c>
      <c r="J163" s="2">
        <v>10000</v>
      </c>
      <c r="K163" s="2">
        <v>14.1684</v>
      </c>
    </row>
    <row r="164" spans="2:11" x14ac:dyDescent="0.2">
      <c r="B164" s="26" t="str">
        <f>_xlfn.XLOOKUP(Total[[#This Row],[Metodo]],TbSolver[Metodo],TbSolver[Solver])</f>
        <v>Runge Kutta</v>
      </c>
      <c r="C164" s="26" t="str">
        <f>_xlfn.XLOOKUP(Total[[#This Row],[Hebras]],TbTecnologia[Hebras],TbTecnologia[Tecnología])</f>
        <v>CUDA</v>
      </c>
      <c r="D164" s="15" t="str" cm="1">
        <f t="array" ref="D164">_xlfn.XLOOKUP(Total[[#This Row],[Tecnología]]&amp;Total[[#This Row],[Metodo]],TbTipos[Tecnología]&amp;TbTipos[Metodo],TbTipos[Tipo])</f>
        <v>CUDA con graph</v>
      </c>
      <c r="E164" s="15" t="str" cm="1">
        <f t="array" ref="E164">_xlfn.XLOOKUP(Total[[#This Row],[Tecnología]]&amp;Total[[#This Row],[Problema]],TbNombres[Tecnología]&amp;TbNombres[Problema],TbNombres[Nombre])</f>
        <v>Brusselator1d shuffle</v>
      </c>
      <c r="F164" s="2">
        <v>2</v>
      </c>
      <c r="G164" s="2">
        <v>6</v>
      </c>
      <c r="H164" s="2">
        <v>256</v>
      </c>
      <c r="I164" s="2">
        <v>5000</v>
      </c>
      <c r="J164" s="2">
        <v>10000</v>
      </c>
      <c r="K164" s="2">
        <v>14.3065</v>
      </c>
    </row>
    <row r="165" spans="2:11" x14ac:dyDescent="0.2">
      <c r="B165" s="26" t="str">
        <f>_xlfn.XLOOKUP(Total[[#This Row],[Metodo]],TbSolver[Metodo],TbSolver[Solver])</f>
        <v>Runge Kutta</v>
      </c>
      <c r="C165" s="26" t="str">
        <f>_xlfn.XLOOKUP(Total[[#This Row],[Hebras]],TbTecnologia[Hebras],TbTecnologia[Tecnología])</f>
        <v>CUDA</v>
      </c>
      <c r="D165" s="15" t="str" cm="1">
        <f t="array" ref="D165">_xlfn.XLOOKUP(Total[[#This Row],[Tecnología]]&amp;Total[[#This Row],[Metodo]],TbTipos[Tecnología]&amp;TbTipos[Metodo],TbTipos[Tipo])</f>
        <v>CUDA con graph</v>
      </c>
      <c r="E165" s="15" t="str" cm="1">
        <f t="array" ref="E165">_xlfn.XLOOKUP(Total[[#This Row],[Tecnología]]&amp;Total[[#This Row],[Problema]],TbNombres[Tecnología]&amp;TbNombres[Problema],TbNombres[Nombre])</f>
        <v>Brusselator1d grid</v>
      </c>
      <c r="F165" s="2">
        <v>2</v>
      </c>
      <c r="G165" s="2">
        <v>7</v>
      </c>
      <c r="H165" s="2">
        <v>256</v>
      </c>
      <c r="I165" s="2">
        <v>5000</v>
      </c>
      <c r="J165" s="2">
        <v>10000</v>
      </c>
      <c r="K165" s="2">
        <v>14.404299999999999</v>
      </c>
    </row>
    <row r="166" spans="2:11" x14ac:dyDescent="0.2">
      <c r="B166" s="26" t="str">
        <f>_xlfn.XLOOKUP(Total[[#This Row],[Metodo]],TbSolver[Metodo],TbSolver[Solver])</f>
        <v>Runge Kutta</v>
      </c>
      <c r="C166" s="26" t="str">
        <f>_xlfn.XLOOKUP(Total[[#This Row],[Hebras]],TbTecnologia[Hebras],TbTecnologia[Tecnología])</f>
        <v>CUDA</v>
      </c>
      <c r="D166" s="15" t="str" cm="1">
        <f t="array" ref="D166">_xlfn.XLOOKUP(Total[[#This Row],[Tecnología]]&amp;Total[[#This Row],[Metodo]],TbTipos[Tecnología]&amp;TbTipos[Metodo],TbTipos[Tipo])</f>
        <v>CUDA sin graph</v>
      </c>
      <c r="E166" s="15" t="str" cm="1">
        <f t="array" ref="E166">_xlfn.XLOOKUP(Total[[#This Row],[Tecnología]]&amp;Total[[#This Row],[Problema]],TbNombres[Tecnología]&amp;TbNombres[Problema],TbNombres[Nombre])</f>
        <v>Brusselator1d</v>
      </c>
      <c r="F166" s="2">
        <v>1</v>
      </c>
      <c r="G166" s="2">
        <v>5</v>
      </c>
      <c r="H166" s="2">
        <v>256</v>
      </c>
      <c r="I166" s="2">
        <v>5000</v>
      </c>
      <c r="J166" s="2">
        <v>10000</v>
      </c>
      <c r="K166" s="2">
        <v>17.438700000000001</v>
      </c>
    </row>
    <row r="167" spans="2:11" x14ac:dyDescent="0.2">
      <c r="B167" s="26" t="str">
        <f>_xlfn.XLOOKUP(Total[[#This Row],[Metodo]],TbSolver[Metodo],TbSolver[Solver])</f>
        <v>Runge Kutta</v>
      </c>
      <c r="C167" s="26" t="str">
        <f>_xlfn.XLOOKUP(Total[[#This Row],[Hebras]],TbTecnologia[Hebras],TbTecnologia[Tecnología])</f>
        <v>CUDA</v>
      </c>
      <c r="D167" s="15" t="str" cm="1">
        <f t="array" ref="D167">_xlfn.XLOOKUP(Total[[#This Row],[Tecnología]]&amp;Total[[#This Row],[Metodo]],TbTipos[Tecnología]&amp;TbTipos[Metodo],TbTipos[Tipo])</f>
        <v>CUDA sin graph</v>
      </c>
      <c r="E167" s="15" t="str" cm="1">
        <f t="array" ref="E167">_xlfn.XLOOKUP(Total[[#This Row],[Tecnología]]&amp;Total[[#This Row],[Problema]],TbNombres[Tecnología]&amp;TbNombres[Problema],TbNombres[Nombre])</f>
        <v>Brusselator1d grid</v>
      </c>
      <c r="F167" s="2">
        <v>1</v>
      </c>
      <c r="G167" s="2">
        <v>7</v>
      </c>
      <c r="H167" s="2">
        <v>256</v>
      </c>
      <c r="I167" s="2">
        <v>5000</v>
      </c>
      <c r="J167" s="2">
        <v>10000</v>
      </c>
      <c r="K167" s="2">
        <v>17.483899999999998</v>
      </c>
    </row>
    <row r="168" spans="2:11" x14ac:dyDescent="0.2">
      <c r="B168" s="26" t="str">
        <f>_xlfn.XLOOKUP(Total[[#This Row],[Metodo]],TbSolver[Metodo],TbSolver[Solver])</f>
        <v>Runge Kutta</v>
      </c>
      <c r="C168" s="26" t="str">
        <f>_xlfn.XLOOKUP(Total[[#This Row],[Hebras]],TbTecnologia[Hebras],TbTecnologia[Tecnología])</f>
        <v>CUDA</v>
      </c>
      <c r="D168" s="15" t="str" cm="1">
        <f t="array" ref="D168">_xlfn.XLOOKUP(Total[[#This Row],[Tecnología]]&amp;Total[[#This Row],[Metodo]],TbTipos[Tecnología]&amp;TbTipos[Metodo],TbTipos[Tipo])</f>
        <v>CUDA sin graph</v>
      </c>
      <c r="E168" s="15" t="str" cm="1">
        <f t="array" ref="E168">_xlfn.XLOOKUP(Total[[#This Row],[Tecnología]]&amp;Total[[#This Row],[Problema]],TbNombres[Tecnología]&amp;TbNombres[Problema],TbNombres[Nombre])</f>
        <v>Brusselator1d shuffle</v>
      </c>
      <c r="F168" s="2">
        <v>1</v>
      </c>
      <c r="G168" s="2">
        <v>6</v>
      </c>
      <c r="H168" s="2">
        <v>256</v>
      </c>
      <c r="I168" s="2">
        <v>5000</v>
      </c>
      <c r="J168" s="2">
        <v>10000</v>
      </c>
      <c r="K168" s="2">
        <v>17.822700000000001</v>
      </c>
    </row>
    <row r="169" spans="2:11" x14ac:dyDescent="0.2">
      <c r="B169" s="26" t="str">
        <f>_xlfn.XLOOKUP(Total[[#This Row],[Metodo]],TbSolver[Metodo],TbSolver[Solver])</f>
        <v>Runge Kutta</v>
      </c>
      <c r="C169" s="26" t="str">
        <f>_xlfn.XLOOKUP(Total[[#This Row],[Hebras]],TbTecnologia[Hebras],TbTecnologia[Tecnología])</f>
        <v>CUDA</v>
      </c>
      <c r="D169" s="15" t="str" cm="1">
        <f t="array" ref="D169">_xlfn.XLOOKUP(Total[[#This Row],[Tecnología]]&amp;Total[[#This Row],[Metodo]],TbTipos[Tecnología]&amp;TbTipos[Metodo],TbTipos[Tipo])</f>
        <v>CUDA sin graph</v>
      </c>
      <c r="E169" s="15" t="str" cm="1">
        <f t="array" ref="E169">_xlfn.XLOOKUP(Total[[#This Row],[Tecnología]]&amp;Total[[#This Row],[Problema]],TbNombres[Tecnología]&amp;TbNombres[Problema],TbNombres[Nombre])</f>
        <v>Brusselator1d</v>
      </c>
      <c r="F169" s="2">
        <v>1</v>
      </c>
      <c r="G169" s="2">
        <v>5</v>
      </c>
      <c r="H169" s="2">
        <v>256</v>
      </c>
      <c r="I169" s="2">
        <v>10000</v>
      </c>
      <c r="J169" s="2">
        <v>20000</v>
      </c>
      <c r="K169" s="2">
        <v>22.3018</v>
      </c>
    </row>
    <row r="170" spans="2:11" x14ac:dyDescent="0.2">
      <c r="B170" s="26" t="str">
        <f>_xlfn.XLOOKUP(Total[[#This Row],[Metodo]],TbSolver[Metodo],TbSolver[Solver])</f>
        <v>Runge Kutta</v>
      </c>
      <c r="C170" s="26" t="str">
        <f>_xlfn.XLOOKUP(Total[[#This Row],[Hebras]],TbTecnologia[Hebras],TbTecnologia[Tecnología])</f>
        <v>CUDA</v>
      </c>
      <c r="D170" s="15" t="str" cm="1">
        <f t="array" ref="D170">_xlfn.XLOOKUP(Total[[#This Row],[Tecnología]]&amp;Total[[#This Row],[Metodo]],TbTipos[Tecnología]&amp;TbTipos[Metodo],TbTipos[Tipo])</f>
        <v>CUDA sin graph</v>
      </c>
      <c r="E170" s="15" t="str" cm="1">
        <f t="array" ref="E170">_xlfn.XLOOKUP(Total[[#This Row],[Tecnología]]&amp;Total[[#This Row],[Problema]],TbNombres[Tecnología]&amp;TbNombres[Problema],TbNombres[Nombre])</f>
        <v>Brusselator1d</v>
      </c>
      <c r="F170" s="2">
        <v>1</v>
      </c>
      <c r="G170" s="2">
        <v>5</v>
      </c>
      <c r="H170" s="2">
        <v>256</v>
      </c>
      <c r="I170" s="2">
        <v>20000</v>
      </c>
      <c r="J170" s="2">
        <v>40000</v>
      </c>
      <c r="K170" s="2">
        <v>28.273800000000001</v>
      </c>
    </row>
    <row r="171" spans="2:11" x14ac:dyDescent="0.2">
      <c r="B171" s="26" t="str">
        <f>_xlfn.XLOOKUP(Total[[#This Row],[Metodo]],TbSolver[Metodo],TbSolver[Solver])</f>
        <v>Runge Kutta</v>
      </c>
      <c r="C171" s="26" t="str">
        <f>_xlfn.XLOOKUP(Total[[#This Row],[Hebras]],TbTecnologia[Hebras],TbTecnologia[Tecnología])</f>
        <v>CUDA</v>
      </c>
      <c r="D171" s="15" t="str" cm="1">
        <f t="array" ref="D171">_xlfn.XLOOKUP(Total[[#This Row],[Tecnología]]&amp;Total[[#This Row],[Metodo]],TbTipos[Tecnología]&amp;TbTipos[Metodo],TbTipos[Tipo])</f>
        <v>CUDA sin graph</v>
      </c>
      <c r="E171" s="15" t="str" cm="1">
        <f t="array" ref="E171">_xlfn.XLOOKUP(Total[[#This Row],[Tecnología]]&amp;Total[[#This Row],[Problema]],TbNombres[Tecnología]&amp;TbNombres[Problema],TbNombres[Nombre])</f>
        <v>Brusselator1d</v>
      </c>
      <c r="F171" s="2">
        <v>1</v>
      </c>
      <c r="G171" s="2">
        <v>5</v>
      </c>
      <c r="H171" s="2">
        <v>256</v>
      </c>
      <c r="I171" s="2">
        <v>50000</v>
      </c>
      <c r="J171" s="2">
        <v>100000</v>
      </c>
      <c r="K171" s="2">
        <v>43.403700000000001</v>
      </c>
    </row>
    <row r="172" spans="2:11" x14ac:dyDescent="0.2">
      <c r="B172" s="26" t="str">
        <f>_xlfn.XLOOKUP(Total[[#This Row],[Metodo]],TbSolver[Metodo],TbSolver[Solver])</f>
        <v>Runge Kutta</v>
      </c>
      <c r="C172" s="26" t="str">
        <f>_xlfn.XLOOKUP(Total[[#This Row],[Hebras]],TbTecnologia[Hebras],TbTecnologia[Tecnología])</f>
        <v>CUDA</v>
      </c>
      <c r="D172" s="15" t="str" cm="1">
        <f t="array" ref="D172">_xlfn.XLOOKUP(Total[[#This Row],[Tecnología]]&amp;Total[[#This Row],[Metodo]],TbTipos[Tecnología]&amp;TbTipos[Metodo],TbTipos[Tipo])</f>
        <v>CUDA sin graph</v>
      </c>
      <c r="E172" s="15" t="str" cm="1">
        <f t="array" ref="E172">_xlfn.XLOOKUP(Total[[#This Row],[Tecnología]]&amp;Total[[#This Row],[Problema]],TbNombres[Tecnología]&amp;TbNombres[Problema],TbNombres[Nombre])</f>
        <v>Brusselator1d</v>
      </c>
      <c r="F172" s="2">
        <v>1</v>
      </c>
      <c r="G172" s="2">
        <v>5</v>
      </c>
      <c r="H172" s="2">
        <v>256</v>
      </c>
      <c r="I172" s="2">
        <v>100000</v>
      </c>
      <c r="J172" s="2">
        <v>200000</v>
      </c>
      <c r="K172" s="2">
        <v>89.162099999999995</v>
      </c>
    </row>
    <row r="173" spans="2:11" x14ac:dyDescent="0.2">
      <c r="B173" s="26" t="str">
        <f>_xlfn.XLOOKUP(Total[[#This Row],[Metodo]],TbSolver[Metodo],TbSolver[Solver])</f>
        <v>Runge Kutta</v>
      </c>
      <c r="C173" s="26" t="str">
        <f>_xlfn.XLOOKUP(Total[[#This Row],[Hebras]],TbTecnologia[Hebras],TbTecnologia[Tecnología])</f>
        <v>CUDA</v>
      </c>
      <c r="D173" s="15" t="str" cm="1">
        <f t="array" ref="D173">_xlfn.XLOOKUP(Total[[#This Row],[Tecnología]]&amp;Total[[#This Row],[Metodo]],TbTipos[Tecnología]&amp;TbTipos[Metodo],TbTipos[Tipo])</f>
        <v>CUDA sin graph</v>
      </c>
      <c r="E173" s="15" t="str" cm="1">
        <f t="array" ref="E173">_xlfn.XLOOKUP(Total[[#This Row],[Tecnología]]&amp;Total[[#This Row],[Problema]],TbNombres[Tecnología]&amp;TbNombres[Problema],TbNombres[Nombre])</f>
        <v>Brusselator1d</v>
      </c>
      <c r="F173" s="2">
        <v>1</v>
      </c>
      <c r="G173" s="2">
        <v>5</v>
      </c>
      <c r="H173" s="2">
        <v>256</v>
      </c>
      <c r="I173" s="2">
        <v>200000</v>
      </c>
      <c r="J173" s="2">
        <v>400000</v>
      </c>
      <c r="K173" s="2">
        <v>195.79300000000001</v>
      </c>
    </row>
    <row r="174" spans="2:11" x14ac:dyDescent="0.2">
      <c r="B174" s="26" t="str">
        <f>_xlfn.XLOOKUP(Total[[#This Row],[Metodo]],TbSolver[Metodo],TbSolver[Solver])</f>
        <v>Runge Kutta</v>
      </c>
      <c r="C174" s="26" t="str">
        <f>_xlfn.XLOOKUP(Total[[#This Row],[Hebras]],TbTecnologia[Hebras],TbTecnologia[Tecnología])</f>
        <v>CUDA</v>
      </c>
      <c r="D174" s="15" t="str" cm="1">
        <f t="array" ref="D174">_xlfn.XLOOKUP(Total[[#This Row],[Tecnología]]&amp;Total[[#This Row],[Metodo]],TbTipos[Tecnología]&amp;TbTipos[Metodo],TbTipos[Tipo])</f>
        <v>CUDA con graph</v>
      </c>
      <c r="E174" s="15" t="str" cm="1">
        <f t="array" ref="E174">_xlfn.XLOOKUP(Total[[#This Row],[Tecnología]]&amp;Total[[#This Row],[Problema]],TbNombres[Tecnología]&amp;TbNombres[Problema],TbNombres[Nombre])</f>
        <v>Brusselator2d shuffle</v>
      </c>
      <c r="F174" s="2">
        <v>2</v>
      </c>
      <c r="G174" s="2">
        <v>9</v>
      </c>
      <c r="H174" s="2">
        <v>256</v>
      </c>
      <c r="I174" s="2">
        <v>50</v>
      </c>
      <c r="J174" s="2">
        <v>5000</v>
      </c>
      <c r="K174" s="2">
        <v>16.983499999999999</v>
      </c>
    </row>
    <row r="175" spans="2:11" x14ac:dyDescent="0.2">
      <c r="B175" s="26" t="str">
        <f>_xlfn.XLOOKUP(Total[[#This Row],[Metodo]],TbSolver[Metodo],TbSolver[Solver])</f>
        <v>Runge Kutta</v>
      </c>
      <c r="C175" s="26" t="str">
        <f>_xlfn.XLOOKUP(Total[[#This Row],[Hebras]],TbTecnologia[Hebras],TbTecnologia[Tecnología])</f>
        <v>CUDA</v>
      </c>
      <c r="D175" s="15" t="str" cm="1">
        <f t="array" ref="D175">_xlfn.XLOOKUP(Total[[#This Row],[Tecnología]]&amp;Total[[#This Row],[Metodo]],TbTipos[Tecnología]&amp;TbTipos[Metodo],TbTipos[Tipo])</f>
        <v>CUDA con graph</v>
      </c>
      <c r="E175" s="15" t="str" cm="1">
        <f t="array" ref="E175">_xlfn.XLOOKUP(Total[[#This Row],[Tecnología]]&amp;Total[[#This Row],[Problema]],TbNombres[Tecnología]&amp;TbNombres[Problema],TbNombres[Nombre])</f>
        <v>Brusselator2d</v>
      </c>
      <c r="F175" s="2">
        <v>2</v>
      </c>
      <c r="G175" s="2">
        <v>8</v>
      </c>
      <c r="H175" s="2">
        <v>256</v>
      </c>
      <c r="I175" s="2">
        <v>50</v>
      </c>
      <c r="J175" s="2">
        <v>5000</v>
      </c>
      <c r="K175" s="2">
        <v>17.009499999999999</v>
      </c>
    </row>
    <row r="176" spans="2:11" x14ac:dyDescent="0.2">
      <c r="B176" s="26" t="str">
        <f>_xlfn.XLOOKUP(Total[[#This Row],[Metodo]],TbSolver[Metodo],TbSolver[Solver])</f>
        <v>Runge Kutta</v>
      </c>
      <c r="C176" s="26" t="str">
        <f>_xlfn.XLOOKUP(Total[[#This Row],[Hebras]],TbTecnologia[Hebras],TbTecnologia[Tecnología])</f>
        <v>CUDA</v>
      </c>
      <c r="D176" s="15" t="str" cm="1">
        <f t="array" ref="D176">_xlfn.XLOOKUP(Total[[#This Row],[Tecnología]]&amp;Total[[#This Row],[Metodo]],TbTipos[Tecnología]&amp;TbTipos[Metodo],TbTipos[Tipo])</f>
        <v>CUDA sin graph</v>
      </c>
      <c r="E176" s="15" t="str" cm="1">
        <f t="array" ref="E176">_xlfn.XLOOKUP(Total[[#This Row],[Tecnología]]&amp;Total[[#This Row],[Problema]],TbNombres[Tecnología]&amp;TbNombres[Problema],TbNombres[Nombre])</f>
        <v>Brusselator2d</v>
      </c>
      <c r="F176" s="2">
        <v>1</v>
      </c>
      <c r="G176" s="2">
        <v>8</v>
      </c>
      <c r="H176" s="2">
        <v>256</v>
      </c>
      <c r="I176" s="2">
        <v>50</v>
      </c>
      <c r="J176" s="2">
        <v>5000</v>
      </c>
      <c r="K176" s="2">
        <v>19.817399999999999</v>
      </c>
    </row>
    <row r="177" spans="2:11" x14ac:dyDescent="0.2">
      <c r="B177" s="26" t="str">
        <f>_xlfn.XLOOKUP(Total[[#This Row],[Metodo]],TbSolver[Metodo],TbSolver[Solver])</f>
        <v>Runge Kutta</v>
      </c>
      <c r="C177" s="26" t="str">
        <f>_xlfn.XLOOKUP(Total[[#This Row],[Hebras]],TbTecnologia[Hebras],TbTecnologia[Tecnología])</f>
        <v>CUDA</v>
      </c>
      <c r="D177" s="15" t="str" cm="1">
        <f t="array" ref="D177">_xlfn.XLOOKUP(Total[[#This Row],[Tecnología]]&amp;Total[[#This Row],[Metodo]],TbTipos[Tecnología]&amp;TbTipos[Metodo],TbTipos[Tipo])</f>
        <v>CUDA sin graph</v>
      </c>
      <c r="E177" s="15" t="str" cm="1">
        <f t="array" ref="E177">_xlfn.XLOOKUP(Total[[#This Row],[Tecnología]]&amp;Total[[#This Row],[Problema]],TbNombres[Tecnología]&amp;TbNombres[Problema],TbNombres[Nombre])</f>
        <v>Brusselator2d shuffle</v>
      </c>
      <c r="F177" s="2">
        <v>1</v>
      </c>
      <c r="G177" s="2">
        <v>9</v>
      </c>
      <c r="H177" s="2">
        <v>256</v>
      </c>
      <c r="I177" s="2">
        <v>50</v>
      </c>
      <c r="J177" s="2">
        <v>5000</v>
      </c>
      <c r="K177" s="2">
        <v>20.053100000000001</v>
      </c>
    </row>
    <row r="178" spans="2:11" x14ac:dyDescent="0.2">
      <c r="B178" s="26" t="str">
        <f>_xlfn.XLOOKUP(Total[[#This Row],[Metodo]],TbSolver[Metodo],TbSolver[Solver])</f>
        <v>Runge Kutta</v>
      </c>
      <c r="C178" s="26" t="str">
        <f>_xlfn.XLOOKUP(Total[[#This Row],[Hebras]],TbTecnologia[Hebras],TbTecnologia[Tecnología])</f>
        <v>OMP</v>
      </c>
      <c r="D178" s="16" t="str" cm="1">
        <f t="array" ref="D178">_xlfn.XLOOKUP(Total[[#This Row],[Tecnología]]&amp;Total[[#This Row],[Metodo]],TbTipos[Tecnología]&amp;TbTipos[Metodo],TbTipos[Tipo])</f>
        <v>OMP Elementos</v>
      </c>
      <c r="E178" s="16" t="str" cm="1">
        <f t="array" ref="E178">_xlfn.XLOOKUP(Total[[#This Row],[Tecnología]]&amp;Total[[#This Row],[Problema]],TbNombres[Tecnología]&amp;TbNombres[Problema],TbNombres[Nombre])</f>
        <v>Brusselator2d</v>
      </c>
      <c r="F178" s="4">
        <v>2</v>
      </c>
      <c r="G178" s="4">
        <v>4</v>
      </c>
      <c r="H178" s="4">
        <v>16</v>
      </c>
      <c r="I178" s="4">
        <v>50</v>
      </c>
      <c r="J178" s="4">
        <v>5000</v>
      </c>
      <c r="K178" s="4">
        <v>41.652000000000001</v>
      </c>
    </row>
    <row r="179" spans="2:11" x14ac:dyDescent="0.2">
      <c r="B179" s="26" t="str">
        <f>_xlfn.XLOOKUP(Total[[#This Row],[Metodo]],TbSolver[Metodo],TbSolver[Solver])</f>
        <v>Runge Kutta</v>
      </c>
      <c r="C179" s="26" t="str">
        <f>_xlfn.XLOOKUP(Total[[#This Row],[Hebras]],TbTecnologia[Hebras],TbTecnologia[Tecnología])</f>
        <v>OMP</v>
      </c>
      <c r="D179" s="16" t="str" cm="1">
        <f t="array" ref="D179">_xlfn.XLOOKUP(Total[[#This Row],[Tecnología]]&amp;Total[[#This Row],[Metodo]],TbTipos[Tecnología]&amp;TbTipos[Metodo],TbTipos[Tipo])</f>
        <v>OMP Operaciones</v>
      </c>
      <c r="E179" s="16" t="str" cm="1">
        <f t="array" ref="E179">_xlfn.XLOOKUP(Total[[#This Row],[Tecnología]]&amp;Total[[#This Row],[Problema]],TbNombres[Tecnología]&amp;TbNombres[Problema],TbNombres[Nombre])</f>
        <v>Brusselator2d</v>
      </c>
      <c r="F179" s="4">
        <v>1</v>
      </c>
      <c r="G179" s="4">
        <v>4</v>
      </c>
      <c r="H179" s="4">
        <v>4</v>
      </c>
      <c r="I179" s="4">
        <v>50</v>
      </c>
      <c r="J179" s="4">
        <v>5000</v>
      </c>
      <c r="K179" s="4">
        <v>52.421599999999998</v>
      </c>
    </row>
    <row r="180" spans="2:11" x14ac:dyDescent="0.2">
      <c r="B180" s="26" t="str">
        <f>_xlfn.XLOOKUP(Total[[#This Row],[Metodo]],TbSolver[Metodo],TbSolver[Solver])</f>
        <v>Runge Kutta</v>
      </c>
      <c r="C180" s="26" t="str">
        <f>_xlfn.XLOOKUP(Total[[#This Row],[Hebras]],TbTecnologia[Hebras],TbTecnologia[Tecnología])</f>
        <v>OMP</v>
      </c>
      <c r="D180" s="16" t="str" cm="1">
        <f t="array" ref="D180">_xlfn.XLOOKUP(Total[[#This Row],[Tecnología]]&amp;Total[[#This Row],[Metodo]],TbTipos[Tecnología]&amp;TbTipos[Metodo],TbTipos[Tipo])</f>
        <v>OMP Elementos</v>
      </c>
      <c r="E180" s="16" t="str" cm="1">
        <f t="array" ref="E180">_xlfn.XLOOKUP(Total[[#This Row],[Tecnología]]&amp;Total[[#This Row],[Problema]],TbNombres[Tecnología]&amp;TbNombres[Problema],TbNombres[Nombre])</f>
        <v>Brusselator2d</v>
      </c>
      <c r="F180" s="4">
        <v>2</v>
      </c>
      <c r="G180" s="4">
        <v>4</v>
      </c>
      <c r="H180" s="4">
        <v>4</v>
      </c>
      <c r="I180" s="4">
        <v>50</v>
      </c>
      <c r="J180" s="4">
        <v>5000</v>
      </c>
      <c r="K180" s="4">
        <v>76.856300000000005</v>
      </c>
    </row>
    <row r="181" spans="2:11" x14ac:dyDescent="0.2">
      <c r="B181" s="26" t="str">
        <f>_xlfn.XLOOKUP(Total[[#This Row],[Metodo]],TbSolver[Metodo],TbSolver[Solver])</f>
        <v>Runge Kutta</v>
      </c>
      <c r="C181" s="26" t="str">
        <f>_xlfn.XLOOKUP(Total[[#This Row],[Hebras]],TbTecnologia[Hebras],TbTecnologia[Tecnología])</f>
        <v>OMP</v>
      </c>
      <c r="D181" s="16" t="str" cm="1">
        <f t="array" ref="D181">_xlfn.XLOOKUP(Total[[#This Row],[Tecnología]]&amp;Total[[#This Row],[Metodo]],TbTipos[Tecnología]&amp;TbTipos[Metodo],TbTipos[Tipo])</f>
        <v>OMP Operaciones</v>
      </c>
      <c r="E181" s="16" t="str" cm="1">
        <f t="array" ref="E181">_xlfn.XLOOKUP(Total[[#This Row],[Tecnología]]&amp;Total[[#This Row],[Problema]],TbNombres[Tecnología]&amp;TbNombres[Problema],TbNombres[Nombre])</f>
        <v>Brusselator2d</v>
      </c>
      <c r="F181" s="4">
        <v>1</v>
      </c>
      <c r="G181" s="4">
        <v>4</v>
      </c>
      <c r="H181" s="4">
        <v>16</v>
      </c>
      <c r="I181" s="4">
        <v>50</v>
      </c>
      <c r="J181" s="4">
        <v>5000</v>
      </c>
      <c r="K181" s="4">
        <v>81.611099999999993</v>
      </c>
    </row>
    <row r="182" spans="2:11" x14ac:dyDescent="0.2">
      <c r="B182" s="26" t="str">
        <f>_xlfn.XLOOKUP(Total[[#This Row],[Metodo]],TbSolver[Metodo],TbSolver[Solver])</f>
        <v>Runge Kutta</v>
      </c>
      <c r="C182" s="26" t="str">
        <f>_xlfn.XLOOKUP(Total[[#This Row],[Hebras]],TbTecnologia[Hebras],TbTecnologia[Tecnología])</f>
        <v>OMP</v>
      </c>
      <c r="D182" s="16" t="str" cm="1">
        <f t="array" ref="D182">_xlfn.XLOOKUP(Total[[#This Row],[Tecnología]]&amp;Total[[#This Row],[Metodo]],TbTipos[Tecnología]&amp;TbTipos[Metodo],TbTipos[Tipo])</f>
        <v>OMP Operaciones</v>
      </c>
      <c r="E182" s="16" t="str" cm="1">
        <f t="array" ref="E182">_xlfn.XLOOKUP(Total[[#This Row],[Tecnología]]&amp;Total[[#This Row],[Problema]],TbNombres[Tecnología]&amp;TbNombres[Problema],TbNombres[Nombre])</f>
        <v>Brusselator2d</v>
      </c>
      <c r="F182" s="4">
        <v>1</v>
      </c>
      <c r="G182" s="4">
        <v>4</v>
      </c>
      <c r="H182" s="4">
        <v>1</v>
      </c>
      <c r="I182" s="4">
        <v>50</v>
      </c>
      <c r="J182" s="4">
        <v>5000</v>
      </c>
      <c r="K182" s="4">
        <v>104.01600000000001</v>
      </c>
    </row>
    <row r="183" spans="2:11" x14ac:dyDescent="0.2">
      <c r="B183" s="26" t="str">
        <f>_xlfn.XLOOKUP(Total[[#This Row],[Metodo]],TbSolver[Metodo],TbSolver[Solver])</f>
        <v>Runge Kutta</v>
      </c>
      <c r="C183" s="26" t="str">
        <f>_xlfn.XLOOKUP(Total[[#This Row],[Hebras]],TbTecnologia[Hebras],TbTecnologia[Tecnología])</f>
        <v>OMP</v>
      </c>
      <c r="D183" s="16" t="str" cm="1">
        <f t="array" ref="D183">_xlfn.XLOOKUP(Total[[#This Row],[Tecnología]]&amp;Total[[#This Row],[Metodo]],TbTipos[Tecnología]&amp;TbTipos[Metodo],TbTipos[Tipo])</f>
        <v>OMP Elementos</v>
      </c>
      <c r="E183" s="16" t="str" cm="1">
        <f t="array" ref="E183">_xlfn.XLOOKUP(Total[[#This Row],[Tecnología]]&amp;Total[[#This Row],[Problema]],TbNombres[Tecnología]&amp;TbNombres[Problema],TbNombres[Nombre])</f>
        <v>Brusselator2d</v>
      </c>
      <c r="F183" s="4">
        <v>2</v>
      </c>
      <c r="G183" s="4">
        <v>4</v>
      </c>
      <c r="H183" s="4">
        <v>1</v>
      </c>
      <c r="I183" s="4">
        <v>50</v>
      </c>
      <c r="J183" s="4">
        <v>5000</v>
      </c>
      <c r="K183" s="4">
        <v>267.25799999999998</v>
      </c>
    </row>
    <row r="184" spans="2:11" x14ac:dyDescent="0.2">
      <c r="B184" s="26" t="str">
        <f>_xlfn.XLOOKUP(Total[[#This Row],[Metodo]],TbSolver[Metodo],TbSolver[Solver])</f>
        <v>Runge Kutta</v>
      </c>
      <c r="C184" s="26" t="str">
        <f>_xlfn.XLOOKUP(Total[[#This Row],[Hebras]],TbTecnologia[Hebras],TbTecnologia[Tecnología])</f>
        <v>CUDA</v>
      </c>
      <c r="D184" s="15" t="str" cm="1">
        <f t="array" ref="D184">_xlfn.XLOOKUP(Total[[#This Row],[Tecnología]]&amp;Total[[#This Row],[Metodo]],TbTipos[Tecnología]&amp;TbTipos[Metodo],TbTipos[Tipo])</f>
        <v>CUDA con graph</v>
      </c>
      <c r="E184" s="15" t="str" cm="1">
        <f t="array" ref="E184">_xlfn.XLOOKUP(Total[[#This Row],[Tecnología]]&amp;Total[[#This Row],[Problema]],TbNombres[Tecnología]&amp;TbNombres[Problema],TbNombres[Nombre])</f>
        <v>Brusselator2d shuffle</v>
      </c>
      <c r="F184" s="2">
        <v>2</v>
      </c>
      <c r="G184" s="2">
        <v>9</v>
      </c>
      <c r="H184" s="2">
        <v>256</v>
      </c>
      <c r="I184" s="2">
        <v>100</v>
      </c>
      <c r="J184" s="2">
        <v>20000</v>
      </c>
      <c r="K184" s="2">
        <v>24.692</v>
      </c>
    </row>
    <row r="185" spans="2:11" x14ac:dyDescent="0.2">
      <c r="B185" s="26" t="str">
        <f>_xlfn.XLOOKUP(Total[[#This Row],[Metodo]],TbSolver[Metodo],TbSolver[Solver])</f>
        <v>Runge Kutta</v>
      </c>
      <c r="C185" s="26" t="str">
        <f>_xlfn.XLOOKUP(Total[[#This Row],[Hebras]],TbTecnologia[Hebras],TbTecnologia[Tecnología])</f>
        <v>CUDA</v>
      </c>
      <c r="D185" s="15" t="str" cm="1">
        <f t="array" ref="D185">_xlfn.XLOOKUP(Total[[#This Row],[Tecnología]]&amp;Total[[#This Row],[Metodo]],TbTipos[Tecnología]&amp;TbTipos[Metodo],TbTipos[Tipo])</f>
        <v>CUDA con graph</v>
      </c>
      <c r="E185" s="15" t="str" cm="1">
        <f t="array" ref="E185">_xlfn.XLOOKUP(Total[[#This Row],[Tecnología]]&amp;Total[[#This Row],[Problema]],TbNombres[Tecnología]&amp;TbNombres[Problema],TbNombres[Nombre])</f>
        <v>Brusselator2d</v>
      </c>
      <c r="F185" s="2">
        <v>2</v>
      </c>
      <c r="G185" s="2">
        <v>8</v>
      </c>
      <c r="H185" s="2">
        <v>256</v>
      </c>
      <c r="I185" s="2">
        <v>100</v>
      </c>
      <c r="J185" s="2">
        <v>20000</v>
      </c>
      <c r="K185" s="2">
        <v>24.826599999999999</v>
      </c>
    </row>
    <row r="186" spans="2:11" x14ac:dyDescent="0.2">
      <c r="B186" s="26" t="str">
        <f>_xlfn.XLOOKUP(Total[[#This Row],[Metodo]],TbSolver[Metodo],TbSolver[Solver])</f>
        <v>Runge Kutta</v>
      </c>
      <c r="C186" s="26" t="str">
        <f>_xlfn.XLOOKUP(Total[[#This Row],[Hebras]],TbTecnologia[Hebras],TbTecnologia[Tecnología])</f>
        <v>CUDA</v>
      </c>
      <c r="D186" s="15" t="str" cm="1">
        <f t="array" ref="D186">_xlfn.XLOOKUP(Total[[#This Row],[Tecnología]]&amp;Total[[#This Row],[Metodo]],TbTipos[Tecnología]&amp;TbTipos[Metodo],TbTipos[Tipo])</f>
        <v>CUDA sin graph</v>
      </c>
      <c r="E186" s="15" t="str" cm="1">
        <f t="array" ref="E186">_xlfn.XLOOKUP(Total[[#This Row],[Tecnología]]&amp;Total[[#This Row],[Problema]],TbNombres[Tecnología]&amp;TbNombres[Problema],TbNombres[Nombre])</f>
        <v>Brusselator2d</v>
      </c>
      <c r="F186" s="2">
        <v>1</v>
      </c>
      <c r="G186" s="2">
        <v>8</v>
      </c>
      <c r="H186" s="2">
        <v>256</v>
      </c>
      <c r="I186" s="2">
        <v>100</v>
      </c>
      <c r="J186" s="2">
        <v>20000</v>
      </c>
      <c r="K186" s="2">
        <v>27.382100000000001</v>
      </c>
    </row>
    <row r="187" spans="2:11" x14ac:dyDescent="0.2">
      <c r="B187" s="26" t="str">
        <f>_xlfn.XLOOKUP(Total[[#This Row],[Metodo]],TbSolver[Metodo],TbSolver[Solver])</f>
        <v>Runge Kutta</v>
      </c>
      <c r="C187" s="26" t="str">
        <f>_xlfn.XLOOKUP(Total[[#This Row],[Hebras]],TbTecnologia[Hebras],TbTecnologia[Tecnología])</f>
        <v>CUDA</v>
      </c>
      <c r="D187" s="15" t="str" cm="1">
        <f t="array" ref="D187">_xlfn.XLOOKUP(Total[[#This Row],[Tecnología]]&amp;Total[[#This Row],[Metodo]],TbTipos[Tecnología]&amp;TbTipos[Metodo],TbTipos[Tipo])</f>
        <v>CUDA sin graph</v>
      </c>
      <c r="E187" s="15" t="str" cm="1">
        <f t="array" ref="E187">_xlfn.XLOOKUP(Total[[#This Row],[Tecnología]]&amp;Total[[#This Row],[Problema]],TbNombres[Tecnología]&amp;TbNombres[Problema],TbNombres[Nombre])</f>
        <v>Brusselator2d shuffle</v>
      </c>
      <c r="F187" s="2">
        <v>1</v>
      </c>
      <c r="G187" s="2">
        <v>9</v>
      </c>
      <c r="H187" s="2">
        <v>256</v>
      </c>
      <c r="I187" s="2">
        <v>100</v>
      </c>
      <c r="J187" s="2">
        <v>20000</v>
      </c>
      <c r="K187" s="2">
        <v>27.6431</v>
      </c>
    </row>
    <row r="188" spans="2:11" x14ac:dyDescent="0.2">
      <c r="B188" s="26" t="str">
        <f>_xlfn.XLOOKUP(Total[[#This Row],[Metodo]],TbSolver[Metodo],TbSolver[Solver])</f>
        <v>Runge Kutta</v>
      </c>
      <c r="C188" s="26" t="str">
        <f>_xlfn.XLOOKUP(Total[[#This Row],[Hebras]],TbTecnologia[Hebras],TbTecnologia[Tecnología])</f>
        <v>OMP</v>
      </c>
      <c r="D188" s="16" t="str" cm="1">
        <f t="array" ref="D188">_xlfn.XLOOKUP(Total[[#This Row],[Tecnología]]&amp;Total[[#This Row],[Metodo]],TbTipos[Tecnología]&amp;TbTipos[Metodo],TbTipos[Tipo])</f>
        <v>OMP Elementos</v>
      </c>
      <c r="E188" s="16" t="str" cm="1">
        <f t="array" ref="E188">_xlfn.XLOOKUP(Total[[#This Row],[Tecnología]]&amp;Total[[#This Row],[Problema]],TbNombres[Tecnología]&amp;TbNombres[Problema],TbNombres[Nombre])</f>
        <v>Brusselator2d</v>
      </c>
      <c r="F188" s="4">
        <v>2</v>
      </c>
      <c r="G188" s="4">
        <v>4</v>
      </c>
      <c r="H188" s="4">
        <v>16</v>
      </c>
      <c r="I188" s="4">
        <v>100</v>
      </c>
      <c r="J188" s="4">
        <v>20000</v>
      </c>
      <c r="K188" s="4">
        <v>91.947000000000003</v>
      </c>
    </row>
    <row r="189" spans="2:11" x14ac:dyDescent="0.2">
      <c r="B189" s="26" t="str">
        <f>_xlfn.XLOOKUP(Total[[#This Row],[Metodo]],TbSolver[Metodo],TbSolver[Solver])</f>
        <v>Runge Kutta</v>
      </c>
      <c r="C189" s="26" t="str">
        <f>_xlfn.XLOOKUP(Total[[#This Row],[Hebras]],TbTecnologia[Hebras],TbTecnologia[Tecnología])</f>
        <v>OMP</v>
      </c>
      <c r="D189" s="16" t="str" cm="1">
        <f t="array" ref="D189">_xlfn.XLOOKUP(Total[[#This Row],[Tecnología]]&amp;Total[[#This Row],[Metodo]],TbTipos[Tecnología]&amp;TbTipos[Metodo],TbTipos[Tipo])</f>
        <v>OMP Operaciones</v>
      </c>
      <c r="E189" s="16" t="str" cm="1">
        <f t="array" ref="E189">_xlfn.XLOOKUP(Total[[#This Row],[Tecnología]]&amp;Total[[#This Row],[Problema]],TbNombres[Tecnología]&amp;TbNombres[Problema],TbNombres[Nombre])</f>
        <v>Brusselator2d</v>
      </c>
      <c r="F189" s="4">
        <v>1</v>
      </c>
      <c r="G189" s="4">
        <v>4</v>
      </c>
      <c r="H189" s="4">
        <v>16</v>
      </c>
      <c r="I189" s="4">
        <v>100</v>
      </c>
      <c r="J189" s="4">
        <v>20000</v>
      </c>
      <c r="K189" s="4">
        <v>100.03700000000001</v>
      </c>
    </row>
    <row r="190" spans="2:11" x14ac:dyDescent="0.2">
      <c r="B190" s="26" t="str">
        <f>_xlfn.XLOOKUP(Total[[#This Row],[Metodo]],TbSolver[Metodo],TbSolver[Solver])</f>
        <v>Runge Kutta</v>
      </c>
      <c r="C190" s="26" t="str">
        <f>_xlfn.XLOOKUP(Total[[#This Row],[Hebras]],TbTecnologia[Hebras],TbTecnologia[Tecnología])</f>
        <v>OMP</v>
      </c>
      <c r="D190" s="16" t="str" cm="1">
        <f t="array" ref="D190">_xlfn.XLOOKUP(Total[[#This Row],[Tecnología]]&amp;Total[[#This Row],[Metodo]],TbTipos[Tecnología]&amp;TbTipos[Metodo],TbTipos[Tipo])</f>
        <v>OMP Operaciones</v>
      </c>
      <c r="E190" s="16" t="str" cm="1">
        <f t="array" ref="E190">_xlfn.XLOOKUP(Total[[#This Row],[Tecnología]]&amp;Total[[#This Row],[Problema]],TbNombres[Tecnología]&amp;TbNombres[Problema],TbNombres[Nombre])</f>
        <v>Brusselator2d</v>
      </c>
      <c r="F190" s="4">
        <v>1</v>
      </c>
      <c r="G190" s="4">
        <v>4</v>
      </c>
      <c r="H190" s="4">
        <v>4</v>
      </c>
      <c r="I190" s="4">
        <v>100</v>
      </c>
      <c r="J190" s="4">
        <v>20000</v>
      </c>
      <c r="K190" s="4">
        <v>136.18899999999999</v>
      </c>
    </row>
    <row r="191" spans="2:11" x14ac:dyDescent="0.2">
      <c r="B191" s="26" t="str">
        <f>_xlfn.XLOOKUP(Total[[#This Row],[Metodo]],TbSolver[Metodo],TbSolver[Solver])</f>
        <v>Runge Kutta</v>
      </c>
      <c r="C191" s="26" t="str">
        <f>_xlfn.XLOOKUP(Total[[#This Row],[Hebras]],TbTecnologia[Hebras],TbTecnologia[Tecnología])</f>
        <v>OMP</v>
      </c>
      <c r="D191" s="16" t="str" cm="1">
        <f t="array" ref="D191">_xlfn.XLOOKUP(Total[[#This Row],[Tecnología]]&amp;Total[[#This Row],[Metodo]],TbTipos[Tecnología]&amp;TbTipos[Metodo],TbTipos[Tipo])</f>
        <v>OMP Elementos</v>
      </c>
      <c r="E191" s="16" t="str" cm="1">
        <f t="array" ref="E191">_xlfn.XLOOKUP(Total[[#This Row],[Tecnología]]&amp;Total[[#This Row],[Problema]],TbNombres[Tecnología]&amp;TbNombres[Problema],TbNombres[Nombre])</f>
        <v>Brusselator2d</v>
      </c>
      <c r="F191" s="4">
        <v>2</v>
      </c>
      <c r="G191" s="4">
        <v>4</v>
      </c>
      <c r="H191" s="4">
        <v>4</v>
      </c>
      <c r="I191" s="4">
        <v>100</v>
      </c>
      <c r="J191" s="4">
        <v>20000</v>
      </c>
      <c r="K191" s="4">
        <v>284.08</v>
      </c>
    </row>
    <row r="192" spans="2:11" x14ac:dyDescent="0.2">
      <c r="B192" s="26" t="str">
        <f>_xlfn.XLOOKUP(Total[[#This Row],[Metodo]],TbSolver[Metodo],TbSolver[Solver])</f>
        <v>Runge Kutta</v>
      </c>
      <c r="C192" s="26" t="str">
        <f>_xlfn.XLOOKUP(Total[[#This Row],[Hebras]],TbTecnologia[Hebras],TbTecnologia[Tecnología])</f>
        <v>OMP</v>
      </c>
      <c r="D192" s="16" t="str" cm="1">
        <f t="array" ref="D192">_xlfn.XLOOKUP(Total[[#This Row],[Tecnología]]&amp;Total[[#This Row],[Metodo]],TbTipos[Tecnología]&amp;TbTipos[Metodo],TbTipos[Tipo])</f>
        <v>OMP Operaciones</v>
      </c>
      <c r="E192" s="16" t="str" cm="1">
        <f t="array" ref="E192">_xlfn.XLOOKUP(Total[[#This Row],[Tecnología]]&amp;Total[[#This Row],[Problema]],TbNombres[Tecnología]&amp;TbNombres[Problema],TbNombres[Nombre])</f>
        <v>Brusselator2d</v>
      </c>
      <c r="F192" s="4">
        <v>1</v>
      </c>
      <c r="G192" s="4">
        <v>4</v>
      </c>
      <c r="H192" s="4">
        <v>1</v>
      </c>
      <c r="I192" s="4">
        <v>100</v>
      </c>
      <c r="J192" s="4">
        <v>20000</v>
      </c>
      <c r="K192" s="4">
        <v>410.04500000000002</v>
      </c>
    </row>
    <row r="193" spans="2:11" x14ac:dyDescent="0.2">
      <c r="B193" s="26" t="str">
        <f>_xlfn.XLOOKUP(Total[[#This Row],[Metodo]],TbSolver[Metodo],TbSolver[Solver])</f>
        <v>Runge Kutta</v>
      </c>
      <c r="C193" s="26" t="str">
        <f>_xlfn.XLOOKUP(Total[[#This Row],[Hebras]],TbTecnologia[Hebras],TbTecnologia[Tecnología])</f>
        <v>OMP</v>
      </c>
      <c r="D193" s="16" t="str" cm="1">
        <f t="array" ref="D193">_xlfn.XLOOKUP(Total[[#This Row],[Tecnología]]&amp;Total[[#This Row],[Metodo]],TbTipos[Tecnología]&amp;TbTipos[Metodo],TbTipos[Tipo])</f>
        <v>OMP Elementos</v>
      </c>
      <c r="E193" s="16" t="str" cm="1">
        <f t="array" ref="E193">_xlfn.XLOOKUP(Total[[#This Row],[Tecnología]]&amp;Total[[#This Row],[Problema]],TbNombres[Tecnología]&amp;TbNombres[Problema],TbNombres[Nombre])</f>
        <v>Brusselator2d</v>
      </c>
      <c r="F193" s="4">
        <v>2</v>
      </c>
      <c r="G193" s="4">
        <v>4</v>
      </c>
      <c r="H193" s="4">
        <v>1</v>
      </c>
      <c r="I193" s="4">
        <v>100</v>
      </c>
      <c r="J193" s="4">
        <v>20000</v>
      </c>
      <c r="K193" s="4">
        <v>1071.46</v>
      </c>
    </row>
    <row r="194" spans="2:11" x14ac:dyDescent="0.2">
      <c r="B194" s="26" t="str">
        <f>_xlfn.XLOOKUP(Total[[#This Row],[Metodo]],TbSolver[Metodo],TbSolver[Solver])</f>
        <v>Runge Kutta</v>
      </c>
      <c r="C194" s="26" t="str">
        <f>_xlfn.XLOOKUP(Total[[#This Row],[Hebras]],TbTecnologia[Hebras],TbTecnologia[Tecnología])</f>
        <v>OMP</v>
      </c>
      <c r="D194" s="16" t="str" cm="1">
        <f t="array" ref="D194">_xlfn.XLOOKUP(Total[[#This Row],[Tecnología]]&amp;Total[[#This Row],[Metodo]],TbTipos[Tecnología]&amp;TbTipos[Metodo],TbTipos[Tipo])</f>
        <v>OMP Operaciones</v>
      </c>
      <c r="E194" s="16" t="str" cm="1">
        <f t="array" ref="E194">_xlfn.XLOOKUP(Total[[#This Row],[Tecnología]]&amp;Total[[#This Row],[Problema]],TbNombres[Tecnología]&amp;TbNombres[Problema],TbNombres[Nombre])</f>
        <v>Brusselator2d</v>
      </c>
      <c r="F194" s="4">
        <v>1</v>
      </c>
      <c r="G194" s="4">
        <v>4</v>
      </c>
      <c r="H194" s="4">
        <v>16</v>
      </c>
      <c r="I194" s="4">
        <v>150</v>
      </c>
      <c r="J194" s="4">
        <v>45000</v>
      </c>
      <c r="K194" s="4">
        <v>140.703</v>
      </c>
    </row>
    <row r="195" spans="2:11" x14ac:dyDescent="0.2">
      <c r="B195" s="26" t="str">
        <f>_xlfn.XLOOKUP(Total[[#This Row],[Metodo]],TbSolver[Metodo],TbSolver[Solver])</f>
        <v>Runge Kutta</v>
      </c>
      <c r="C195" s="26" t="str">
        <f>_xlfn.XLOOKUP(Total[[#This Row],[Hebras]],TbTecnologia[Hebras],TbTecnologia[Tecnología])</f>
        <v>OMP</v>
      </c>
      <c r="D195" s="16" t="str" cm="1">
        <f t="array" ref="D195">_xlfn.XLOOKUP(Total[[#This Row],[Tecnología]]&amp;Total[[#This Row],[Metodo]],TbTipos[Tecnología]&amp;TbTipos[Metodo],TbTipos[Tipo])</f>
        <v>OMP Elementos</v>
      </c>
      <c r="E195" s="16" t="str" cm="1">
        <f t="array" ref="E195">_xlfn.XLOOKUP(Total[[#This Row],[Tecnología]]&amp;Total[[#This Row],[Problema]],TbNombres[Tecnología]&amp;TbNombres[Problema],TbNombres[Nombre])</f>
        <v>Brusselator2d</v>
      </c>
      <c r="F195" s="4">
        <v>2</v>
      </c>
      <c r="G195" s="4">
        <v>4</v>
      </c>
      <c r="H195" s="4">
        <v>16</v>
      </c>
      <c r="I195" s="4">
        <v>150</v>
      </c>
      <c r="J195" s="4">
        <v>45000</v>
      </c>
      <c r="K195" s="4">
        <v>189.822</v>
      </c>
    </row>
    <row r="196" spans="2:11" x14ac:dyDescent="0.2">
      <c r="B196" s="26" t="str">
        <f>_xlfn.XLOOKUP(Total[[#This Row],[Metodo]],TbSolver[Metodo],TbSolver[Solver])</f>
        <v>Runge Kutta</v>
      </c>
      <c r="C196" s="26" t="str">
        <f>_xlfn.XLOOKUP(Total[[#This Row],[Hebras]],TbTecnologia[Hebras],TbTecnologia[Tecnología])</f>
        <v>OMP</v>
      </c>
      <c r="D196" s="16" t="str" cm="1">
        <f t="array" ref="D196">_xlfn.XLOOKUP(Total[[#This Row],[Tecnología]]&amp;Total[[#This Row],[Metodo]],TbTipos[Tecnología]&amp;TbTipos[Metodo],TbTipos[Tipo])</f>
        <v>OMP Operaciones</v>
      </c>
      <c r="E196" s="16" t="str" cm="1">
        <f t="array" ref="E196">_xlfn.XLOOKUP(Total[[#This Row],[Tecnología]]&amp;Total[[#This Row],[Problema]],TbNombres[Tecnología]&amp;TbNombres[Problema],TbNombres[Nombre])</f>
        <v>Brusselator2d</v>
      </c>
      <c r="F196" s="4">
        <v>1</v>
      </c>
      <c r="G196" s="4">
        <v>4</v>
      </c>
      <c r="H196" s="4">
        <v>4</v>
      </c>
      <c r="I196" s="4">
        <v>150</v>
      </c>
      <c r="J196" s="4">
        <v>45000</v>
      </c>
      <c r="K196" s="4">
        <v>270.86099999999999</v>
      </c>
    </row>
    <row r="197" spans="2:11" x14ac:dyDescent="0.2">
      <c r="B197" s="26" t="str">
        <f>_xlfn.XLOOKUP(Total[[#This Row],[Metodo]],TbSolver[Metodo],TbSolver[Solver])</f>
        <v>Runge Kutta</v>
      </c>
      <c r="C197" s="26" t="str">
        <f>_xlfn.XLOOKUP(Total[[#This Row],[Hebras]],TbTecnologia[Hebras],TbTecnologia[Tecnología])</f>
        <v>OMP</v>
      </c>
      <c r="D197" s="16" t="str" cm="1">
        <f t="array" ref="D197">_xlfn.XLOOKUP(Total[[#This Row],[Tecnología]]&amp;Total[[#This Row],[Metodo]],TbTipos[Tecnología]&amp;TbTipos[Metodo],TbTipos[Tipo])</f>
        <v>OMP Elementos</v>
      </c>
      <c r="E197" s="16" t="str" cm="1">
        <f t="array" ref="E197">_xlfn.XLOOKUP(Total[[#This Row],[Tecnología]]&amp;Total[[#This Row],[Problema]],TbNombres[Tecnología]&amp;TbNombres[Problema],TbNombres[Nombre])</f>
        <v>Brusselator2d</v>
      </c>
      <c r="F197" s="4">
        <v>2</v>
      </c>
      <c r="G197" s="4">
        <v>4</v>
      </c>
      <c r="H197" s="4">
        <v>4</v>
      </c>
      <c r="I197" s="4">
        <v>150</v>
      </c>
      <c r="J197" s="4">
        <v>45000</v>
      </c>
      <c r="K197" s="4">
        <v>646.80999999999995</v>
      </c>
    </row>
    <row r="198" spans="2:11" x14ac:dyDescent="0.2">
      <c r="B198" s="26" t="str">
        <f>_xlfn.XLOOKUP(Total[[#This Row],[Metodo]],TbSolver[Metodo],TbSolver[Solver])</f>
        <v>Runge Kutta</v>
      </c>
      <c r="C198" s="26" t="str">
        <f>_xlfn.XLOOKUP(Total[[#This Row],[Hebras]],TbTecnologia[Hebras],TbTecnologia[Tecnología])</f>
        <v>OMP</v>
      </c>
      <c r="D198" s="16" t="str" cm="1">
        <f t="array" ref="D198">_xlfn.XLOOKUP(Total[[#This Row],[Tecnología]]&amp;Total[[#This Row],[Metodo]],TbTipos[Tecnología]&amp;TbTipos[Metodo],TbTipos[Tipo])</f>
        <v>OMP Operaciones</v>
      </c>
      <c r="E198" s="16" t="str" cm="1">
        <f t="array" ref="E198">_xlfn.XLOOKUP(Total[[#This Row],[Tecnología]]&amp;Total[[#This Row],[Problema]],TbNombres[Tecnología]&amp;TbNombres[Problema],TbNombres[Nombre])</f>
        <v>Brusselator2d</v>
      </c>
      <c r="F198" s="4">
        <v>1</v>
      </c>
      <c r="G198" s="4">
        <v>4</v>
      </c>
      <c r="H198" s="4">
        <v>1</v>
      </c>
      <c r="I198" s="4">
        <v>150</v>
      </c>
      <c r="J198" s="4">
        <v>45000</v>
      </c>
      <c r="K198" s="4">
        <v>963.83900000000006</v>
      </c>
    </row>
    <row r="199" spans="2:11" x14ac:dyDescent="0.2">
      <c r="B199" s="26" t="str">
        <f>_xlfn.XLOOKUP(Total[[#This Row],[Metodo]],TbSolver[Metodo],TbSolver[Solver])</f>
        <v>Runge Kutta</v>
      </c>
      <c r="C199" s="26" t="str">
        <f>_xlfn.XLOOKUP(Total[[#This Row],[Hebras]],TbTecnologia[Hebras],TbTecnologia[Tecnología])</f>
        <v>OMP</v>
      </c>
      <c r="D199" s="16" t="str" cm="1">
        <f t="array" ref="D199">_xlfn.XLOOKUP(Total[[#This Row],[Tecnología]]&amp;Total[[#This Row],[Metodo]],TbTipos[Tecnología]&amp;TbTipos[Metodo],TbTipos[Tipo])</f>
        <v>OMP Elementos</v>
      </c>
      <c r="E199" s="16" t="str" cm="1">
        <f t="array" ref="E199">_xlfn.XLOOKUP(Total[[#This Row],[Tecnología]]&amp;Total[[#This Row],[Problema]],TbNombres[Tecnología]&amp;TbNombres[Problema],TbNombres[Nombre])</f>
        <v>Brusselator2d</v>
      </c>
      <c r="F199" s="4">
        <v>2</v>
      </c>
      <c r="G199" s="4">
        <v>4</v>
      </c>
      <c r="H199" s="4">
        <v>1</v>
      </c>
      <c r="I199" s="4">
        <v>150</v>
      </c>
      <c r="J199" s="4">
        <v>45000</v>
      </c>
      <c r="K199" s="4">
        <v>2420.3200000000002</v>
      </c>
    </row>
    <row r="200" spans="2:11" x14ac:dyDescent="0.2">
      <c r="B200" s="26" t="str">
        <f>_xlfn.XLOOKUP(Total[[#This Row],[Metodo]],TbSolver[Metodo],TbSolver[Solver])</f>
        <v>Runge Kutta</v>
      </c>
      <c r="C200" s="26" t="str">
        <f>_xlfn.XLOOKUP(Total[[#This Row],[Hebras]],TbTecnologia[Hebras],TbTecnologia[Tecnología])</f>
        <v>CUDA</v>
      </c>
      <c r="D200" s="15" t="str" cm="1">
        <f t="array" ref="D200">_xlfn.XLOOKUP(Total[[#This Row],[Tecnología]]&amp;Total[[#This Row],[Metodo]],TbTipos[Tecnología]&amp;TbTipos[Metodo],TbTipos[Tipo])</f>
        <v>CUDA con graph</v>
      </c>
      <c r="E200" s="15" t="str" cm="1">
        <f t="array" ref="E200">_xlfn.XLOOKUP(Total[[#This Row],[Tecnología]]&amp;Total[[#This Row],[Problema]],TbNombres[Tecnología]&amp;TbNombres[Problema],TbNombres[Nombre])</f>
        <v>Brusselator2d</v>
      </c>
      <c r="F200" s="2">
        <v>2</v>
      </c>
      <c r="G200" s="2">
        <v>8</v>
      </c>
      <c r="H200" s="2">
        <v>256</v>
      </c>
      <c r="I200" s="2">
        <v>200</v>
      </c>
      <c r="J200" s="2">
        <v>80000</v>
      </c>
      <c r="K200" s="2">
        <v>48.7956</v>
      </c>
    </row>
    <row r="201" spans="2:11" x14ac:dyDescent="0.2">
      <c r="B201" s="26" t="str">
        <f>_xlfn.XLOOKUP(Total[[#This Row],[Metodo]],TbSolver[Metodo],TbSolver[Solver])</f>
        <v>Runge Kutta</v>
      </c>
      <c r="C201" s="26" t="str">
        <f>_xlfn.XLOOKUP(Total[[#This Row],[Hebras]],TbTecnologia[Hebras],TbTecnologia[Tecnología])</f>
        <v>CUDA</v>
      </c>
      <c r="D201" s="15" t="str" cm="1">
        <f t="array" ref="D201">_xlfn.XLOOKUP(Total[[#This Row],[Tecnología]]&amp;Total[[#This Row],[Metodo]],TbTipos[Tecnología]&amp;TbTipos[Metodo],TbTipos[Tipo])</f>
        <v>CUDA con graph</v>
      </c>
      <c r="E201" s="15" t="str" cm="1">
        <f t="array" ref="E201">_xlfn.XLOOKUP(Total[[#This Row],[Tecnología]]&amp;Total[[#This Row],[Problema]],TbNombres[Tecnología]&amp;TbNombres[Problema],TbNombres[Nombre])</f>
        <v>Brusselator2d shuffle</v>
      </c>
      <c r="F201" s="2">
        <v>2</v>
      </c>
      <c r="G201" s="2">
        <v>9</v>
      </c>
      <c r="H201" s="2">
        <v>256</v>
      </c>
      <c r="I201" s="2">
        <v>200</v>
      </c>
      <c r="J201" s="2">
        <v>80000</v>
      </c>
      <c r="K201" s="2">
        <v>49.072600000000001</v>
      </c>
    </row>
    <row r="202" spans="2:11" x14ac:dyDescent="0.2">
      <c r="B202" s="26" t="str">
        <f>_xlfn.XLOOKUP(Total[[#This Row],[Metodo]],TbSolver[Metodo],TbSolver[Solver])</f>
        <v>Runge Kutta</v>
      </c>
      <c r="C202" s="26" t="str">
        <f>_xlfn.XLOOKUP(Total[[#This Row],[Hebras]],TbTecnologia[Hebras],TbTecnologia[Tecnología])</f>
        <v>CUDA</v>
      </c>
      <c r="D202" s="15" t="str" cm="1">
        <f t="array" ref="D202">_xlfn.XLOOKUP(Total[[#This Row],[Tecnología]]&amp;Total[[#This Row],[Metodo]],TbTipos[Tecnología]&amp;TbTipos[Metodo],TbTipos[Tipo])</f>
        <v>CUDA sin graph</v>
      </c>
      <c r="E202" s="15" t="str" cm="1">
        <f t="array" ref="E202">_xlfn.XLOOKUP(Total[[#This Row],[Tecnología]]&amp;Total[[#This Row],[Problema]],TbNombres[Tecnología]&amp;TbNombres[Problema],TbNombres[Nombre])</f>
        <v>Brusselator2d shuffle</v>
      </c>
      <c r="F202" s="2">
        <v>1</v>
      </c>
      <c r="G202" s="2">
        <v>9</v>
      </c>
      <c r="H202" s="2">
        <v>256</v>
      </c>
      <c r="I202" s="2">
        <v>200</v>
      </c>
      <c r="J202" s="2">
        <v>80000</v>
      </c>
      <c r="K202" s="2">
        <v>50.024799999999999</v>
      </c>
    </row>
    <row r="203" spans="2:11" x14ac:dyDescent="0.2">
      <c r="B203" s="26" t="str">
        <f>_xlfn.XLOOKUP(Total[[#This Row],[Metodo]],TbSolver[Metodo],TbSolver[Solver])</f>
        <v>Runge Kutta</v>
      </c>
      <c r="C203" s="26" t="str">
        <f>_xlfn.XLOOKUP(Total[[#This Row],[Hebras]],TbTecnologia[Hebras],TbTecnologia[Tecnología])</f>
        <v>CUDA</v>
      </c>
      <c r="D203" s="15" t="str" cm="1">
        <f t="array" ref="D203">_xlfn.XLOOKUP(Total[[#This Row],[Tecnología]]&amp;Total[[#This Row],[Metodo]],TbTipos[Tecnología]&amp;TbTipos[Metodo],TbTipos[Tipo])</f>
        <v>CUDA sin graph</v>
      </c>
      <c r="E203" s="15" t="str" cm="1">
        <f t="array" ref="E203">_xlfn.XLOOKUP(Total[[#This Row],[Tecnología]]&amp;Total[[#This Row],[Problema]],TbNombres[Tecnología]&amp;TbNombres[Problema],TbNombres[Nombre])</f>
        <v>Brusselator2d</v>
      </c>
      <c r="F203" s="2">
        <v>1</v>
      </c>
      <c r="G203" s="2">
        <v>8</v>
      </c>
      <c r="H203" s="2">
        <v>256</v>
      </c>
      <c r="I203" s="2">
        <v>200</v>
      </c>
      <c r="J203" s="2">
        <v>80000</v>
      </c>
      <c r="K203" s="2">
        <v>50.073500000000003</v>
      </c>
    </row>
    <row r="204" spans="2:11" x14ac:dyDescent="0.2">
      <c r="B204" s="26" t="str">
        <f>_xlfn.XLOOKUP(Total[[#This Row],[Metodo]],TbSolver[Metodo],TbSolver[Solver])</f>
        <v>Runge Kutta</v>
      </c>
      <c r="C204" s="26" t="str">
        <f>_xlfn.XLOOKUP(Total[[#This Row],[Hebras]],TbTecnologia[Hebras],TbTecnologia[Tecnología])</f>
        <v>OMP</v>
      </c>
      <c r="D204" s="16" t="str" cm="1">
        <f t="array" ref="D204">_xlfn.XLOOKUP(Total[[#This Row],[Tecnología]]&amp;Total[[#This Row],[Metodo]],TbTipos[Tecnología]&amp;TbTipos[Metodo],TbTipos[Tipo])</f>
        <v>OMP Operaciones</v>
      </c>
      <c r="E204" s="16" t="str" cm="1">
        <f t="array" ref="E204">_xlfn.XLOOKUP(Total[[#This Row],[Tecnología]]&amp;Total[[#This Row],[Problema]],TbNombres[Tecnología]&amp;TbNombres[Problema],TbNombres[Nombre])</f>
        <v>Brusselator2d</v>
      </c>
      <c r="F204" s="4">
        <v>1</v>
      </c>
      <c r="G204" s="4">
        <v>4</v>
      </c>
      <c r="H204" s="4">
        <v>16</v>
      </c>
      <c r="I204" s="4">
        <v>200</v>
      </c>
      <c r="J204" s="4">
        <v>80000</v>
      </c>
      <c r="K204" s="4">
        <v>185.49299999999999</v>
      </c>
    </row>
    <row r="205" spans="2:11" x14ac:dyDescent="0.2">
      <c r="B205" s="26" t="str">
        <f>_xlfn.XLOOKUP(Total[[#This Row],[Metodo]],TbSolver[Metodo],TbSolver[Solver])</f>
        <v>Runge Kutta</v>
      </c>
      <c r="C205" s="26" t="str">
        <f>_xlfn.XLOOKUP(Total[[#This Row],[Hebras]],TbTecnologia[Hebras],TbTecnologia[Tecnología])</f>
        <v>OMP</v>
      </c>
      <c r="D205" s="16" t="str" cm="1">
        <f t="array" ref="D205">_xlfn.XLOOKUP(Total[[#This Row],[Tecnología]]&amp;Total[[#This Row],[Metodo]],TbTipos[Tecnología]&amp;TbTipos[Metodo],TbTipos[Tipo])</f>
        <v>OMP Elementos</v>
      </c>
      <c r="E205" s="16" t="str" cm="1">
        <f t="array" ref="E205">_xlfn.XLOOKUP(Total[[#This Row],[Tecnología]]&amp;Total[[#This Row],[Problema]],TbNombres[Tecnología]&amp;TbNombres[Problema],TbNombres[Nombre])</f>
        <v>Brusselator2d</v>
      </c>
      <c r="F205" s="4">
        <v>2</v>
      </c>
      <c r="G205" s="4">
        <v>4</v>
      </c>
      <c r="H205" s="4">
        <v>16</v>
      </c>
      <c r="I205" s="4">
        <v>200</v>
      </c>
      <c r="J205" s="4">
        <v>80000</v>
      </c>
      <c r="K205" s="4">
        <v>337.33600000000001</v>
      </c>
    </row>
    <row r="206" spans="2:11" x14ac:dyDescent="0.2">
      <c r="B206" s="26" t="str">
        <f>_xlfn.XLOOKUP(Total[[#This Row],[Metodo]],TbSolver[Metodo],TbSolver[Solver])</f>
        <v>Runge Kutta</v>
      </c>
      <c r="C206" s="26" t="str">
        <f>_xlfn.XLOOKUP(Total[[#This Row],[Hebras]],TbTecnologia[Hebras],TbTecnologia[Tecnología])</f>
        <v>OMP</v>
      </c>
      <c r="D206" s="16" t="str" cm="1">
        <f t="array" ref="D206">_xlfn.XLOOKUP(Total[[#This Row],[Tecnología]]&amp;Total[[#This Row],[Metodo]],TbTipos[Tecnología]&amp;TbTipos[Metodo],TbTipos[Tipo])</f>
        <v>OMP Operaciones</v>
      </c>
      <c r="E206" s="16" t="str" cm="1">
        <f t="array" ref="E206">_xlfn.XLOOKUP(Total[[#This Row],[Tecnología]]&amp;Total[[#This Row],[Problema]],TbNombres[Tecnología]&amp;TbNombres[Problema],TbNombres[Nombre])</f>
        <v>Brusselator2d</v>
      </c>
      <c r="F206" s="4">
        <v>1</v>
      </c>
      <c r="G206" s="4">
        <v>4</v>
      </c>
      <c r="H206" s="4">
        <v>4</v>
      </c>
      <c r="I206" s="4">
        <v>200</v>
      </c>
      <c r="J206" s="4">
        <v>80000</v>
      </c>
      <c r="K206" s="4">
        <v>468.233</v>
      </c>
    </row>
    <row r="207" spans="2:11" x14ac:dyDescent="0.2">
      <c r="B207" s="26" t="str">
        <f>_xlfn.XLOOKUP(Total[[#This Row],[Metodo]],TbSolver[Metodo],TbSolver[Solver])</f>
        <v>Runge Kutta</v>
      </c>
      <c r="C207" s="26" t="str">
        <f>_xlfn.XLOOKUP(Total[[#This Row],[Hebras]],TbTecnologia[Hebras],TbTecnologia[Tecnología])</f>
        <v>OMP</v>
      </c>
      <c r="D207" s="16" t="str" cm="1">
        <f t="array" ref="D207">_xlfn.XLOOKUP(Total[[#This Row],[Tecnología]]&amp;Total[[#This Row],[Metodo]],TbTipos[Tecnología]&amp;TbTipos[Metodo],TbTipos[Tipo])</f>
        <v>OMP Elementos</v>
      </c>
      <c r="E207" s="16" t="str" cm="1">
        <f t="array" ref="E207">_xlfn.XLOOKUP(Total[[#This Row],[Tecnología]]&amp;Total[[#This Row],[Problema]],TbNombres[Tecnología]&amp;TbNombres[Problema],TbNombres[Nombre])</f>
        <v>Brusselator2d</v>
      </c>
      <c r="F207" s="4">
        <v>2</v>
      </c>
      <c r="G207" s="4">
        <v>4</v>
      </c>
      <c r="H207" s="4">
        <v>4</v>
      </c>
      <c r="I207" s="4">
        <v>200</v>
      </c>
      <c r="J207" s="4">
        <v>80000</v>
      </c>
      <c r="K207" s="4">
        <v>1145.17</v>
      </c>
    </row>
    <row r="208" spans="2:11" x14ac:dyDescent="0.2">
      <c r="B208" s="26" t="str">
        <f>_xlfn.XLOOKUP(Total[[#This Row],[Metodo]],TbSolver[Metodo],TbSolver[Solver])</f>
        <v>Runge Kutta</v>
      </c>
      <c r="C208" s="26" t="str">
        <f>_xlfn.XLOOKUP(Total[[#This Row],[Hebras]],TbTecnologia[Hebras],TbTecnologia[Tecnología])</f>
        <v>OMP</v>
      </c>
      <c r="D208" s="16" t="str" cm="1">
        <f t="array" ref="D208">_xlfn.XLOOKUP(Total[[#This Row],[Tecnología]]&amp;Total[[#This Row],[Metodo]],TbTipos[Tecnología]&amp;TbTipos[Metodo],TbTipos[Tipo])</f>
        <v>OMP Operaciones</v>
      </c>
      <c r="E208" s="16" t="str" cm="1">
        <f t="array" ref="E208">_xlfn.XLOOKUP(Total[[#This Row],[Tecnología]]&amp;Total[[#This Row],[Problema]],TbNombres[Tecnología]&amp;TbNombres[Problema],TbNombres[Nombre])</f>
        <v>Brusselator2d</v>
      </c>
      <c r="F208" s="4">
        <v>1</v>
      </c>
      <c r="G208" s="4">
        <v>4</v>
      </c>
      <c r="H208" s="4">
        <v>1</v>
      </c>
      <c r="I208" s="4">
        <v>200</v>
      </c>
      <c r="J208" s="4">
        <v>80000</v>
      </c>
      <c r="K208" s="4">
        <v>1786.83</v>
      </c>
    </row>
    <row r="209" spans="2:11" x14ac:dyDescent="0.2">
      <c r="B209" s="26" t="str">
        <f>_xlfn.XLOOKUP(Total[[#This Row],[Metodo]],TbSolver[Metodo],TbSolver[Solver])</f>
        <v>Runge Kutta</v>
      </c>
      <c r="C209" s="26" t="str">
        <f>_xlfn.XLOOKUP(Total[[#This Row],[Hebras]],TbTecnologia[Hebras],TbTecnologia[Tecnología])</f>
        <v>OMP</v>
      </c>
      <c r="D209" s="16" t="str" cm="1">
        <f t="array" ref="D209">_xlfn.XLOOKUP(Total[[#This Row],[Tecnología]]&amp;Total[[#This Row],[Metodo]],TbTipos[Tecnología]&amp;TbTipos[Metodo],TbTipos[Tipo])</f>
        <v>OMP Elementos</v>
      </c>
      <c r="E209" s="16" t="str" cm="1">
        <f t="array" ref="E209">_xlfn.XLOOKUP(Total[[#This Row],[Tecnología]]&amp;Total[[#This Row],[Problema]],TbNombres[Tecnología]&amp;TbNombres[Problema],TbNombres[Nombre])</f>
        <v>Brusselator2d</v>
      </c>
      <c r="F209" s="4">
        <v>2</v>
      </c>
      <c r="G209" s="4">
        <v>4</v>
      </c>
      <c r="H209" s="4">
        <v>1</v>
      </c>
      <c r="I209" s="4">
        <v>200</v>
      </c>
      <c r="J209" s="4">
        <v>80000</v>
      </c>
      <c r="K209" s="4">
        <v>4281.99</v>
      </c>
    </row>
    <row r="210" spans="2:11" x14ac:dyDescent="0.2">
      <c r="B210" s="26" t="str">
        <f>_xlfn.XLOOKUP(Total[[#This Row],[Metodo]],TbSolver[Metodo],TbSolver[Solver])</f>
        <v>Runge Kutta</v>
      </c>
      <c r="C210" s="26" t="str">
        <f>_xlfn.XLOOKUP(Total[[#This Row],[Hebras]],TbTecnologia[Hebras],TbTecnologia[Tecnología])</f>
        <v>CUDA</v>
      </c>
      <c r="D210" s="15" t="str" cm="1">
        <f t="array" ref="D210">_xlfn.XLOOKUP(Total[[#This Row],[Tecnología]]&amp;Total[[#This Row],[Metodo]],TbTipos[Tecnología]&amp;TbTipos[Metodo],TbTipos[Tipo])</f>
        <v>CUDA sin graph</v>
      </c>
      <c r="E210" s="15" t="str" cm="1">
        <f t="array" ref="E210">_xlfn.XLOOKUP(Total[[#This Row],[Tecnología]]&amp;Total[[#This Row],[Problema]],TbNombres[Tecnología]&amp;TbNombres[Problema],TbNombres[Nombre])</f>
        <v>Brusselator2d</v>
      </c>
      <c r="F210" s="2">
        <v>1</v>
      </c>
      <c r="G210" s="2">
        <v>8</v>
      </c>
      <c r="H210" s="2">
        <v>256</v>
      </c>
      <c r="I210" s="2">
        <v>500</v>
      </c>
      <c r="J210" s="2">
        <v>500000</v>
      </c>
      <c r="K210" s="2">
        <v>319.90699999999998</v>
      </c>
    </row>
    <row r="211" spans="2:11" x14ac:dyDescent="0.2">
      <c r="B211" s="26" t="str">
        <f>_xlfn.XLOOKUP(Total[[#This Row],[Metodo]],TbSolver[Metodo],TbSolver[Solver])</f>
        <v>Runge Kutta</v>
      </c>
      <c r="C211" s="26" t="str">
        <f>_xlfn.XLOOKUP(Total[[#This Row],[Hebras]],TbTecnologia[Hebras],TbTecnologia[Tecnología])</f>
        <v>CUDA</v>
      </c>
      <c r="D211" s="15" t="str" cm="1">
        <f t="array" ref="D211">_xlfn.XLOOKUP(Total[[#This Row],[Tecnología]]&amp;Total[[#This Row],[Metodo]],TbTipos[Tecnología]&amp;TbTipos[Metodo],TbTipos[Tipo])</f>
        <v>CUDA sin graph</v>
      </c>
      <c r="E211" s="15" t="str" cm="1">
        <f t="array" ref="E211">_xlfn.XLOOKUP(Total[[#This Row],[Tecnología]]&amp;Total[[#This Row],[Problema]],TbNombres[Tecnología]&amp;TbNombres[Problema],TbNombres[Nombre])</f>
        <v>Brusselator2d shuffle</v>
      </c>
      <c r="F211" s="2">
        <v>1</v>
      </c>
      <c r="G211" s="2">
        <v>9</v>
      </c>
      <c r="H211" s="2">
        <v>256</v>
      </c>
      <c r="I211" s="2">
        <v>500</v>
      </c>
      <c r="J211" s="2">
        <v>500000</v>
      </c>
      <c r="K211" s="2">
        <v>320.22000000000003</v>
      </c>
    </row>
    <row r="212" spans="2:11" x14ac:dyDescent="0.2">
      <c r="B212" s="26" t="str">
        <f>_xlfn.XLOOKUP(Total[[#This Row],[Metodo]],TbSolver[Metodo],TbSolver[Solver])</f>
        <v>Runge Kutta</v>
      </c>
      <c r="C212" s="26" t="str">
        <f>_xlfn.XLOOKUP(Total[[#This Row],[Hebras]],TbTecnologia[Hebras],TbTecnologia[Tecnología])</f>
        <v>CUDA</v>
      </c>
      <c r="D212" s="15" t="str" cm="1">
        <f t="array" ref="D212">_xlfn.XLOOKUP(Total[[#This Row],[Tecnología]]&amp;Total[[#This Row],[Metodo]],TbTipos[Tecnología]&amp;TbTipos[Metodo],TbTipos[Tipo])</f>
        <v>CUDA con graph</v>
      </c>
      <c r="E212" s="15" t="str" cm="1">
        <f t="array" ref="E212">_xlfn.XLOOKUP(Total[[#This Row],[Tecnología]]&amp;Total[[#This Row],[Problema]],TbNombres[Tecnología]&amp;TbNombres[Problema],TbNombres[Nombre])</f>
        <v>Brusselator2d</v>
      </c>
      <c r="F212" s="2">
        <v>2</v>
      </c>
      <c r="G212" s="2">
        <v>8</v>
      </c>
      <c r="H212" s="2">
        <v>256</v>
      </c>
      <c r="I212" s="2">
        <v>500</v>
      </c>
      <c r="J212" s="2">
        <v>500000</v>
      </c>
      <c r="K212" s="2">
        <v>323.428</v>
      </c>
    </row>
    <row r="213" spans="2:11" x14ac:dyDescent="0.2">
      <c r="B213" s="26" t="str">
        <f>_xlfn.XLOOKUP(Total[[#This Row],[Metodo]],TbSolver[Metodo],TbSolver[Solver])</f>
        <v>Runge Kutta</v>
      </c>
      <c r="C213" s="26" t="str">
        <f>_xlfn.XLOOKUP(Total[[#This Row],[Hebras]],TbTecnologia[Hebras],TbTecnologia[Tecnología])</f>
        <v>CUDA</v>
      </c>
      <c r="D213" s="15" t="str" cm="1">
        <f t="array" ref="D213">_xlfn.XLOOKUP(Total[[#This Row],[Tecnología]]&amp;Total[[#This Row],[Metodo]],TbTipos[Tecnología]&amp;TbTipos[Metodo],TbTipos[Tipo])</f>
        <v>CUDA con graph</v>
      </c>
      <c r="E213" s="15" t="str" cm="1">
        <f t="array" ref="E213">_xlfn.XLOOKUP(Total[[#This Row],[Tecnología]]&amp;Total[[#This Row],[Problema]],TbNombres[Tecnología]&amp;TbNombres[Problema],TbNombres[Nombre])</f>
        <v>Brusselator2d shuffle</v>
      </c>
      <c r="F213" s="2">
        <v>2</v>
      </c>
      <c r="G213" s="2">
        <v>9</v>
      </c>
      <c r="H213" s="2">
        <v>256</v>
      </c>
      <c r="I213" s="2">
        <v>500</v>
      </c>
      <c r="J213" s="2">
        <v>500000</v>
      </c>
      <c r="K213" s="2">
        <v>325.197</v>
      </c>
    </row>
    <row r="214" spans="2:11" x14ac:dyDescent="0.2">
      <c r="B214" s="26" t="str">
        <f>_xlfn.XLOOKUP(Total[[#This Row],[Metodo]],TbSolver[Metodo],TbSolver[Solver])</f>
        <v>Adams Bashford</v>
      </c>
      <c r="C214" s="26" t="str">
        <f>_xlfn.XLOOKUP(Total[[#This Row],[Hebras]],TbTecnologia[Hebras],TbTecnologia[Tecnología])</f>
        <v>CUDA</v>
      </c>
      <c r="D214" s="26" t="str" cm="1">
        <f t="array" ref="D214">_xlfn.XLOOKUP(Total[[#This Row],[Tecnología]]&amp;Total[[#This Row],[Metodo]],TbTipos[Tecnología]&amp;TbTipos[Metodo],TbTipos[Tipo])</f>
        <v>CUDA sin graph</v>
      </c>
      <c r="E214" s="26" t="str" cm="1">
        <f t="array" ref="E214">_xlfn.XLOOKUP(Total[[#This Row],[Tecnología]]&amp;Total[[#This Row],[Problema]],TbNombres[Tecnología]&amp;TbNombres[Problema],TbNombres[Nombre])</f>
        <v>Simple Advdiff</v>
      </c>
      <c r="F214" s="1">
        <v>3</v>
      </c>
      <c r="G214" s="1">
        <v>1</v>
      </c>
      <c r="H214" s="1">
        <v>256</v>
      </c>
      <c r="I214" s="1">
        <v>100</v>
      </c>
      <c r="J214" s="1">
        <v>100</v>
      </c>
      <c r="K214" s="1">
        <v>3.70452</v>
      </c>
    </row>
    <row r="215" spans="2:11" x14ac:dyDescent="0.2">
      <c r="B215" s="26" t="str">
        <f>_xlfn.XLOOKUP(Total[[#This Row],[Metodo]],TbSolver[Metodo],TbSolver[Solver])</f>
        <v>Adams Bashford</v>
      </c>
      <c r="C215" s="26" t="str">
        <f>_xlfn.XLOOKUP(Total[[#This Row],[Hebras]],TbTecnologia[Hebras],TbTecnologia[Tecnología])</f>
        <v>CUDA</v>
      </c>
      <c r="D215" s="26" t="str" cm="1">
        <f t="array" ref="D215">_xlfn.XLOOKUP(Total[[#This Row],[Tecnología]]&amp;Total[[#This Row],[Metodo]],TbTipos[Tecnología]&amp;TbTipos[Metodo],TbTipos[Tipo])</f>
        <v>CUDA sin graph</v>
      </c>
      <c r="E215" s="26" t="str" cm="1">
        <f t="array" ref="E215">_xlfn.XLOOKUP(Total[[#This Row],[Tecnología]]&amp;Total[[#This Row],[Problema]],TbNombres[Tecnología]&amp;TbNombres[Problema],TbNombres[Nombre])</f>
        <v>Simple Advdiff shuffle</v>
      </c>
      <c r="F215" s="1">
        <v>3</v>
      </c>
      <c r="G215" s="1">
        <v>2</v>
      </c>
      <c r="H215" s="1">
        <v>256</v>
      </c>
      <c r="I215" s="1">
        <v>100</v>
      </c>
      <c r="J215" s="1">
        <v>100</v>
      </c>
      <c r="K215" s="1">
        <v>3.7521300000000002</v>
      </c>
    </row>
    <row r="216" spans="2:11" x14ac:dyDescent="0.2">
      <c r="B216" s="26" t="str">
        <f>_xlfn.XLOOKUP(Total[[#This Row],[Metodo]],TbSolver[Metodo],TbSolver[Solver])</f>
        <v>Adams Bashford</v>
      </c>
      <c r="C216" s="26" t="str">
        <f>_xlfn.XLOOKUP(Total[[#This Row],[Hebras]],TbTecnologia[Hebras],TbTecnologia[Tecnología])</f>
        <v>CUDA</v>
      </c>
      <c r="D216" s="26" t="str" cm="1">
        <f t="array" ref="D216">_xlfn.XLOOKUP(Total[[#This Row],[Tecnología]]&amp;Total[[#This Row],[Metodo]],TbTipos[Tecnología]&amp;TbTipos[Metodo],TbTipos[Tipo])</f>
        <v>CUDA sin graph</v>
      </c>
      <c r="E216" s="26" t="str" cm="1">
        <f t="array" ref="E216">_xlfn.XLOOKUP(Total[[#This Row],[Tecnología]]&amp;Total[[#This Row],[Problema]],TbNombres[Tecnología]&amp;TbNombres[Problema],TbNombres[Nombre])</f>
        <v>Simple Advdiff shuffle</v>
      </c>
      <c r="F216" s="1">
        <v>3</v>
      </c>
      <c r="G216" s="1">
        <v>2</v>
      </c>
      <c r="H216" s="1">
        <v>256</v>
      </c>
      <c r="I216" s="1">
        <v>200</v>
      </c>
      <c r="J216" s="1">
        <v>200</v>
      </c>
      <c r="K216" s="1">
        <v>4.0783500000000004</v>
      </c>
    </row>
    <row r="217" spans="2:11" x14ac:dyDescent="0.2">
      <c r="B217" s="26" t="str">
        <f>_xlfn.XLOOKUP(Total[[#This Row],[Metodo]],TbSolver[Metodo],TbSolver[Solver])</f>
        <v>Adams Bashford</v>
      </c>
      <c r="C217" s="26" t="str">
        <f>_xlfn.XLOOKUP(Total[[#This Row],[Hebras]],TbTecnologia[Hebras],TbTecnologia[Tecnología])</f>
        <v>CUDA</v>
      </c>
      <c r="D217" s="26" t="str" cm="1">
        <f t="array" ref="D217">_xlfn.XLOOKUP(Total[[#This Row],[Tecnología]]&amp;Total[[#This Row],[Metodo]],TbTipos[Tecnología]&amp;TbTipos[Metodo],TbTipos[Tipo])</f>
        <v>CUDA sin graph</v>
      </c>
      <c r="E217" s="26" t="str" cm="1">
        <f t="array" ref="E217">_xlfn.XLOOKUP(Total[[#This Row],[Tecnología]]&amp;Total[[#This Row],[Problema]],TbNombres[Tecnología]&amp;TbNombres[Problema],TbNombres[Nombre])</f>
        <v>Simple Advdiff</v>
      </c>
      <c r="F217" s="1">
        <v>3</v>
      </c>
      <c r="G217" s="1">
        <v>1</v>
      </c>
      <c r="H217" s="1">
        <v>256</v>
      </c>
      <c r="I217" s="1">
        <v>1000</v>
      </c>
      <c r="J217" s="1">
        <v>1000</v>
      </c>
      <c r="K217" s="1">
        <v>4.1874200000000004</v>
      </c>
    </row>
    <row r="218" spans="2:11" x14ac:dyDescent="0.2">
      <c r="B218" s="26" t="str">
        <f>_xlfn.XLOOKUP(Total[[#This Row],[Metodo]],TbSolver[Metodo],TbSolver[Solver])</f>
        <v>Adams Bashford</v>
      </c>
      <c r="C218" s="26" t="str">
        <f>_xlfn.XLOOKUP(Total[[#This Row],[Hebras]],TbTecnologia[Hebras],TbTecnologia[Tecnología])</f>
        <v>CUDA</v>
      </c>
      <c r="D218" s="26" t="str" cm="1">
        <f t="array" ref="D218">_xlfn.XLOOKUP(Total[[#This Row],[Tecnología]]&amp;Total[[#This Row],[Metodo]],TbTipos[Tecnología]&amp;TbTipos[Metodo],TbTipos[Tipo])</f>
        <v>CUDA sin graph</v>
      </c>
      <c r="E218" s="26" t="str" cm="1">
        <f t="array" ref="E218">_xlfn.XLOOKUP(Total[[#This Row],[Tecnología]]&amp;Total[[#This Row],[Problema]],TbNombres[Tecnología]&amp;TbNombres[Problema],TbNombres[Nombre])</f>
        <v>Simple Advdiff</v>
      </c>
      <c r="F218" s="1">
        <v>3</v>
      </c>
      <c r="G218" s="1">
        <v>1</v>
      </c>
      <c r="H218" s="1">
        <v>256</v>
      </c>
      <c r="I218" s="1">
        <v>500</v>
      </c>
      <c r="J218" s="1">
        <v>500</v>
      </c>
      <c r="K218" s="1">
        <v>4.1970599999999996</v>
      </c>
    </row>
    <row r="219" spans="2:11" x14ac:dyDescent="0.2">
      <c r="B219" s="26" t="str">
        <f>_xlfn.XLOOKUP(Total[[#This Row],[Metodo]],TbSolver[Metodo],TbSolver[Solver])</f>
        <v>Adams Bashford</v>
      </c>
      <c r="C219" s="26" t="str">
        <f>_xlfn.XLOOKUP(Total[[#This Row],[Hebras]],TbTecnologia[Hebras],TbTecnologia[Tecnología])</f>
        <v>CUDA</v>
      </c>
      <c r="D219" s="26" t="str" cm="1">
        <f t="array" ref="D219">_xlfn.XLOOKUP(Total[[#This Row],[Tecnología]]&amp;Total[[#This Row],[Metodo]],TbTipos[Tecnología]&amp;TbTipos[Metodo],TbTipos[Tipo])</f>
        <v>CUDA sin graph</v>
      </c>
      <c r="E219" s="26" t="str" cm="1">
        <f t="array" ref="E219">_xlfn.XLOOKUP(Total[[#This Row],[Tecnología]]&amp;Total[[#This Row],[Problema]],TbNombres[Tecnología]&amp;TbNombres[Problema],TbNombres[Nombre])</f>
        <v>Simple Advdiff</v>
      </c>
      <c r="F219" s="1">
        <v>3</v>
      </c>
      <c r="G219" s="1">
        <v>1</v>
      </c>
      <c r="H219" s="1">
        <v>256</v>
      </c>
      <c r="I219" s="1">
        <v>2000</v>
      </c>
      <c r="J219" s="1">
        <v>2000</v>
      </c>
      <c r="K219" s="1">
        <v>4.21807</v>
      </c>
    </row>
    <row r="220" spans="2:11" x14ac:dyDescent="0.2">
      <c r="B220" s="26" t="str">
        <f>_xlfn.XLOOKUP(Total[[#This Row],[Metodo]],TbSolver[Metodo],TbSolver[Solver])</f>
        <v>Adams Bashford</v>
      </c>
      <c r="C220" s="26" t="str">
        <f>_xlfn.XLOOKUP(Total[[#This Row],[Hebras]],TbTecnologia[Hebras],TbTecnologia[Tecnología])</f>
        <v>CUDA</v>
      </c>
      <c r="D220" s="26" t="str" cm="1">
        <f t="array" ref="D220">_xlfn.XLOOKUP(Total[[#This Row],[Tecnología]]&amp;Total[[#This Row],[Metodo]],TbTipos[Tecnología]&amp;TbTipos[Metodo],TbTipos[Tipo])</f>
        <v>CUDA sin graph</v>
      </c>
      <c r="E220" s="26" t="str" cm="1">
        <f t="array" ref="E220">_xlfn.XLOOKUP(Total[[#This Row],[Tecnología]]&amp;Total[[#This Row],[Problema]],TbNombres[Tecnología]&amp;TbNombres[Problema],TbNombres[Nombre])</f>
        <v>Simple Advdiff shuffle</v>
      </c>
      <c r="F220" s="1">
        <v>3</v>
      </c>
      <c r="G220" s="1">
        <v>2</v>
      </c>
      <c r="H220" s="1">
        <v>256</v>
      </c>
      <c r="I220" s="1">
        <v>500</v>
      </c>
      <c r="J220" s="1">
        <v>500</v>
      </c>
      <c r="K220" s="1">
        <v>4.22342</v>
      </c>
    </row>
    <row r="221" spans="2:11" x14ac:dyDescent="0.2">
      <c r="B221" s="26" t="str">
        <f>_xlfn.XLOOKUP(Total[[#This Row],[Metodo]],TbSolver[Metodo],TbSolver[Solver])</f>
        <v>Adams Bashford</v>
      </c>
      <c r="C221" s="26" t="str">
        <f>_xlfn.XLOOKUP(Total[[#This Row],[Hebras]],TbTecnologia[Hebras],TbTecnologia[Tecnología])</f>
        <v>CUDA</v>
      </c>
      <c r="D221" s="26" t="str" cm="1">
        <f t="array" ref="D221">_xlfn.XLOOKUP(Total[[#This Row],[Tecnología]]&amp;Total[[#This Row],[Metodo]],TbTipos[Tecnología]&amp;TbTipos[Metodo],TbTipos[Tipo])</f>
        <v>CUDA sin graph</v>
      </c>
      <c r="E221" s="26" t="str" cm="1">
        <f t="array" ref="E221">_xlfn.XLOOKUP(Total[[#This Row],[Tecnología]]&amp;Total[[#This Row],[Problema]],TbNombres[Tecnología]&amp;TbNombres[Problema],TbNombres[Nombre])</f>
        <v>Simple Advdiff shuffle</v>
      </c>
      <c r="F221" s="1">
        <v>3</v>
      </c>
      <c r="G221" s="1">
        <v>2</v>
      </c>
      <c r="H221" s="1">
        <v>256</v>
      </c>
      <c r="I221" s="1">
        <v>2000</v>
      </c>
      <c r="J221" s="1">
        <v>2000</v>
      </c>
      <c r="K221" s="1">
        <v>4.2354700000000003</v>
      </c>
    </row>
    <row r="222" spans="2:11" x14ac:dyDescent="0.2">
      <c r="B222" s="26" t="str">
        <f>_xlfn.XLOOKUP(Total[[#This Row],[Metodo]],TbSolver[Metodo],TbSolver[Solver])</f>
        <v>Adams Bashford</v>
      </c>
      <c r="C222" s="26" t="str">
        <f>_xlfn.XLOOKUP(Total[[#This Row],[Hebras]],TbTecnologia[Hebras],TbTecnologia[Tecnología])</f>
        <v>CUDA</v>
      </c>
      <c r="D222" s="26" t="str" cm="1">
        <f t="array" ref="D222">_xlfn.XLOOKUP(Total[[#This Row],[Tecnología]]&amp;Total[[#This Row],[Metodo]],TbTipos[Tecnología]&amp;TbTipos[Metodo],TbTipos[Tipo])</f>
        <v>CUDA sin graph</v>
      </c>
      <c r="E222" s="26" t="str" cm="1">
        <f t="array" ref="E222">_xlfn.XLOOKUP(Total[[#This Row],[Tecnología]]&amp;Total[[#This Row],[Problema]],TbNombres[Tecnología]&amp;TbNombres[Problema],TbNombres[Nombre])</f>
        <v>Simple Advdiff shuffle</v>
      </c>
      <c r="F222" s="1">
        <v>3</v>
      </c>
      <c r="G222" s="1">
        <v>2</v>
      </c>
      <c r="H222" s="1">
        <v>256</v>
      </c>
      <c r="I222" s="1">
        <v>1000</v>
      </c>
      <c r="J222" s="1">
        <v>1000</v>
      </c>
      <c r="K222" s="1">
        <v>4.2945399999999996</v>
      </c>
    </row>
    <row r="223" spans="2:11" x14ac:dyDescent="0.2">
      <c r="B223" s="26" t="str">
        <f>_xlfn.XLOOKUP(Total[[#This Row],[Metodo]],TbSolver[Metodo],TbSolver[Solver])</f>
        <v>Adams Bashford</v>
      </c>
      <c r="C223" s="26" t="str">
        <f>_xlfn.XLOOKUP(Total[[#This Row],[Hebras]],TbTecnologia[Hebras],TbTecnologia[Tecnología])</f>
        <v>CUDA</v>
      </c>
      <c r="D223" s="26" t="str" cm="1">
        <f t="array" ref="D223">_xlfn.XLOOKUP(Total[[#This Row],[Tecnología]]&amp;Total[[#This Row],[Metodo]],TbTipos[Tecnología]&amp;TbTipos[Metodo],TbTipos[Tipo])</f>
        <v>CUDA sin graph</v>
      </c>
      <c r="E223" s="26" t="str" cm="1">
        <f t="array" ref="E223">_xlfn.XLOOKUP(Total[[#This Row],[Tecnología]]&amp;Total[[#This Row],[Problema]],TbNombres[Tecnología]&amp;TbNombres[Problema],TbNombres[Nombre])</f>
        <v>Simple Advdiff</v>
      </c>
      <c r="F223" s="1">
        <v>3</v>
      </c>
      <c r="G223" s="1">
        <v>1</v>
      </c>
      <c r="H223" s="1">
        <v>256</v>
      </c>
      <c r="I223" s="1">
        <v>200</v>
      </c>
      <c r="J223" s="1">
        <v>200</v>
      </c>
      <c r="K223" s="1">
        <v>4.3080800000000004</v>
      </c>
    </row>
    <row r="224" spans="2:11" x14ac:dyDescent="0.2">
      <c r="B224" s="26" t="str">
        <f>_xlfn.XLOOKUP(Total[[#This Row],[Metodo]],TbSolver[Metodo],TbSolver[Solver])</f>
        <v>Adams Bashford</v>
      </c>
      <c r="C224" s="26" t="str">
        <f>_xlfn.XLOOKUP(Total[[#This Row],[Hebras]],TbTecnologia[Hebras],TbTecnologia[Tecnología])</f>
        <v>CUDA</v>
      </c>
      <c r="D224" s="26" t="str" cm="1">
        <f t="array" ref="D224">_xlfn.XLOOKUP(Total[[#This Row],[Tecnología]]&amp;Total[[#This Row],[Metodo]],TbTipos[Tecnología]&amp;TbTipos[Metodo],TbTipos[Tipo])</f>
        <v>CUDA sin graph</v>
      </c>
      <c r="E224" s="26" t="str" cm="1">
        <f t="array" ref="E224">_xlfn.XLOOKUP(Total[[#This Row],[Tecnología]]&amp;Total[[#This Row],[Problema]],TbNombres[Tecnología]&amp;TbNombres[Problema],TbNombres[Nombre])</f>
        <v>Simple Advdiff shuffle</v>
      </c>
      <c r="F224" s="1">
        <v>3</v>
      </c>
      <c r="G224" s="1">
        <v>2</v>
      </c>
      <c r="H224" s="1">
        <v>256</v>
      </c>
      <c r="I224" s="1">
        <v>5000</v>
      </c>
      <c r="J224" s="1">
        <v>5000</v>
      </c>
      <c r="K224" s="1">
        <v>4.3283699999999996</v>
      </c>
    </row>
    <row r="225" spans="2:11" x14ac:dyDescent="0.2">
      <c r="B225" s="26" t="str">
        <f>_xlfn.XLOOKUP(Total[[#This Row],[Metodo]],TbSolver[Metodo],TbSolver[Solver])</f>
        <v>Adams Bashford</v>
      </c>
      <c r="C225" s="26" t="str">
        <f>_xlfn.XLOOKUP(Total[[#This Row],[Hebras]],TbTecnologia[Hebras],TbTecnologia[Tecnología])</f>
        <v>CUDA</v>
      </c>
      <c r="D225" s="26" t="str" cm="1">
        <f t="array" ref="D225">_xlfn.XLOOKUP(Total[[#This Row],[Tecnología]]&amp;Total[[#This Row],[Metodo]],TbTipos[Tecnología]&amp;TbTipos[Metodo],TbTipos[Tipo])</f>
        <v>CUDA sin graph</v>
      </c>
      <c r="E225" s="26" t="str" cm="1">
        <f t="array" ref="E225">_xlfn.XLOOKUP(Total[[#This Row],[Tecnología]]&amp;Total[[#This Row],[Problema]],TbNombres[Tecnología]&amp;TbNombres[Problema],TbNombres[Nombre])</f>
        <v>Simple Advdiff</v>
      </c>
      <c r="F225" s="1">
        <v>3</v>
      </c>
      <c r="G225" s="1">
        <v>1</v>
      </c>
      <c r="H225" s="1">
        <v>256</v>
      </c>
      <c r="I225" s="1">
        <v>5000</v>
      </c>
      <c r="J225" s="1">
        <v>5000</v>
      </c>
      <c r="K225" s="1">
        <v>4.3452799999999998</v>
      </c>
    </row>
    <row r="226" spans="2:11" x14ac:dyDescent="0.2">
      <c r="B226" s="26" t="str">
        <f>_xlfn.XLOOKUP(Total[[#This Row],[Metodo]],TbSolver[Metodo],TbSolver[Solver])</f>
        <v>Adams Bashford</v>
      </c>
      <c r="C226" s="26" t="str">
        <f>_xlfn.XLOOKUP(Total[[#This Row],[Hebras]],TbTecnologia[Hebras],TbTecnologia[Tecnología])</f>
        <v>CUDA</v>
      </c>
      <c r="D226" s="26" t="str" cm="1">
        <f t="array" ref="D226">_xlfn.XLOOKUP(Total[[#This Row],[Tecnología]]&amp;Total[[#This Row],[Metodo]],TbTipos[Tecnología]&amp;TbTipos[Metodo],TbTipos[Tipo])</f>
        <v>CUDA sin graph</v>
      </c>
      <c r="E226" s="26" t="str" cm="1">
        <f t="array" ref="E226">_xlfn.XLOOKUP(Total[[#This Row],[Tecnología]]&amp;Total[[#This Row],[Problema]],TbNombres[Tecnología]&amp;TbNombres[Problema],TbNombres[Nombre])</f>
        <v>Simple Advdiff shuffle</v>
      </c>
      <c r="F226" s="1">
        <v>3</v>
      </c>
      <c r="G226" s="1">
        <v>2</v>
      </c>
      <c r="H226" s="1">
        <v>256</v>
      </c>
      <c r="I226" s="1">
        <v>10000</v>
      </c>
      <c r="J226" s="1">
        <v>10000</v>
      </c>
      <c r="K226" s="1">
        <v>4.3619700000000003</v>
      </c>
    </row>
    <row r="227" spans="2:11" x14ac:dyDescent="0.2">
      <c r="B227" s="26" t="str">
        <f>_xlfn.XLOOKUP(Total[[#This Row],[Metodo]],TbSolver[Metodo],TbSolver[Solver])</f>
        <v>Adams Bashford</v>
      </c>
      <c r="C227" s="26" t="str">
        <f>_xlfn.XLOOKUP(Total[[#This Row],[Hebras]],TbTecnologia[Hebras],TbTecnologia[Tecnología])</f>
        <v>CUDA</v>
      </c>
      <c r="D227" s="26" t="str" cm="1">
        <f t="array" ref="D227">_xlfn.XLOOKUP(Total[[#This Row],[Tecnología]]&amp;Total[[#This Row],[Metodo]],TbTipos[Tecnología]&amp;TbTipos[Metodo],TbTipos[Tipo])</f>
        <v>CUDA sin graph</v>
      </c>
      <c r="E227" s="26" t="str" cm="1">
        <f t="array" ref="E227">_xlfn.XLOOKUP(Total[[#This Row],[Tecnología]]&amp;Total[[#This Row],[Problema]],TbNombres[Tecnología]&amp;TbNombres[Problema],TbNombres[Nombre])</f>
        <v>Simple Advdiff</v>
      </c>
      <c r="F227" s="1">
        <v>3</v>
      </c>
      <c r="G227" s="1">
        <v>1</v>
      </c>
      <c r="H227" s="1">
        <v>256</v>
      </c>
      <c r="I227" s="1">
        <v>10000</v>
      </c>
      <c r="J227" s="1">
        <v>10000</v>
      </c>
      <c r="K227" s="1">
        <v>4.3674200000000001</v>
      </c>
    </row>
    <row r="228" spans="2:11" x14ac:dyDescent="0.2">
      <c r="B228" s="26" t="str">
        <f>_xlfn.XLOOKUP(Total[[#This Row],[Metodo]],TbSolver[Metodo],TbSolver[Solver])</f>
        <v>Adams Bashford</v>
      </c>
      <c r="C228" s="26" t="str">
        <f>_xlfn.XLOOKUP(Total[[#This Row],[Hebras]],TbTecnologia[Hebras],TbTecnologia[Tecnología])</f>
        <v>CUDA</v>
      </c>
      <c r="D228" s="26" t="str" cm="1">
        <f t="array" ref="D228">_xlfn.XLOOKUP(Total[[#This Row],[Tecnología]]&amp;Total[[#This Row],[Metodo]],TbTipos[Tecnología]&amp;TbTipos[Metodo],TbTipos[Tipo])</f>
        <v>CUDA sin graph</v>
      </c>
      <c r="E228" s="26" t="str" cm="1">
        <f t="array" ref="E228">_xlfn.XLOOKUP(Total[[#This Row],[Tecnología]]&amp;Total[[#This Row],[Problema]],TbNombres[Tecnología]&amp;TbNombres[Problema],TbNombres[Nombre])</f>
        <v>Simple Advdiff</v>
      </c>
      <c r="F228" s="1">
        <v>3</v>
      </c>
      <c r="G228" s="1">
        <v>1</v>
      </c>
      <c r="H228" s="1">
        <v>256</v>
      </c>
      <c r="I228" s="1">
        <v>10000</v>
      </c>
      <c r="J228" s="1">
        <v>10000</v>
      </c>
      <c r="K228" s="1">
        <v>4.3695899999999996</v>
      </c>
    </row>
    <row r="229" spans="2:11" x14ac:dyDescent="0.2">
      <c r="B229" s="26" t="str">
        <f>_xlfn.XLOOKUP(Total[[#This Row],[Metodo]],TbSolver[Metodo],TbSolver[Solver])</f>
        <v>Adams Bashford</v>
      </c>
      <c r="C229" s="26" t="str">
        <f>_xlfn.XLOOKUP(Total[[#This Row],[Hebras]],TbTecnologia[Hebras],TbTecnologia[Tecnología])</f>
        <v>CUDA</v>
      </c>
      <c r="D229" s="26" t="str" cm="1">
        <f t="array" ref="D229">_xlfn.XLOOKUP(Total[[#This Row],[Tecnología]]&amp;Total[[#This Row],[Metodo]],TbTipos[Tecnología]&amp;TbTipos[Metodo],TbTipos[Tipo])</f>
        <v>CUDA con graph</v>
      </c>
      <c r="E229" s="26" t="str" cm="1">
        <f t="array" ref="E229">_xlfn.XLOOKUP(Total[[#This Row],[Tecnología]]&amp;Total[[#This Row],[Problema]],TbNombres[Tecnología]&amp;TbNombres[Problema],TbNombres[Nombre])</f>
        <v>Simple Advdiff</v>
      </c>
      <c r="F229" s="1">
        <v>4</v>
      </c>
      <c r="G229" s="1">
        <v>1</v>
      </c>
      <c r="H229" s="1">
        <v>256</v>
      </c>
      <c r="I229" s="1">
        <v>100</v>
      </c>
      <c r="J229" s="1">
        <v>100</v>
      </c>
      <c r="K229" s="1">
        <v>5.2505199999999999</v>
      </c>
    </row>
    <row r="230" spans="2:11" x14ac:dyDescent="0.2">
      <c r="B230" s="26" t="str">
        <f>_xlfn.XLOOKUP(Total[[#This Row],[Metodo]],TbSolver[Metodo],TbSolver[Solver])</f>
        <v>Adams Bashford</v>
      </c>
      <c r="C230" s="26" t="str">
        <f>_xlfn.XLOOKUP(Total[[#This Row],[Hebras]],TbTecnologia[Hebras],TbTecnologia[Tecnología])</f>
        <v>CUDA</v>
      </c>
      <c r="D230" s="26" t="str" cm="1">
        <f t="array" ref="D230">_xlfn.XLOOKUP(Total[[#This Row],[Tecnología]]&amp;Total[[#This Row],[Metodo]],TbTipos[Tecnología]&amp;TbTipos[Metodo],TbTipos[Tipo])</f>
        <v>CUDA con graph</v>
      </c>
      <c r="E230" s="26" t="str" cm="1">
        <f t="array" ref="E230">_xlfn.XLOOKUP(Total[[#This Row],[Tecnología]]&amp;Total[[#This Row],[Problema]],TbNombres[Tecnología]&amp;TbNombres[Problema],TbNombres[Nombre])</f>
        <v>Simple Advdiff shuffle</v>
      </c>
      <c r="F230" s="1">
        <v>4</v>
      </c>
      <c r="G230" s="1">
        <v>2</v>
      </c>
      <c r="H230" s="1">
        <v>256</v>
      </c>
      <c r="I230" s="1">
        <v>100</v>
      </c>
      <c r="J230" s="1">
        <v>100</v>
      </c>
      <c r="K230" s="1">
        <v>5.3073199999999998</v>
      </c>
    </row>
    <row r="231" spans="2:11" x14ac:dyDescent="0.2">
      <c r="B231" s="26" t="str">
        <f>_xlfn.XLOOKUP(Total[[#This Row],[Metodo]],TbSolver[Metodo],TbSolver[Solver])</f>
        <v>Adams Bashford</v>
      </c>
      <c r="C231" s="26" t="str">
        <f>_xlfn.XLOOKUP(Total[[#This Row],[Hebras]],TbTecnologia[Hebras],TbTecnologia[Tecnología])</f>
        <v>CUDA</v>
      </c>
      <c r="D231" s="26" t="str" cm="1">
        <f t="array" ref="D231">_xlfn.XLOOKUP(Total[[#This Row],[Tecnología]]&amp;Total[[#This Row],[Metodo]],TbTipos[Tecnología]&amp;TbTipos[Metodo],TbTipos[Tipo])</f>
        <v>CUDA sin graph</v>
      </c>
      <c r="E231" s="26" t="str" cm="1">
        <f t="array" ref="E231">_xlfn.XLOOKUP(Total[[#This Row],[Tecnología]]&amp;Total[[#This Row],[Problema]],TbNombres[Tecnología]&amp;TbNombres[Problema],TbNombres[Nombre])</f>
        <v>Simple Advdiff</v>
      </c>
      <c r="F231" s="1">
        <v>3</v>
      </c>
      <c r="G231" s="1">
        <v>1</v>
      </c>
      <c r="H231" s="1">
        <v>256</v>
      </c>
      <c r="I231" s="1">
        <v>20000</v>
      </c>
      <c r="J231" s="1">
        <v>20000</v>
      </c>
      <c r="K231" s="1">
        <v>5.4144300000000003</v>
      </c>
    </row>
    <row r="232" spans="2:11" x14ac:dyDescent="0.2">
      <c r="B232" s="26" t="str">
        <f>_xlfn.XLOOKUP(Total[[#This Row],[Metodo]],TbSolver[Metodo],TbSolver[Solver])</f>
        <v>Adams Bashford</v>
      </c>
      <c r="C232" s="26" t="str">
        <f>_xlfn.XLOOKUP(Total[[#This Row],[Hebras]],TbTecnologia[Hebras],TbTecnologia[Tecnología])</f>
        <v>CUDA</v>
      </c>
      <c r="D232" s="26" t="str" cm="1">
        <f t="array" ref="D232">_xlfn.XLOOKUP(Total[[#This Row],[Tecnología]]&amp;Total[[#This Row],[Metodo]],TbTipos[Tecnología]&amp;TbTipos[Metodo],TbTipos[Tipo])</f>
        <v>CUDA sin graph</v>
      </c>
      <c r="E232" s="26" t="str" cm="1">
        <f t="array" ref="E232">_xlfn.XLOOKUP(Total[[#This Row],[Tecnología]]&amp;Total[[#This Row],[Problema]],TbNombres[Tecnología]&amp;TbNombres[Problema],TbNombres[Nombre])</f>
        <v>Simple Advdiff shuffle</v>
      </c>
      <c r="F232" s="1">
        <v>3</v>
      </c>
      <c r="G232" s="1">
        <v>2</v>
      </c>
      <c r="H232" s="1">
        <v>256</v>
      </c>
      <c r="I232" s="1">
        <v>20000</v>
      </c>
      <c r="J232" s="1">
        <v>20000</v>
      </c>
      <c r="K232" s="1">
        <v>5.5060500000000001</v>
      </c>
    </row>
    <row r="233" spans="2:11" x14ac:dyDescent="0.2">
      <c r="B233" s="26" t="str">
        <f>_xlfn.XLOOKUP(Total[[#This Row],[Metodo]],TbSolver[Metodo],TbSolver[Solver])</f>
        <v>Adams Bashford</v>
      </c>
      <c r="C233" s="26" t="str">
        <f>_xlfn.XLOOKUP(Total[[#This Row],[Hebras]],TbTecnologia[Hebras],TbTecnologia[Tecnología])</f>
        <v>CUDA</v>
      </c>
      <c r="D233" s="26" t="str" cm="1">
        <f t="array" ref="D233">_xlfn.XLOOKUP(Total[[#This Row],[Tecnología]]&amp;Total[[#This Row],[Metodo]],TbTipos[Tecnología]&amp;TbTipos[Metodo],TbTipos[Tipo])</f>
        <v>CUDA con graph</v>
      </c>
      <c r="E233" s="26" t="str" cm="1">
        <f t="array" ref="E233">_xlfn.XLOOKUP(Total[[#This Row],[Tecnología]]&amp;Total[[#This Row],[Problema]],TbNombres[Tecnología]&amp;TbNombres[Problema],TbNombres[Nombre])</f>
        <v>Simple Advdiff</v>
      </c>
      <c r="F233" s="1">
        <v>4</v>
      </c>
      <c r="G233" s="1">
        <v>1</v>
      </c>
      <c r="H233" s="1">
        <v>256</v>
      </c>
      <c r="I233" s="1">
        <v>200</v>
      </c>
      <c r="J233" s="1">
        <v>200</v>
      </c>
      <c r="K233" s="1">
        <v>5.5767499999999997</v>
      </c>
    </row>
    <row r="234" spans="2:11" x14ac:dyDescent="0.2">
      <c r="B234" s="26" t="str">
        <f>_xlfn.XLOOKUP(Total[[#This Row],[Metodo]],TbSolver[Metodo],TbSolver[Solver])</f>
        <v>Adams Bashford</v>
      </c>
      <c r="C234" s="26" t="str">
        <f>_xlfn.XLOOKUP(Total[[#This Row],[Hebras]],TbTecnologia[Hebras],TbTecnologia[Tecnología])</f>
        <v>CUDA</v>
      </c>
      <c r="D234" s="26" t="str" cm="1">
        <f t="array" ref="D234">_xlfn.XLOOKUP(Total[[#This Row],[Tecnología]]&amp;Total[[#This Row],[Metodo]],TbTipos[Tecnología]&amp;TbTipos[Metodo],TbTipos[Tipo])</f>
        <v>CUDA con graph</v>
      </c>
      <c r="E234" s="26" t="str" cm="1">
        <f t="array" ref="E234">_xlfn.XLOOKUP(Total[[#This Row],[Tecnología]]&amp;Total[[#This Row],[Problema]],TbNombres[Tecnología]&amp;TbNombres[Problema],TbNombres[Nombre])</f>
        <v>Simple Advdiff shuffle</v>
      </c>
      <c r="F234" s="1">
        <v>4</v>
      </c>
      <c r="G234" s="1">
        <v>2</v>
      </c>
      <c r="H234" s="1">
        <v>256</v>
      </c>
      <c r="I234" s="1">
        <v>200</v>
      </c>
      <c r="J234" s="1">
        <v>200</v>
      </c>
      <c r="K234" s="1">
        <v>5.5995400000000002</v>
      </c>
    </row>
    <row r="235" spans="2:11" x14ac:dyDescent="0.2">
      <c r="B235" s="26" t="str">
        <f>_xlfn.XLOOKUP(Total[[#This Row],[Metodo]],TbSolver[Metodo],TbSolver[Solver])</f>
        <v>Adams Bashford</v>
      </c>
      <c r="C235" s="26" t="str">
        <f>_xlfn.XLOOKUP(Total[[#This Row],[Hebras]],TbTecnologia[Hebras],TbTecnologia[Tecnología])</f>
        <v>CUDA</v>
      </c>
      <c r="D235" s="26" t="str" cm="1">
        <f t="array" ref="D235">_xlfn.XLOOKUP(Total[[#This Row],[Tecnología]]&amp;Total[[#This Row],[Metodo]],TbTipos[Tecnología]&amp;TbTipos[Metodo],TbTipos[Tipo])</f>
        <v>CUDA sin graph</v>
      </c>
      <c r="E235" s="26" t="str" cm="1">
        <f t="array" ref="E235">_xlfn.XLOOKUP(Total[[#This Row],[Tecnología]]&amp;Total[[#This Row],[Problema]],TbNombres[Tecnología]&amp;TbNombres[Problema],TbNombres[Nombre])</f>
        <v>Simple Advdiff</v>
      </c>
      <c r="F235" s="1">
        <v>3</v>
      </c>
      <c r="G235" s="1">
        <v>1</v>
      </c>
      <c r="H235" s="1">
        <v>256</v>
      </c>
      <c r="I235" s="1">
        <v>20000</v>
      </c>
      <c r="J235" s="1">
        <v>20000</v>
      </c>
      <c r="K235" s="1">
        <v>5.6368299999999998</v>
      </c>
    </row>
    <row r="236" spans="2:11" x14ac:dyDescent="0.2">
      <c r="B236" s="26" t="str">
        <f>_xlfn.XLOOKUP(Total[[#This Row],[Metodo]],TbSolver[Metodo],TbSolver[Solver])</f>
        <v>Adams Bashford</v>
      </c>
      <c r="C236" s="26" t="str">
        <f>_xlfn.XLOOKUP(Total[[#This Row],[Hebras]],TbTecnologia[Hebras],TbTecnologia[Tecnología])</f>
        <v>CUDA</v>
      </c>
      <c r="D236" s="26" t="str" cm="1">
        <f t="array" ref="D236">_xlfn.XLOOKUP(Total[[#This Row],[Tecnología]]&amp;Total[[#This Row],[Metodo]],TbTipos[Tecnología]&amp;TbTipos[Metodo],TbTipos[Tipo])</f>
        <v>CUDA con graph</v>
      </c>
      <c r="E236" s="26" t="str" cm="1">
        <f t="array" ref="E236">_xlfn.XLOOKUP(Total[[#This Row],[Tecnología]]&amp;Total[[#This Row],[Problema]],TbNombres[Tecnología]&amp;TbNombres[Problema],TbNombres[Nombre])</f>
        <v>Simple Advdiff</v>
      </c>
      <c r="F236" s="1">
        <v>4</v>
      </c>
      <c r="G236" s="1">
        <v>1</v>
      </c>
      <c r="H236" s="1">
        <v>256</v>
      </c>
      <c r="I236" s="1">
        <v>500</v>
      </c>
      <c r="J236" s="1">
        <v>500</v>
      </c>
      <c r="K236" s="1">
        <v>5.7712399999999997</v>
      </c>
    </row>
    <row r="237" spans="2:11" x14ac:dyDescent="0.2">
      <c r="B237" s="26" t="str">
        <f>_xlfn.XLOOKUP(Total[[#This Row],[Metodo]],TbSolver[Metodo],TbSolver[Solver])</f>
        <v>Adams Bashford</v>
      </c>
      <c r="C237" s="26" t="str">
        <f>_xlfn.XLOOKUP(Total[[#This Row],[Hebras]],TbTecnologia[Hebras],TbTecnologia[Tecnología])</f>
        <v>CUDA</v>
      </c>
      <c r="D237" s="26" t="str" cm="1">
        <f t="array" ref="D237">_xlfn.XLOOKUP(Total[[#This Row],[Tecnología]]&amp;Total[[#This Row],[Metodo]],TbTipos[Tecnología]&amp;TbTipos[Metodo],TbTipos[Tipo])</f>
        <v>CUDA con graph</v>
      </c>
      <c r="E237" s="26" t="str" cm="1">
        <f t="array" ref="E237">_xlfn.XLOOKUP(Total[[#This Row],[Tecnología]]&amp;Total[[#This Row],[Problema]],TbNombres[Tecnología]&amp;TbNombres[Problema],TbNombres[Nombre])</f>
        <v>Simple Advdiff shuffle</v>
      </c>
      <c r="F237" s="1">
        <v>4</v>
      </c>
      <c r="G237" s="1">
        <v>2</v>
      </c>
      <c r="H237" s="1">
        <v>256</v>
      </c>
      <c r="I237" s="1">
        <v>1000</v>
      </c>
      <c r="J237" s="1">
        <v>1000</v>
      </c>
      <c r="K237" s="1">
        <v>5.7783199999999999</v>
      </c>
    </row>
    <row r="238" spans="2:11" x14ac:dyDescent="0.2">
      <c r="B238" s="26" t="str">
        <f>_xlfn.XLOOKUP(Total[[#This Row],[Metodo]],TbSolver[Metodo],TbSolver[Solver])</f>
        <v>Adams Bashford</v>
      </c>
      <c r="C238" s="26" t="str">
        <f>_xlfn.XLOOKUP(Total[[#This Row],[Hebras]],TbTecnologia[Hebras],TbTecnologia[Tecnología])</f>
        <v>CUDA</v>
      </c>
      <c r="D238" s="26" t="str" cm="1">
        <f t="array" ref="D238">_xlfn.XLOOKUP(Total[[#This Row],[Tecnología]]&amp;Total[[#This Row],[Metodo]],TbTipos[Tecnología]&amp;TbTipos[Metodo],TbTipos[Tipo])</f>
        <v>CUDA con graph</v>
      </c>
      <c r="E238" s="26" t="str" cm="1">
        <f t="array" ref="E238">_xlfn.XLOOKUP(Total[[#This Row],[Tecnología]]&amp;Total[[#This Row],[Problema]],TbNombres[Tecnología]&amp;TbNombres[Problema],TbNombres[Nombre])</f>
        <v>Simple Advdiff shuffle</v>
      </c>
      <c r="F238" s="1">
        <v>4</v>
      </c>
      <c r="G238" s="1">
        <v>2</v>
      </c>
      <c r="H238" s="1">
        <v>256</v>
      </c>
      <c r="I238" s="1">
        <v>500</v>
      </c>
      <c r="J238" s="1">
        <v>500</v>
      </c>
      <c r="K238" s="1">
        <v>5.7799899999999997</v>
      </c>
    </row>
    <row r="239" spans="2:11" x14ac:dyDescent="0.2">
      <c r="B239" s="26" t="str">
        <f>_xlfn.XLOOKUP(Total[[#This Row],[Metodo]],TbSolver[Metodo],TbSolver[Solver])</f>
        <v>Adams Bashford</v>
      </c>
      <c r="C239" s="26" t="str">
        <f>_xlfn.XLOOKUP(Total[[#This Row],[Hebras]],TbTecnologia[Hebras],TbTecnologia[Tecnología])</f>
        <v>CUDA</v>
      </c>
      <c r="D239" s="26" t="str" cm="1">
        <f t="array" ref="D239">_xlfn.XLOOKUP(Total[[#This Row],[Tecnología]]&amp;Total[[#This Row],[Metodo]],TbTipos[Tecnología]&amp;TbTipos[Metodo],TbTipos[Tipo])</f>
        <v>CUDA con graph</v>
      </c>
      <c r="E239" s="26" t="str" cm="1">
        <f t="array" ref="E239">_xlfn.XLOOKUP(Total[[#This Row],[Tecnología]]&amp;Total[[#This Row],[Problema]],TbNombres[Tecnología]&amp;TbNombres[Problema],TbNombres[Nombre])</f>
        <v>Simple Advdiff</v>
      </c>
      <c r="F239" s="1">
        <v>4</v>
      </c>
      <c r="G239" s="1">
        <v>1</v>
      </c>
      <c r="H239" s="1">
        <v>256</v>
      </c>
      <c r="I239" s="1">
        <v>1000</v>
      </c>
      <c r="J239" s="1">
        <v>1000</v>
      </c>
      <c r="K239" s="1">
        <v>5.78383</v>
      </c>
    </row>
    <row r="240" spans="2:11" x14ac:dyDescent="0.2">
      <c r="B240" s="26" t="str">
        <f>_xlfn.XLOOKUP(Total[[#This Row],[Metodo]],TbSolver[Metodo],TbSolver[Solver])</f>
        <v>Adams Bashford</v>
      </c>
      <c r="C240" s="26" t="str">
        <f>_xlfn.XLOOKUP(Total[[#This Row],[Hebras]],TbTecnologia[Hebras],TbTecnologia[Tecnología])</f>
        <v>CUDA</v>
      </c>
      <c r="D240" s="26" t="str" cm="1">
        <f t="array" ref="D240">_xlfn.XLOOKUP(Total[[#This Row],[Tecnología]]&amp;Total[[#This Row],[Metodo]],TbTipos[Tecnología]&amp;TbTipos[Metodo],TbTipos[Tipo])</f>
        <v>CUDA con graph</v>
      </c>
      <c r="E240" s="26" t="str" cm="1">
        <f t="array" ref="E240">_xlfn.XLOOKUP(Total[[#This Row],[Tecnología]]&amp;Total[[#This Row],[Problema]],TbNombres[Tecnología]&amp;TbNombres[Problema],TbNombres[Nombre])</f>
        <v>Simple Advdiff</v>
      </c>
      <c r="F240" s="1">
        <v>4</v>
      </c>
      <c r="G240" s="1">
        <v>1</v>
      </c>
      <c r="H240" s="1">
        <v>256</v>
      </c>
      <c r="I240" s="1">
        <v>2000</v>
      </c>
      <c r="J240" s="1">
        <v>2000</v>
      </c>
      <c r="K240" s="1">
        <v>5.8491999999999997</v>
      </c>
    </row>
    <row r="241" spans="2:11" x14ac:dyDescent="0.2">
      <c r="B241" s="26" t="str">
        <f>_xlfn.XLOOKUP(Total[[#This Row],[Metodo]],TbSolver[Metodo],TbSolver[Solver])</f>
        <v>Adams Bashford</v>
      </c>
      <c r="C241" s="26" t="str">
        <f>_xlfn.XLOOKUP(Total[[#This Row],[Hebras]],TbTecnologia[Hebras],TbTecnologia[Tecnología])</f>
        <v>CUDA</v>
      </c>
      <c r="D241" s="26" t="str" cm="1">
        <f t="array" ref="D241">_xlfn.XLOOKUP(Total[[#This Row],[Tecnología]]&amp;Total[[#This Row],[Metodo]],TbTipos[Tecnología]&amp;TbTipos[Metodo],TbTipos[Tipo])</f>
        <v>CUDA con graph</v>
      </c>
      <c r="E241" s="26" t="str" cm="1">
        <f t="array" ref="E241">_xlfn.XLOOKUP(Total[[#This Row],[Tecnología]]&amp;Total[[#This Row],[Problema]],TbNombres[Tecnología]&amp;TbNombres[Problema],TbNombres[Nombre])</f>
        <v>Simple Advdiff shuffle</v>
      </c>
      <c r="F241" s="1">
        <v>4</v>
      </c>
      <c r="G241" s="1">
        <v>2</v>
      </c>
      <c r="H241" s="1">
        <v>256</v>
      </c>
      <c r="I241" s="1">
        <v>2000</v>
      </c>
      <c r="J241" s="1">
        <v>2000</v>
      </c>
      <c r="K241" s="1">
        <v>5.8526600000000002</v>
      </c>
    </row>
    <row r="242" spans="2:11" x14ac:dyDescent="0.2">
      <c r="B242" s="26" t="str">
        <f>_xlfn.XLOOKUP(Total[[#This Row],[Metodo]],TbSolver[Metodo],TbSolver[Solver])</f>
        <v>Adams Bashford</v>
      </c>
      <c r="C242" s="26" t="str">
        <f>_xlfn.XLOOKUP(Total[[#This Row],[Hebras]],TbTecnologia[Hebras],TbTecnologia[Tecnología])</f>
        <v>CUDA</v>
      </c>
      <c r="D242" s="26" t="str" cm="1">
        <f t="array" ref="D242">_xlfn.XLOOKUP(Total[[#This Row],[Tecnología]]&amp;Total[[#This Row],[Metodo]],TbTipos[Tecnología]&amp;TbTipos[Metodo],TbTipos[Tipo])</f>
        <v>CUDA con graph</v>
      </c>
      <c r="E242" s="26" t="str" cm="1">
        <f t="array" ref="E242">_xlfn.XLOOKUP(Total[[#This Row],[Tecnología]]&amp;Total[[#This Row],[Problema]],TbNombres[Tecnología]&amp;TbNombres[Problema],TbNombres[Nombre])</f>
        <v>Simple Advdiff</v>
      </c>
      <c r="F242" s="1">
        <v>4</v>
      </c>
      <c r="G242" s="1">
        <v>1</v>
      </c>
      <c r="H242" s="1">
        <v>256</v>
      </c>
      <c r="I242" s="1">
        <v>5000</v>
      </c>
      <c r="J242" s="1">
        <v>5000</v>
      </c>
      <c r="K242" s="1">
        <v>5.8786300000000002</v>
      </c>
    </row>
    <row r="243" spans="2:11" x14ac:dyDescent="0.2">
      <c r="B243" s="26" t="str">
        <f>_xlfn.XLOOKUP(Total[[#This Row],[Metodo]],TbSolver[Metodo],TbSolver[Solver])</f>
        <v>Adams Bashford</v>
      </c>
      <c r="C243" s="26" t="str">
        <f>_xlfn.XLOOKUP(Total[[#This Row],[Hebras]],TbTecnologia[Hebras],TbTecnologia[Tecnología])</f>
        <v>CUDA</v>
      </c>
      <c r="D243" s="26" t="str" cm="1">
        <f t="array" ref="D243">_xlfn.XLOOKUP(Total[[#This Row],[Tecnología]]&amp;Total[[#This Row],[Metodo]],TbTipos[Tecnología]&amp;TbTipos[Metodo],TbTipos[Tipo])</f>
        <v>CUDA con graph</v>
      </c>
      <c r="E243" s="26" t="str" cm="1">
        <f t="array" ref="E243">_xlfn.XLOOKUP(Total[[#This Row],[Tecnología]]&amp;Total[[#This Row],[Problema]],TbNombres[Tecnología]&amp;TbNombres[Problema],TbNombres[Nombre])</f>
        <v>Simple Advdiff shuffle</v>
      </c>
      <c r="F243" s="1">
        <v>4</v>
      </c>
      <c r="G243" s="1">
        <v>2</v>
      </c>
      <c r="H243" s="1">
        <v>256</v>
      </c>
      <c r="I243" s="1">
        <v>5000</v>
      </c>
      <c r="J243" s="1">
        <v>5000</v>
      </c>
      <c r="K243" s="1">
        <v>5.9353400000000001</v>
      </c>
    </row>
    <row r="244" spans="2:11" x14ac:dyDescent="0.2">
      <c r="B244" s="26" t="str">
        <f>_xlfn.XLOOKUP(Total[[#This Row],[Metodo]],TbSolver[Metodo],TbSolver[Solver])</f>
        <v>Adams Bashford</v>
      </c>
      <c r="C244" s="26" t="str">
        <f>_xlfn.XLOOKUP(Total[[#This Row],[Hebras]],TbTecnologia[Hebras],TbTecnologia[Tecnología])</f>
        <v>CUDA</v>
      </c>
      <c r="D244" s="26" t="str" cm="1">
        <f t="array" ref="D244">_xlfn.XLOOKUP(Total[[#This Row],[Tecnología]]&amp;Total[[#This Row],[Metodo]],TbTipos[Tecnología]&amp;TbTipos[Metodo],TbTipos[Tipo])</f>
        <v>CUDA sin graph</v>
      </c>
      <c r="E244" s="26" t="str" cm="1">
        <f t="array" ref="E244">_xlfn.XLOOKUP(Total[[#This Row],[Tecnología]]&amp;Total[[#This Row],[Problema]],TbNombres[Tecnología]&amp;TbNombres[Problema],TbNombres[Nombre])</f>
        <v>Simple Advdiff</v>
      </c>
      <c r="F244" s="1">
        <v>3</v>
      </c>
      <c r="G244" s="1">
        <v>1</v>
      </c>
      <c r="H244" s="1">
        <v>256</v>
      </c>
      <c r="I244" s="1">
        <v>50000</v>
      </c>
      <c r="J244" s="1">
        <v>50000</v>
      </c>
      <c r="K244" s="1">
        <v>6.7912499999999998</v>
      </c>
    </row>
    <row r="245" spans="2:11" x14ac:dyDescent="0.2">
      <c r="B245" s="26" t="str">
        <f>_xlfn.XLOOKUP(Total[[#This Row],[Metodo]],TbSolver[Metodo],TbSolver[Solver])</f>
        <v>Adams Bashford</v>
      </c>
      <c r="C245" s="26" t="str">
        <f>_xlfn.XLOOKUP(Total[[#This Row],[Hebras]],TbTecnologia[Hebras],TbTecnologia[Tecnología])</f>
        <v>CUDA</v>
      </c>
      <c r="D245" s="26" t="str" cm="1">
        <f t="array" ref="D245">_xlfn.XLOOKUP(Total[[#This Row],[Tecnología]]&amp;Total[[#This Row],[Metodo]],TbTipos[Tecnología]&amp;TbTipos[Metodo],TbTipos[Tipo])</f>
        <v>CUDA sin graph</v>
      </c>
      <c r="E245" s="26" t="str" cm="1">
        <f t="array" ref="E245">_xlfn.XLOOKUP(Total[[#This Row],[Tecnología]]&amp;Total[[#This Row],[Problema]],TbNombres[Tecnología]&amp;TbNombres[Problema],TbNombres[Nombre])</f>
        <v>Simple Advdiff shuffle</v>
      </c>
      <c r="F245" s="1">
        <v>3</v>
      </c>
      <c r="G245" s="1">
        <v>2</v>
      </c>
      <c r="H245" s="1">
        <v>256</v>
      </c>
      <c r="I245" s="1">
        <v>50000</v>
      </c>
      <c r="J245" s="1">
        <v>50000</v>
      </c>
      <c r="K245" s="1">
        <v>6.9092000000000002</v>
      </c>
    </row>
    <row r="246" spans="2:11" x14ac:dyDescent="0.2">
      <c r="B246" s="26" t="str">
        <f>_xlfn.XLOOKUP(Total[[#This Row],[Metodo]],TbSolver[Metodo],TbSolver[Solver])</f>
        <v>Adams Bashford</v>
      </c>
      <c r="C246" s="26" t="str">
        <f>_xlfn.XLOOKUP(Total[[#This Row],[Hebras]],TbTecnologia[Hebras],TbTecnologia[Tecnología])</f>
        <v>CUDA</v>
      </c>
      <c r="D246" s="26" t="str" cm="1">
        <f t="array" ref="D246">_xlfn.XLOOKUP(Total[[#This Row],[Tecnología]]&amp;Total[[#This Row],[Metodo]],TbTipos[Tecnología]&amp;TbTipos[Metodo],TbTipos[Tipo])</f>
        <v>CUDA sin graph</v>
      </c>
      <c r="E246" s="26" t="str" cm="1">
        <f t="array" ref="E246">_xlfn.XLOOKUP(Total[[#This Row],[Tecnología]]&amp;Total[[#This Row],[Problema]],TbNombres[Tecnología]&amp;TbNombres[Problema],TbNombres[Nombre])</f>
        <v>Simple Advdiff</v>
      </c>
      <c r="F246" s="1">
        <v>3</v>
      </c>
      <c r="G246" s="1">
        <v>1</v>
      </c>
      <c r="H246" s="1">
        <v>256</v>
      </c>
      <c r="I246" s="1">
        <v>50000</v>
      </c>
      <c r="J246" s="1">
        <v>50000</v>
      </c>
      <c r="K246" s="1">
        <v>7.1332199999999997</v>
      </c>
    </row>
    <row r="247" spans="2:11" x14ac:dyDescent="0.2">
      <c r="B247" s="26" t="str">
        <f>_xlfn.XLOOKUP(Total[[#This Row],[Metodo]],TbSolver[Metodo],TbSolver[Solver])</f>
        <v>Adams Bashford</v>
      </c>
      <c r="C247" s="26" t="str">
        <f>_xlfn.XLOOKUP(Total[[#This Row],[Hebras]],TbTecnologia[Hebras],TbTecnologia[Tecnología])</f>
        <v>CUDA</v>
      </c>
      <c r="D247" s="26" t="str" cm="1">
        <f t="array" ref="D247">_xlfn.XLOOKUP(Total[[#This Row],[Tecnología]]&amp;Total[[#This Row],[Metodo]],TbTipos[Tecnología]&amp;TbTipos[Metodo],TbTipos[Tipo])</f>
        <v>CUDA sin graph</v>
      </c>
      <c r="E247" s="26" t="str" cm="1">
        <f t="array" ref="E247">_xlfn.XLOOKUP(Total[[#This Row],[Tecnología]]&amp;Total[[#This Row],[Problema]],TbNombres[Tecnología]&amp;TbNombres[Problema],TbNombres[Nombre])</f>
        <v>Simple Advdiff</v>
      </c>
      <c r="F247" s="1">
        <v>3</v>
      </c>
      <c r="G247" s="1">
        <v>1</v>
      </c>
      <c r="H247" s="1">
        <v>256</v>
      </c>
      <c r="I247" s="1">
        <v>100000</v>
      </c>
      <c r="J247" s="1">
        <v>100000</v>
      </c>
      <c r="K247" s="1">
        <v>10.328099999999999</v>
      </c>
    </row>
    <row r="248" spans="2:11" x14ac:dyDescent="0.2">
      <c r="B248" s="26" t="str">
        <f>_xlfn.XLOOKUP(Total[[#This Row],[Metodo]],TbSolver[Metodo],TbSolver[Solver])</f>
        <v>Adams Bashford</v>
      </c>
      <c r="C248" s="26" t="str">
        <f>_xlfn.XLOOKUP(Total[[#This Row],[Hebras]],TbTecnologia[Hebras],TbTecnologia[Tecnología])</f>
        <v>CUDA</v>
      </c>
      <c r="D248" s="26" t="str" cm="1">
        <f t="array" ref="D248">_xlfn.XLOOKUP(Total[[#This Row],[Tecnología]]&amp;Total[[#This Row],[Metodo]],TbTipos[Tecnología]&amp;TbTipos[Metodo],TbTipos[Tipo])</f>
        <v>CUDA sin graph</v>
      </c>
      <c r="E248" s="26" t="str" cm="1">
        <f t="array" ref="E248">_xlfn.XLOOKUP(Total[[#This Row],[Tecnología]]&amp;Total[[#This Row],[Problema]],TbNombres[Tecnología]&amp;TbNombres[Problema],TbNombres[Nombre])</f>
        <v>Simple Advdiff shuffle</v>
      </c>
      <c r="F248" s="1">
        <v>3</v>
      </c>
      <c r="G248" s="1">
        <v>2</v>
      </c>
      <c r="H248" s="1">
        <v>256</v>
      </c>
      <c r="I248" s="1">
        <v>100000</v>
      </c>
      <c r="J248" s="1">
        <v>100000</v>
      </c>
      <c r="K248" s="1">
        <v>10.511699999999999</v>
      </c>
    </row>
    <row r="249" spans="2:11" x14ac:dyDescent="0.2">
      <c r="B249" s="26" t="str">
        <f>_xlfn.XLOOKUP(Total[[#This Row],[Metodo]],TbSolver[Metodo],TbSolver[Solver])</f>
        <v>Adams Bashford</v>
      </c>
      <c r="C249" s="26" t="str">
        <f>_xlfn.XLOOKUP(Total[[#This Row],[Hebras]],TbTecnologia[Hebras],TbTecnologia[Tecnología])</f>
        <v>CUDA</v>
      </c>
      <c r="D249" s="26" t="str" cm="1">
        <f t="array" ref="D249">_xlfn.XLOOKUP(Total[[#This Row],[Tecnología]]&amp;Total[[#This Row],[Metodo]],TbTipos[Tecnología]&amp;TbTipos[Metodo],TbTipos[Tipo])</f>
        <v>CUDA sin graph</v>
      </c>
      <c r="E249" s="26" t="str" cm="1">
        <f t="array" ref="E249">_xlfn.XLOOKUP(Total[[#This Row],[Tecnología]]&amp;Total[[#This Row],[Problema]],TbNombres[Tecnología]&amp;TbNombres[Problema],TbNombres[Nombre])</f>
        <v>Simple Advdiff</v>
      </c>
      <c r="F249" s="1">
        <v>3</v>
      </c>
      <c r="G249" s="1">
        <v>1</v>
      </c>
      <c r="H249" s="1">
        <v>256</v>
      </c>
      <c r="I249" s="1">
        <v>100000</v>
      </c>
      <c r="J249" s="1">
        <v>100000</v>
      </c>
      <c r="K249" s="1">
        <v>10.8613</v>
      </c>
    </row>
    <row r="250" spans="2:11" x14ac:dyDescent="0.2">
      <c r="B250" s="26" t="str">
        <f>_xlfn.XLOOKUP(Total[[#This Row],[Metodo]],TbSolver[Metodo],TbSolver[Solver])</f>
        <v>Adams Bashford</v>
      </c>
      <c r="C250" s="26" t="str">
        <f>_xlfn.XLOOKUP(Total[[#This Row],[Hebras]],TbTecnologia[Hebras],TbTecnologia[Tecnología])</f>
        <v>CUDA</v>
      </c>
      <c r="D250" s="26" t="str" cm="1">
        <f t="array" ref="D250">_xlfn.XLOOKUP(Total[[#This Row],[Tecnología]]&amp;Total[[#This Row],[Metodo]],TbTipos[Tecnología]&amp;TbTipos[Metodo],TbTipos[Tipo])</f>
        <v>CUDA sin graph</v>
      </c>
      <c r="E250" s="26" t="str" cm="1">
        <f t="array" ref="E250">_xlfn.XLOOKUP(Total[[#This Row],[Tecnología]]&amp;Total[[#This Row],[Problema]],TbNombres[Tecnología]&amp;TbNombres[Problema],TbNombres[Nombre])</f>
        <v>Simple Advdiff</v>
      </c>
      <c r="F250" s="1">
        <v>3</v>
      </c>
      <c r="G250" s="1">
        <v>1</v>
      </c>
      <c r="H250" s="1">
        <v>256</v>
      </c>
      <c r="I250" s="1">
        <v>200000</v>
      </c>
      <c r="J250" s="1">
        <v>200000</v>
      </c>
      <c r="K250" s="1">
        <v>26.289300000000001</v>
      </c>
    </row>
    <row r="251" spans="2:11" x14ac:dyDescent="0.2">
      <c r="B251" s="26" t="str">
        <f>_xlfn.XLOOKUP(Total[[#This Row],[Metodo]],TbSolver[Metodo],TbSolver[Solver])</f>
        <v>Adams Bashford</v>
      </c>
      <c r="C251" s="26" t="str">
        <f>_xlfn.XLOOKUP(Total[[#This Row],[Hebras]],TbTecnologia[Hebras],TbTecnologia[Tecnología])</f>
        <v>CUDA</v>
      </c>
      <c r="D251" s="26" t="str" cm="1">
        <f t="array" ref="D251">_xlfn.XLOOKUP(Total[[#This Row],[Tecnología]]&amp;Total[[#This Row],[Metodo]],TbTipos[Tecnología]&amp;TbTipos[Metodo],TbTipos[Tipo])</f>
        <v>CUDA sin graph</v>
      </c>
      <c r="E251" s="26" t="str" cm="1">
        <f t="array" ref="E251">_xlfn.XLOOKUP(Total[[#This Row],[Tecnología]]&amp;Total[[#This Row],[Problema]],TbNombres[Tecnología]&amp;TbNombres[Problema],TbNombres[Nombre])</f>
        <v>Simple Advdiff shuffle</v>
      </c>
      <c r="F251" s="1">
        <v>3</v>
      </c>
      <c r="G251" s="1">
        <v>2</v>
      </c>
      <c r="H251" s="1">
        <v>256</v>
      </c>
      <c r="I251" s="1">
        <v>200000</v>
      </c>
      <c r="J251" s="1">
        <v>200000</v>
      </c>
      <c r="K251" s="1">
        <v>26.349699999999999</v>
      </c>
    </row>
    <row r="252" spans="2:11" x14ac:dyDescent="0.2">
      <c r="B252" s="26" t="str">
        <f>_xlfn.XLOOKUP(Total[[#This Row],[Metodo]],TbSolver[Metodo],TbSolver[Solver])</f>
        <v>Adams Bashford</v>
      </c>
      <c r="C252" s="26" t="str">
        <f>_xlfn.XLOOKUP(Total[[#This Row],[Hebras]],TbTecnologia[Hebras],TbTecnologia[Tecnología])</f>
        <v>CUDA</v>
      </c>
      <c r="D252" s="26" t="str" cm="1">
        <f t="array" ref="D252">_xlfn.XLOOKUP(Total[[#This Row],[Tecnología]]&amp;Total[[#This Row],[Metodo]],TbTipos[Tecnología]&amp;TbTipos[Metodo],TbTipos[Tipo])</f>
        <v>CUDA sin graph</v>
      </c>
      <c r="E252" s="26" t="str" cm="1">
        <f t="array" ref="E252">_xlfn.XLOOKUP(Total[[#This Row],[Tecnología]]&amp;Total[[#This Row],[Problema]],TbNombres[Tecnología]&amp;TbNombres[Problema],TbNombres[Nombre])</f>
        <v>Simple Advdiff</v>
      </c>
      <c r="F252" s="1">
        <v>3</v>
      </c>
      <c r="G252" s="1">
        <v>1</v>
      </c>
      <c r="H252" s="1">
        <v>256</v>
      </c>
      <c r="I252" s="1">
        <v>200000</v>
      </c>
      <c r="J252" s="1">
        <v>200000</v>
      </c>
      <c r="K252" s="1">
        <v>26.668099999999999</v>
      </c>
    </row>
    <row r="253" spans="2:11" x14ac:dyDescent="0.2">
      <c r="B253" s="26" t="str">
        <f>_xlfn.XLOOKUP(Total[[#This Row],[Metodo]],TbSolver[Metodo],TbSolver[Solver])</f>
        <v>Adams Bashford</v>
      </c>
      <c r="C253" s="26" t="str">
        <f>_xlfn.XLOOKUP(Total[[#This Row],[Hebras]],TbTecnologia[Hebras],TbTecnologia[Tecnología])</f>
        <v>OMP</v>
      </c>
      <c r="D253" s="26" t="str" cm="1">
        <f t="array" ref="D253">_xlfn.XLOOKUP(Total[[#This Row],[Tecnología]]&amp;Total[[#This Row],[Metodo]],TbTipos[Tecnología]&amp;TbTipos[Metodo],TbTipos[Tipo])</f>
        <v>OMP Operaciones</v>
      </c>
      <c r="E253" s="26" t="str" cm="1">
        <f t="array" ref="E253">_xlfn.XLOOKUP(Total[[#This Row],[Tecnología]]&amp;Total[[#This Row],[Problema]],TbNombres[Tecnología]&amp;TbNombres[Problema],TbNombres[Nombre])</f>
        <v>Simple Advdiff</v>
      </c>
      <c r="F253" s="1">
        <v>3</v>
      </c>
      <c r="G253" s="1">
        <v>1</v>
      </c>
      <c r="H253" s="1">
        <v>1</v>
      </c>
      <c r="I253" s="1">
        <v>100</v>
      </c>
      <c r="J253" s="1">
        <v>100</v>
      </c>
      <c r="K253" s="1">
        <v>1.3585700000000001</v>
      </c>
    </row>
    <row r="254" spans="2:11" x14ac:dyDescent="0.2">
      <c r="B254" s="26" t="str">
        <f>_xlfn.XLOOKUP(Total[[#This Row],[Metodo]],TbSolver[Metodo],TbSolver[Solver])</f>
        <v>Adams Bashford</v>
      </c>
      <c r="C254" s="26" t="str">
        <f>_xlfn.XLOOKUP(Total[[#This Row],[Hebras]],TbTecnologia[Hebras],TbTecnologia[Tecnología])</f>
        <v>OMP</v>
      </c>
      <c r="D254" s="26" t="str" cm="1">
        <f t="array" ref="D254">_xlfn.XLOOKUP(Total[[#This Row],[Tecnología]]&amp;Total[[#This Row],[Metodo]],TbTipos[Tecnología]&amp;TbTipos[Metodo],TbTipos[Tipo])</f>
        <v>OMP Operaciones</v>
      </c>
      <c r="E254" s="26" t="str" cm="1">
        <f t="array" ref="E254">_xlfn.XLOOKUP(Total[[#This Row],[Tecnología]]&amp;Total[[#This Row],[Problema]],TbNombres[Tecnología]&amp;TbNombres[Problema],TbNombres[Nombre])</f>
        <v>Simple Advdiff</v>
      </c>
      <c r="F254" s="1">
        <v>3</v>
      </c>
      <c r="G254" s="1">
        <v>1</v>
      </c>
      <c r="H254" s="1">
        <v>4</v>
      </c>
      <c r="I254" s="1">
        <v>100</v>
      </c>
      <c r="J254" s="1">
        <v>100</v>
      </c>
      <c r="K254" s="1">
        <v>13.014099999999999</v>
      </c>
    </row>
    <row r="255" spans="2:11" x14ac:dyDescent="0.2">
      <c r="B255" s="26" t="str">
        <f>_xlfn.XLOOKUP(Total[[#This Row],[Metodo]],TbSolver[Metodo],TbSolver[Solver])</f>
        <v>Adams Bashford</v>
      </c>
      <c r="C255" s="26" t="str">
        <f>_xlfn.XLOOKUP(Total[[#This Row],[Hebras]],TbTecnologia[Hebras],TbTecnologia[Tecnología])</f>
        <v>OMP</v>
      </c>
      <c r="D255" s="26" t="str" cm="1">
        <f t="array" ref="D255">_xlfn.XLOOKUP(Total[[#This Row],[Tecnología]]&amp;Total[[#This Row],[Metodo]],TbTipos[Tecnología]&amp;TbTipos[Metodo],TbTipos[Tipo])</f>
        <v>OMP Operaciones</v>
      </c>
      <c r="E255" s="26" t="str" cm="1">
        <f t="array" ref="E255">_xlfn.XLOOKUP(Total[[#This Row],[Tecnología]]&amp;Total[[#This Row],[Problema]],TbNombres[Tecnología]&amp;TbNombres[Problema],TbNombres[Nombre])</f>
        <v>Simple Advdiff</v>
      </c>
      <c r="F255" s="1">
        <v>3</v>
      </c>
      <c r="G255" s="1">
        <v>1</v>
      </c>
      <c r="H255" s="1">
        <v>16</v>
      </c>
      <c r="I255" s="1">
        <v>100</v>
      </c>
      <c r="J255" s="1">
        <v>100</v>
      </c>
      <c r="K255" s="1">
        <v>28.328299999999999</v>
      </c>
    </row>
    <row r="256" spans="2:11" x14ac:dyDescent="0.2">
      <c r="B256" s="26" t="str">
        <f>_xlfn.XLOOKUP(Total[[#This Row],[Metodo]],TbSolver[Metodo],TbSolver[Solver])</f>
        <v>Adams Bashford</v>
      </c>
      <c r="C256" s="26" t="str">
        <f>_xlfn.XLOOKUP(Total[[#This Row],[Hebras]],TbTecnologia[Hebras],TbTecnologia[Tecnología])</f>
        <v>OMP</v>
      </c>
      <c r="D256" s="26" t="str" cm="1">
        <f t="array" ref="D256">_xlfn.XLOOKUP(Total[[#This Row],[Tecnología]]&amp;Total[[#This Row],[Metodo]],TbTipos[Tecnología]&amp;TbTipos[Metodo],TbTipos[Tipo])</f>
        <v>OMP Operaciones</v>
      </c>
      <c r="E256" s="26" t="str" cm="1">
        <f t="array" ref="E256">_xlfn.XLOOKUP(Total[[#This Row],[Tecnología]]&amp;Total[[#This Row],[Problema]],TbNombres[Tecnología]&amp;TbNombres[Problema],TbNombres[Nombre])</f>
        <v>Simple Advdiff</v>
      </c>
      <c r="F256" s="1">
        <v>3</v>
      </c>
      <c r="G256" s="1">
        <v>1</v>
      </c>
      <c r="H256" s="1">
        <v>1</v>
      </c>
      <c r="I256" s="1">
        <v>200</v>
      </c>
      <c r="J256" s="1">
        <v>200</v>
      </c>
      <c r="K256" s="1">
        <v>1.5078100000000001</v>
      </c>
    </row>
    <row r="257" spans="2:11" x14ac:dyDescent="0.2">
      <c r="B257" s="26" t="str">
        <f>_xlfn.XLOOKUP(Total[[#This Row],[Metodo]],TbSolver[Metodo],TbSolver[Solver])</f>
        <v>Adams Bashford</v>
      </c>
      <c r="C257" s="26" t="str">
        <f>_xlfn.XLOOKUP(Total[[#This Row],[Hebras]],TbTecnologia[Hebras],TbTecnologia[Tecnología])</f>
        <v>OMP</v>
      </c>
      <c r="D257" s="26" t="str" cm="1">
        <f t="array" ref="D257">_xlfn.XLOOKUP(Total[[#This Row],[Tecnología]]&amp;Total[[#This Row],[Metodo]],TbTipos[Tecnología]&amp;TbTipos[Metodo],TbTipos[Tipo])</f>
        <v>OMP Operaciones</v>
      </c>
      <c r="E257" s="26" t="str" cm="1">
        <f t="array" ref="E257">_xlfn.XLOOKUP(Total[[#This Row],[Tecnología]]&amp;Total[[#This Row],[Problema]],TbNombres[Tecnología]&amp;TbNombres[Problema],TbNombres[Nombre])</f>
        <v>Simple Advdiff</v>
      </c>
      <c r="F257" s="1">
        <v>3</v>
      </c>
      <c r="G257" s="1">
        <v>1</v>
      </c>
      <c r="H257" s="1">
        <v>4</v>
      </c>
      <c r="I257" s="1">
        <v>200</v>
      </c>
      <c r="J257" s="1">
        <v>200</v>
      </c>
      <c r="K257" s="1">
        <v>12.255599999999999</v>
      </c>
    </row>
    <row r="258" spans="2:11" x14ac:dyDescent="0.2">
      <c r="B258" s="26" t="str">
        <f>_xlfn.XLOOKUP(Total[[#This Row],[Metodo]],TbSolver[Metodo],TbSolver[Solver])</f>
        <v>Adams Bashford</v>
      </c>
      <c r="C258" s="26" t="str">
        <f>_xlfn.XLOOKUP(Total[[#This Row],[Hebras]],TbTecnologia[Hebras],TbTecnologia[Tecnología])</f>
        <v>OMP</v>
      </c>
      <c r="D258" s="26" t="str" cm="1">
        <f t="array" ref="D258">_xlfn.XLOOKUP(Total[[#This Row],[Tecnología]]&amp;Total[[#This Row],[Metodo]],TbTipos[Tecnología]&amp;TbTipos[Metodo],TbTipos[Tipo])</f>
        <v>OMP Operaciones</v>
      </c>
      <c r="E258" s="26" t="str" cm="1">
        <f t="array" ref="E258">_xlfn.XLOOKUP(Total[[#This Row],[Tecnología]]&amp;Total[[#This Row],[Problema]],TbNombres[Tecnología]&amp;TbNombres[Problema],TbNombres[Nombre])</f>
        <v>Simple Advdiff</v>
      </c>
      <c r="F258" s="1">
        <v>3</v>
      </c>
      <c r="G258" s="1">
        <v>1</v>
      </c>
      <c r="H258" s="1">
        <v>16</v>
      </c>
      <c r="I258" s="1">
        <v>200</v>
      </c>
      <c r="J258" s="1">
        <v>200</v>
      </c>
      <c r="K258" s="1">
        <v>30.1144</v>
      </c>
    </row>
    <row r="259" spans="2:11" x14ac:dyDescent="0.2">
      <c r="B259" s="26" t="str">
        <f>_xlfn.XLOOKUP(Total[[#This Row],[Metodo]],TbSolver[Metodo],TbSolver[Solver])</f>
        <v>Adams Bashford</v>
      </c>
      <c r="C259" s="26" t="str">
        <f>_xlfn.XLOOKUP(Total[[#This Row],[Hebras]],TbTecnologia[Hebras],TbTecnologia[Tecnología])</f>
        <v>OMP</v>
      </c>
      <c r="D259" s="26" t="str" cm="1">
        <f t="array" ref="D259">_xlfn.XLOOKUP(Total[[#This Row],[Tecnología]]&amp;Total[[#This Row],[Metodo]],TbTipos[Tecnología]&amp;TbTipos[Metodo],TbTipos[Tipo])</f>
        <v>OMP Operaciones</v>
      </c>
      <c r="E259" s="26" t="str" cm="1">
        <f t="array" ref="E259">_xlfn.XLOOKUP(Total[[#This Row],[Tecnología]]&amp;Total[[#This Row],[Problema]],TbNombres[Tecnología]&amp;TbNombres[Problema],TbNombres[Nombre])</f>
        <v>Simple Advdiff</v>
      </c>
      <c r="F259" s="1">
        <v>3</v>
      </c>
      <c r="G259" s="1">
        <v>1</v>
      </c>
      <c r="H259" s="1">
        <v>1</v>
      </c>
      <c r="I259" s="1">
        <v>500</v>
      </c>
      <c r="J259" s="1">
        <v>500</v>
      </c>
      <c r="K259" s="1">
        <v>2.0038</v>
      </c>
    </row>
    <row r="260" spans="2:11" x14ac:dyDescent="0.2">
      <c r="B260" s="26" t="str">
        <f>_xlfn.XLOOKUP(Total[[#This Row],[Metodo]],TbSolver[Metodo],TbSolver[Solver])</f>
        <v>Adams Bashford</v>
      </c>
      <c r="C260" s="26" t="str">
        <f>_xlfn.XLOOKUP(Total[[#This Row],[Hebras]],TbTecnologia[Hebras],TbTecnologia[Tecnología])</f>
        <v>OMP</v>
      </c>
      <c r="D260" s="26" t="str" cm="1">
        <f t="array" ref="D260">_xlfn.XLOOKUP(Total[[#This Row],[Tecnología]]&amp;Total[[#This Row],[Metodo]],TbTipos[Tecnología]&amp;TbTipos[Metodo],TbTipos[Tipo])</f>
        <v>OMP Operaciones</v>
      </c>
      <c r="E260" s="26" t="str" cm="1">
        <f t="array" ref="E260">_xlfn.XLOOKUP(Total[[#This Row],[Tecnología]]&amp;Total[[#This Row],[Problema]],TbNombres[Tecnología]&amp;TbNombres[Problema],TbNombres[Nombre])</f>
        <v>Simple Advdiff</v>
      </c>
      <c r="F260" s="1">
        <v>3</v>
      </c>
      <c r="G260" s="1">
        <v>1</v>
      </c>
      <c r="H260" s="1">
        <v>4</v>
      </c>
      <c r="I260" s="1">
        <v>500</v>
      </c>
      <c r="J260" s="1">
        <v>500</v>
      </c>
      <c r="K260" s="1">
        <v>14.3193</v>
      </c>
    </row>
    <row r="261" spans="2:11" x14ac:dyDescent="0.2">
      <c r="B261" s="26" t="str">
        <f>_xlfn.XLOOKUP(Total[[#This Row],[Metodo]],TbSolver[Metodo],TbSolver[Solver])</f>
        <v>Adams Bashford</v>
      </c>
      <c r="C261" s="26" t="str">
        <f>_xlfn.XLOOKUP(Total[[#This Row],[Hebras]],TbTecnologia[Hebras],TbTecnologia[Tecnología])</f>
        <v>OMP</v>
      </c>
      <c r="D261" s="26" t="str" cm="1">
        <f t="array" ref="D261">_xlfn.XLOOKUP(Total[[#This Row],[Tecnología]]&amp;Total[[#This Row],[Metodo]],TbTipos[Tecnología]&amp;TbTipos[Metodo],TbTipos[Tipo])</f>
        <v>OMP Operaciones</v>
      </c>
      <c r="E261" s="26" t="str" cm="1">
        <f t="array" ref="E261">_xlfn.XLOOKUP(Total[[#This Row],[Tecnología]]&amp;Total[[#This Row],[Problema]],TbNombres[Tecnología]&amp;TbNombres[Problema],TbNombres[Nombre])</f>
        <v>Simple Advdiff</v>
      </c>
      <c r="F261" s="1">
        <v>3</v>
      </c>
      <c r="G261" s="1">
        <v>1</v>
      </c>
      <c r="H261" s="1">
        <v>16</v>
      </c>
      <c r="I261" s="1">
        <v>500</v>
      </c>
      <c r="J261" s="1">
        <v>500</v>
      </c>
      <c r="K261" s="1">
        <v>28.5822</v>
      </c>
    </row>
    <row r="262" spans="2:11" x14ac:dyDescent="0.2">
      <c r="B262" s="26" t="str">
        <f>_xlfn.XLOOKUP(Total[[#This Row],[Metodo]],TbSolver[Metodo],TbSolver[Solver])</f>
        <v>Adams Bashford</v>
      </c>
      <c r="C262" s="26" t="str">
        <f>_xlfn.XLOOKUP(Total[[#This Row],[Hebras]],TbTecnologia[Hebras],TbTecnologia[Tecnología])</f>
        <v>OMP</v>
      </c>
      <c r="D262" s="26" t="str" cm="1">
        <f t="array" ref="D262">_xlfn.XLOOKUP(Total[[#This Row],[Tecnología]]&amp;Total[[#This Row],[Metodo]],TbTipos[Tecnología]&amp;TbTipos[Metodo],TbTipos[Tipo])</f>
        <v>OMP Operaciones</v>
      </c>
      <c r="E262" s="26" t="str" cm="1">
        <f t="array" ref="E262">_xlfn.XLOOKUP(Total[[#This Row],[Tecnología]]&amp;Total[[#This Row],[Problema]],TbNombres[Tecnología]&amp;TbNombres[Problema],TbNombres[Nombre])</f>
        <v>Simple Advdiff</v>
      </c>
      <c r="F262" s="1">
        <v>3</v>
      </c>
      <c r="G262" s="1">
        <v>1</v>
      </c>
      <c r="H262" s="1">
        <v>1</v>
      </c>
      <c r="I262" s="1">
        <v>1000</v>
      </c>
      <c r="J262" s="1">
        <v>1000</v>
      </c>
      <c r="K262" s="1">
        <v>3.1231499999999999</v>
      </c>
    </row>
    <row r="263" spans="2:11" x14ac:dyDescent="0.2">
      <c r="B263" s="26" t="str">
        <f>_xlfn.XLOOKUP(Total[[#This Row],[Metodo]],TbSolver[Metodo],TbSolver[Solver])</f>
        <v>Adams Bashford</v>
      </c>
      <c r="C263" s="26" t="str">
        <f>_xlfn.XLOOKUP(Total[[#This Row],[Hebras]],TbTecnologia[Hebras],TbTecnologia[Tecnología])</f>
        <v>OMP</v>
      </c>
      <c r="D263" s="26" t="str" cm="1">
        <f t="array" ref="D263">_xlfn.XLOOKUP(Total[[#This Row],[Tecnología]]&amp;Total[[#This Row],[Metodo]],TbTipos[Tecnología]&amp;TbTipos[Metodo],TbTipos[Tipo])</f>
        <v>OMP Operaciones</v>
      </c>
      <c r="E263" s="26" t="str" cm="1">
        <f t="array" ref="E263">_xlfn.XLOOKUP(Total[[#This Row],[Tecnología]]&amp;Total[[#This Row],[Problema]],TbNombres[Tecnología]&amp;TbNombres[Problema],TbNombres[Nombre])</f>
        <v>Simple Advdiff</v>
      </c>
      <c r="F263" s="1">
        <v>3</v>
      </c>
      <c r="G263" s="1">
        <v>1</v>
      </c>
      <c r="H263" s="1">
        <v>4</v>
      </c>
      <c r="I263" s="1">
        <v>1000</v>
      </c>
      <c r="J263" s="1">
        <v>1000</v>
      </c>
      <c r="K263" s="1">
        <v>13.0106</v>
      </c>
    </row>
    <row r="264" spans="2:11" x14ac:dyDescent="0.2">
      <c r="B264" s="26" t="str">
        <f>_xlfn.XLOOKUP(Total[[#This Row],[Metodo]],TbSolver[Metodo],TbSolver[Solver])</f>
        <v>Adams Bashford</v>
      </c>
      <c r="C264" s="26" t="str">
        <f>_xlfn.XLOOKUP(Total[[#This Row],[Hebras]],TbTecnologia[Hebras],TbTecnologia[Tecnología])</f>
        <v>OMP</v>
      </c>
      <c r="D264" s="26" t="str" cm="1">
        <f t="array" ref="D264">_xlfn.XLOOKUP(Total[[#This Row],[Tecnología]]&amp;Total[[#This Row],[Metodo]],TbTipos[Tecnología]&amp;TbTipos[Metodo],TbTipos[Tipo])</f>
        <v>OMP Operaciones</v>
      </c>
      <c r="E264" s="26" t="str" cm="1">
        <f t="array" ref="E264">_xlfn.XLOOKUP(Total[[#This Row],[Tecnología]]&amp;Total[[#This Row],[Problema]],TbNombres[Tecnología]&amp;TbNombres[Problema],TbNombres[Nombre])</f>
        <v>Simple Advdiff</v>
      </c>
      <c r="F264" s="1">
        <v>3</v>
      </c>
      <c r="G264" s="1">
        <v>1</v>
      </c>
      <c r="H264" s="1">
        <v>16</v>
      </c>
      <c r="I264" s="1">
        <v>1000</v>
      </c>
      <c r="J264" s="1">
        <v>1000</v>
      </c>
      <c r="K264" s="1">
        <v>31.720600000000001</v>
      </c>
    </row>
    <row r="265" spans="2:11" x14ac:dyDescent="0.2">
      <c r="B265" s="26" t="str">
        <f>_xlfn.XLOOKUP(Total[[#This Row],[Metodo]],TbSolver[Metodo],TbSolver[Solver])</f>
        <v>Adams Bashford</v>
      </c>
      <c r="C265" s="26" t="str">
        <f>_xlfn.XLOOKUP(Total[[#This Row],[Hebras]],TbTecnologia[Hebras],TbTecnologia[Tecnología])</f>
        <v>OMP</v>
      </c>
      <c r="D265" s="26" t="str" cm="1">
        <f t="array" ref="D265">_xlfn.XLOOKUP(Total[[#This Row],[Tecnología]]&amp;Total[[#This Row],[Metodo]],TbTipos[Tecnología]&amp;TbTipos[Metodo],TbTipos[Tipo])</f>
        <v>OMP Elementos</v>
      </c>
      <c r="E265" s="26" t="str" cm="1">
        <f t="array" ref="E265">_xlfn.XLOOKUP(Total[[#This Row],[Tecnología]]&amp;Total[[#This Row],[Problema]],TbNombres[Tecnología]&amp;TbNombres[Problema],TbNombres[Nombre])</f>
        <v>Simple Advdiff</v>
      </c>
      <c r="F265" s="1">
        <v>4</v>
      </c>
      <c r="G265" s="1">
        <v>1</v>
      </c>
      <c r="H265" s="1">
        <v>1</v>
      </c>
      <c r="I265" s="1">
        <v>100</v>
      </c>
      <c r="J265" s="1">
        <v>100</v>
      </c>
      <c r="K265" s="1">
        <v>0.96739799999999998</v>
      </c>
    </row>
    <row r="266" spans="2:11" x14ac:dyDescent="0.2">
      <c r="B266" s="26" t="str">
        <f>_xlfn.XLOOKUP(Total[[#This Row],[Metodo]],TbSolver[Metodo],TbSolver[Solver])</f>
        <v>Adams Bashford</v>
      </c>
      <c r="C266" s="26" t="str">
        <f>_xlfn.XLOOKUP(Total[[#This Row],[Hebras]],TbTecnologia[Hebras],TbTecnologia[Tecnología])</f>
        <v>OMP</v>
      </c>
      <c r="D266" s="26" t="str" cm="1">
        <f t="array" ref="D266">_xlfn.XLOOKUP(Total[[#This Row],[Tecnología]]&amp;Total[[#This Row],[Metodo]],TbTipos[Tecnología]&amp;TbTipos[Metodo],TbTipos[Tipo])</f>
        <v>OMP Elementos</v>
      </c>
      <c r="E266" s="26" t="str" cm="1">
        <f t="array" ref="E266">_xlfn.XLOOKUP(Total[[#This Row],[Tecnología]]&amp;Total[[#This Row],[Problema]],TbNombres[Tecnología]&amp;TbNombres[Problema],TbNombres[Nombre])</f>
        <v>Simple Advdiff</v>
      </c>
      <c r="F266" s="1">
        <v>4</v>
      </c>
      <c r="G266" s="1">
        <v>1</v>
      </c>
      <c r="H266" s="1">
        <v>4</v>
      </c>
      <c r="I266" s="1">
        <v>100</v>
      </c>
      <c r="J266" s="1">
        <v>100</v>
      </c>
      <c r="K266" s="1">
        <v>4.3358400000000001</v>
      </c>
    </row>
    <row r="267" spans="2:11" x14ac:dyDescent="0.2">
      <c r="B267" s="26" t="str">
        <f>_xlfn.XLOOKUP(Total[[#This Row],[Metodo]],TbSolver[Metodo],TbSolver[Solver])</f>
        <v>Adams Bashford</v>
      </c>
      <c r="C267" s="26" t="str">
        <f>_xlfn.XLOOKUP(Total[[#This Row],[Hebras]],TbTecnologia[Hebras],TbTecnologia[Tecnología])</f>
        <v>OMP</v>
      </c>
      <c r="D267" s="26" t="str" cm="1">
        <f t="array" ref="D267">_xlfn.XLOOKUP(Total[[#This Row],[Tecnología]]&amp;Total[[#This Row],[Metodo]],TbTipos[Tecnología]&amp;TbTipos[Metodo],TbTipos[Tipo])</f>
        <v>OMP Elementos</v>
      </c>
      <c r="E267" s="26" t="str" cm="1">
        <f t="array" ref="E267">_xlfn.XLOOKUP(Total[[#This Row],[Tecnología]]&amp;Total[[#This Row],[Problema]],TbNombres[Tecnología]&amp;TbNombres[Problema],TbNombres[Nombre])</f>
        <v>Simple Advdiff</v>
      </c>
      <c r="F267" s="1">
        <v>4</v>
      </c>
      <c r="G267" s="1">
        <v>1</v>
      </c>
      <c r="H267" s="1">
        <v>16</v>
      </c>
      <c r="I267" s="1">
        <v>100</v>
      </c>
      <c r="J267" s="1">
        <v>100</v>
      </c>
      <c r="K267" s="1">
        <v>18.105</v>
      </c>
    </row>
    <row r="268" spans="2:11" x14ac:dyDescent="0.2">
      <c r="B268" s="26" t="str">
        <f>_xlfn.XLOOKUP(Total[[#This Row],[Metodo]],TbSolver[Metodo],TbSolver[Solver])</f>
        <v>Adams Bashford</v>
      </c>
      <c r="C268" s="26" t="str">
        <f>_xlfn.XLOOKUP(Total[[#This Row],[Hebras]],TbTecnologia[Hebras],TbTecnologia[Tecnología])</f>
        <v>OMP</v>
      </c>
      <c r="D268" s="26" t="str" cm="1">
        <f t="array" ref="D268">_xlfn.XLOOKUP(Total[[#This Row],[Tecnología]]&amp;Total[[#This Row],[Metodo]],TbTipos[Tecnología]&amp;TbTipos[Metodo],TbTipos[Tipo])</f>
        <v>OMP Elementos</v>
      </c>
      <c r="E268" s="26" t="str" cm="1">
        <f t="array" ref="E268">_xlfn.XLOOKUP(Total[[#This Row],[Tecnología]]&amp;Total[[#This Row],[Problema]],TbNombres[Tecnología]&amp;TbNombres[Problema],TbNombres[Nombre])</f>
        <v>Simple Advdiff</v>
      </c>
      <c r="F268" s="1">
        <v>4</v>
      </c>
      <c r="G268" s="1">
        <v>1</v>
      </c>
      <c r="H268" s="1">
        <v>1</v>
      </c>
      <c r="I268" s="1">
        <v>200</v>
      </c>
      <c r="J268" s="1">
        <v>200</v>
      </c>
      <c r="K268" s="1">
        <v>1.4582599999999999</v>
      </c>
    </row>
    <row r="269" spans="2:11" x14ac:dyDescent="0.2">
      <c r="B269" s="26" t="str">
        <f>_xlfn.XLOOKUP(Total[[#This Row],[Metodo]],TbSolver[Metodo],TbSolver[Solver])</f>
        <v>Adams Bashford</v>
      </c>
      <c r="C269" s="26" t="str">
        <f>_xlfn.XLOOKUP(Total[[#This Row],[Hebras]],TbTecnologia[Hebras],TbTecnologia[Tecnología])</f>
        <v>OMP</v>
      </c>
      <c r="D269" s="26" t="str" cm="1">
        <f t="array" ref="D269">_xlfn.XLOOKUP(Total[[#This Row],[Tecnología]]&amp;Total[[#This Row],[Metodo]],TbTipos[Tecnología]&amp;TbTipos[Metodo],TbTipos[Tipo])</f>
        <v>OMP Elementos</v>
      </c>
      <c r="E269" s="26" t="str" cm="1">
        <f t="array" ref="E269">_xlfn.XLOOKUP(Total[[#This Row],[Tecnología]]&amp;Total[[#This Row],[Problema]],TbNombres[Tecnología]&amp;TbNombres[Problema],TbNombres[Nombre])</f>
        <v>Simple Advdiff</v>
      </c>
      <c r="F269" s="1">
        <v>4</v>
      </c>
      <c r="G269" s="1">
        <v>1</v>
      </c>
      <c r="H269" s="1">
        <v>4</v>
      </c>
      <c r="I269" s="1">
        <v>200</v>
      </c>
      <c r="J269" s="1">
        <v>200</v>
      </c>
      <c r="K269" s="1">
        <v>4.4360600000000003</v>
      </c>
    </row>
    <row r="270" spans="2:11" x14ac:dyDescent="0.2">
      <c r="B270" s="26" t="str">
        <f>_xlfn.XLOOKUP(Total[[#This Row],[Metodo]],TbSolver[Metodo],TbSolver[Solver])</f>
        <v>Adams Bashford</v>
      </c>
      <c r="C270" s="26" t="str">
        <f>_xlfn.XLOOKUP(Total[[#This Row],[Hebras]],TbTecnologia[Hebras],TbTecnologia[Tecnología])</f>
        <v>OMP</v>
      </c>
      <c r="D270" s="26" t="str" cm="1">
        <f t="array" ref="D270">_xlfn.XLOOKUP(Total[[#This Row],[Tecnología]]&amp;Total[[#This Row],[Metodo]],TbTipos[Tecnología]&amp;TbTipos[Metodo],TbTipos[Tipo])</f>
        <v>OMP Elementos</v>
      </c>
      <c r="E270" s="26" t="str" cm="1">
        <f t="array" ref="E270">_xlfn.XLOOKUP(Total[[#This Row],[Tecnología]]&amp;Total[[#This Row],[Problema]],TbNombres[Tecnología]&amp;TbNombres[Problema],TbNombres[Nombre])</f>
        <v>Simple Advdiff</v>
      </c>
      <c r="F270" s="1">
        <v>4</v>
      </c>
      <c r="G270" s="1">
        <v>1</v>
      </c>
      <c r="H270" s="1">
        <v>16</v>
      </c>
      <c r="I270" s="1">
        <v>200</v>
      </c>
      <c r="J270" s="1">
        <v>200</v>
      </c>
      <c r="K270" s="1">
        <v>11.6637</v>
      </c>
    </row>
    <row r="271" spans="2:11" x14ac:dyDescent="0.2">
      <c r="B271" s="26" t="str">
        <f>_xlfn.XLOOKUP(Total[[#This Row],[Metodo]],TbSolver[Metodo],TbSolver[Solver])</f>
        <v>Adams Bashford</v>
      </c>
      <c r="C271" s="26" t="str">
        <f>_xlfn.XLOOKUP(Total[[#This Row],[Hebras]],TbTecnologia[Hebras],TbTecnologia[Tecnología])</f>
        <v>OMP</v>
      </c>
      <c r="D271" s="26" t="str" cm="1">
        <f t="array" ref="D271">_xlfn.XLOOKUP(Total[[#This Row],[Tecnología]]&amp;Total[[#This Row],[Metodo]],TbTipos[Tecnología]&amp;TbTipos[Metodo],TbTipos[Tipo])</f>
        <v>OMP Elementos</v>
      </c>
      <c r="E271" s="26" t="str" cm="1">
        <f t="array" ref="E271">_xlfn.XLOOKUP(Total[[#This Row],[Tecnología]]&amp;Total[[#This Row],[Problema]],TbNombres[Tecnología]&amp;TbNombres[Problema],TbNombres[Nombre])</f>
        <v>Simple Advdiff</v>
      </c>
      <c r="F271" s="1">
        <v>4</v>
      </c>
      <c r="G271" s="1">
        <v>1</v>
      </c>
      <c r="H271" s="1">
        <v>1</v>
      </c>
      <c r="I271" s="1">
        <v>500</v>
      </c>
      <c r="J271" s="1">
        <v>500</v>
      </c>
      <c r="K271" s="1">
        <v>2.9785400000000002</v>
      </c>
    </row>
    <row r="272" spans="2:11" x14ac:dyDescent="0.2">
      <c r="B272" s="26" t="str">
        <f>_xlfn.XLOOKUP(Total[[#This Row],[Metodo]],TbSolver[Metodo],TbSolver[Solver])</f>
        <v>Adams Bashford</v>
      </c>
      <c r="C272" s="26" t="str">
        <f>_xlfn.XLOOKUP(Total[[#This Row],[Hebras]],TbTecnologia[Hebras],TbTecnologia[Tecnología])</f>
        <v>OMP</v>
      </c>
      <c r="D272" s="26" t="str" cm="1">
        <f t="array" ref="D272">_xlfn.XLOOKUP(Total[[#This Row],[Tecnología]]&amp;Total[[#This Row],[Metodo]],TbTipos[Tecnología]&amp;TbTipos[Metodo],TbTipos[Tipo])</f>
        <v>OMP Elementos</v>
      </c>
      <c r="E272" s="26" t="str" cm="1">
        <f t="array" ref="E272">_xlfn.XLOOKUP(Total[[#This Row],[Tecnología]]&amp;Total[[#This Row],[Problema]],TbNombres[Tecnología]&amp;TbNombres[Problema],TbNombres[Nombre])</f>
        <v>Simple Advdiff</v>
      </c>
      <c r="F272" s="1">
        <v>4</v>
      </c>
      <c r="G272" s="1">
        <v>1</v>
      </c>
      <c r="H272" s="1">
        <v>4</v>
      </c>
      <c r="I272" s="1">
        <v>500</v>
      </c>
      <c r="J272" s="1">
        <v>500</v>
      </c>
      <c r="K272" s="1">
        <v>5.1633300000000002</v>
      </c>
    </row>
    <row r="273" spans="2:11" x14ac:dyDescent="0.2">
      <c r="B273" s="26" t="str">
        <f>_xlfn.XLOOKUP(Total[[#This Row],[Metodo]],TbSolver[Metodo],TbSolver[Solver])</f>
        <v>Adams Bashford</v>
      </c>
      <c r="C273" s="26" t="str">
        <f>_xlfn.XLOOKUP(Total[[#This Row],[Hebras]],TbTecnologia[Hebras],TbTecnologia[Tecnología])</f>
        <v>OMP</v>
      </c>
      <c r="D273" s="26" t="str" cm="1">
        <f t="array" ref="D273">_xlfn.XLOOKUP(Total[[#This Row],[Tecnología]]&amp;Total[[#This Row],[Metodo]],TbTipos[Tecnología]&amp;TbTipos[Metodo],TbTipos[Tipo])</f>
        <v>OMP Elementos</v>
      </c>
      <c r="E273" s="26" t="str" cm="1">
        <f t="array" ref="E273">_xlfn.XLOOKUP(Total[[#This Row],[Tecnología]]&amp;Total[[#This Row],[Problema]],TbNombres[Tecnología]&amp;TbNombres[Problema],TbNombres[Nombre])</f>
        <v>Simple Advdiff</v>
      </c>
      <c r="F273" s="1">
        <v>4</v>
      </c>
      <c r="G273" s="1">
        <v>1</v>
      </c>
      <c r="H273" s="1">
        <v>16</v>
      </c>
      <c r="I273" s="1">
        <v>500</v>
      </c>
      <c r="J273" s="1">
        <v>500</v>
      </c>
      <c r="K273" s="1">
        <v>26.898399999999999</v>
      </c>
    </row>
    <row r="274" spans="2:11" x14ac:dyDescent="0.2">
      <c r="B274" s="26" t="str">
        <f>_xlfn.XLOOKUP(Total[[#This Row],[Metodo]],TbSolver[Metodo],TbSolver[Solver])</f>
        <v>Adams Bashford</v>
      </c>
      <c r="C274" s="26" t="str">
        <f>_xlfn.XLOOKUP(Total[[#This Row],[Hebras]],TbTecnologia[Hebras],TbTecnologia[Tecnología])</f>
        <v>OMP</v>
      </c>
      <c r="D274" s="26" t="str" cm="1">
        <f t="array" ref="D274">_xlfn.XLOOKUP(Total[[#This Row],[Tecnología]]&amp;Total[[#This Row],[Metodo]],TbTipos[Tecnología]&amp;TbTipos[Metodo],TbTipos[Tipo])</f>
        <v>OMP Elementos</v>
      </c>
      <c r="E274" s="26" t="str" cm="1">
        <f t="array" ref="E274">_xlfn.XLOOKUP(Total[[#This Row],[Tecnología]]&amp;Total[[#This Row],[Problema]],TbNombres[Tecnología]&amp;TbNombres[Problema],TbNombres[Nombre])</f>
        <v>Simple Advdiff</v>
      </c>
      <c r="F274" s="1">
        <v>4</v>
      </c>
      <c r="G274" s="1">
        <v>1</v>
      </c>
      <c r="H274" s="1">
        <v>1</v>
      </c>
      <c r="I274" s="1">
        <v>1000</v>
      </c>
      <c r="J274" s="1">
        <v>1000</v>
      </c>
      <c r="K274" s="1">
        <v>5.4117899999999999</v>
      </c>
    </row>
    <row r="275" spans="2:11" x14ac:dyDescent="0.2">
      <c r="B275" s="26" t="str">
        <f>_xlfn.XLOOKUP(Total[[#This Row],[Metodo]],TbSolver[Metodo],TbSolver[Solver])</f>
        <v>Adams Bashford</v>
      </c>
      <c r="C275" s="26" t="str">
        <f>_xlfn.XLOOKUP(Total[[#This Row],[Hebras]],TbTecnologia[Hebras],TbTecnologia[Tecnología])</f>
        <v>OMP</v>
      </c>
      <c r="D275" s="26" t="str" cm="1">
        <f t="array" ref="D275">_xlfn.XLOOKUP(Total[[#This Row],[Tecnología]]&amp;Total[[#This Row],[Metodo]],TbTipos[Tecnología]&amp;TbTipos[Metodo],TbTipos[Tipo])</f>
        <v>OMP Elementos</v>
      </c>
      <c r="E275" s="26" t="str" cm="1">
        <f t="array" ref="E275">_xlfn.XLOOKUP(Total[[#This Row],[Tecnología]]&amp;Total[[#This Row],[Problema]],TbNombres[Tecnología]&amp;TbNombres[Problema],TbNombres[Nombre])</f>
        <v>Simple Advdiff</v>
      </c>
      <c r="F275" s="1">
        <v>4</v>
      </c>
      <c r="G275" s="1">
        <v>1</v>
      </c>
      <c r="H275" s="1">
        <v>4</v>
      </c>
      <c r="I275" s="1">
        <v>1000</v>
      </c>
      <c r="J275" s="1">
        <v>1000</v>
      </c>
      <c r="K275" s="1">
        <v>5.3016199999999998</v>
      </c>
    </row>
    <row r="276" spans="2:11" x14ac:dyDescent="0.2">
      <c r="B276" s="26" t="str">
        <f>_xlfn.XLOOKUP(Total[[#This Row],[Metodo]],TbSolver[Metodo],TbSolver[Solver])</f>
        <v>Adams Bashford</v>
      </c>
      <c r="C276" s="26" t="str">
        <f>_xlfn.XLOOKUP(Total[[#This Row],[Hebras]],TbTecnologia[Hebras],TbTecnologia[Tecnología])</f>
        <v>OMP</v>
      </c>
      <c r="D276" s="26" t="str" cm="1">
        <f t="array" ref="D276">_xlfn.XLOOKUP(Total[[#This Row],[Tecnología]]&amp;Total[[#This Row],[Metodo]],TbTipos[Tecnología]&amp;TbTipos[Metodo],TbTipos[Tipo])</f>
        <v>OMP Elementos</v>
      </c>
      <c r="E276" s="26" t="str" cm="1">
        <f t="array" ref="E276">_xlfn.XLOOKUP(Total[[#This Row],[Tecnología]]&amp;Total[[#This Row],[Problema]],TbNombres[Tecnología]&amp;TbNombres[Problema],TbNombres[Nombre])</f>
        <v>Simple Advdiff</v>
      </c>
      <c r="F276" s="1">
        <v>4</v>
      </c>
      <c r="G276" s="1">
        <v>1</v>
      </c>
      <c r="H276" s="1">
        <v>16</v>
      </c>
      <c r="I276" s="1">
        <v>1000</v>
      </c>
      <c r="J276" s="1">
        <v>1000</v>
      </c>
      <c r="K276" s="1">
        <v>9.2106399999999997</v>
      </c>
    </row>
    <row r="277" spans="2:11" x14ac:dyDescent="0.2">
      <c r="B277" s="26" t="str">
        <f>_xlfn.XLOOKUP(Total[[#This Row],[Metodo]],TbSolver[Metodo],TbSolver[Solver])</f>
        <v>Adams Bashford</v>
      </c>
      <c r="C277" s="26" t="str">
        <f>_xlfn.XLOOKUP(Total[[#This Row],[Hebras]],TbTecnologia[Hebras],TbTecnologia[Tecnología])</f>
        <v>CUDA</v>
      </c>
      <c r="D277" s="15" t="str" cm="1">
        <f t="array" ref="D277">_xlfn.XLOOKUP(Total[[#This Row],[Tecnología]]&amp;Total[[#This Row],[Metodo]],TbTipos[Tecnología]&amp;TbTipos[Metodo],TbTipos[Tipo])</f>
        <v>CUDA sin graph</v>
      </c>
      <c r="E277" s="15" t="str" cm="1">
        <f t="array" ref="E277">_xlfn.XLOOKUP(Total[[#This Row],[Tecnología]]&amp;Total[[#This Row],[Problema]],TbNombres[Tecnología]&amp;TbNombres[Problema],TbNombres[Nombre])</f>
        <v>Advdiff1d</v>
      </c>
      <c r="F277" s="2">
        <v>3</v>
      </c>
      <c r="G277" s="2">
        <v>3</v>
      </c>
      <c r="H277" s="2">
        <v>256</v>
      </c>
      <c r="I277" s="5">
        <v>100</v>
      </c>
      <c r="J277" s="2">
        <v>100</v>
      </c>
      <c r="K277" s="2">
        <v>5.5731599999999997</v>
      </c>
    </row>
    <row r="278" spans="2:11" x14ac:dyDescent="0.2">
      <c r="B278" s="26" t="str">
        <f>_xlfn.XLOOKUP(Total[[#This Row],[Metodo]],TbSolver[Metodo],TbSolver[Solver])</f>
        <v>Adams Bashford</v>
      </c>
      <c r="C278" s="26" t="str">
        <f>_xlfn.XLOOKUP(Total[[#This Row],[Hebras]],TbTecnologia[Hebras],TbTecnologia[Tecnología])</f>
        <v>CUDA</v>
      </c>
      <c r="D278" s="15" t="str" cm="1">
        <f t="array" ref="D278">_xlfn.XLOOKUP(Total[[#This Row],[Tecnología]]&amp;Total[[#This Row],[Metodo]],TbTipos[Tecnología]&amp;TbTipos[Metodo],TbTipos[Tipo])</f>
        <v>CUDA sin graph</v>
      </c>
      <c r="E278" s="15" t="str" cm="1">
        <f t="array" ref="E278">_xlfn.XLOOKUP(Total[[#This Row],[Tecnología]]&amp;Total[[#This Row],[Problema]],TbNombres[Tecnología]&amp;TbNombres[Problema],TbNombres[Nombre])</f>
        <v>Advdiff1d shuffle</v>
      </c>
      <c r="F278" s="2">
        <v>3</v>
      </c>
      <c r="G278" s="2">
        <v>4</v>
      </c>
      <c r="H278" s="2">
        <v>256</v>
      </c>
      <c r="I278" s="6">
        <v>100</v>
      </c>
      <c r="J278" s="2">
        <v>100</v>
      </c>
      <c r="K278" s="2">
        <v>5.7496799999999997</v>
      </c>
    </row>
    <row r="279" spans="2:11" x14ac:dyDescent="0.2">
      <c r="B279" s="26" t="str">
        <f>_xlfn.XLOOKUP(Total[[#This Row],[Metodo]],TbSolver[Metodo],TbSolver[Solver])</f>
        <v>Adams Bashford</v>
      </c>
      <c r="C279" s="26" t="str">
        <f>_xlfn.XLOOKUP(Total[[#This Row],[Hebras]],TbTecnologia[Hebras],TbTecnologia[Tecnología])</f>
        <v>CUDA</v>
      </c>
      <c r="D279" s="15" t="str" cm="1">
        <f t="array" ref="D279">_xlfn.XLOOKUP(Total[[#This Row],[Tecnología]]&amp;Total[[#This Row],[Metodo]],TbTipos[Tecnología]&amp;TbTipos[Metodo],TbTipos[Tipo])</f>
        <v>CUDA sin graph</v>
      </c>
      <c r="E279" s="15" t="str" cm="1">
        <f t="array" ref="E279">_xlfn.XLOOKUP(Total[[#This Row],[Tecnología]]&amp;Total[[#This Row],[Problema]],TbNombres[Tecnología]&amp;TbNombres[Problema],TbNombres[Nombre])</f>
        <v>Advdiff1d</v>
      </c>
      <c r="F279" s="2">
        <v>3</v>
      </c>
      <c r="G279" s="2">
        <v>3</v>
      </c>
      <c r="H279" s="2">
        <v>256</v>
      </c>
      <c r="I279" s="5">
        <v>200</v>
      </c>
      <c r="J279" s="2">
        <v>200</v>
      </c>
      <c r="K279" s="2">
        <v>7.4048800000000004</v>
      </c>
    </row>
    <row r="280" spans="2:11" x14ac:dyDescent="0.2">
      <c r="B280" s="26" t="str">
        <f>_xlfn.XLOOKUP(Total[[#This Row],[Metodo]],TbSolver[Metodo],TbSolver[Solver])</f>
        <v>Adams Bashford</v>
      </c>
      <c r="C280" s="26" t="str">
        <f>_xlfn.XLOOKUP(Total[[#This Row],[Hebras]],TbTecnologia[Hebras],TbTecnologia[Tecnología])</f>
        <v>CUDA</v>
      </c>
      <c r="D280" s="15" t="str" cm="1">
        <f t="array" ref="D280">_xlfn.XLOOKUP(Total[[#This Row],[Tecnología]]&amp;Total[[#This Row],[Metodo]],TbTipos[Tecnología]&amp;TbTipos[Metodo],TbTipos[Tipo])</f>
        <v>CUDA sin graph</v>
      </c>
      <c r="E280" s="15" t="str" cm="1">
        <f t="array" ref="E280">_xlfn.XLOOKUP(Total[[#This Row],[Tecnología]]&amp;Total[[#This Row],[Problema]],TbNombres[Tecnología]&amp;TbNombres[Problema],TbNombres[Nombre])</f>
        <v>Advdiff1d shuffle</v>
      </c>
      <c r="F280" s="2">
        <v>3</v>
      </c>
      <c r="G280" s="2">
        <v>4</v>
      </c>
      <c r="H280" s="2">
        <v>256</v>
      </c>
      <c r="I280" s="6">
        <v>200</v>
      </c>
      <c r="J280" s="2">
        <v>200</v>
      </c>
      <c r="K280" s="2">
        <v>7.5563900000000004</v>
      </c>
    </row>
    <row r="281" spans="2:11" x14ac:dyDescent="0.2">
      <c r="B281" s="26" t="str">
        <f>_xlfn.XLOOKUP(Total[[#This Row],[Metodo]],TbSolver[Metodo],TbSolver[Solver])</f>
        <v>Adams Bashford</v>
      </c>
      <c r="C281" s="26" t="str">
        <f>_xlfn.XLOOKUP(Total[[#This Row],[Hebras]],TbTecnologia[Hebras],TbTecnologia[Tecnología])</f>
        <v>CUDA</v>
      </c>
      <c r="D281" s="15" t="str" cm="1">
        <f t="array" ref="D281">_xlfn.XLOOKUP(Total[[#This Row],[Tecnología]]&amp;Total[[#This Row],[Metodo]],TbTipos[Tecnología]&amp;TbTipos[Metodo],TbTipos[Tipo])</f>
        <v>CUDA sin graph</v>
      </c>
      <c r="E281" s="15" t="str" cm="1">
        <f t="array" ref="E281">_xlfn.XLOOKUP(Total[[#This Row],[Tecnología]]&amp;Total[[#This Row],[Problema]],TbNombres[Tecnología]&amp;TbNombres[Problema],TbNombres[Nombre])</f>
        <v>Advdiff1d</v>
      </c>
      <c r="F281" s="2">
        <v>3</v>
      </c>
      <c r="G281" s="2">
        <v>3</v>
      </c>
      <c r="H281" s="2">
        <v>256</v>
      </c>
      <c r="I281" s="5">
        <v>500</v>
      </c>
      <c r="J281" s="2">
        <v>500</v>
      </c>
      <c r="K281" s="2">
        <v>7.9539900000000001</v>
      </c>
    </row>
    <row r="282" spans="2:11" x14ac:dyDescent="0.2">
      <c r="B282" s="26" t="str">
        <f>_xlfn.XLOOKUP(Total[[#This Row],[Metodo]],TbSolver[Metodo],TbSolver[Solver])</f>
        <v>Adams Bashford</v>
      </c>
      <c r="C282" s="26" t="str">
        <f>_xlfn.XLOOKUP(Total[[#This Row],[Hebras]],TbTecnologia[Hebras],TbTecnologia[Tecnología])</f>
        <v>CUDA</v>
      </c>
      <c r="D282" s="15" t="str" cm="1">
        <f t="array" ref="D282">_xlfn.XLOOKUP(Total[[#This Row],[Tecnología]]&amp;Total[[#This Row],[Metodo]],TbTipos[Tecnología]&amp;TbTipos[Metodo],TbTipos[Tipo])</f>
        <v>CUDA sin graph</v>
      </c>
      <c r="E282" s="15" t="str" cm="1">
        <f t="array" ref="E282">_xlfn.XLOOKUP(Total[[#This Row],[Tecnología]]&amp;Total[[#This Row],[Problema]],TbNombres[Tecnología]&amp;TbNombres[Problema],TbNombres[Nombre])</f>
        <v>Advdiff1d shuffle</v>
      </c>
      <c r="F282" s="2">
        <v>3</v>
      </c>
      <c r="G282" s="2">
        <v>4</v>
      </c>
      <c r="H282" s="2">
        <v>256</v>
      </c>
      <c r="I282" s="6">
        <v>500</v>
      </c>
      <c r="J282" s="2">
        <v>500</v>
      </c>
      <c r="K282" s="2">
        <v>8.2047600000000003</v>
      </c>
    </row>
    <row r="283" spans="2:11" x14ac:dyDescent="0.2">
      <c r="B283" s="26" t="str">
        <f>_xlfn.XLOOKUP(Total[[#This Row],[Metodo]],TbSolver[Metodo],TbSolver[Solver])</f>
        <v>Adams Bashford</v>
      </c>
      <c r="C283" s="26" t="str">
        <f>_xlfn.XLOOKUP(Total[[#This Row],[Hebras]],TbTecnologia[Hebras],TbTecnologia[Tecnología])</f>
        <v>CUDA</v>
      </c>
      <c r="D283" s="15" t="str" cm="1">
        <f t="array" ref="D283">_xlfn.XLOOKUP(Total[[#This Row],[Tecnología]]&amp;Total[[#This Row],[Metodo]],TbTipos[Tecnología]&amp;TbTipos[Metodo],TbTipos[Tipo])</f>
        <v>CUDA sin graph</v>
      </c>
      <c r="E283" s="15" t="str" cm="1">
        <f t="array" ref="E283">_xlfn.XLOOKUP(Total[[#This Row],[Tecnología]]&amp;Total[[#This Row],[Problema]],TbNombres[Tecnología]&amp;TbNombres[Problema],TbNombres[Nombre])</f>
        <v>Advdiff1d</v>
      </c>
      <c r="F283" s="2">
        <v>3</v>
      </c>
      <c r="G283" s="2">
        <v>3</v>
      </c>
      <c r="H283" s="2">
        <v>256</v>
      </c>
      <c r="I283" s="5">
        <v>1000</v>
      </c>
      <c r="J283" s="2">
        <v>1000</v>
      </c>
      <c r="K283" s="2">
        <v>7.9650100000000004</v>
      </c>
    </row>
    <row r="284" spans="2:11" x14ac:dyDescent="0.2">
      <c r="B284" s="26" t="str">
        <f>_xlfn.XLOOKUP(Total[[#This Row],[Metodo]],TbSolver[Metodo],TbSolver[Solver])</f>
        <v>Adams Bashford</v>
      </c>
      <c r="C284" s="26" t="str">
        <f>_xlfn.XLOOKUP(Total[[#This Row],[Hebras]],TbTecnologia[Hebras],TbTecnologia[Tecnología])</f>
        <v>CUDA</v>
      </c>
      <c r="D284" s="15" t="str" cm="1">
        <f t="array" ref="D284">_xlfn.XLOOKUP(Total[[#This Row],[Tecnología]]&amp;Total[[#This Row],[Metodo]],TbTipos[Tecnología]&amp;TbTipos[Metodo],TbTipos[Tipo])</f>
        <v>CUDA sin graph</v>
      </c>
      <c r="E284" s="15" t="str" cm="1">
        <f t="array" ref="E284">_xlfn.XLOOKUP(Total[[#This Row],[Tecnología]]&amp;Total[[#This Row],[Problema]],TbNombres[Tecnología]&amp;TbNombres[Problema],TbNombres[Nombre])</f>
        <v>Advdiff1d shuffle</v>
      </c>
      <c r="F284" s="2">
        <v>3</v>
      </c>
      <c r="G284" s="2">
        <v>4</v>
      </c>
      <c r="H284" s="2">
        <v>256</v>
      </c>
      <c r="I284" s="6">
        <v>1000</v>
      </c>
      <c r="J284" s="2">
        <v>1000</v>
      </c>
      <c r="K284" s="2">
        <v>8.2463099999999994</v>
      </c>
    </row>
    <row r="285" spans="2:11" x14ac:dyDescent="0.2">
      <c r="B285" s="26" t="str">
        <f>_xlfn.XLOOKUP(Total[[#This Row],[Metodo]],TbSolver[Metodo],TbSolver[Solver])</f>
        <v>Adams Bashford</v>
      </c>
      <c r="C285" s="26" t="str">
        <f>_xlfn.XLOOKUP(Total[[#This Row],[Hebras]],TbTecnologia[Hebras],TbTecnologia[Tecnología])</f>
        <v>CUDA</v>
      </c>
      <c r="D285" s="15" t="str" cm="1">
        <f t="array" ref="D285">_xlfn.XLOOKUP(Total[[#This Row],[Tecnología]]&amp;Total[[#This Row],[Metodo]],TbTipos[Tecnología]&amp;TbTipos[Metodo],TbTipos[Tipo])</f>
        <v>CUDA sin graph</v>
      </c>
      <c r="E285" s="15" t="str" cm="1">
        <f t="array" ref="E285">_xlfn.XLOOKUP(Total[[#This Row],[Tecnología]]&amp;Total[[#This Row],[Problema]],TbNombres[Tecnología]&amp;TbNombres[Problema],TbNombres[Nombre])</f>
        <v>Advdiff1d</v>
      </c>
      <c r="F285" s="2">
        <v>3</v>
      </c>
      <c r="G285" s="2">
        <v>3</v>
      </c>
      <c r="H285" s="2">
        <v>256</v>
      </c>
      <c r="I285" s="5">
        <v>2000</v>
      </c>
      <c r="J285" s="2">
        <v>2000</v>
      </c>
      <c r="K285" s="2">
        <v>7.9771400000000003</v>
      </c>
    </row>
    <row r="286" spans="2:11" x14ac:dyDescent="0.2">
      <c r="B286" s="26" t="str">
        <f>_xlfn.XLOOKUP(Total[[#This Row],[Metodo]],TbSolver[Metodo],TbSolver[Solver])</f>
        <v>Adams Bashford</v>
      </c>
      <c r="C286" s="26" t="str">
        <f>_xlfn.XLOOKUP(Total[[#This Row],[Hebras]],TbTecnologia[Hebras],TbTecnologia[Tecnología])</f>
        <v>CUDA</v>
      </c>
      <c r="D286" s="15" t="str" cm="1">
        <f t="array" ref="D286">_xlfn.XLOOKUP(Total[[#This Row],[Tecnología]]&amp;Total[[#This Row],[Metodo]],TbTipos[Tecnología]&amp;TbTipos[Metodo],TbTipos[Tipo])</f>
        <v>CUDA sin graph</v>
      </c>
      <c r="E286" s="15" t="str" cm="1">
        <f t="array" ref="E286">_xlfn.XLOOKUP(Total[[#This Row],[Tecnología]]&amp;Total[[#This Row],[Problema]],TbNombres[Tecnología]&amp;TbNombres[Problema],TbNombres[Nombre])</f>
        <v>Advdiff1d shuffle</v>
      </c>
      <c r="F286" s="2">
        <v>3</v>
      </c>
      <c r="G286" s="2">
        <v>4</v>
      </c>
      <c r="H286" s="2">
        <v>256</v>
      </c>
      <c r="I286" s="6">
        <v>2000</v>
      </c>
      <c r="J286" s="2">
        <v>2000</v>
      </c>
      <c r="K286" s="2">
        <v>8.2349999999999994</v>
      </c>
    </row>
    <row r="287" spans="2:11" x14ac:dyDescent="0.2">
      <c r="B287" s="26" t="str">
        <f>_xlfn.XLOOKUP(Total[[#This Row],[Metodo]],TbSolver[Metodo],TbSolver[Solver])</f>
        <v>Adams Bashford</v>
      </c>
      <c r="C287" s="26" t="str">
        <f>_xlfn.XLOOKUP(Total[[#This Row],[Hebras]],TbTecnologia[Hebras],TbTecnologia[Tecnología])</f>
        <v>CUDA</v>
      </c>
      <c r="D287" s="15" t="str" cm="1">
        <f t="array" ref="D287">_xlfn.XLOOKUP(Total[[#This Row],[Tecnología]]&amp;Total[[#This Row],[Metodo]],TbTipos[Tecnología]&amp;TbTipos[Metodo],TbTipos[Tipo])</f>
        <v>CUDA sin graph</v>
      </c>
      <c r="E287" s="15" t="str" cm="1">
        <f t="array" ref="E287">_xlfn.XLOOKUP(Total[[#This Row],[Tecnología]]&amp;Total[[#This Row],[Problema]],TbNombres[Tecnología]&amp;TbNombres[Problema],TbNombres[Nombre])</f>
        <v>Advdiff1d</v>
      </c>
      <c r="F287" s="2">
        <v>3</v>
      </c>
      <c r="G287" s="2">
        <v>3</v>
      </c>
      <c r="H287" s="2">
        <v>256</v>
      </c>
      <c r="I287" s="5">
        <v>5000</v>
      </c>
      <c r="J287" s="2">
        <v>5000</v>
      </c>
      <c r="K287" s="2">
        <v>8.0784800000000008</v>
      </c>
    </row>
    <row r="288" spans="2:11" x14ac:dyDescent="0.2">
      <c r="B288" s="26" t="str">
        <f>_xlfn.XLOOKUP(Total[[#This Row],[Metodo]],TbSolver[Metodo],TbSolver[Solver])</f>
        <v>Adams Bashford</v>
      </c>
      <c r="C288" s="26" t="str">
        <f>_xlfn.XLOOKUP(Total[[#This Row],[Hebras]],TbTecnologia[Hebras],TbTecnologia[Tecnología])</f>
        <v>CUDA</v>
      </c>
      <c r="D288" s="15" t="str" cm="1">
        <f t="array" ref="D288">_xlfn.XLOOKUP(Total[[#This Row],[Tecnología]]&amp;Total[[#This Row],[Metodo]],TbTipos[Tecnología]&amp;TbTipos[Metodo],TbTipos[Tipo])</f>
        <v>CUDA sin graph</v>
      </c>
      <c r="E288" s="15" t="str" cm="1">
        <f t="array" ref="E288">_xlfn.XLOOKUP(Total[[#This Row],[Tecnología]]&amp;Total[[#This Row],[Problema]],TbNombres[Tecnología]&amp;TbNombres[Problema],TbNombres[Nombre])</f>
        <v>Advdiff1d shuffle</v>
      </c>
      <c r="F288" s="2">
        <v>3</v>
      </c>
      <c r="G288" s="2">
        <v>4</v>
      </c>
      <c r="H288" s="2">
        <v>256</v>
      </c>
      <c r="I288" s="6">
        <v>5000</v>
      </c>
      <c r="J288" s="2">
        <v>5000</v>
      </c>
      <c r="K288" s="2">
        <v>8.4013799999999996</v>
      </c>
    </row>
    <row r="289" spans="2:11" x14ac:dyDescent="0.2">
      <c r="B289" s="26" t="str">
        <f>_xlfn.XLOOKUP(Total[[#This Row],[Metodo]],TbSolver[Metodo],TbSolver[Solver])</f>
        <v>Adams Bashford</v>
      </c>
      <c r="C289" s="26" t="str">
        <f>_xlfn.XLOOKUP(Total[[#This Row],[Hebras]],TbTecnologia[Hebras],TbTecnologia[Tecnología])</f>
        <v>CUDA</v>
      </c>
      <c r="D289" s="15" t="str" cm="1">
        <f t="array" ref="D289">_xlfn.XLOOKUP(Total[[#This Row],[Tecnología]]&amp;Total[[#This Row],[Metodo]],TbTipos[Tecnología]&amp;TbTipos[Metodo],TbTipos[Tipo])</f>
        <v>CUDA sin graph</v>
      </c>
      <c r="E289" s="15" t="str" cm="1">
        <f t="array" ref="E289">_xlfn.XLOOKUP(Total[[#This Row],[Tecnología]]&amp;Total[[#This Row],[Problema]],TbNombres[Tecnología]&amp;TbNombres[Problema],TbNombres[Nombre])</f>
        <v>Advdiff1d</v>
      </c>
      <c r="F289" s="2">
        <v>3</v>
      </c>
      <c r="G289" s="2">
        <v>3</v>
      </c>
      <c r="H289" s="2">
        <v>256</v>
      </c>
      <c r="I289" s="5">
        <v>10000</v>
      </c>
      <c r="J289" s="2">
        <v>10000</v>
      </c>
      <c r="K289" s="2">
        <v>8.1387099999999997</v>
      </c>
    </row>
    <row r="290" spans="2:11" x14ac:dyDescent="0.2">
      <c r="B290" s="26" t="str">
        <f>_xlfn.XLOOKUP(Total[[#This Row],[Metodo]],TbSolver[Metodo],TbSolver[Solver])</f>
        <v>Adams Bashford</v>
      </c>
      <c r="C290" s="26" t="str">
        <f>_xlfn.XLOOKUP(Total[[#This Row],[Hebras]],TbTecnologia[Hebras],TbTecnologia[Tecnología])</f>
        <v>CUDA</v>
      </c>
      <c r="D290" s="15" t="str" cm="1">
        <f t="array" ref="D290">_xlfn.XLOOKUP(Total[[#This Row],[Tecnología]]&amp;Total[[#This Row],[Metodo]],TbTipos[Tecnología]&amp;TbTipos[Metodo],TbTipos[Tipo])</f>
        <v>CUDA sin graph</v>
      </c>
      <c r="E290" s="15" t="str" cm="1">
        <f t="array" ref="E290">_xlfn.XLOOKUP(Total[[#This Row],[Tecnología]]&amp;Total[[#This Row],[Problema]],TbNombres[Tecnología]&amp;TbNombres[Problema],TbNombres[Nombre])</f>
        <v>Advdiff1d</v>
      </c>
      <c r="F290" s="2">
        <v>3</v>
      </c>
      <c r="G290" s="2">
        <v>3</v>
      </c>
      <c r="H290" s="2">
        <v>256</v>
      </c>
      <c r="I290" s="6">
        <v>10000</v>
      </c>
      <c r="J290" s="2">
        <v>10000</v>
      </c>
      <c r="K290" s="2">
        <v>8.2031299999999998</v>
      </c>
    </row>
    <row r="291" spans="2:11" x14ac:dyDescent="0.2">
      <c r="B291" s="26" t="str">
        <f>_xlfn.XLOOKUP(Total[[#This Row],[Metodo]],TbSolver[Metodo],TbSolver[Solver])</f>
        <v>Adams Bashford</v>
      </c>
      <c r="C291" s="26" t="str">
        <f>_xlfn.XLOOKUP(Total[[#This Row],[Hebras]],TbTecnologia[Hebras],TbTecnologia[Tecnología])</f>
        <v>CUDA</v>
      </c>
      <c r="D291" s="15" t="str" cm="1">
        <f t="array" ref="D291">_xlfn.XLOOKUP(Total[[#This Row],[Tecnología]]&amp;Total[[#This Row],[Metodo]],TbTipos[Tecnología]&amp;TbTipos[Metodo],TbTipos[Tipo])</f>
        <v>CUDA sin graph</v>
      </c>
      <c r="E291" s="15" t="str" cm="1">
        <f t="array" ref="E291">_xlfn.XLOOKUP(Total[[#This Row],[Tecnología]]&amp;Total[[#This Row],[Problema]],TbNombres[Tecnología]&amp;TbNombres[Problema],TbNombres[Nombre])</f>
        <v>Advdiff1d shuffle</v>
      </c>
      <c r="F291" s="2">
        <v>3</v>
      </c>
      <c r="G291" s="2">
        <v>4</v>
      </c>
      <c r="H291" s="2">
        <v>256</v>
      </c>
      <c r="I291" s="5">
        <v>10000</v>
      </c>
      <c r="J291" s="2">
        <v>10000</v>
      </c>
      <c r="K291" s="2">
        <v>8.5543399999999998</v>
      </c>
    </row>
    <row r="292" spans="2:11" x14ac:dyDescent="0.2">
      <c r="B292" s="26" t="str">
        <f>_xlfn.XLOOKUP(Total[[#This Row],[Metodo]],TbSolver[Metodo],TbSolver[Solver])</f>
        <v>Adams Bashford</v>
      </c>
      <c r="C292" s="26" t="str">
        <f>_xlfn.XLOOKUP(Total[[#This Row],[Hebras]],TbTecnologia[Hebras],TbTecnologia[Tecnología])</f>
        <v>CUDA</v>
      </c>
      <c r="D292" s="15" t="str" cm="1">
        <f t="array" ref="D292">_xlfn.XLOOKUP(Total[[#This Row],[Tecnología]]&amp;Total[[#This Row],[Metodo]],TbTipos[Tecnología]&amp;TbTipos[Metodo],TbTipos[Tipo])</f>
        <v>CUDA sin graph</v>
      </c>
      <c r="E292" s="15" t="str" cm="1">
        <f t="array" ref="E292">_xlfn.XLOOKUP(Total[[#This Row],[Tecnología]]&amp;Total[[#This Row],[Problema]],TbNombres[Tecnología]&amp;TbNombres[Problema],TbNombres[Nombre])</f>
        <v>Advdiff1d</v>
      </c>
      <c r="F292" s="2">
        <v>3</v>
      </c>
      <c r="G292" s="2">
        <v>3</v>
      </c>
      <c r="H292" s="2">
        <v>256</v>
      </c>
      <c r="I292" s="6">
        <v>20000</v>
      </c>
      <c r="J292" s="2">
        <v>20000</v>
      </c>
      <c r="K292" s="2">
        <v>13.3919</v>
      </c>
    </row>
    <row r="293" spans="2:11" x14ac:dyDescent="0.2">
      <c r="B293" s="26" t="str">
        <f>_xlfn.XLOOKUP(Total[[#This Row],[Metodo]],TbSolver[Metodo],TbSolver[Solver])</f>
        <v>Adams Bashford</v>
      </c>
      <c r="C293" s="26" t="str">
        <f>_xlfn.XLOOKUP(Total[[#This Row],[Hebras]],TbTecnologia[Hebras],TbTecnologia[Tecnología])</f>
        <v>CUDA</v>
      </c>
      <c r="D293" s="15" t="str" cm="1">
        <f t="array" ref="D293">_xlfn.XLOOKUP(Total[[#This Row],[Tecnología]]&amp;Total[[#This Row],[Metodo]],TbTipos[Tecnología]&amp;TbTipos[Metodo],TbTipos[Tipo])</f>
        <v>CUDA sin graph</v>
      </c>
      <c r="E293" s="15" t="str" cm="1">
        <f t="array" ref="E293">_xlfn.XLOOKUP(Total[[#This Row],[Tecnología]]&amp;Total[[#This Row],[Problema]],TbNombres[Tecnología]&amp;TbNombres[Problema],TbNombres[Nombre])</f>
        <v>Advdiff1d</v>
      </c>
      <c r="F293" s="2">
        <v>3</v>
      </c>
      <c r="G293" s="2">
        <v>3</v>
      </c>
      <c r="H293" s="2">
        <v>256</v>
      </c>
      <c r="I293" s="5">
        <v>20000</v>
      </c>
      <c r="J293" s="2">
        <v>20000</v>
      </c>
      <c r="K293" s="2">
        <v>13.4343</v>
      </c>
    </row>
    <row r="294" spans="2:11" x14ac:dyDescent="0.2">
      <c r="B294" s="26" t="str">
        <f>_xlfn.XLOOKUP(Total[[#This Row],[Metodo]],TbSolver[Metodo],TbSolver[Solver])</f>
        <v>Adams Bashford</v>
      </c>
      <c r="C294" s="26" t="str">
        <f>_xlfn.XLOOKUP(Total[[#This Row],[Hebras]],TbTecnologia[Hebras],TbTecnologia[Tecnología])</f>
        <v>CUDA</v>
      </c>
      <c r="D294" s="15" t="str" cm="1">
        <f t="array" ref="D294">_xlfn.XLOOKUP(Total[[#This Row],[Tecnología]]&amp;Total[[#This Row],[Metodo]],TbTipos[Tecnología]&amp;TbTipos[Metodo],TbTipos[Tipo])</f>
        <v>CUDA sin graph</v>
      </c>
      <c r="E294" s="15" t="str" cm="1">
        <f t="array" ref="E294">_xlfn.XLOOKUP(Total[[#This Row],[Tecnología]]&amp;Total[[#This Row],[Problema]],TbNombres[Tecnología]&amp;TbNombres[Problema],TbNombres[Nombre])</f>
        <v>Advdiff1d shuffle</v>
      </c>
      <c r="F294" s="2">
        <v>3</v>
      </c>
      <c r="G294" s="2">
        <v>4</v>
      </c>
      <c r="H294" s="2">
        <v>256</v>
      </c>
      <c r="I294" s="6">
        <v>20000</v>
      </c>
      <c r="J294" s="2">
        <v>20000</v>
      </c>
      <c r="K294" s="2">
        <v>13.844200000000001</v>
      </c>
    </row>
    <row r="295" spans="2:11" x14ac:dyDescent="0.2">
      <c r="B295" s="26" t="str">
        <f>_xlfn.XLOOKUP(Total[[#This Row],[Metodo]],TbSolver[Metodo],TbSolver[Solver])</f>
        <v>Adams Bashford</v>
      </c>
      <c r="C295" s="26" t="str">
        <f>_xlfn.XLOOKUP(Total[[#This Row],[Hebras]],TbTecnologia[Hebras],TbTecnologia[Tecnología])</f>
        <v>CUDA</v>
      </c>
      <c r="D295" s="15" t="str" cm="1">
        <f t="array" ref="D295">_xlfn.XLOOKUP(Total[[#This Row],[Tecnología]]&amp;Total[[#This Row],[Metodo]],TbTipos[Tecnología]&amp;TbTipos[Metodo],TbTipos[Tipo])</f>
        <v>CUDA sin graph</v>
      </c>
      <c r="E295" s="15" t="str" cm="1">
        <f t="array" ref="E295">_xlfn.XLOOKUP(Total[[#This Row],[Tecnología]]&amp;Total[[#This Row],[Problema]],TbNombres[Tecnología]&amp;TbNombres[Problema],TbNombres[Nombre])</f>
        <v>Advdiff1d</v>
      </c>
      <c r="F295" s="2">
        <v>3</v>
      </c>
      <c r="G295" s="2">
        <v>3</v>
      </c>
      <c r="H295" s="2">
        <v>256</v>
      </c>
      <c r="I295" s="5">
        <v>50000</v>
      </c>
      <c r="J295" s="2">
        <v>50000</v>
      </c>
      <c r="K295" s="2">
        <v>18.884899999999998</v>
      </c>
    </row>
    <row r="296" spans="2:11" x14ac:dyDescent="0.2">
      <c r="B296" s="26" t="str">
        <f>_xlfn.XLOOKUP(Total[[#This Row],[Metodo]],TbSolver[Metodo],TbSolver[Solver])</f>
        <v>Adams Bashford</v>
      </c>
      <c r="C296" s="26" t="str">
        <f>_xlfn.XLOOKUP(Total[[#This Row],[Hebras]],TbTecnologia[Hebras],TbTecnologia[Tecnología])</f>
        <v>CUDA</v>
      </c>
      <c r="D296" s="15" t="str" cm="1">
        <f t="array" ref="D296">_xlfn.XLOOKUP(Total[[#This Row],[Tecnología]]&amp;Total[[#This Row],[Metodo]],TbTipos[Tecnología]&amp;TbTipos[Metodo],TbTipos[Tipo])</f>
        <v>CUDA sin graph</v>
      </c>
      <c r="E296" s="15" t="str" cm="1">
        <f t="array" ref="E296">_xlfn.XLOOKUP(Total[[#This Row],[Tecnología]]&amp;Total[[#This Row],[Problema]],TbNombres[Tecnología]&amp;TbNombres[Problema],TbNombres[Nombre])</f>
        <v>Advdiff1d</v>
      </c>
      <c r="F296" s="2">
        <v>3</v>
      </c>
      <c r="G296" s="2">
        <v>3</v>
      </c>
      <c r="H296" s="2">
        <v>256</v>
      </c>
      <c r="I296" s="6">
        <v>50000</v>
      </c>
      <c r="J296" s="2">
        <v>50000</v>
      </c>
      <c r="K296" s="2">
        <v>19.1632</v>
      </c>
    </row>
    <row r="297" spans="2:11" x14ac:dyDescent="0.2">
      <c r="B297" s="26" t="str">
        <f>_xlfn.XLOOKUP(Total[[#This Row],[Metodo]],TbSolver[Metodo],TbSolver[Solver])</f>
        <v>Adams Bashford</v>
      </c>
      <c r="C297" s="26" t="str">
        <f>_xlfn.XLOOKUP(Total[[#This Row],[Hebras]],TbTecnologia[Hebras],TbTecnologia[Tecnología])</f>
        <v>CUDA</v>
      </c>
      <c r="D297" s="15" t="str" cm="1">
        <f t="array" ref="D297">_xlfn.XLOOKUP(Total[[#This Row],[Tecnología]]&amp;Total[[#This Row],[Metodo]],TbTipos[Tecnología]&amp;TbTipos[Metodo],TbTipos[Tipo])</f>
        <v>CUDA sin graph</v>
      </c>
      <c r="E297" s="15" t="str" cm="1">
        <f t="array" ref="E297">_xlfn.XLOOKUP(Total[[#This Row],[Tecnología]]&amp;Total[[#This Row],[Problema]],TbNombres[Tecnología]&amp;TbNombres[Problema],TbNombres[Nombre])</f>
        <v>Advdiff1d shuffle</v>
      </c>
      <c r="F297" s="2">
        <v>3</v>
      </c>
      <c r="G297" s="2">
        <v>4</v>
      </c>
      <c r="H297" s="2">
        <v>256</v>
      </c>
      <c r="I297" s="5">
        <v>50000</v>
      </c>
      <c r="J297" s="2">
        <v>50000</v>
      </c>
      <c r="K297" s="2">
        <v>19.390899999999998</v>
      </c>
    </row>
    <row r="298" spans="2:11" x14ac:dyDescent="0.2">
      <c r="B298" s="26" t="str">
        <f>_xlfn.XLOOKUP(Total[[#This Row],[Metodo]],TbSolver[Metodo],TbSolver[Solver])</f>
        <v>Adams Bashford</v>
      </c>
      <c r="C298" s="26" t="str">
        <f>_xlfn.XLOOKUP(Total[[#This Row],[Hebras]],TbTecnologia[Hebras],TbTecnologia[Tecnología])</f>
        <v>CUDA</v>
      </c>
      <c r="D298" s="15" t="str" cm="1">
        <f t="array" ref="D298">_xlfn.XLOOKUP(Total[[#This Row],[Tecnología]]&amp;Total[[#This Row],[Metodo]],TbTipos[Tecnología]&amp;TbTipos[Metodo],TbTipos[Tipo])</f>
        <v>CUDA sin graph</v>
      </c>
      <c r="E298" s="15" t="str" cm="1">
        <f t="array" ref="E298">_xlfn.XLOOKUP(Total[[#This Row],[Tecnología]]&amp;Total[[#This Row],[Problema]],TbNombres[Tecnología]&amp;TbNombres[Problema],TbNombres[Nombre])</f>
        <v>Advdiff1d</v>
      </c>
      <c r="F298" s="2">
        <v>3</v>
      </c>
      <c r="G298" s="2">
        <v>3</v>
      </c>
      <c r="H298" s="2">
        <v>256</v>
      </c>
      <c r="I298" s="6">
        <v>100000</v>
      </c>
      <c r="J298" s="2">
        <v>100000</v>
      </c>
      <c r="K298" s="2">
        <v>34.9452</v>
      </c>
    </row>
    <row r="299" spans="2:11" x14ac:dyDescent="0.2">
      <c r="B299" s="26" t="str">
        <f>_xlfn.XLOOKUP(Total[[#This Row],[Metodo]],TbSolver[Metodo],TbSolver[Solver])</f>
        <v>Adams Bashford</v>
      </c>
      <c r="C299" s="26" t="str">
        <f>_xlfn.XLOOKUP(Total[[#This Row],[Hebras]],TbTecnologia[Hebras],TbTecnologia[Tecnología])</f>
        <v>CUDA</v>
      </c>
      <c r="D299" s="15" t="str" cm="1">
        <f t="array" ref="D299">_xlfn.XLOOKUP(Total[[#This Row],[Tecnología]]&amp;Total[[#This Row],[Metodo]],TbTipos[Tecnología]&amp;TbTipos[Metodo],TbTipos[Tipo])</f>
        <v>CUDA sin graph</v>
      </c>
      <c r="E299" s="15" t="str" cm="1">
        <f t="array" ref="E299">_xlfn.XLOOKUP(Total[[#This Row],[Tecnología]]&amp;Total[[#This Row],[Problema]],TbNombres[Tecnología]&amp;TbNombres[Problema],TbNombres[Nombre])</f>
        <v>Advdiff1d shuffle</v>
      </c>
      <c r="F299" s="2">
        <v>3</v>
      </c>
      <c r="G299" s="2">
        <v>4</v>
      </c>
      <c r="H299" s="2">
        <v>256</v>
      </c>
      <c r="I299" s="5">
        <v>100000</v>
      </c>
      <c r="J299" s="2">
        <v>100000</v>
      </c>
      <c r="K299" s="2">
        <v>35.499600000000001</v>
      </c>
    </row>
    <row r="300" spans="2:11" x14ac:dyDescent="0.2">
      <c r="B300" s="26" t="str">
        <f>_xlfn.XLOOKUP(Total[[#This Row],[Metodo]],TbSolver[Metodo],TbSolver[Solver])</f>
        <v>Adams Bashford</v>
      </c>
      <c r="C300" s="26" t="str">
        <f>_xlfn.XLOOKUP(Total[[#This Row],[Hebras]],TbTecnologia[Hebras],TbTecnologia[Tecnología])</f>
        <v>CUDA</v>
      </c>
      <c r="D300" s="15" t="str" cm="1">
        <f t="array" ref="D300">_xlfn.XLOOKUP(Total[[#This Row],[Tecnología]]&amp;Total[[#This Row],[Metodo]],TbTipos[Tecnología]&amp;TbTipos[Metodo],TbTipos[Tipo])</f>
        <v>CUDA sin graph</v>
      </c>
      <c r="E300" s="15" t="str" cm="1">
        <f t="array" ref="E300">_xlfn.XLOOKUP(Total[[#This Row],[Tecnología]]&amp;Total[[#This Row],[Problema]],TbNombres[Tecnología]&amp;TbNombres[Problema],TbNombres[Nombre])</f>
        <v>Advdiff1d</v>
      </c>
      <c r="F300" s="2">
        <v>3</v>
      </c>
      <c r="G300" s="2">
        <v>3</v>
      </c>
      <c r="H300" s="2">
        <v>256</v>
      </c>
      <c r="I300" s="6">
        <v>100000</v>
      </c>
      <c r="J300" s="2">
        <v>100000</v>
      </c>
      <c r="K300" s="2">
        <v>35.513500000000001</v>
      </c>
    </row>
    <row r="301" spans="2:11" x14ac:dyDescent="0.2">
      <c r="B301" s="26" t="str">
        <f>_xlfn.XLOOKUP(Total[[#This Row],[Metodo]],TbSolver[Metodo],TbSolver[Solver])</f>
        <v>Adams Bashford</v>
      </c>
      <c r="C301" s="26" t="str">
        <f>_xlfn.XLOOKUP(Total[[#This Row],[Hebras]],TbTecnologia[Hebras],TbTecnologia[Tecnología])</f>
        <v>CUDA</v>
      </c>
      <c r="D301" s="15" t="str" cm="1">
        <f t="array" ref="D301">_xlfn.XLOOKUP(Total[[#This Row],[Tecnología]]&amp;Total[[#This Row],[Metodo]],TbTipos[Tecnología]&amp;TbTipos[Metodo],TbTipos[Tipo])</f>
        <v>CUDA sin graph</v>
      </c>
      <c r="E301" s="15" t="str" cm="1">
        <f t="array" ref="E301">_xlfn.XLOOKUP(Total[[#This Row],[Tecnología]]&amp;Total[[#This Row],[Problema]],TbNombres[Tecnología]&amp;TbNombres[Problema],TbNombres[Nombre])</f>
        <v>Advdiff1d</v>
      </c>
      <c r="F301" s="2">
        <v>3</v>
      </c>
      <c r="G301" s="2">
        <v>3</v>
      </c>
      <c r="H301" s="2">
        <v>256</v>
      </c>
      <c r="I301" s="5">
        <v>200000</v>
      </c>
      <c r="J301" s="2">
        <v>200000</v>
      </c>
      <c r="K301" s="2">
        <v>75.826099999999997</v>
      </c>
    </row>
    <row r="302" spans="2:11" x14ac:dyDescent="0.2">
      <c r="B302" s="26" t="str">
        <f>_xlfn.XLOOKUP(Total[[#This Row],[Metodo]],TbSolver[Metodo],TbSolver[Solver])</f>
        <v>Adams Bashford</v>
      </c>
      <c r="C302" s="26" t="str">
        <f>_xlfn.XLOOKUP(Total[[#This Row],[Hebras]],TbTecnologia[Hebras],TbTecnologia[Tecnología])</f>
        <v>CUDA</v>
      </c>
      <c r="D302" s="15" t="str" cm="1">
        <f t="array" ref="D302">_xlfn.XLOOKUP(Total[[#This Row],[Tecnología]]&amp;Total[[#This Row],[Metodo]],TbTipos[Tecnología]&amp;TbTipos[Metodo],TbTipos[Tipo])</f>
        <v>CUDA sin graph</v>
      </c>
      <c r="E302" s="15" t="str" cm="1">
        <f t="array" ref="E302">_xlfn.XLOOKUP(Total[[#This Row],[Tecnología]]&amp;Total[[#This Row],[Problema]],TbNombres[Tecnología]&amp;TbNombres[Problema],TbNombres[Nombre])</f>
        <v>Advdiff1d shuffle</v>
      </c>
      <c r="F302" s="2">
        <v>3</v>
      </c>
      <c r="G302" s="2">
        <v>4</v>
      </c>
      <c r="H302" s="2">
        <v>256</v>
      </c>
      <c r="I302" s="6">
        <v>200000</v>
      </c>
      <c r="J302" s="2">
        <v>200000</v>
      </c>
      <c r="K302" s="2">
        <v>76.363900000000001</v>
      </c>
    </row>
    <row r="303" spans="2:11" x14ac:dyDescent="0.2">
      <c r="B303" s="26" t="str">
        <f>_xlfn.XLOOKUP(Total[[#This Row],[Metodo]],TbSolver[Metodo],TbSolver[Solver])</f>
        <v>Adams Bashford</v>
      </c>
      <c r="C303" s="26" t="str">
        <f>_xlfn.XLOOKUP(Total[[#This Row],[Hebras]],TbTecnologia[Hebras],TbTecnologia[Tecnología])</f>
        <v>CUDA</v>
      </c>
      <c r="D303" s="15" t="str" cm="1">
        <f t="array" ref="D303">_xlfn.XLOOKUP(Total[[#This Row],[Tecnología]]&amp;Total[[#This Row],[Metodo]],TbTipos[Tecnología]&amp;TbTipos[Metodo],TbTipos[Tipo])</f>
        <v>CUDA sin graph</v>
      </c>
      <c r="E303" s="15" t="str" cm="1">
        <f t="array" ref="E303">_xlfn.XLOOKUP(Total[[#This Row],[Tecnología]]&amp;Total[[#This Row],[Problema]],TbNombres[Tecnología]&amp;TbNombres[Problema],TbNombres[Nombre])</f>
        <v>Advdiff1d</v>
      </c>
      <c r="F303" s="2">
        <v>3</v>
      </c>
      <c r="G303" s="2">
        <v>3</v>
      </c>
      <c r="H303" s="2">
        <v>256</v>
      </c>
      <c r="I303" s="5">
        <v>200000</v>
      </c>
      <c r="J303" s="2">
        <v>200000</v>
      </c>
      <c r="K303" s="2">
        <v>76.447900000000004</v>
      </c>
    </row>
    <row r="304" spans="2:11" x14ac:dyDescent="0.2">
      <c r="B304" s="26" t="str">
        <f>_xlfn.XLOOKUP(Total[[#This Row],[Metodo]],TbSolver[Metodo],TbSolver[Solver])</f>
        <v>Adams Bashford</v>
      </c>
      <c r="C304" s="26" t="str">
        <f>_xlfn.XLOOKUP(Total[[#This Row],[Hebras]],TbTecnologia[Hebras],TbTecnologia[Tecnología])</f>
        <v>CUDA</v>
      </c>
      <c r="D304" s="15" t="str" cm="1">
        <f t="array" ref="D304">_xlfn.XLOOKUP(Total[[#This Row],[Tecnología]]&amp;Total[[#This Row],[Metodo]],TbTipos[Tecnología]&amp;TbTipos[Metodo],TbTipos[Tipo])</f>
        <v>CUDA con graph</v>
      </c>
      <c r="E304" s="15" t="str" cm="1">
        <f t="array" ref="E304">_xlfn.XLOOKUP(Total[[#This Row],[Tecnología]]&amp;Total[[#This Row],[Problema]],TbNombres[Tecnología]&amp;TbNombres[Problema],TbNombres[Nombre])</f>
        <v>Advdiff1d</v>
      </c>
      <c r="F304" s="2">
        <v>4</v>
      </c>
      <c r="G304" s="2">
        <v>3</v>
      </c>
      <c r="H304" s="2">
        <v>256</v>
      </c>
      <c r="I304" s="6">
        <v>100</v>
      </c>
      <c r="J304" s="2">
        <v>100</v>
      </c>
      <c r="K304" s="2">
        <v>7.1238299999999999</v>
      </c>
    </row>
    <row r="305" spans="2:11" x14ac:dyDescent="0.2">
      <c r="B305" s="26" t="str">
        <f>_xlfn.XLOOKUP(Total[[#This Row],[Metodo]],TbSolver[Metodo],TbSolver[Solver])</f>
        <v>Adams Bashford</v>
      </c>
      <c r="C305" s="26" t="str">
        <f>_xlfn.XLOOKUP(Total[[#This Row],[Hebras]],TbTecnologia[Hebras],TbTecnologia[Tecnología])</f>
        <v>CUDA</v>
      </c>
      <c r="D305" s="15" t="str" cm="1">
        <f t="array" ref="D305">_xlfn.XLOOKUP(Total[[#This Row],[Tecnología]]&amp;Total[[#This Row],[Metodo]],TbTipos[Tecnología]&amp;TbTipos[Metodo],TbTipos[Tipo])</f>
        <v>CUDA con graph</v>
      </c>
      <c r="E305" s="15" t="str" cm="1">
        <f t="array" ref="E305">_xlfn.XLOOKUP(Total[[#This Row],[Tecnología]]&amp;Total[[#This Row],[Problema]],TbNombres[Tecnología]&amp;TbNombres[Problema],TbNombres[Nombre])</f>
        <v>Advdiff1d shuffle</v>
      </c>
      <c r="F305" s="2">
        <v>4</v>
      </c>
      <c r="G305" s="2">
        <v>4</v>
      </c>
      <c r="H305" s="2">
        <v>256</v>
      </c>
      <c r="I305" s="5">
        <v>100</v>
      </c>
      <c r="J305" s="2">
        <v>100</v>
      </c>
      <c r="K305" s="2">
        <v>7.2684499999999996</v>
      </c>
    </row>
    <row r="306" spans="2:11" x14ac:dyDescent="0.2">
      <c r="B306" s="26" t="str">
        <f>_xlfn.XLOOKUP(Total[[#This Row],[Metodo]],TbSolver[Metodo],TbSolver[Solver])</f>
        <v>Adams Bashford</v>
      </c>
      <c r="C306" s="26" t="str">
        <f>_xlfn.XLOOKUP(Total[[#This Row],[Hebras]],TbTecnologia[Hebras],TbTecnologia[Tecnología])</f>
        <v>CUDA</v>
      </c>
      <c r="D306" s="15" t="str" cm="1">
        <f t="array" ref="D306">_xlfn.XLOOKUP(Total[[#This Row],[Tecnología]]&amp;Total[[#This Row],[Metodo]],TbTipos[Tecnología]&amp;TbTipos[Metodo],TbTipos[Tipo])</f>
        <v>CUDA con graph</v>
      </c>
      <c r="E306" s="15" t="str" cm="1">
        <f t="array" ref="E306">_xlfn.XLOOKUP(Total[[#This Row],[Tecnología]]&amp;Total[[#This Row],[Problema]],TbNombres[Tecnología]&amp;TbNombres[Problema],TbNombres[Nombre])</f>
        <v>Advdiff1d</v>
      </c>
      <c r="F306" s="2">
        <v>4</v>
      </c>
      <c r="G306" s="2">
        <v>3</v>
      </c>
      <c r="H306" s="2">
        <v>256</v>
      </c>
      <c r="I306" s="6">
        <v>200</v>
      </c>
      <c r="J306" s="2">
        <v>200</v>
      </c>
      <c r="K306" s="2">
        <v>9.0020399999999992</v>
      </c>
    </row>
    <row r="307" spans="2:11" x14ac:dyDescent="0.2">
      <c r="B307" s="26" t="str">
        <f>_xlfn.XLOOKUP(Total[[#This Row],[Metodo]],TbSolver[Metodo],TbSolver[Solver])</f>
        <v>Adams Bashford</v>
      </c>
      <c r="C307" s="26" t="str">
        <f>_xlfn.XLOOKUP(Total[[#This Row],[Hebras]],TbTecnologia[Hebras],TbTecnologia[Tecnología])</f>
        <v>CUDA</v>
      </c>
      <c r="D307" s="15" t="str" cm="1">
        <f t="array" ref="D307">_xlfn.XLOOKUP(Total[[#This Row],[Tecnología]]&amp;Total[[#This Row],[Metodo]],TbTipos[Tecnología]&amp;TbTipos[Metodo],TbTipos[Tipo])</f>
        <v>CUDA con graph</v>
      </c>
      <c r="E307" s="15" t="str" cm="1">
        <f t="array" ref="E307">_xlfn.XLOOKUP(Total[[#This Row],[Tecnología]]&amp;Total[[#This Row],[Problema]],TbNombres[Tecnología]&amp;TbNombres[Problema],TbNombres[Nombre])</f>
        <v>Advdiff1d shuffle</v>
      </c>
      <c r="F307" s="2">
        <v>4</v>
      </c>
      <c r="G307" s="2">
        <v>4</v>
      </c>
      <c r="H307" s="2">
        <v>256</v>
      </c>
      <c r="I307" s="5">
        <v>200</v>
      </c>
      <c r="J307" s="2">
        <v>200</v>
      </c>
      <c r="K307" s="2">
        <v>9.1861899999999999</v>
      </c>
    </row>
    <row r="308" spans="2:11" x14ac:dyDescent="0.2">
      <c r="B308" s="26" t="str">
        <f>_xlfn.XLOOKUP(Total[[#This Row],[Metodo]],TbSolver[Metodo],TbSolver[Solver])</f>
        <v>Adams Bashford</v>
      </c>
      <c r="C308" s="26" t="str">
        <f>_xlfn.XLOOKUP(Total[[#This Row],[Hebras]],TbTecnologia[Hebras],TbTecnologia[Tecnología])</f>
        <v>CUDA</v>
      </c>
      <c r="D308" s="15" t="str" cm="1">
        <f t="array" ref="D308">_xlfn.XLOOKUP(Total[[#This Row],[Tecnología]]&amp;Total[[#This Row],[Metodo]],TbTipos[Tecnología]&amp;TbTipos[Metodo],TbTipos[Tipo])</f>
        <v>CUDA con graph</v>
      </c>
      <c r="E308" s="15" t="str" cm="1">
        <f t="array" ref="E308">_xlfn.XLOOKUP(Total[[#This Row],[Tecnología]]&amp;Total[[#This Row],[Problema]],TbNombres[Tecnología]&amp;TbNombres[Problema],TbNombres[Nombre])</f>
        <v>Advdiff1d</v>
      </c>
      <c r="F308" s="2">
        <v>4</v>
      </c>
      <c r="G308" s="2">
        <v>3</v>
      </c>
      <c r="H308" s="2">
        <v>256</v>
      </c>
      <c r="I308" s="6">
        <v>500</v>
      </c>
      <c r="J308" s="2">
        <v>500</v>
      </c>
      <c r="K308" s="2">
        <v>9.6298200000000005</v>
      </c>
    </row>
    <row r="309" spans="2:11" x14ac:dyDescent="0.2">
      <c r="B309" s="26" t="str">
        <f>_xlfn.XLOOKUP(Total[[#This Row],[Metodo]],TbSolver[Metodo],TbSolver[Solver])</f>
        <v>Adams Bashford</v>
      </c>
      <c r="C309" s="26" t="str">
        <f>_xlfn.XLOOKUP(Total[[#This Row],[Hebras]],TbTecnologia[Hebras],TbTecnologia[Tecnología])</f>
        <v>CUDA</v>
      </c>
      <c r="D309" s="15" t="str" cm="1">
        <f t="array" ref="D309">_xlfn.XLOOKUP(Total[[#This Row],[Tecnología]]&amp;Total[[#This Row],[Metodo]],TbTipos[Tecnología]&amp;TbTipos[Metodo],TbTipos[Tipo])</f>
        <v>CUDA con graph</v>
      </c>
      <c r="E309" s="15" t="str" cm="1">
        <f t="array" ref="E309">_xlfn.XLOOKUP(Total[[#This Row],[Tecnología]]&amp;Total[[#This Row],[Problema]],TbNombres[Tecnología]&amp;TbNombres[Problema],TbNombres[Nombre])</f>
        <v>Advdiff1d shuffle</v>
      </c>
      <c r="F309" s="2">
        <v>4</v>
      </c>
      <c r="G309" s="2">
        <v>4</v>
      </c>
      <c r="H309" s="2">
        <v>256</v>
      </c>
      <c r="I309" s="5">
        <v>500</v>
      </c>
      <c r="J309" s="2">
        <v>500</v>
      </c>
      <c r="K309" s="2">
        <v>9.8934200000000008</v>
      </c>
    </row>
    <row r="310" spans="2:11" x14ac:dyDescent="0.2">
      <c r="B310" s="26" t="str">
        <f>_xlfn.XLOOKUP(Total[[#This Row],[Metodo]],TbSolver[Metodo],TbSolver[Solver])</f>
        <v>Adams Bashford</v>
      </c>
      <c r="C310" s="26" t="str">
        <f>_xlfn.XLOOKUP(Total[[#This Row],[Hebras]],TbTecnologia[Hebras],TbTecnologia[Tecnología])</f>
        <v>CUDA</v>
      </c>
      <c r="D310" s="15" t="str" cm="1">
        <f t="array" ref="D310">_xlfn.XLOOKUP(Total[[#This Row],[Tecnología]]&amp;Total[[#This Row],[Metodo]],TbTipos[Tecnología]&amp;TbTipos[Metodo],TbTipos[Tipo])</f>
        <v>CUDA con graph</v>
      </c>
      <c r="E310" s="15" t="str" cm="1">
        <f t="array" ref="E310">_xlfn.XLOOKUP(Total[[#This Row],[Tecnología]]&amp;Total[[#This Row],[Problema]],TbNombres[Tecnología]&amp;TbNombres[Problema],TbNombres[Nombre])</f>
        <v>Advdiff1d</v>
      </c>
      <c r="F310" s="2">
        <v>4</v>
      </c>
      <c r="G310" s="2">
        <v>3</v>
      </c>
      <c r="H310" s="2">
        <v>256</v>
      </c>
      <c r="I310" s="6">
        <v>1000</v>
      </c>
      <c r="J310" s="2">
        <v>1000</v>
      </c>
      <c r="K310" s="2">
        <v>9.6440099999999997</v>
      </c>
    </row>
    <row r="311" spans="2:11" x14ac:dyDescent="0.2">
      <c r="B311" s="26" t="str">
        <f>_xlfn.XLOOKUP(Total[[#This Row],[Metodo]],TbSolver[Metodo],TbSolver[Solver])</f>
        <v>Adams Bashford</v>
      </c>
      <c r="C311" s="26" t="str">
        <f>_xlfn.XLOOKUP(Total[[#This Row],[Hebras]],TbTecnologia[Hebras],TbTecnologia[Tecnología])</f>
        <v>CUDA</v>
      </c>
      <c r="D311" s="15" t="str" cm="1">
        <f t="array" ref="D311">_xlfn.XLOOKUP(Total[[#This Row],[Tecnología]]&amp;Total[[#This Row],[Metodo]],TbTipos[Tecnología]&amp;TbTipos[Metodo],TbTipos[Tipo])</f>
        <v>CUDA con graph</v>
      </c>
      <c r="E311" s="15" t="str" cm="1">
        <f t="array" ref="E311">_xlfn.XLOOKUP(Total[[#This Row],[Tecnología]]&amp;Total[[#This Row],[Problema]],TbNombres[Tecnología]&amp;TbNombres[Problema],TbNombres[Nombre])</f>
        <v>Advdiff1d shuffle</v>
      </c>
      <c r="F311" s="2">
        <v>4</v>
      </c>
      <c r="G311" s="2">
        <v>4</v>
      </c>
      <c r="H311" s="2">
        <v>256</v>
      </c>
      <c r="I311" s="5">
        <v>1000</v>
      </c>
      <c r="J311" s="2">
        <v>1000</v>
      </c>
      <c r="K311" s="2">
        <v>9.8551800000000007</v>
      </c>
    </row>
    <row r="312" spans="2:11" x14ac:dyDescent="0.2">
      <c r="B312" s="26" t="str">
        <f>_xlfn.XLOOKUP(Total[[#This Row],[Metodo]],TbSolver[Metodo],TbSolver[Solver])</f>
        <v>Adams Bashford</v>
      </c>
      <c r="C312" s="26" t="str">
        <f>_xlfn.XLOOKUP(Total[[#This Row],[Hebras]],TbTecnologia[Hebras],TbTecnologia[Tecnología])</f>
        <v>CUDA</v>
      </c>
      <c r="D312" s="15" t="str" cm="1">
        <f t="array" ref="D312">_xlfn.XLOOKUP(Total[[#This Row],[Tecnología]]&amp;Total[[#This Row],[Metodo]],TbTipos[Tecnología]&amp;TbTipos[Metodo],TbTipos[Tipo])</f>
        <v>CUDA con graph</v>
      </c>
      <c r="E312" s="15" t="str" cm="1">
        <f t="array" ref="E312">_xlfn.XLOOKUP(Total[[#This Row],[Tecnología]]&amp;Total[[#This Row],[Problema]],TbNombres[Tecnología]&amp;TbNombres[Problema],TbNombres[Nombre])</f>
        <v>Advdiff1d</v>
      </c>
      <c r="F312" s="2">
        <v>4</v>
      </c>
      <c r="G312" s="2">
        <v>3</v>
      </c>
      <c r="H312" s="2">
        <v>256</v>
      </c>
      <c r="I312" s="6">
        <v>2000</v>
      </c>
      <c r="J312" s="2">
        <v>2000</v>
      </c>
      <c r="K312" s="2">
        <v>9.6757600000000004</v>
      </c>
    </row>
    <row r="313" spans="2:11" x14ac:dyDescent="0.2">
      <c r="B313" s="26" t="str">
        <f>_xlfn.XLOOKUP(Total[[#This Row],[Metodo]],TbSolver[Metodo],TbSolver[Solver])</f>
        <v>Adams Bashford</v>
      </c>
      <c r="C313" s="26" t="str">
        <f>_xlfn.XLOOKUP(Total[[#This Row],[Hebras]],TbTecnologia[Hebras],TbTecnologia[Tecnología])</f>
        <v>CUDA</v>
      </c>
      <c r="D313" s="15" t="str" cm="1">
        <f t="array" ref="D313">_xlfn.XLOOKUP(Total[[#This Row],[Tecnología]]&amp;Total[[#This Row],[Metodo]],TbTipos[Tecnología]&amp;TbTipos[Metodo],TbTipos[Tipo])</f>
        <v>CUDA con graph</v>
      </c>
      <c r="E313" s="15" t="str" cm="1">
        <f t="array" ref="E313">_xlfn.XLOOKUP(Total[[#This Row],[Tecnología]]&amp;Total[[#This Row],[Problema]],TbNombres[Tecnología]&amp;TbNombres[Problema],TbNombres[Nombre])</f>
        <v>Advdiff1d shuffle</v>
      </c>
      <c r="F313" s="2">
        <v>4</v>
      </c>
      <c r="G313" s="2">
        <v>4</v>
      </c>
      <c r="H313" s="2">
        <v>256</v>
      </c>
      <c r="I313" s="5">
        <v>2000</v>
      </c>
      <c r="J313" s="2">
        <v>2000</v>
      </c>
      <c r="K313" s="2">
        <v>9.9296900000000008</v>
      </c>
    </row>
    <row r="314" spans="2:11" x14ac:dyDescent="0.2">
      <c r="B314" s="26" t="str">
        <f>_xlfn.XLOOKUP(Total[[#This Row],[Metodo]],TbSolver[Metodo],TbSolver[Solver])</f>
        <v>Adams Bashford</v>
      </c>
      <c r="C314" s="26" t="str">
        <f>_xlfn.XLOOKUP(Total[[#This Row],[Hebras]],TbTecnologia[Hebras],TbTecnologia[Tecnología])</f>
        <v>CUDA</v>
      </c>
      <c r="D314" s="15" t="str" cm="1">
        <f t="array" ref="D314">_xlfn.XLOOKUP(Total[[#This Row],[Tecnología]]&amp;Total[[#This Row],[Metodo]],TbTipos[Tecnología]&amp;TbTipos[Metodo],TbTipos[Tipo])</f>
        <v>CUDA con graph</v>
      </c>
      <c r="E314" s="15" t="str" cm="1">
        <f t="array" ref="E314">_xlfn.XLOOKUP(Total[[#This Row],[Tecnología]]&amp;Total[[#This Row],[Problema]],TbNombres[Tecnología]&amp;TbNombres[Problema],TbNombres[Nombre])</f>
        <v>Advdiff1d</v>
      </c>
      <c r="F314" s="2">
        <v>4</v>
      </c>
      <c r="G314" s="2">
        <v>3</v>
      </c>
      <c r="H314" s="2">
        <v>256</v>
      </c>
      <c r="I314" s="6">
        <v>5000</v>
      </c>
      <c r="J314" s="2">
        <v>5000</v>
      </c>
      <c r="K314" s="2">
        <v>9.8192599999999999</v>
      </c>
    </row>
    <row r="315" spans="2:11" x14ac:dyDescent="0.2">
      <c r="B315" s="26" t="str">
        <f>_xlfn.XLOOKUP(Total[[#This Row],[Metodo]],TbSolver[Metodo],TbSolver[Solver])</f>
        <v>Adams Bashford</v>
      </c>
      <c r="C315" s="26" t="str">
        <f>_xlfn.XLOOKUP(Total[[#This Row],[Hebras]],TbTecnologia[Hebras],TbTecnologia[Tecnología])</f>
        <v>CUDA</v>
      </c>
      <c r="D315" s="15" t="str" cm="1">
        <f t="array" ref="D315">_xlfn.XLOOKUP(Total[[#This Row],[Tecnología]]&amp;Total[[#This Row],[Metodo]],TbTipos[Tecnología]&amp;TbTipos[Metodo],TbTipos[Tipo])</f>
        <v>CUDA con graph</v>
      </c>
      <c r="E315" s="15" t="str" cm="1">
        <f t="array" ref="E315">_xlfn.XLOOKUP(Total[[#This Row],[Tecnología]]&amp;Total[[#This Row],[Problema]],TbNombres[Tecnología]&amp;TbNombres[Problema],TbNombres[Nombre])</f>
        <v>Advdiff1d shuffle</v>
      </c>
      <c r="F315" s="2">
        <v>4</v>
      </c>
      <c r="G315" s="2">
        <v>4</v>
      </c>
      <c r="H315" s="2">
        <v>256</v>
      </c>
      <c r="I315" s="5">
        <v>5000</v>
      </c>
      <c r="J315" s="2">
        <v>5000</v>
      </c>
      <c r="K315" s="2">
        <v>10.040900000000001</v>
      </c>
    </row>
    <row r="316" spans="2:11" x14ac:dyDescent="0.2">
      <c r="B316" s="26" t="str">
        <f>_xlfn.XLOOKUP(Total[[#This Row],[Metodo]],TbSolver[Metodo],TbSolver[Solver])</f>
        <v>Adams Bashford</v>
      </c>
      <c r="C316" s="26" t="str">
        <f>_xlfn.XLOOKUP(Total[[#This Row],[Hebras]],TbTecnologia[Hebras],TbTecnologia[Tecnología])</f>
        <v>OMP</v>
      </c>
      <c r="D316" s="15" t="str" cm="1">
        <f t="array" ref="D316">_xlfn.XLOOKUP(Total[[#This Row],[Tecnología]]&amp;Total[[#This Row],[Metodo]],TbTipos[Tecnología]&amp;TbTipos[Metodo],TbTipos[Tipo])</f>
        <v>OMP Operaciones</v>
      </c>
      <c r="E316" s="15" t="str" cm="1">
        <f t="array" ref="E316">_xlfn.XLOOKUP(Total[[#This Row],[Tecnología]]&amp;Total[[#This Row],[Problema]],TbNombres[Tecnología]&amp;TbNombres[Problema],TbNombres[Nombre])</f>
        <v>Advdiff1d</v>
      </c>
      <c r="F316" s="2">
        <v>3</v>
      </c>
      <c r="G316" s="2">
        <v>2</v>
      </c>
      <c r="H316" s="2">
        <v>1</v>
      </c>
      <c r="I316" s="2">
        <v>100</v>
      </c>
      <c r="J316" s="2">
        <v>100</v>
      </c>
      <c r="K316" s="2">
        <v>3.7526199999999998</v>
      </c>
    </row>
    <row r="317" spans="2:11" x14ac:dyDescent="0.2">
      <c r="B317" s="26" t="str">
        <f>_xlfn.XLOOKUP(Total[[#This Row],[Metodo]],TbSolver[Metodo],TbSolver[Solver])</f>
        <v>Adams Bashford</v>
      </c>
      <c r="C317" s="26" t="str">
        <f>_xlfn.XLOOKUP(Total[[#This Row],[Hebras]],TbTecnologia[Hebras],TbTecnologia[Tecnología])</f>
        <v>OMP</v>
      </c>
      <c r="D317" s="15" t="str" cm="1">
        <f t="array" ref="D317">_xlfn.XLOOKUP(Total[[#This Row],[Tecnología]]&amp;Total[[#This Row],[Metodo]],TbTipos[Tecnología]&amp;TbTipos[Metodo],TbTipos[Tipo])</f>
        <v>OMP Operaciones</v>
      </c>
      <c r="E317" s="15" t="str" cm="1">
        <f t="array" ref="E317">_xlfn.XLOOKUP(Total[[#This Row],[Tecnología]]&amp;Total[[#This Row],[Problema]],TbNombres[Tecnología]&amp;TbNombres[Problema],TbNombres[Nombre])</f>
        <v>Advdiff1d</v>
      </c>
      <c r="F317" s="2">
        <v>3</v>
      </c>
      <c r="G317" s="2">
        <v>2</v>
      </c>
      <c r="H317" s="2">
        <v>4</v>
      </c>
      <c r="I317" s="2">
        <v>100</v>
      </c>
      <c r="J317" s="2">
        <v>100</v>
      </c>
      <c r="K317" s="2">
        <v>16.279699999999998</v>
      </c>
    </row>
    <row r="318" spans="2:11" x14ac:dyDescent="0.2">
      <c r="B318" s="26" t="str">
        <f>_xlfn.XLOOKUP(Total[[#This Row],[Metodo]],TbSolver[Metodo],TbSolver[Solver])</f>
        <v>Adams Bashford</v>
      </c>
      <c r="C318" s="26" t="str">
        <f>_xlfn.XLOOKUP(Total[[#This Row],[Hebras]],TbTecnologia[Hebras],TbTecnologia[Tecnología])</f>
        <v>OMP</v>
      </c>
      <c r="D318" s="15" t="str" cm="1">
        <f t="array" ref="D318">_xlfn.XLOOKUP(Total[[#This Row],[Tecnología]]&amp;Total[[#This Row],[Metodo]],TbTipos[Tecnología]&amp;TbTipos[Metodo],TbTipos[Tipo])</f>
        <v>OMP Operaciones</v>
      </c>
      <c r="E318" s="15" t="str" cm="1">
        <f t="array" ref="E318">_xlfn.XLOOKUP(Total[[#This Row],[Tecnología]]&amp;Total[[#This Row],[Problema]],TbNombres[Tecnología]&amp;TbNombres[Problema],TbNombres[Nombre])</f>
        <v>Advdiff1d</v>
      </c>
      <c r="F318" s="2">
        <v>3</v>
      </c>
      <c r="G318" s="2">
        <v>2</v>
      </c>
      <c r="H318" s="2">
        <v>16</v>
      </c>
      <c r="I318" s="2">
        <v>100</v>
      </c>
      <c r="J318" s="2">
        <v>100</v>
      </c>
      <c r="K318" s="2">
        <v>34.238399999999999</v>
      </c>
    </row>
    <row r="319" spans="2:11" x14ac:dyDescent="0.2">
      <c r="B319" s="26" t="str">
        <f>_xlfn.XLOOKUP(Total[[#This Row],[Metodo]],TbSolver[Metodo],TbSolver[Solver])</f>
        <v>Adams Bashford</v>
      </c>
      <c r="C319" s="26" t="str">
        <f>_xlfn.XLOOKUP(Total[[#This Row],[Hebras]],TbTecnologia[Hebras],TbTecnologia[Tecnología])</f>
        <v>OMP</v>
      </c>
      <c r="D319" s="15" t="str" cm="1">
        <f t="array" ref="D319">_xlfn.XLOOKUP(Total[[#This Row],[Tecnología]]&amp;Total[[#This Row],[Metodo]],TbTipos[Tecnología]&amp;TbTipos[Metodo],TbTipos[Tipo])</f>
        <v>OMP Operaciones</v>
      </c>
      <c r="E319" s="15" t="str" cm="1">
        <f t="array" ref="E319">_xlfn.XLOOKUP(Total[[#This Row],[Tecnología]]&amp;Total[[#This Row],[Problema]],TbNombres[Tecnología]&amp;TbNombres[Problema],TbNombres[Nombre])</f>
        <v>Advdiff1d</v>
      </c>
      <c r="F319" s="2">
        <v>3</v>
      </c>
      <c r="G319" s="2">
        <v>2</v>
      </c>
      <c r="H319" s="2">
        <v>1</v>
      </c>
      <c r="I319" s="2">
        <v>200</v>
      </c>
      <c r="J319" s="2">
        <v>200</v>
      </c>
      <c r="K319" s="2">
        <v>6.0966699999999996</v>
      </c>
    </row>
    <row r="320" spans="2:11" x14ac:dyDescent="0.2">
      <c r="B320" s="26" t="str">
        <f>_xlfn.XLOOKUP(Total[[#This Row],[Metodo]],TbSolver[Metodo],TbSolver[Solver])</f>
        <v>Adams Bashford</v>
      </c>
      <c r="C320" s="26" t="str">
        <f>_xlfn.XLOOKUP(Total[[#This Row],[Hebras]],TbTecnologia[Hebras],TbTecnologia[Tecnología])</f>
        <v>OMP</v>
      </c>
      <c r="D320" s="15" t="str" cm="1">
        <f t="array" ref="D320">_xlfn.XLOOKUP(Total[[#This Row],[Tecnología]]&amp;Total[[#This Row],[Metodo]],TbTipos[Tecnología]&amp;TbTipos[Metodo],TbTipos[Tipo])</f>
        <v>OMP Operaciones</v>
      </c>
      <c r="E320" s="15" t="str" cm="1">
        <f t="array" ref="E320">_xlfn.XLOOKUP(Total[[#This Row],[Tecnología]]&amp;Total[[#This Row],[Problema]],TbNombres[Tecnología]&amp;TbNombres[Problema],TbNombres[Nombre])</f>
        <v>Advdiff1d</v>
      </c>
      <c r="F320" s="2">
        <v>3</v>
      </c>
      <c r="G320" s="2">
        <v>2</v>
      </c>
      <c r="H320" s="2">
        <v>4</v>
      </c>
      <c r="I320" s="2">
        <v>200</v>
      </c>
      <c r="J320" s="2">
        <v>200</v>
      </c>
      <c r="K320" s="2">
        <v>16.056000000000001</v>
      </c>
    </row>
    <row r="321" spans="2:11" x14ac:dyDescent="0.2">
      <c r="B321" s="26" t="str">
        <f>_xlfn.XLOOKUP(Total[[#This Row],[Metodo]],TbSolver[Metodo],TbSolver[Solver])</f>
        <v>Adams Bashford</v>
      </c>
      <c r="C321" s="26" t="str">
        <f>_xlfn.XLOOKUP(Total[[#This Row],[Hebras]],TbTecnologia[Hebras],TbTecnologia[Tecnología])</f>
        <v>OMP</v>
      </c>
      <c r="D321" s="15" t="str" cm="1">
        <f t="array" ref="D321">_xlfn.XLOOKUP(Total[[#This Row],[Tecnología]]&amp;Total[[#This Row],[Metodo]],TbTipos[Tecnología]&amp;TbTipos[Metodo],TbTipos[Tipo])</f>
        <v>OMP Operaciones</v>
      </c>
      <c r="E321" s="15" t="str" cm="1">
        <f t="array" ref="E321">_xlfn.XLOOKUP(Total[[#This Row],[Tecnología]]&amp;Total[[#This Row],[Problema]],TbNombres[Tecnología]&amp;TbNombres[Problema],TbNombres[Nombre])</f>
        <v>Advdiff1d</v>
      </c>
      <c r="F321" s="2">
        <v>3</v>
      </c>
      <c r="G321" s="2">
        <v>2</v>
      </c>
      <c r="H321" s="2">
        <v>16</v>
      </c>
      <c r="I321" s="2">
        <v>200</v>
      </c>
      <c r="J321" s="2">
        <v>200</v>
      </c>
      <c r="K321" s="2">
        <v>37.792000000000002</v>
      </c>
    </row>
    <row r="322" spans="2:11" x14ac:dyDescent="0.2">
      <c r="B322" s="26" t="str">
        <f>_xlfn.XLOOKUP(Total[[#This Row],[Metodo]],TbSolver[Metodo],TbSolver[Solver])</f>
        <v>Adams Bashford</v>
      </c>
      <c r="C322" s="26" t="str">
        <f>_xlfn.XLOOKUP(Total[[#This Row],[Hebras]],TbTecnologia[Hebras],TbTecnologia[Tecnología])</f>
        <v>OMP</v>
      </c>
      <c r="D322" s="15" t="str" cm="1">
        <f t="array" ref="D322">_xlfn.XLOOKUP(Total[[#This Row],[Tecnología]]&amp;Total[[#This Row],[Metodo]],TbTipos[Tecnología]&amp;TbTipos[Metodo],TbTipos[Tipo])</f>
        <v>OMP Operaciones</v>
      </c>
      <c r="E322" s="15" t="str" cm="1">
        <f t="array" ref="E322">_xlfn.XLOOKUP(Total[[#This Row],[Tecnología]]&amp;Total[[#This Row],[Problema]],TbNombres[Tecnología]&amp;TbNombres[Problema],TbNombres[Nombre])</f>
        <v>Advdiff1d</v>
      </c>
      <c r="F322" s="2">
        <v>3</v>
      </c>
      <c r="G322" s="2">
        <v>2</v>
      </c>
      <c r="H322" s="2">
        <v>1</v>
      </c>
      <c r="I322" s="2">
        <v>500</v>
      </c>
      <c r="J322" s="2">
        <v>500</v>
      </c>
      <c r="K322" s="2">
        <v>12.735300000000001</v>
      </c>
    </row>
    <row r="323" spans="2:11" x14ac:dyDescent="0.2">
      <c r="B323" s="26" t="str">
        <f>_xlfn.XLOOKUP(Total[[#This Row],[Metodo]],TbSolver[Metodo],TbSolver[Solver])</f>
        <v>Adams Bashford</v>
      </c>
      <c r="C323" s="26" t="str">
        <f>_xlfn.XLOOKUP(Total[[#This Row],[Hebras]],TbTecnologia[Hebras],TbTecnologia[Tecnología])</f>
        <v>OMP</v>
      </c>
      <c r="D323" s="15" t="str" cm="1">
        <f t="array" ref="D323">_xlfn.XLOOKUP(Total[[#This Row],[Tecnología]]&amp;Total[[#This Row],[Metodo]],TbTipos[Tecnología]&amp;TbTipos[Metodo],TbTipos[Tipo])</f>
        <v>OMP Operaciones</v>
      </c>
      <c r="E323" s="15" t="str" cm="1">
        <f t="array" ref="E323">_xlfn.XLOOKUP(Total[[#This Row],[Tecnología]]&amp;Total[[#This Row],[Problema]],TbNombres[Tecnología]&amp;TbNombres[Problema],TbNombres[Nombre])</f>
        <v>Advdiff1d</v>
      </c>
      <c r="F323" s="2">
        <v>3</v>
      </c>
      <c r="G323" s="2">
        <v>2</v>
      </c>
      <c r="H323" s="2">
        <v>4</v>
      </c>
      <c r="I323" s="2">
        <v>500</v>
      </c>
      <c r="J323" s="2">
        <v>500</v>
      </c>
      <c r="K323" s="2">
        <v>19.7759</v>
      </c>
    </row>
    <row r="324" spans="2:11" x14ac:dyDescent="0.2">
      <c r="B324" s="26" t="str">
        <f>_xlfn.XLOOKUP(Total[[#This Row],[Metodo]],TbSolver[Metodo],TbSolver[Solver])</f>
        <v>Adams Bashford</v>
      </c>
      <c r="C324" s="26" t="str">
        <f>_xlfn.XLOOKUP(Total[[#This Row],[Hebras]],TbTecnologia[Hebras],TbTecnologia[Tecnología])</f>
        <v>OMP</v>
      </c>
      <c r="D324" s="15" t="str" cm="1">
        <f t="array" ref="D324">_xlfn.XLOOKUP(Total[[#This Row],[Tecnología]]&amp;Total[[#This Row],[Metodo]],TbTipos[Tecnología]&amp;TbTipos[Metodo],TbTipos[Tipo])</f>
        <v>OMP Operaciones</v>
      </c>
      <c r="E324" s="15" t="str" cm="1">
        <f t="array" ref="E324">_xlfn.XLOOKUP(Total[[#This Row],[Tecnología]]&amp;Total[[#This Row],[Problema]],TbNombres[Tecnología]&amp;TbNombres[Problema],TbNombres[Nombre])</f>
        <v>Advdiff1d</v>
      </c>
      <c r="F324" s="2">
        <v>3</v>
      </c>
      <c r="G324" s="2">
        <v>2</v>
      </c>
      <c r="H324" s="2">
        <v>16</v>
      </c>
      <c r="I324" s="2">
        <v>500</v>
      </c>
      <c r="J324" s="2">
        <v>500</v>
      </c>
      <c r="K324" s="2">
        <v>36.402299999999997</v>
      </c>
    </row>
    <row r="325" spans="2:11" x14ac:dyDescent="0.2">
      <c r="B325" s="26" t="str">
        <f>_xlfn.XLOOKUP(Total[[#This Row],[Metodo]],TbSolver[Metodo],TbSolver[Solver])</f>
        <v>Adams Bashford</v>
      </c>
      <c r="C325" s="26" t="str">
        <f>_xlfn.XLOOKUP(Total[[#This Row],[Hebras]],TbTecnologia[Hebras],TbTecnologia[Tecnología])</f>
        <v>OMP</v>
      </c>
      <c r="D325" s="15" t="str" cm="1">
        <f t="array" ref="D325">_xlfn.XLOOKUP(Total[[#This Row],[Tecnología]]&amp;Total[[#This Row],[Metodo]],TbTipos[Tecnología]&amp;TbTipos[Metodo],TbTipos[Tipo])</f>
        <v>OMP Operaciones</v>
      </c>
      <c r="E325" s="15" t="str" cm="1">
        <f t="array" ref="E325">_xlfn.XLOOKUP(Total[[#This Row],[Tecnología]]&amp;Total[[#This Row],[Problema]],TbNombres[Tecnología]&amp;TbNombres[Problema],TbNombres[Nombre])</f>
        <v>Advdiff1d</v>
      </c>
      <c r="F325" s="2">
        <v>3</v>
      </c>
      <c r="G325" s="2">
        <v>2</v>
      </c>
      <c r="H325" s="2">
        <v>1</v>
      </c>
      <c r="I325" s="2">
        <v>1000</v>
      </c>
      <c r="J325" s="2">
        <v>1000</v>
      </c>
      <c r="K325" s="2">
        <v>24.2303</v>
      </c>
    </row>
    <row r="326" spans="2:11" x14ac:dyDescent="0.2">
      <c r="B326" s="26" t="str">
        <f>_xlfn.XLOOKUP(Total[[#This Row],[Metodo]],TbSolver[Metodo],TbSolver[Solver])</f>
        <v>Adams Bashford</v>
      </c>
      <c r="C326" s="26" t="str">
        <f>_xlfn.XLOOKUP(Total[[#This Row],[Hebras]],TbTecnologia[Hebras],TbTecnologia[Tecnología])</f>
        <v>OMP</v>
      </c>
      <c r="D326" s="15" t="str" cm="1">
        <f t="array" ref="D326">_xlfn.XLOOKUP(Total[[#This Row],[Tecnología]]&amp;Total[[#This Row],[Metodo]],TbTipos[Tecnología]&amp;TbTipos[Metodo],TbTipos[Tipo])</f>
        <v>OMP Operaciones</v>
      </c>
      <c r="E326" s="15" t="str" cm="1">
        <f t="array" ref="E326">_xlfn.XLOOKUP(Total[[#This Row],[Tecnología]]&amp;Total[[#This Row],[Problema]],TbNombres[Tecnología]&amp;TbNombres[Problema],TbNombres[Nombre])</f>
        <v>Advdiff1d</v>
      </c>
      <c r="F326" s="2">
        <v>3</v>
      </c>
      <c r="G326" s="2">
        <v>2</v>
      </c>
      <c r="H326" s="2">
        <v>4</v>
      </c>
      <c r="I326" s="2">
        <v>1000</v>
      </c>
      <c r="J326" s="2">
        <v>1000</v>
      </c>
      <c r="K326" s="2">
        <v>21.291699999999999</v>
      </c>
    </row>
    <row r="327" spans="2:11" x14ac:dyDescent="0.2">
      <c r="B327" s="26" t="str">
        <f>_xlfn.XLOOKUP(Total[[#This Row],[Metodo]],TbSolver[Metodo],TbSolver[Solver])</f>
        <v>Adams Bashford</v>
      </c>
      <c r="C327" s="26" t="str">
        <f>_xlfn.XLOOKUP(Total[[#This Row],[Hebras]],TbTecnologia[Hebras],TbTecnologia[Tecnología])</f>
        <v>OMP</v>
      </c>
      <c r="D327" s="15" t="str" cm="1">
        <f t="array" ref="D327">_xlfn.XLOOKUP(Total[[#This Row],[Tecnología]]&amp;Total[[#This Row],[Metodo]],TbTipos[Tecnología]&amp;TbTipos[Metodo],TbTipos[Tipo])</f>
        <v>OMP Operaciones</v>
      </c>
      <c r="E327" s="15" t="str" cm="1">
        <f t="array" ref="E327">_xlfn.XLOOKUP(Total[[#This Row],[Tecnología]]&amp;Total[[#This Row],[Problema]],TbNombres[Tecnología]&amp;TbNombres[Problema],TbNombres[Nombre])</f>
        <v>Advdiff1d</v>
      </c>
      <c r="F327" s="2">
        <v>3</v>
      </c>
      <c r="G327" s="2">
        <v>2</v>
      </c>
      <c r="H327" s="2">
        <v>16</v>
      </c>
      <c r="I327" s="2">
        <v>1000</v>
      </c>
      <c r="J327" s="2">
        <v>1000</v>
      </c>
      <c r="K327" s="2">
        <v>39.200499999999998</v>
      </c>
    </row>
    <row r="328" spans="2:11" x14ac:dyDescent="0.2">
      <c r="B328" s="26" t="str">
        <f>_xlfn.XLOOKUP(Total[[#This Row],[Metodo]],TbSolver[Metodo],TbSolver[Solver])</f>
        <v>Adams Bashford</v>
      </c>
      <c r="C328" s="26" t="str">
        <f>_xlfn.XLOOKUP(Total[[#This Row],[Hebras]],TbTecnologia[Hebras],TbTecnologia[Tecnología])</f>
        <v>OMP</v>
      </c>
      <c r="D328" s="15" t="str" cm="1">
        <f t="array" ref="D328">_xlfn.XLOOKUP(Total[[#This Row],[Tecnología]]&amp;Total[[#This Row],[Metodo]],TbTipos[Tecnología]&amp;TbTipos[Metodo],TbTipos[Tipo])</f>
        <v>OMP Elementos</v>
      </c>
      <c r="E328" s="15" t="str" cm="1">
        <f t="array" ref="E328">_xlfn.XLOOKUP(Total[[#This Row],[Tecnología]]&amp;Total[[#This Row],[Problema]],TbNombres[Tecnología]&amp;TbNombres[Problema],TbNombres[Nombre])</f>
        <v>Advdiff1d</v>
      </c>
      <c r="F328" s="2">
        <v>4</v>
      </c>
      <c r="G328" s="2">
        <v>2</v>
      </c>
      <c r="H328" s="2">
        <v>1</v>
      </c>
      <c r="I328" s="2">
        <v>100</v>
      </c>
      <c r="J328" s="2">
        <v>100</v>
      </c>
      <c r="K328" s="2">
        <v>3.16689</v>
      </c>
    </row>
    <row r="329" spans="2:11" x14ac:dyDescent="0.2">
      <c r="B329" s="26" t="str">
        <f>_xlfn.XLOOKUP(Total[[#This Row],[Metodo]],TbSolver[Metodo],TbSolver[Solver])</f>
        <v>Adams Bashford</v>
      </c>
      <c r="C329" s="26" t="str">
        <f>_xlfn.XLOOKUP(Total[[#This Row],[Hebras]],TbTecnologia[Hebras],TbTecnologia[Tecnología])</f>
        <v>OMP</v>
      </c>
      <c r="D329" s="15" t="str" cm="1">
        <f t="array" ref="D329">_xlfn.XLOOKUP(Total[[#This Row],[Tecnología]]&amp;Total[[#This Row],[Metodo]],TbTipos[Tecnología]&amp;TbTipos[Metodo],TbTipos[Tipo])</f>
        <v>OMP Elementos</v>
      </c>
      <c r="E329" s="15" t="str" cm="1">
        <f t="array" ref="E329">_xlfn.XLOOKUP(Total[[#This Row],[Tecnología]]&amp;Total[[#This Row],[Problema]],TbNombres[Tecnología]&amp;TbNombres[Problema],TbNombres[Nombre])</f>
        <v>Advdiff1d</v>
      </c>
      <c r="F329" s="2">
        <v>4</v>
      </c>
      <c r="G329" s="2">
        <v>2</v>
      </c>
      <c r="H329" s="2">
        <v>4</v>
      </c>
      <c r="I329" s="2">
        <v>100</v>
      </c>
      <c r="J329" s="2">
        <v>100</v>
      </c>
      <c r="K329" s="2">
        <v>5.38103</v>
      </c>
    </row>
    <row r="330" spans="2:11" x14ac:dyDescent="0.2">
      <c r="B330" s="26" t="str">
        <f>_xlfn.XLOOKUP(Total[[#This Row],[Metodo]],TbSolver[Metodo],TbSolver[Solver])</f>
        <v>Adams Bashford</v>
      </c>
      <c r="C330" s="26" t="str">
        <f>_xlfn.XLOOKUP(Total[[#This Row],[Hebras]],TbTecnologia[Hebras],TbTecnologia[Tecnología])</f>
        <v>OMP</v>
      </c>
      <c r="D330" s="15" t="str" cm="1">
        <f t="array" ref="D330">_xlfn.XLOOKUP(Total[[#This Row],[Tecnología]]&amp;Total[[#This Row],[Metodo]],TbTipos[Tecnología]&amp;TbTipos[Metodo],TbTipos[Tipo])</f>
        <v>OMP Elementos</v>
      </c>
      <c r="E330" s="15" t="str" cm="1">
        <f t="array" ref="E330">_xlfn.XLOOKUP(Total[[#This Row],[Tecnología]]&amp;Total[[#This Row],[Problema]],TbNombres[Tecnología]&amp;TbNombres[Problema],TbNombres[Nombre])</f>
        <v>Advdiff1d</v>
      </c>
      <c r="F330" s="2">
        <v>4</v>
      </c>
      <c r="G330" s="2">
        <v>2</v>
      </c>
      <c r="H330" s="2">
        <v>16</v>
      </c>
      <c r="I330" s="2">
        <v>100</v>
      </c>
      <c r="J330" s="2">
        <v>100</v>
      </c>
      <c r="K330" s="2">
        <v>10.819800000000001</v>
      </c>
    </row>
    <row r="331" spans="2:11" x14ac:dyDescent="0.2">
      <c r="B331" s="26" t="str">
        <f>_xlfn.XLOOKUP(Total[[#This Row],[Metodo]],TbSolver[Metodo],TbSolver[Solver])</f>
        <v>Adams Bashford</v>
      </c>
      <c r="C331" s="26" t="str">
        <f>_xlfn.XLOOKUP(Total[[#This Row],[Hebras]],TbTecnologia[Hebras],TbTecnologia[Tecnología])</f>
        <v>OMP</v>
      </c>
      <c r="D331" s="15" t="str" cm="1">
        <f t="array" ref="D331">_xlfn.XLOOKUP(Total[[#This Row],[Tecnología]]&amp;Total[[#This Row],[Metodo]],TbTipos[Tecnología]&amp;TbTipos[Metodo],TbTipos[Tipo])</f>
        <v>OMP Elementos</v>
      </c>
      <c r="E331" s="15" t="str" cm="1">
        <f t="array" ref="E331">_xlfn.XLOOKUP(Total[[#This Row],[Tecnología]]&amp;Total[[#This Row],[Problema]],TbNombres[Tecnología]&amp;TbNombres[Problema],TbNombres[Nombre])</f>
        <v>Advdiff1d</v>
      </c>
      <c r="F331" s="2">
        <v>4</v>
      </c>
      <c r="G331" s="2">
        <v>2</v>
      </c>
      <c r="H331" s="2">
        <v>1</v>
      </c>
      <c r="I331" s="2">
        <v>200</v>
      </c>
      <c r="J331" s="2">
        <v>200</v>
      </c>
      <c r="K331" s="2">
        <v>5.7238499999999997</v>
      </c>
    </row>
    <row r="332" spans="2:11" x14ac:dyDescent="0.2">
      <c r="B332" s="26" t="str">
        <f>_xlfn.XLOOKUP(Total[[#This Row],[Metodo]],TbSolver[Metodo],TbSolver[Solver])</f>
        <v>Adams Bashford</v>
      </c>
      <c r="C332" s="26" t="str">
        <f>_xlfn.XLOOKUP(Total[[#This Row],[Hebras]],TbTecnologia[Hebras],TbTecnologia[Tecnología])</f>
        <v>OMP</v>
      </c>
      <c r="D332" s="15" t="str" cm="1">
        <f t="array" ref="D332">_xlfn.XLOOKUP(Total[[#This Row],[Tecnología]]&amp;Total[[#This Row],[Metodo]],TbTipos[Tecnología]&amp;TbTipos[Metodo],TbTipos[Tipo])</f>
        <v>OMP Elementos</v>
      </c>
      <c r="E332" s="15" t="str" cm="1">
        <f t="array" ref="E332">_xlfn.XLOOKUP(Total[[#This Row],[Tecnología]]&amp;Total[[#This Row],[Problema]],TbNombres[Tecnología]&amp;TbNombres[Problema],TbNombres[Nombre])</f>
        <v>Advdiff1d</v>
      </c>
      <c r="F332" s="2">
        <v>4</v>
      </c>
      <c r="G332" s="2">
        <v>2</v>
      </c>
      <c r="H332" s="2">
        <v>4</v>
      </c>
      <c r="I332" s="2">
        <v>200</v>
      </c>
      <c r="J332" s="2">
        <v>200</v>
      </c>
      <c r="K332" s="2">
        <v>6.0631399999999998</v>
      </c>
    </row>
    <row r="333" spans="2:11" x14ac:dyDescent="0.2">
      <c r="B333" s="26" t="str">
        <f>_xlfn.XLOOKUP(Total[[#This Row],[Metodo]],TbSolver[Metodo],TbSolver[Solver])</f>
        <v>Adams Bashford</v>
      </c>
      <c r="C333" s="26" t="str">
        <f>_xlfn.XLOOKUP(Total[[#This Row],[Hebras]],TbTecnologia[Hebras],TbTecnologia[Tecnología])</f>
        <v>OMP</v>
      </c>
      <c r="D333" s="15" t="str" cm="1">
        <f t="array" ref="D333">_xlfn.XLOOKUP(Total[[#This Row],[Tecnología]]&amp;Total[[#This Row],[Metodo]],TbTipos[Tecnología]&amp;TbTipos[Metodo],TbTipos[Tipo])</f>
        <v>OMP Elementos</v>
      </c>
      <c r="E333" s="15" t="str" cm="1">
        <f t="array" ref="E333">_xlfn.XLOOKUP(Total[[#This Row],[Tecnología]]&amp;Total[[#This Row],[Problema]],TbNombres[Tecnología]&amp;TbNombres[Problema],TbNombres[Nombre])</f>
        <v>Advdiff1d</v>
      </c>
      <c r="F333" s="2">
        <v>4</v>
      </c>
      <c r="G333" s="2">
        <v>2</v>
      </c>
      <c r="H333" s="2">
        <v>16</v>
      </c>
      <c r="I333" s="2">
        <v>200</v>
      </c>
      <c r="J333" s="2">
        <v>200</v>
      </c>
      <c r="K333" s="2">
        <v>11.5939</v>
      </c>
    </row>
    <row r="334" spans="2:11" x14ac:dyDescent="0.2">
      <c r="B334" s="26" t="str">
        <f>_xlfn.XLOOKUP(Total[[#This Row],[Metodo]],TbSolver[Metodo],TbSolver[Solver])</f>
        <v>Adams Bashford</v>
      </c>
      <c r="C334" s="26" t="str">
        <f>_xlfn.XLOOKUP(Total[[#This Row],[Hebras]],TbTecnologia[Hebras],TbTecnologia[Tecnología])</f>
        <v>OMP</v>
      </c>
      <c r="D334" s="15" t="str" cm="1">
        <f t="array" ref="D334">_xlfn.XLOOKUP(Total[[#This Row],[Tecnología]]&amp;Total[[#This Row],[Metodo]],TbTipos[Tecnología]&amp;TbTipos[Metodo],TbTipos[Tipo])</f>
        <v>OMP Elementos</v>
      </c>
      <c r="E334" s="15" t="str" cm="1">
        <f t="array" ref="E334">_xlfn.XLOOKUP(Total[[#This Row],[Tecnología]]&amp;Total[[#This Row],[Problema]],TbNombres[Tecnología]&amp;TbNombres[Problema],TbNombres[Nombre])</f>
        <v>Advdiff1d</v>
      </c>
      <c r="F334" s="2">
        <v>4</v>
      </c>
      <c r="G334" s="2">
        <v>2</v>
      </c>
      <c r="H334" s="2">
        <v>1</v>
      </c>
      <c r="I334" s="2">
        <v>500</v>
      </c>
      <c r="J334" s="2">
        <v>500</v>
      </c>
      <c r="K334" s="2">
        <v>13.8065</v>
      </c>
    </row>
    <row r="335" spans="2:11" x14ac:dyDescent="0.2">
      <c r="B335" s="26" t="str">
        <f>_xlfn.XLOOKUP(Total[[#This Row],[Metodo]],TbSolver[Metodo],TbSolver[Solver])</f>
        <v>Adams Bashford</v>
      </c>
      <c r="C335" s="26" t="str">
        <f>_xlfn.XLOOKUP(Total[[#This Row],[Hebras]],TbTecnologia[Hebras],TbTecnologia[Tecnología])</f>
        <v>OMP</v>
      </c>
      <c r="D335" s="15" t="str" cm="1">
        <f t="array" ref="D335">_xlfn.XLOOKUP(Total[[#This Row],[Tecnología]]&amp;Total[[#This Row],[Metodo]],TbTipos[Tecnología]&amp;TbTipos[Metodo],TbTipos[Tipo])</f>
        <v>OMP Elementos</v>
      </c>
      <c r="E335" s="15" t="str" cm="1">
        <f t="array" ref="E335">_xlfn.XLOOKUP(Total[[#This Row],[Tecnología]]&amp;Total[[#This Row],[Problema]],TbNombres[Tecnología]&amp;TbNombres[Problema],TbNombres[Nombre])</f>
        <v>Advdiff1d</v>
      </c>
      <c r="F335" s="2">
        <v>4</v>
      </c>
      <c r="G335" s="2">
        <v>2</v>
      </c>
      <c r="H335" s="2">
        <v>4</v>
      </c>
      <c r="I335" s="2">
        <v>500</v>
      </c>
      <c r="J335" s="2">
        <v>500</v>
      </c>
      <c r="K335" s="2">
        <v>7.9635499999999997</v>
      </c>
    </row>
    <row r="336" spans="2:11" x14ac:dyDescent="0.2">
      <c r="B336" s="26" t="str">
        <f>_xlfn.XLOOKUP(Total[[#This Row],[Metodo]],TbSolver[Metodo],TbSolver[Solver])</f>
        <v>Adams Bashford</v>
      </c>
      <c r="C336" s="26" t="str">
        <f>_xlfn.XLOOKUP(Total[[#This Row],[Hebras]],TbTecnologia[Hebras],TbTecnologia[Tecnología])</f>
        <v>OMP</v>
      </c>
      <c r="D336" s="15" t="str" cm="1">
        <f t="array" ref="D336">_xlfn.XLOOKUP(Total[[#This Row],[Tecnología]]&amp;Total[[#This Row],[Metodo]],TbTipos[Tecnología]&amp;TbTipos[Metodo],TbTipos[Tipo])</f>
        <v>OMP Elementos</v>
      </c>
      <c r="E336" s="15" t="str" cm="1">
        <f t="array" ref="E336">_xlfn.XLOOKUP(Total[[#This Row],[Tecnología]]&amp;Total[[#This Row],[Problema]],TbNombres[Tecnología]&amp;TbNombres[Problema],TbNombres[Nombre])</f>
        <v>Advdiff1d</v>
      </c>
      <c r="F336" s="2">
        <v>4</v>
      </c>
      <c r="G336" s="2">
        <v>2</v>
      </c>
      <c r="H336" s="2">
        <v>16</v>
      </c>
      <c r="I336" s="2">
        <v>500</v>
      </c>
      <c r="J336" s="2">
        <v>500</v>
      </c>
      <c r="K336" s="2">
        <v>20.573</v>
      </c>
    </row>
    <row r="337" spans="2:11" x14ac:dyDescent="0.2">
      <c r="B337" s="26" t="str">
        <f>_xlfn.XLOOKUP(Total[[#This Row],[Metodo]],TbSolver[Metodo],TbSolver[Solver])</f>
        <v>Adams Bashford</v>
      </c>
      <c r="C337" s="26" t="str">
        <f>_xlfn.XLOOKUP(Total[[#This Row],[Hebras]],TbTecnologia[Hebras],TbTecnologia[Tecnología])</f>
        <v>OMP</v>
      </c>
      <c r="D337" s="15" t="str" cm="1">
        <f t="array" ref="D337">_xlfn.XLOOKUP(Total[[#This Row],[Tecnología]]&amp;Total[[#This Row],[Metodo]],TbTipos[Tecnología]&amp;TbTipos[Metodo],TbTipos[Tipo])</f>
        <v>OMP Elementos</v>
      </c>
      <c r="E337" s="15" t="str" cm="1">
        <f t="array" ref="E337">_xlfn.XLOOKUP(Total[[#This Row],[Tecnología]]&amp;Total[[#This Row],[Problema]],TbNombres[Tecnología]&amp;TbNombres[Problema],TbNombres[Nombre])</f>
        <v>Advdiff1d</v>
      </c>
      <c r="F337" s="2">
        <v>4</v>
      </c>
      <c r="G337" s="2">
        <v>2</v>
      </c>
      <c r="H337" s="2">
        <v>1</v>
      </c>
      <c r="I337" s="2">
        <v>1000</v>
      </c>
      <c r="J337" s="2">
        <v>1000</v>
      </c>
      <c r="K337" s="2">
        <v>26.942</v>
      </c>
    </row>
    <row r="338" spans="2:11" x14ac:dyDescent="0.2">
      <c r="B338" s="26" t="str">
        <f>_xlfn.XLOOKUP(Total[[#This Row],[Metodo]],TbSolver[Metodo],TbSolver[Solver])</f>
        <v>Adams Bashford</v>
      </c>
      <c r="C338" s="26" t="str">
        <f>_xlfn.XLOOKUP(Total[[#This Row],[Hebras]],TbTecnologia[Hebras],TbTecnologia[Tecnología])</f>
        <v>OMP</v>
      </c>
      <c r="D338" s="15" t="str" cm="1">
        <f t="array" ref="D338">_xlfn.XLOOKUP(Total[[#This Row],[Tecnología]]&amp;Total[[#This Row],[Metodo]],TbTipos[Tecnología]&amp;TbTipos[Metodo],TbTipos[Tipo])</f>
        <v>OMP Elementos</v>
      </c>
      <c r="E338" s="15" t="str" cm="1">
        <f t="array" ref="E338">_xlfn.XLOOKUP(Total[[#This Row],[Tecnología]]&amp;Total[[#This Row],[Problema]],TbNombres[Tecnología]&amp;TbNombres[Problema],TbNombres[Nombre])</f>
        <v>Advdiff1d</v>
      </c>
      <c r="F338" s="2">
        <v>4</v>
      </c>
      <c r="G338" s="2">
        <v>2</v>
      </c>
      <c r="H338" s="2">
        <v>4</v>
      </c>
      <c r="I338" s="2">
        <v>1000</v>
      </c>
      <c r="J338" s="2">
        <v>1000</v>
      </c>
      <c r="K338" s="2">
        <v>11.456200000000001</v>
      </c>
    </row>
    <row r="339" spans="2:11" x14ac:dyDescent="0.2">
      <c r="B339" s="26" t="str">
        <f>_xlfn.XLOOKUP(Total[[#This Row],[Metodo]],TbSolver[Metodo],TbSolver[Solver])</f>
        <v>Adams Bashford</v>
      </c>
      <c r="C339" s="26" t="str">
        <f>_xlfn.XLOOKUP(Total[[#This Row],[Hebras]],TbTecnologia[Hebras],TbTecnologia[Tecnología])</f>
        <v>OMP</v>
      </c>
      <c r="D339" s="15" t="str" cm="1">
        <f t="array" ref="D339">_xlfn.XLOOKUP(Total[[#This Row],[Tecnología]]&amp;Total[[#This Row],[Metodo]],TbTipos[Tecnología]&amp;TbTipos[Metodo],TbTipos[Tipo])</f>
        <v>OMP Elementos</v>
      </c>
      <c r="E339" s="15" t="str" cm="1">
        <f t="array" ref="E339">_xlfn.XLOOKUP(Total[[#This Row],[Tecnología]]&amp;Total[[#This Row],[Problema]],TbNombres[Tecnología]&amp;TbNombres[Problema],TbNombres[Nombre])</f>
        <v>Advdiff1d</v>
      </c>
      <c r="F339" s="2">
        <v>4</v>
      </c>
      <c r="G339" s="2">
        <v>2</v>
      </c>
      <c r="H339" s="2">
        <v>16</v>
      </c>
      <c r="I339" s="2">
        <v>1000</v>
      </c>
      <c r="J339" s="2">
        <v>1000</v>
      </c>
      <c r="K339" s="2">
        <v>76.611400000000003</v>
      </c>
    </row>
    <row r="340" spans="2:11" x14ac:dyDescent="0.2">
      <c r="B340" s="26" t="str">
        <f>_xlfn.XLOOKUP(Total[[#This Row],[Metodo]],TbSolver[Metodo],TbSolver[Solver])</f>
        <v>Adams Bashford</v>
      </c>
      <c r="C340" s="26" t="str">
        <f>_xlfn.XLOOKUP(Total[[#This Row],[Hebras]],TbTecnologia[Hebras],TbTecnologia[Tecnología])</f>
        <v>CUDA</v>
      </c>
      <c r="D340" s="15" t="str" cm="1">
        <f t="array" ref="D340">_xlfn.XLOOKUP(Total[[#This Row],[Tecnología]]&amp;Total[[#This Row],[Metodo]],TbTipos[Tecnología]&amp;TbTipos[Metodo],TbTipos[Tipo])</f>
        <v>CUDA sin graph</v>
      </c>
      <c r="E340" s="15" t="str" cm="1">
        <f t="array" ref="E340">_xlfn.XLOOKUP(Total[[#This Row],[Tecnología]]&amp;Total[[#This Row],[Problema]],TbNombres[Tecnología]&amp;TbNombres[Problema],TbNombres[Nombre])</f>
        <v>Brusselator1d</v>
      </c>
      <c r="F340" s="2">
        <v>3</v>
      </c>
      <c r="G340" s="2">
        <v>5</v>
      </c>
      <c r="H340" s="2">
        <v>256</v>
      </c>
      <c r="I340" s="2">
        <v>100</v>
      </c>
      <c r="J340" s="2">
        <v>200</v>
      </c>
      <c r="K340" s="2">
        <v>4.2511799999999997</v>
      </c>
    </row>
    <row r="341" spans="2:11" x14ac:dyDescent="0.2">
      <c r="B341" s="26" t="str">
        <f>_xlfn.XLOOKUP(Total[[#This Row],[Metodo]],TbSolver[Metodo],TbSolver[Solver])</f>
        <v>Adams Bashford</v>
      </c>
      <c r="C341" s="26" t="str">
        <f>_xlfn.XLOOKUP(Total[[#This Row],[Hebras]],TbTecnologia[Hebras],TbTecnologia[Tecnología])</f>
        <v>CUDA</v>
      </c>
      <c r="D341" s="15" t="str" cm="1">
        <f t="array" ref="D341">_xlfn.XLOOKUP(Total[[#This Row],[Tecnología]]&amp;Total[[#This Row],[Metodo]],TbTipos[Tecnología]&amp;TbTipos[Metodo],TbTipos[Tipo])</f>
        <v>CUDA sin graph</v>
      </c>
      <c r="E341" s="15" t="str" cm="1">
        <f t="array" ref="E341">_xlfn.XLOOKUP(Total[[#This Row],[Tecnología]]&amp;Total[[#This Row],[Problema]],TbNombres[Tecnología]&amp;TbNombres[Problema],TbNombres[Nombre])</f>
        <v>Brusselator1d shuffle</v>
      </c>
      <c r="F341" s="2">
        <v>3</v>
      </c>
      <c r="G341" s="2">
        <v>6</v>
      </c>
      <c r="H341" s="2">
        <v>256</v>
      </c>
      <c r="I341" s="2">
        <v>100</v>
      </c>
      <c r="J341" s="2">
        <v>200</v>
      </c>
      <c r="K341" s="2">
        <v>4.2739500000000001</v>
      </c>
    </row>
    <row r="342" spans="2:11" x14ac:dyDescent="0.2">
      <c r="B342" s="26" t="str">
        <f>_xlfn.XLOOKUP(Total[[#This Row],[Metodo]],TbSolver[Metodo],TbSolver[Solver])</f>
        <v>Adams Bashford</v>
      </c>
      <c r="C342" s="26" t="str">
        <f>_xlfn.XLOOKUP(Total[[#This Row],[Hebras]],TbTecnologia[Hebras],TbTecnologia[Tecnología])</f>
        <v>CUDA</v>
      </c>
      <c r="D342" s="15" t="str" cm="1">
        <f t="array" ref="D342">_xlfn.XLOOKUP(Total[[#This Row],[Tecnología]]&amp;Total[[#This Row],[Metodo]],TbTipos[Tecnología]&amp;TbTipos[Metodo],TbTipos[Tipo])</f>
        <v>CUDA sin graph</v>
      </c>
      <c r="E342" s="15" t="str" cm="1">
        <f t="array" ref="E342">_xlfn.XLOOKUP(Total[[#This Row],[Tecnología]]&amp;Total[[#This Row],[Problema]],TbNombres[Tecnología]&amp;TbNombres[Problema],TbNombres[Nombre])</f>
        <v>Brusselator1d</v>
      </c>
      <c r="F342" s="2">
        <v>3</v>
      </c>
      <c r="G342" s="2">
        <v>5</v>
      </c>
      <c r="H342" s="2">
        <v>256</v>
      </c>
      <c r="I342" s="2">
        <v>200</v>
      </c>
      <c r="J342" s="2">
        <v>400</v>
      </c>
      <c r="K342" s="2">
        <v>4.3825000000000003</v>
      </c>
    </row>
    <row r="343" spans="2:11" x14ac:dyDescent="0.2">
      <c r="B343" s="26" t="str">
        <f>_xlfn.XLOOKUP(Total[[#This Row],[Metodo]],TbSolver[Metodo],TbSolver[Solver])</f>
        <v>Adams Bashford</v>
      </c>
      <c r="C343" s="26" t="str">
        <f>_xlfn.XLOOKUP(Total[[#This Row],[Hebras]],TbTecnologia[Hebras],TbTecnologia[Tecnología])</f>
        <v>CUDA</v>
      </c>
      <c r="D343" s="15" t="str" cm="1">
        <f t="array" ref="D343">_xlfn.XLOOKUP(Total[[#This Row],[Tecnología]]&amp;Total[[#This Row],[Metodo]],TbTipos[Tecnología]&amp;TbTipos[Metodo],TbTipos[Tipo])</f>
        <v>CUDA sin graph</v>
      </c>
      <c r="E343" s="15" t="str" cm="1">
        <f t="array" ref="E343">_xlfn.XLOOKUP(Total[[#This Row],[Tecnología]]&amp;Total[[#This Row],[Problema]],TbNombres[Tecnología]&amp;TbNombres[Problema],TbNombres[Nombre])</f>
        <v>Brusselator1d grid</v>
      </c>
      <c r="F343" s="2">
        <v>3</v>
      </c>
      <c r="G343" s="2">
        <v>7</v>
      </c>
      <c r="H343" s="2">
        <v>256</v>
      </c>
      <c r="I343" s="2">
        <v>100</v>
      </c>
      <c r="J343" s="2">
        <v>200</v>
      </c>
      <c r="K343" s="2">
        <v>4.4091699999999996</v>
      </c>
    </row>
    <row r="344" spans="2:11" x14ac:dyDescent="0.2">
      <c r="B344" s="26" t="str">
        <f>_xlfn.XLOOKUP(Total[[#This Row],[Metodo]],TbSolver[Metodo],TbSolver[Solver])</f>
        <v>Adams Bashford</v>
      </c>
      <c r="C344" s="26" t="str">
        <f>_xlfn.XLOOKUP(Total[[#This Row],[Hebras]],TbTecnologia[Hebras],TbTecnologia[Tecnología])</f>
        <v>CUDA</v>
      </c>
      <c r="D344" s="15" t="str" cm="1">
        <f t="array" ref="D344">_xlfn.XLOOKUP(Total[[#This Row],[Tecnología]]&amp;Total[[#This Row],[Metodo]],TbTipos[Tecnología]&amp;TbTipos[Metodo],TbTipos[Tipo])</f>
        <v>CUDA sin graph</v>
      </c>
      <c r="E344" s="15" t="str" cm="1">
        <f t="array" ref="E344">_xlfn.XLOOKUP(Total[[#This Row],[Tecnología]]&amp;Total[[#This Row],[Problema]],TbNombres[Tecnología]&amp;TbNombres[Problema],TbNombres[Nombre])</f>
        <v>Brusselator1d</v>
      </c>
      <c r="F344" s="2">
        <v>3</v>
      </c>
      <c r="G344" s="2">
        <v>5</v>
      </c>
      <c r="H344" s="2">
        <v>256</v>
      </c>
      <c r="I344" s="2">
        <v>500</v>
      </c>
      <c r="J344" s="2">
        <v>1000</v>
      </c>
      <c r="K344" s="2">
        <v>4.4242800000000004</v>
      </c>
    </row>
    <row r="345" spans="2:11" x14ac:dyDescent="0.2">
      <c r="B345" s="26" t="str">
        <f>_xlfn.XLOOKUP(Total[[#This Row],[Metodo]],TbSolver[Metodo],TbSolver[Solver])</f>
        <v>Adams Bashford</v>
      </c>
      <c r="C345" s="26" t="str">
        <f>_xlfn.XLOOKUP(Total[[#This Row],[Hebras]],TbTecnologia[Hebras],TbTecnologia[Tecnología])</f>
        <v>CUDA</v>
      </c>
      <c r="D345" s="15" t="str" cm="1">
        <f t="array" ref="D345">_xlfn.XLOOKUP(Total[[#This Row],[Tecnología]]&amp;Total[[#This Row],[Metodo]],TbTipos[Tecnología]&amp;TbTipos[Metodo],TbTipos[Tipo])</f>
        <v>CUDA sin graph</v>
      </c>
      <c r="E345" s="15" t="str" cm="1">
        <f t="array" ref="E345">_xlfn.XLOOKUP(Total[[#This Row],[Tecnología]]&amp;Total[[#This Row],[Problema]],TbNombres[Tecnología]&amp;TbNombres[Problema],TbNombres[Nombre])</f>
        <v>Brusselator1d grid</v>
      </c>
      <c r="F345" s="2">
        <v>3</v>
      </c>
      <c r="G345" s="2">
        <v>7</v>
      </c>
      <c r="H345" s="2">
        <v>256</v>
      </c>
      <c r="I345" s="2">
        <v>200</v>
      </c>
      <c r="J345" s="2">
        <v>400</v>
      </c>
      <c r="K345" s="2">
        <v>4.4284499999999998</v>
      </c>
    </row>
    <row r="346" spans="2:11" x14ac:dyDescent="0.2">
      <c r="B346" s="26" t="str">
        <f>_xlfn.XLOOKUP(Total[[#This Row],[Metodo]],TbSolver[Metodo],TbSolver[Solver])</f>
        <v>Adams Bashford</v>
      </c>
      <c r="C346" s="26" t="str">
        <f>_xlfn.XLOOKUP(Total[[#This Row],[Hebras]],TbTecnologia[Hebras],TbTecnologia[Tecnología])</f>
        <v>CUDA</v>
      </c>
      <c r="D346" s="15" t="str" cm="1">
        <f t="array" ref="D346">_xlfn.XLOOKUP(Total[[#This Row],[Tecnología]]&amp;Total[[#This Row],[Metodo]],TbTipos[Tecnología]&amp;TbTipos[Metodo],TbTipos[Tipo])</f>
        <v>CUDA sin graph</v>
      </c>
      <c r="E346" s="15" t="str" cm="1">
        <f t="array" ref="E346">_xlfn.XLOOKUP(Total[[#This Row],[Tecnología]]&amp;Total[[#This Row],[Problema]],TbNombres[Tecnología]&amp;TbNombres[Problema],TbNombres[Nombre])</f>
        <v>Brusselator1d grid</v>
      </c>
      <c r="F346" s="2">
        <v>3</v>
      </c>
      <c r="G346" s="2">
        <v>7</v>
      </c>
      <c r="H346" s="2">
        <v>256</v>
      </c>
      <c r="I346" s="2">
        <v>500</v>
      </c>
      <c r="J346" s="2">
        <v>1000</v>
      </c>
      <c r="K346" s="2">
        <v>4.4563800000000002</v>
      </c>
    </row>
    <row r="347" spans="2:11" x14ac:dyDescent="0.2">
      <c r="B347" s="26" t="str">
        <f>_xlfn.XLOOKUP(Total[[#This Row],[Metodo]],TbSolver[Metodo],TbSolver[Solver])</f>
        <v>Adams Bashford</v>
      </c>
      <c r="C347" s="26" t="str">
        <f>_xlfn.XLOOKUP(Total[[#This Row],[Hebras]],TbTecnologia[Hebras],TbTecnologia[Tecnología])</f>
        <v>CUDA</v>
      </c>
      <c r="D347" s="15" t="str" cm="1">
        <f t="array" ref="D347">_xlfn.XLOOKUP(Total[[#This Row],[Tecnología]]&amp;Total[[#This Row],[Metodo]],TbTipos[Tecnología]&amp;TbTipos[Metodo],TbTipos[Tipo])</f>
        <v>CUDA sin graph</v>
      </c>
      <c r="E347" s="15" t="str" cm="1">
        <f t="array" ref="E347">_xlfn.XLOOKUP(Total[[#This Row],[Tecnología]]&amp;Total[[#This Row],[Problema]],TbNombres[Tecnología]&amp;TbNombres[Problema],TbNombres[Nombre])</f>
        <v>Brusselator1d</v>
      </c>
      <c r="F347" s="2">
        <v>3</v>
      </c>
      <c r="G347" s="2">
        <v>5</v>
      </c>
      <c r="H347" s="2">
        <v>256</v>
      </c>
      <c r="I347" s="2">
        <v>1000</v>
      </c>
      <c r="J347" s="2">
        <v>2000</v>
      </c>
      <c r="K347" s="2">
        <v>4.4725599999999996</v>
      </c>
    </row>
    <row r="348" spans="2:11" x14ac:dyDescent="0.2">
      <c r="B348" s="26" t="str">
        <f>_xlfn.XLOOKUP(Total[[#This Row],[Metodo]],TbSolver[Metodo],TbSolver[Solver])</f>
        <v>Adams Bashford</v>
      </c>
      <c r="C348" s="26" t="str">
        <f>_xlfn.XLOOKUP(Total[[#This Row],[Hebras]],TbTecnologia[Hebras],TbTecnologia[Tecnología])</f>
        <v>CUDA</v>
      </c>
      <c r="D348" s="15" t="str" cm="1">
        <f t="array" ref="D348">_xlfn.XLOOKUP(Total[[#This Row],[Tecnología]]&amp;Total[[#This Row],[Metodo]],TbTipos[Tecnología]&amp;TbTipos[Metodo],TbTipos[Tipo])</f>
        <v>CUDA sin graph</v>
      </c>
      <c r="E348" s="15" t="str" cm="1">
        <f t="array" ref="E348">_xlfn.XLOOKUP(Total[[#This Row],[Tecnología]]&amp;Total[[#This Row],[Problema]],TbNombres[Tecnología]&amp;TbNombres[Problema],TbNombres[Nombre])</f>
        <v>Brusselator1d shuffle</v>
      </c>
      <c r="F348" s="2">
        <v>3</v>
      </c>
      <c r="G348" s="2">
        <v>6</v>
      </c>
      <c r="H348" s="2">
        <v>256</v>
      </c>
      <c r="I348" s="2">
        <v>200</v>
      </c>
      <c r="J348" s="2">
        <v>400</v>
      </c>
      <c r="K348" s="2">
        <v>4.4763099999999998</v>
      </c>
    </row>
    <row r="349" spans="2:11" x14ac:dyDescent="0.2">
      <c r="B349" s="26" t="str">
        <f>_xlfn.XLOOKUP(Total[[#This Row],[Metodo]],TbSolver[Metodo],TbSolver[Solver])</f>
        <v>Adams Bashford</v>
      </c>
      <c r="C349" s="26" t="str">
        <f>_xlfn.XLOOKUP(Total[[#This Row],[Hebras]],TbTecnologia[Hebras],TbTecnologia[Tecnología])</f>
        <v>CUDA</v>
      </c>
      <c r="D349" s="15" t="str" cm="1">
        <f t="array" ref="D349">_xlfn.XLOOKUP(Total[[#This Row],[Tecnología]]&amp;Total[[#This Row],[Metodo]],TbTipos[Tecnología]&amp;TbTipos[Metodo],TbTipos[Tipo])</f>
        <v>CUDA sin graph</v>
      </c>
      <c r="E349" s="15" t="str" cm="1">
        <f t="array" ref="E349">_xlfn.XLOOKUP(Total[[#This Row],[Tecnología]]&amp;Total[[#This Row],[Problema]],TbNombres[Tecnología]&amp;TbNombres[Problema],TbNombres[Nombre])</f>
        <v>Brusselator1d shuffle</v>
      </c>
      <c r="F349" s="2">
        <v>3</v>
      </c>
      <c r="G349" s="2">
        <v>6</v>
      </c>
      <c r="H349" s="2">
        <v>256</v>
      </c>
      <c r="I349" s="2">
        <v>500</v>
      </c>
      <c r="J349" s="2">
        <v>1000</v>
      </c>
      <c r="K349" s="2">
        <v>4.4807300000000003</v>
      </c>
    </row>
    <row r="350" spans="2:11" x14ac:dyDescent="0.2">
      <c r="B350" s="26" t="str">
        <f>_xlfn.XLOOKUP(Total[[#This Row],[Metodo]],TbSolver[Metodo],TbSolver[Solver])</f>
        <v>Adams Bashford</v>
      </c>
      <c r="C350" s="26" t="str">
        <f>_xlfn.XLOOKUP(Total[[#This Row],[Hebras]],TbTecnologia[Hebras],TbTecnologia[Tecnología])</f>
        <v>CUDA</v>
      </c>
      <c r="D350" s="15" t="str" cm="1">
        <f t="array" ref="D350">_xlfn.XLOOKUP(Total[[#This Row],[Tecnología]]&amp;Total[[#This Row],[Metodo]],TbTipos[Tecnología]&amp;TbTipos[Metodo],TbTipos[Tipo])</f>
        <v>CUDA sin graph</v>
      </c>
      <c r="E350" s="15" t="str" cm="1">
        <f t="array" ref="E350">_xlfn.XLOOKUP(Total[[#This Row],[Tecnología]]&amp;Total[[#This Row],[Problema]],TbNombres[Tecnología]&amp;TbNombres[Problema],TbNombres[Nombre])</f>
        <v>Brusselator1d shuffle</v>
      </c>
      <c r="F350" s="2">
        <v>3</v>
      </c>
      <c r="G350" s="2">
        <v>6</v>
      </c>
      <c r="H350" s="2">
        <v>256</v>
      </c>
      <c r="I350" s="2">
        <v>1000</v>
      </c>
      <c r="J350" s="2">
        <v>2000</v>
      </c>
      <c r="K350" s="2">
        <v>4.4973900000000002</v>
      </c>
    </row>
    <row r="351" spans="2:11" x14ac:dyDescent="0.2">
      <c r="B351" s="26" t="str">
        <f>_xlfn.XLOOKUP(Total[[#This Row],[Metodo]],TbSolver[Metodo],TbSolver[Solver])</f>
        <v>Adams Bashford</v>
      </c>
      <c r="C351" s="26" t="str">
        <f>_xlfn.XLOOKUP(Total[[#This Row],[Hebras]],TbTecnologia[Hebras],TbTecnologia[Tecnología])</f>
        <v>CUDA</v>
      </c>
      <c r="D351" s="15" t="str" cm="1">
        <f t="array" ref="D351">_xlfn.XLOOKUP(Total[[#This Row],[Tecnología]]&amp;Total[[#This Row],[Metodo]],TbTipos[Tecnología]&amp;TbTipos[Metodo],TbTipos[Tipo])</f>
        <v>CUDA sin graph</v>
      </c>
      <c r="E351" s="15" t="str" cm="1">
        <f t="array" ref="E351">_xlfn.XLOOKUP(Total[[#This Row],[Tecnología]]&amp;Total[[#This Row],[Problema]],TbNombres[Tecnología]&amp;TbNombres[Problema],TbNombres[Nombre])</f>
        <v>Brusselator1d</v>
      </c>
      <c r="F351" s="2">
        <v>3</v>
      </c>
      <c r="G351" s="2">
        <v>5</v>
      </c>
      <c r="H351" s="2">
        <v>256</v>
      </c>
      <c r="I351" s="2">
        <v>2000</v>
      </c>
      <c r="J351" s="2">
        <v>4000</v>
      </c>
      <c r="K351" s="2">
        <v>4.5078199999999997</v>
      </c>
    </row>
    <row r="352" spans="2:11" x14ac:dyDescent="0.2">
      <c r="B352" s="26" t="str">
        <f>_xlfn.XLOOKUP(Total[[#This Row],[Metodo]],TbSolver[Metodo],TbSolver[Solver])</f>
        <v>Adams Bashford</v>
      </c>
      <c r="C352" s="26" t="str">
        <f>_xlfn.XLOOKUP(Total[[#This Row],[Hebras]],TbTecnologia[Hebras],TbTecnologia[Tecnología])</f>
        <v>CUDA</v>
      </c>
      <c r="D352" s="15" t="str" cm="1">
        <f t="array" ref="D352">_xlfn.XLOOKUP(Total[[#This Row],[Tecnología]]&amp;Total[[#This Row],[Metodo]],TbTipos[Tecnología]&amp;TbTipos[Metodo],TbTipos[Tipo])</f>
        <v>CUDA sin graph</v>
      </c>
      <c r="E352" s="15" t="str" cm="1">
        <f t="array" ref="E352">_xlfn.XLOOKUP(Total[[#This Row],[Tecnología]]&amp;Total[[#This Row],[Problema]],TbNombres[Tecnología]&amp;TbNombres[Problema],TbNombres[Nombre])</f>
        <v>Brusselator1d grid</v>
      </c>
      <c r="F352" s="2">
        <v>3</v>
      </c>
      <c r="G352" s="2">
        <v>7</v>
      </c>
      <c r="H352" s="2">
        <v>256</v>
      </c>
      <c r="I352" s="2">
        <v>2000</v>
      </c>
      <c r="J352" s="2">
        <v>4000</v>
      </c>
      <c r="K352" s="2">
        <v>4.5202</v>
      </c>
    </row>
    <row r="353" spans="2:11" x14ac:dyDescent="0.2">
      <c r="B353" s="26" t="str">
        <f>_xlfn.XLOOKUP(Total[[#This Row],[Metodo]],TbSolver[Metodo],TbSolver[Solver])</f>
        <v>Adams Bashford</v>
      </c>
      <c r="C353" s="26" t="str">
        <f>_xlfn.XLOOKUP(Total[[#This Row],[Hebras]],TbTecnologia[Hebras],TbTecnologia[Tecnología])</f>
        <v>CUDA</v>
      </c>
      <c r="D353" s="15" t="str" cm="1">
        <f t="array" ref="D353">_xlfn.XLOOKUP(Total[[#This Row],[Tecnología]]&amp;Total[[#This Row],[Metodo]],TbTipos[Tecnología]&amp;TbTipos[Metodo],TbTipos[Tipo])</f>
        <v>CUDA sin graph</v>
      </c>
      <c r="E353" s="15" t="str" cm="1">
        <f t="array" ref="E353">_xlfn.XLOOKUP(Total[[#This Row],[Tecnología]]&amp;Total[[#This Row],[Problema]],TbNombres[Tecnología]&amp;TbNombres[Problema],TbNombres[Nombre])</f>
        <v>Brusselator1d shuffle</v>
      </c>
      <c r="F353" s="2">
        <v>3</v>
      </c>
      <c r="G353" s="2">
        <v>6</v>
      </c>
      <c r="H353" s="2">
        <v>256</v>
      </c>
      <c r="I353" s="2">
        <v>2000</v>
      </c>
      <c r="J353" s="2">
        <v>4000</v>
      </c>
      <c r="K353" s="2">
        <v>4.5514799999999997</v>
      </c>
    </row>
    <row r="354" spans="2:11" x14ac:dyDescent="0.2">
      <c r="B354" s="26" t="str">
        <f>_xlfn.XLOOKUP(Total[[#This Row],[Metodo]],TbSolver[Metodo],TbSolver[Solver])</f>
        <v>Adams Bashford</v>
      </c>
      <c r="C354" s="26" t="str">
        <f>_xlfn.XLOOKUP(Total[[#This Row],[Hebras]],TbTecnologia[Hebras],TbTecnologia[Tecnología])</f>
        <v>CUDA</v>
      </c>
      <c r="D354" s="15" t="str" cm="1">
        <f t="array" ref="D354">_xlfn.XLOOKUP(Total[[#This Row],[Tecnología]]&amp;Total[[#This Row],[Metodo]],TbTipos[Tecnología]&amp;TbTipos[Metodo],TbTipos[Tipo])</f>
        <v>CUDA sin graph</v>
      </c>
      <c r="E354" s="15" t="str" cm="1">
        <f t="array" ref="E354">_xlfn.XLOOKUP(Total[[#This Row],[Tecnología]]&amp;Total[[#This Row],[Problema]],TbNombres[Tecnología]&amp;TbNombres[Problema],TbNombres[Nombre])</f>
        <v>Brusselator1d grid</v>
      </c>
      <c r="F354" s="2">
        <v>3</v>
      </c>
      <c r="G354" s="2">
        <v>7</v>
      </c>
      <c r="H354" s="2">
        <v>256</v>
      </c>
      <c r="I354" s="2">
        <v>1000</v>
      </c>
      <c r="J354" s="2">
        <v>2000</v>
      </c>
      <c r="K354" s="2">
        <v>4.5598000000000001</v>
      </c>
    </row>
    <row r="355" spans="2:11" x14ac:dyDescent="0.2">
      <c r="B355" s="26" t="str">
        <f>_xlfn.XLOOKUP(Total[[#This Row],[Metodo]],TbSolver[Metodo],TbSolver[Solver])</f>
        <v>Adams Bashford</v>
      </c>
      <c r="C355" s="26" t="str">
        <f>_xlfn.XLOOKUP(Total[[#This Row],[Hebras]],TbTecnologia[Hebras],TbTecnologia[Tecnología])</f>
        <v>CUDA</v>
      </c>
      <c r="D355" s="15" t="str" cm="1">
        <f t="array" ref="D355">_xlfn.XLOOKUP(Total[[#This Row],[Tecnología]]&amp;Total[[#This Row],[Metodo]],TbTipos[Tecnología]&amp;TbTipos[Metodo],TbTipos[Tipo])</f>
        <v>CUDA sin graph</v>
      </c>
      <c r="E355" s="15" t="str" cm="1">
        <f t="array" ref="E355">_xlfn.XLOOKUP(Total[[#This Row],[Tecnología]]&amp;Total[[#This Row],[Problema]],TbNombres[Tecnología]&amp;TbNombres[Problema],TbNombres[Nombre])</f>
        <v>Brusselator1d</v>
      </c>
      <c r="F355" s="2">
        <v>3</v>
      </c>
      <c r="G355" s="2">
        <v>5</v>
      </c>
      <c r="H355" s="2">
        <v>256</v>
      </c>
      <c r="I355" s="2">
        <v>5000</v>
      </c>
      <c r="J355" s="2">
        <v>10000</v>
      </c>
      <c r="K355" s="2">
        <v>4.64262</v>
      </c>
    </row>
    <row r="356" spans="2:11" x14ac:dyDescent="0.2">
      <c r="B356" s="26" t="str">
        <f>_xlfn.XLOOKUP(Total[[#This Row],[Metodo]],TbSolver[Metodo],TbSolver[Solver])</f>
        <v>Adams Bashford</v>
      </c>
      <c r="C356" s="26" t="str">
        <f>_xlfn.XLOOKUP(Total[[#This Row],[Hebras]],TbTecnologia[Hebras],TbTecnologia[Tecnología])</f>
        <v>CUDA</v>
      </c>
      <c r="D356" s="15" t="str" cm="1">
        <f t="array" ref="D356">_xlfn.XLOOKUP(Total[[#This Row],[Tecnología]]&amp;Total[[#This Row],[Metodo]],TbTipos[Tecnología]&amp;TbTipos[Metodo],TbTipos[Tipo])</f>
        <v>CUDA sin graph</v>
      </c>
      <c r="E356" s="15" t="str" cm="1">
        <f t="array" ref="E356">_xlfn.XLOOKUP(Total[[#This Row],[Tecnología]]&amp;Total[[#This Row],[Problema]],TbNombres[Tecnología]&amp;TbNombres[Problema],TbNombres[Nombre])</f>
        <v>Brusselator1d grid</v>
      </c>
      <c r="F356" s="2">
        <v>3</v>
      </c>
      <c r="G356" s="2">
        <v>7</v>
      </c>
      <c r="H356" s="2">
        <v>256</v>
      </c>
      <c r="I356" s="2">
        <v>5000</v>
      </c>
      <c r="J356" s="2">
        <v>10000</v>
      </c>
      <c r="K356" s="2">
        <v>4.6811100000000003</v>
      </c>
    </row>
    <row r="357" spans="2:11" x14ac:dyDescent="0.2">
      <c r="B357" s="26" t="str">
        <f>_xlfn.XLOOKUP(Total[[#This Row],[Metodo]],TbSolver[Metodo],TbSolver[Solver])</f>
        <v>Adams Bashford</v>
      </c>
      <c r="C357" s="26" t="str">
        <f>_xlfn.XLOOKUP(Total[[#This Row],[Hebras]],TbTecnologia[Hebras],TbTecnologia[Tecnología])</f>
        <v>CUDA</v>
      </c>
      <c r="D357" s="15" t="str" cm="1">
        <f t="array" ref="D357">_xlfn.XLOOKUP(Total[[#This Row],[Tecnología]]&amp;Total[[#This Row],[Metodo]],TbTipos[Tecnología]&amp;TbTipos[Metodo],TbTipos[Tipo])</f>
        <v>CUDA sin graph</v>
      </c>
      <c r="E357" s="15" t="str" cm="1">
        <f t="array" ref="E357">_xlfn.XLOOKUP(Total[[#This Row],[Tecnología]]&amp;Total[[#This Row],[Problema]],TbNombres[Tecnología]&amp;TbNombres[Problema],TbNombres[Nombre])</f>
        <v>Brusselator1d shuffle</v>
      </c>
      <c r="F357" s="2">
        <v>3</v>
      </c>
      <c r="G357" s="2">
        <v>6</v>
      </c>
      <c r="H357" s="2">
        <v>256</v>
      </c>
      <c r="I357" s="2">
        <v>5000</v>
      </c>
      <c r="J357" s="2">
        <v>10000</v>
      </c>
      <c r="K357" s="2">
        <v>4.7199299999999997</v>
      </c>
    </row>
    <row r="358" spans="2:11" x14ac:dyDescent="0.2">
      <c r="B358" s="26" t="str">
        <f>_xlfn.XLOOKUP(Total[[#This Row],[Metodo]],TbSolver[Metodo],TbSolver[Solver])</f>
        <v>Adams Bashford</v>
      </c>
      <c r="C358" s="26" t="str">
        <f>_xlfn.XLOOKUP(Total[[#This Row],[Hebras]],TbTecnologia[Hebras],TbTecnologia[Tecnología])</f>
        <v>CUDA</v>
      </c>
      <c r="D358" s="15" t="str" cm="1">
        <f t="array" ref="D358">_xlfn.XLOOKUP(Total[[#This Row],[Tecnología]]&amp;Total[[#This Row],[Metodo]],TbTipos[Tecnología]&amp;TbTipos[Metodo],TbTipos[Tipo])</f>
        <v>CUDA con graph</v>
      </c>
      <c r="E358" s="15" t="str" cm="1">
        <f t="array" ref="E358">_xlfn.XLOOKUP(Total[[#This Row],[Tecnología]]&amp;Total[[#This Row],[Problema]],TbNombres[Tecnología]&amp;TbNombres[Problema],TbNombres[Nombre])</f>
        <v>Brusselator1d</v>
      </c>
      <c r="F358" s="2">
        <v>4</v>
      </c>
      <c r="G358" s="2">
        <v>5</v>
      </c>
      <c r="H358" s="2">
        <v>256</v>
      </c>
      <c r="I358" s="2">
        <v>100</v>
      </c>
      <c r="J358" s="2">
        <v>200</v>
      </c>
      <c r="K358" s="2">
        <v>5.79298</v>
      </c>
    </row>
    <row r="359" spans="2:11" x14ac:dyDescent="0.2">
      <c r="B359" s="26" t="str">
        <f>_xlfn.XLOOKUP(Total[[#This Row],[Metodo]],TbSolver[Metodo],TbSolver[Solver])</f>
        <v>Adams Bashford</v>
      </c>
      <c r="C359" s="26" t="str">
        <f>_xlfn.XLOOKUP(Total[[#This Row],[Hebras]],TbTecnologia[Hebras],TbTecnologia[Tecnología])</f>
        <v>CUDA</v>
      </c>
      <c r="D359" s="15" t="str" cm="1">
        <f t="array" ref="D359">_xlfn.XLOOKUP(Total[[#This Row],[Tecnología]]&amp;Total[[#This Row],[Metodo]],TbTipos[Tecnología]&amp;TbTipos[Metodo],TbTipos[Tipo])</f>
        <v>CUDA con graph</v>
      </c>
      <c r="E359" s="15" t="str" cm="1">
        <f t="array" ref="E359">_xlfn.XLOOKUP(Total[[#This Row],[Tecnología]]&amp;Total[[#This Row],[Problema]],TbNombres[Tecnología]&amp;TbNombres[Problema],TbNombres[Nombre])</f>
        <v>Brusselator1d shuffle</v>
      </c>
      <c r="F359" s="2">
        <v>4</v>
      </c>
      <c r="G359" s="2">
        <v>6</v>
      </c>
      <c r="H359" s="2">
        <v>256</v>
      </c>
      <c r="I359" s="2">
        <v>100</v>
      </c>
      <c r="J359" s="2">
        <v>200</v>
      </c>
      <c r="K359" s="2">
        <v>5.8353200000000003</v>
      </c>
    </row>
    <row r="360" spans="2:11" x14ac:dyDescent="0.2">
      <c r="B360" s="26" t="str">
        <f>_xlfn.XLOOKUP(Total[[#This Row],[Metodo]],TbSolver[Metodo],TbSolver[Solver])</f>
        <v>Adams Bashford</v>
      </c>
      <c r="C360" s="26" t="str">
        <f>_xlfn.XLOOKUP(Total[[#This Row],[Hebras]],TbTecnologia[Hebras],TbTecnologia[Tecnología])</f>
        <v>CUDA</v>
      </c>
      <c r="D360" s="15" t="str" cm="1">
        <f t="array" ref="D360">_xlfn.XLOOKUP(Total[[#This Row],[Tecnología]]&amp;Total[[#This Row],[Metodo]],TbTipos[Tecnología]&amp;TbTipos[Metodo],TbTipos[Tipo])</f>
        <v>CUDA con graph</v>
      </c>
      <c r="E360" s="15" t="str" cm="1">
        <f t="array" ref="E360">_xlfn.XLOOKUP(Total[[#This Row],[Tecnología]]&amp;Total[[#This Row],[Problema]],TbNombres[Tecnología]&amp;TbNombres[Problema],TbNombres[Nombre])</f>
        <v>Brusselator1d grid</v>
      </c>
      <c r="F360" s="2">
        <v>4</v>
      </c>
      <c r="G360" s="2">
        <v>7</v>
      </c>
      <c r="H360" s="2">
        <v>256</v>
      </c>
      <c r="I360" s="2">
        <v>100</v>
      </c>
      <c r="J360" s="2">
        <v>200</v>
      </c>
      <c r="K360" s="2">
        <v>5.9540899999999999</v>
      </c>
    </row>
    <row r="361" spans="2:11" x14ac:dyDescent="0.2">
      <c r="B361" s="26" t="str">
        <f>_xlfn.XLOOKUP(Total[[#This Row],[Metodo]],TbSolver[Metodo],TbSolver[Solver])</f>
        <v>Adams Bashford</v>
      </c>
      <c r="C361" s="26" t="str">
        <f>_xlfn.XLOOKUP(Total[[#This Row],[Hebras]],TbTecnologia[Hebras],TbTecnologia[Tecnología])</f>
        <v>CUDA</v>
      </c>
      <c r="D361" s="15" t="str" cm="1">
        <f t="array" ref="D361">_xlfn.XLOOKUP(Total[[#This Row],[Tecnología]]&amp;Total[[#This Row],[Metodo]],TbTipos[Tecnología]&amp;TbTipos[Metodo],TbTipos[Tipo])</f>
        <v>CUDA con graph</v>
      </c>
      <c r="E361" s="15" t="str" cm="1">
        <f t="array" ref="E361">_xlfn.XLOOKUP(Total[[#This Row],[Tecnología]]&amp;Total[[#This Row],[Problema]],TbNombres[Tecnología]&amp;TbNombres[Problema],TbNombres[Nombre])</f>
        <v>Brusselator1d</v>
      </c>
      <c r="F361" s="2">
        <v>4</v>
      </c>
      <c r="G361" s="2">
        <v>5</v>
      </c>
      <c r="H361" s="2">
        <v>256</v>
      </c>
      <c r="I361" s="2">
        <v>200</v>
      </c>
      <c r="J361" s="2">
        <v>400</v>
      </c>
      <c r="K361" s="2">
        <v>6.0020499999999997</v>
      </c>
    </row>
    <row r="362" spans="2:11" x14ac:dyDescent="0.2">
      <c r="B362" s="26" t="str">
        <f>_xlfn.XLOOKUP(Total[[#This Row],[Metodo]],TbSolver[Metodo],TbSolver[Solver])</f>
        <v>Adams Bashford</v>
      </c>
      <c r="C362" s="26" t="str">
        <f>_xlfn.XLOOKUP(Total[[#This Row],[Hebras]],TbTecnologia[Hebras],TbTecnologia[Tecnología])</f>
        <v>CUDA</v>
      </c>
      <c r="D362" s="15" t="str" cm="1">
        <f t="array" ref="D362">_xlfn.XLOOKUP(Total[[#This Row],[Tecnología]]&amp;Total[[#This Row],[Metodo]],TbTipos[Tecnología]&amp;TbTipos[Metodo],TbTipos[Tipo])</f>
        <v>CUDA con graph</v>
      </c>
      <c r="E362" s="15" t="str" cm="1">
        <f t="array" ref="E362">_xlfn.XLOOKUP(Total[[#This Row],[Tecnología]]&amp;Total[[#This Row],[Problema]],TbNombres[Tecnología]&amp;TbNombres[Problema],TbNombres[Nombre])</f>
        <v>Brusselator1d grid</v>
      </c>
      <c r="F362" s="2">
        <v>4</v>
      </c>
      <c r="G362" s="2">
        <v>7</v>
      </c>
      <c r="H362" s="2">
        <v>256</v>
      </c>
      <c r="I362" s="2">
        <v>200</v>
      </c>
      <c r="J362" s="2">
        <v>400</v>
      </c>
      <c r="K362" s="2">
        <v>6.0254700000000003</v>
      </c>
    </row>
    <row r="363" spans="2:11" x14ac:dyDescent="0.2">
      <c r="B363" s="26" t="str">
        <f>_xlfn.XLOOKUP(Total[[#This Row],[Metodo]],TbSolver[Metodo],TbSolver[Solver])</f>
        <v>Adams Bashford</v>
      </c>
      <c r="C363" s="26" t="str">
        <f>_xlfn.XLOOKUP(Total[[#This Row],[Hebras]],TbTecnologia[Hebras],TbTecnologia[Tecnología])</f>
        <v>CUDA</v>
      </c>
      <c r="D363" s="15" t="str" cm="1">
        <f t="array" ref="D363">_xlfn.XLOOKUP(Total[[#This Row],[Tecnología]]&amp;Total[[#This Row],[Metodo]],TbTipos[Tecnología]&amp;TbTipos[Metodo],TbTipos[Tipo])</f>
        <v>CUDA con graph</v>
      </c>
      <c r="E363" s="15" t="str" cm="1">
        <f t="array" ref="E363">_xlfn.XLOOKUP(Total[[#This Row],[Tecnología]]&amp;Total[[#This Row],[Problema]],TbNombres[Tecnología]&amp;TbNombres[Problema],TbNombres[Nombre])</f>
        <v>Brusselator1d shuffle</v>
      </c>
      <c r="F363" s="2">
        <v>4</v>
      </c>
      <c r="G363" s="2">
        <v>6</v>
      </c>
      <c r="H363" s="2">
        <v>256</v>
      </c>
      <c r="I363" s="2">
        <v>200</v>
      </c>
      <c r="J363" s="2">
        <v>400</v>
      </c>
      <c r="K363" s="2">
        <v>6.0285399999999996</v>
      </c>
    </row>
    <row r="364" spans="2:11" x14ac:dyDescent="0.2">
      <c r="B364" s="26" t="str">
        <f>_xlfn.XLOOKUP(Total[[#This Row],[Metodo]],TbSolver[Metodo],TbSolver[Solver])</f>
        <v>Adams Bashford</v>
      </c>
      <c r="C364" s="26" t="str">
        <f>_xlfn.XLOOKUP(Total[[#This Row],[Hebras]],TbTecnologia[Hebras],TbTecnologia[Tecnología])</f>
        <v>CUDA</v>
      </c>
      <c r="D364" s="15" t="str" cm="1">
        <f t="array" ref="D364">_xlfn.XLOOKUP(Total[[#This Row],[Tecnología]]&amp;Total[[#This Row],[Metodo]],TbTipos[Tecnología]&amp;TbTipos[Metodo],TbTipos[Tipo])</f>
        <v>CUDA con graph</v>
      </c>
      <c r="E364" s="15" t="str" cm="1">
        <f t="array" ref="E364">_xlfn.XLOOKUP(Total[[#This Row],[Tecnología]]&amp;Total[[#This Row],[Problema]],TbNombres[Tecnología]&amp;TbNombres[Problema],TbNombres[Nombre])</f>
        <v>Brusselator1d</v>
      </c>
      <c r="F364" s="2">
        <v>4</v>
      </c>
      <c r="G364" s="2">
        <v>5</v>
      </c>
      <c r="H364" s="2">
        <v>256</v>
      </c>
      <c r="I364" s="2">
        <v>500</v>
      </c>
      <c r="J364" s="2">
        <v>1000</v>
      </c>
      <c r="K364" s="2">
        <v>6.0388000000000002</v>
      </c>
    </row>
    <row r="365" spans="2:11" x14ac:dyDescent="0.2">
      <c r="B365" s="26" t="str">
        <f>_xlfn.XLOOKUP(Total[[#This Row],[Metodo]],TbSolver[Metodo],TbSolver[Solver])</f>
        <v>Adams Bashford</v>
      </c>
      <c r="C365" s="26" t="str">
        <f>_xlfn.XLOOKUP(Total[[#This Row],[Hebras]],TbTecnologia[Hebras],TbTecnologia[Tecnología])</f>
        <v>CUDA</v>
      </c>
      <c r="D365" s="15" t="str" cm="1">
        <f t="array" ref="D365">_xlfn.XLOOKUP(Total[[#This Row],[Tecnología]]&amp;Total[[#This Row],[Metodo]],TbTipos[Tecnología]&amp;TbTipos[Metodo],TbTipos[Tipo])</f>
        <v>CUDA con graph</v>
      </c>
      <c r="E365" s="15" t="str" cm="1">
        <f t="array" ref="E365">_xlfn.XLOOKUP(Total[[#This Row],[Tecnología]]&amp;Total[[#This Row],[Problema]],TbNombres[Tecnología]&amp;TbNombres[Problema],TbNombres[Nombre])</f>
        <v>Brusselator1d grid</v>
      </c>
      <c r="F365" s="2">
        <v>4</v>
      </c>
      <c r="G365" s="2">
        <v>7</v>
      </c>
      <c r="H365" s="2">
        <v>256</v>
      </c>
      <c r="I365" s="2">
        <v>500</v>
      </c>
      <c r="J365" s="2">
        <v>1000</v>
      </c>
      <c r="K365" s="2">
        <v>6.0445500000000001</v>
      </c>
    </row>
    <row r="366" spans="2:11" x14ac:dyDescent="0.2">
      <c r="B366" s="26" t="str">
        <f>_xlfn.XLOOKUP(Total[[#This Row],[Metodo]],TbSolver[Metodo],TbSolver[Solver])</f>
        <v>Adams Bashford</v>
      </c>
      <c r="C366" s="26" t="str">
        <f>_xlfn.XLOOKUP(Total[[#This Row],[Hebras]],TbTecnologia[Hebras],TbTecnologia[Tecnología])</f>
        <v>CUDA</v>
      </c>
      <c r="D366" s="15" t="str" cm="1">
        <f t="array" ref="D366">_xlfn.XLOOKUP(Total[[#This Row],[Tecnología]]&amp;Total[[#This Row],[Metodo]],TbTipos[Tecnología]&amp;TbTipos[Metodo],TbTipos[Tipo])</f>
        <v>CUDA con graph</v>
      </c>
      <c r="E366" s="15" t="str" cm="1">
        <f t="array" ref="E366">_xlfn.XLOOKUP(Total[[#This Row],[Tecnología]]&amp;Total[[#This Row],[Problema]],TbNombres[Tecnología]&amp;TbNombres[Problema],TbNombres[Nombre])</f>
        <v>Brusselator1d</v>
      </c>
      <c r="F366" s="2">
        <v>4</v>
      </c>
      <c r="G366" s="2">
        <v>5</v>
      </c>
      <c r="H366" s="2">
        <v>256</v>
      </c>
      <c r="I366" s="2">
        <v>1000</v>
      </c>
      <c r="J366" s="2">
        <v>2000</v>
      </c>
      <c r="K366" s="2">
        <v>6.0667</v>
      </c>
    </row>
    <row r="367" spans="2:11" x14ac:dyDescent="0.2">
      <c r="B367" s="26" t="str">
        <f>_xlfn.XLOOKUP(Total[[#This Row],[Metodo]],TbSolver[Metodo],TbSolver[Solver])</f>
        <v>Adams Bashford</v>
      </c>
      <c r="C367" s="26" t="str">
        <f>_xlfn.XLOOKUP(Total[[#This Row],[Hebras]],TbTecnologia[Hebras],TbTecnologia[Tecnología])</f>
        <v>CUDA</v>
      </c>
      <c r="D367" s="15" t="str" cm="1">
        <f t="array" ref="D367">_xlfn.XLOOKUP(Total[[#This Row],[Tecnología]]&amp;Total[[#This Row],[Metodo]],TbTipos[Tecnología]&amp;TbTipos[Metodo],TbTipos[Tipo])</f>
        <v>CUDA con graph</v>
      </c>
      <c r="E367" s="15" t="str" cm="1">
        <f t="array" ref="E367">_xlfn.XLOOKUP(Total[[#This Row],[Tecnología]]&amp;Total[[#This Row],[Problema]],TbNombres[Tecnología]&amp;TbNombres[Problema],TbNombres[Nombre])</f>
        <v>Brusselator1d shuffle</v>
      </c>
      <c r="F367" s="2">
        <v>4</v>
      </c>
      <c r="G367" s="2">
        <v>6</v>
      </c>
      <c r="H367" s="2">
        <v>256</v>
      </c>
      <c r="I367" s="2">
        <v>500</v>
      </c>
      <c r="J367" s="2">
        <v>1000</v>
      </c>
      <c r="K367" s="2">
        <v>6.0677099999999999</v>
      </c>
    </row>
    <row r="368" spans="2:11" x14ac:dyDescent="0.2">
      <c r="B368" s="26" t="str">
        <f>_xlfn.XLOOKUP(Total[[#This Row],[Metodo]],TbSolver[Metodo],TbSolver[Solver])</f>
        <v>Adams Bashford</v>
      </c>
      <c r="C368" s="26" t="str">
        <f>_xlfn.XLOOKUP(Total[[#This Row],[Hebras]],TbTecnologia[Hebras],TbTecnologia[Tecnología])</f>
        <v>CUDA</v>
      </c>
      <c r="D368" s="15" t="str" cm="1">
        <f t="array" ref="D368">_xlfn.XLOOKUP(Total[[#This Row],[Tecnología]]&amp;Total[[#This Row],[Metodo]],TbTipos[Tecnología]&amp;TbTipos[Metodo],TbTipos[Tipo])</f>
        <v>CUDA sin graph</v>
      </c>
      <c r="E368" s="15" t="str" cm="1">
        <f t="array" ref="E368">_xlfn.XLOOKUP(Total[[#This Row],[Tecnología]]&amp;Total[[#This Row],[Problema]],TbNombres[Tecnología]&amp;TbNombres[Problema],TbNombres[Nombre])</f>
        <v>Brusselator1d</v>
      </c>
      <c r="F368" s="2">
        <v>3</v>
      </c>
      <c r="G368" s="2">
        <v>5</v>
      </c>
      <c r="H368" s="2">
        <v>256</v>
      </c>
      <c r="I368" s="2">
        <v>10000</v>
      </c>
      <c r="J368" s="2">
        <v>20000</v>
      </c>
      <c r="K368" s="2">
        <v>6.0775300000000003</v>
      </c>
    </row>
    <row r="369" spans="2:11" x14ac:dyDescent="0.2">
      <c r="B369" s="26" t="str">
        <f>_xlfn.XLOOKUP(Total[[#This Row],[Metodo]],TbSolver[Metodo],TbSolver[Solver])</f>
        <v>Adams Bashford</v>
      </c>
      <c r="C369" s="26" t="str">
        <f>_xlfn.XLOOKUP(Total[[#This Row],[Hebras]],TbTecnologia[Hebras],TbTecnologia[Tecnología])</f>
        <v>CUDA</v>
      </c>
      <c r="D369" s="15" t="str" cm="1">
        <f t="array" ref="D369">_xlfn.XLOOKUP(Total[[#This Row],[Tecnología]]&amp;Total[[#This Row],[Metodo]],TbTipos[Tecnología]&amp;TbTipos[Metodo],TbTipos[Tipo])</f>
        <v>CUDA con graph</v>
      </c>
      <c r="E369" s="15" t="str" cm="1">
        <f t="array" ref="E369">_xlfn.XLOOKUP(Total[[#This Row],[Tecnología]]&amp;Total[[#This Row],[Problema]],TbNombres[Tecnología]&amp;TbNombres[Problema],TbNombres[Nombre])</f>
        <v>Brusselator1d shuffle</v>
      </c>
      <c r="F369" s="2">
        <v>4</v>
      </c>
      <c r="G369" s="2">
        <v>6</v>
      </c>
      <c r="H369" s="2">
        <v>256</v>
      </c>
      <c r="I369" s="2">
        <v>1000</v>
      </c>
      <c r="J369" s="2">
        <v>2000</v>
      </c>
      <c r="K369" s="2">
        <v>6.0970599999999999</v>
      </c>
    </row>
    <row r="370" spans="2:11" x14ac:dyDescent="0.2">
      <c r="B370" s="26" t="str">
        <f>_xlfn.XLOOKUP(Total[[#This Row],[Metodo]],TbSolver[Metodo],TbSolver[Solver])</f>
        <v>Adams Bashford</v>
      </c>
      <c r="C370" s="26" t="str">
        <f>_xlfn.XLOOKUP(Total[[#This Row],[Hebras]],TbTecnologia[Hebras],TbTecnologia[Tecnología])</f>
        <v>CUDA</v>
      </c>
      <c r="D370" s="15" t="str" cm="1">
        <f t="array" ref="D370">_xlfn.XLOOKUP(Total[[#This Row],[Tecnología]]&amp;Total[[#This Row],[Metodo]],TbTipos[Tecnología]&amp;TbTipos[Metodo],TbTipos[Tipo])</f>
        <v>CUDA con graph</v>
      </c>
      <c r="E370" s="15" t="str" cm="1">
        <f t="array" ref="E370">_xlfn.XLOOKUP(Total[[#This Row],[Tecnología]]&amp;Total[[#This Row],[Problema]],TbNombres[Tecnología]&amp;TbNombres[Problema],TbNombres[Nombre])</f>
        <v>Brusselator1d</v>
      </c>
      <c r="F370" s="2">
        <v>4</v>
      </c>
      <c r="G370" s="2">
        <v>5</v>
      </c>
      <c r="H370" s="2">
        <v>256</v>
      </c>
      <c r="I370" s="2">
        <v>2000</v>
      </c>
      <c r="J370" s="2">
        <v>4000</v>
      </c>
      <c r="K370" s="2">
        <v>6.1092500000000003</v>
      </c>
    </row>
    <row r="371" spans="2:11" x14ac:dyDescent="0.2">
      <c r="B371" s="26" t="str">
        <f>_xlfn.XLOOKUP(Total[[#This Row],[Metodo]],TbSolver[Metodo],TbSolver[Solver])</f>
        <v>Adams Bashford</v>
      </c>
      <c r="C371" s="26" t="str">
        <f>_xlfn.XLOOKUP(Total[[#This Row],[Hebras]],TbTecnologia[Hebras],TbTecnologia[Tecnología])</f>
        <v>CUDA</v>
      </c>
      <c r="D371" s="15" t="str" cm="1">
        <f t="array" ref="D371">_xlfn.XLOOKUP(Total[[#This Row],[Tecnología]]&amp;Total[[#This Row],[Metodo]],TbTipos[Tecnología]&amp;TbTipos[Metodo],TbTipos[Tipo])</f>
        <v>CUDA con graph</v>
      </c>
      <c r="E371" s="15" t="str" cm="1">
        <f t="array" ref="E371">_xlfn.XLOOKUP(Total[[#This Row],[Tecnología]]&amp;Total[[#This Row],[Problema]],TbNombres[Tecnología]&amp;TbNombres[Problema],TbNombres[Nombre])</f>
        <v>Brusselator1d grid</v>
      </c>
      <c r="F371" s="2">
        <v>4</v>
      </c>
      <c r="G371" s="2">
        <v>7</v>
      </c>
      <c r="H371" s="2">
        <v>256</v>
      </c>
      <c r="I371" s="2">
        <v>1000</v>
      </c>
      <c r="J371" s="2">
        <v>2000</v>
      </c>
      <c r="K371" s="2">
        <v>6.1217899999999998</v>
      </c>
    </row>
    <row r="372" spans="2:11" x14ac:dyDescent="0.2">
      <c r="B372" s="26" t="str">
        <f>_xlfn.XLOOKUP(Total[[#This Row],[Metodo]],TbSolver[Metodo],TbSolver[Solver])</f>
        <v>Adams Bashford</v>
      </c>
      <c r="C372" s="26" t="str">
        <f>_xlfn.XLOOKUP(Total[[#This Row],[Hebras]],TbTecnologia[Hebras],TbTecnologia[Tecnología])</f>
        <v>CUDA</v>
      </c>
      <c r="D372" s="15" t="str" cm="1">
        <f t="array" ref="D372">_xlfn.XLOOKUP(Total[[#This Row],[Tecnología]]&amp;Total[[#This Row],[Metodo]],TbTipos[Tecnología]&amp;TbTipos[Metodo],TbTipos[Tipo])</f>
        <v>CUDA con graph</v>
      </c>
      <c r="E372" s="15" t="str" cm="1">
        <f t="array" ref="E372">_xlfn.XLOOKUP(Total[[#This Row],[Tecnología]]&amp;Total[[#This Row],[Problema]],TbNombres[Tecnología]&amp;TbNombres[Problema],TbNombres[Nombre])</f>
        <v>Brusselator1d grid</v>
      </c>
      <c r="F372" s="2">
        <v>4</v>
      </c>
      <c r="G372" s="2">
        <v>7</v>
      </c>
      <c r="H372" s="2">
        <v>256</v>
      </c>
      <c r="I372" s="2">
        <v>2000</v>
      </c>
      <c r="J372" s="2">
        <v>4000</v>
      </c>
      <c r="K372" s="2">
        <v>6.1276999999999999</v>
      </c>
    </row>
    <row r="373" spans="2:11" x14ac:dyDescent="0.2">
      <c r="B373" s="26" t="str">
        <f>_xlfn.XLOOKUP(Total[[#This Row],[Metodo]],TbSolver[Metodo],TbSolver[Solver])</f>
        <v>Adams Bashford</v>
      </c>
      <c r="C373" s="26" t="str">
        <f>_xlfn.XLOOKUP(Total[[#This Row],[Hebras]],TbTecnologia[Hebras],TbTecnologia[Tecnología])</f>
        <v>CUDA</v>
      </c>
      <c r="D373" s="15" t="str" cm="1">
        <f t="array" ref="D373">_xlfn.XLOOKUP(Total[[#This Row],[Tecnología]]&amp;Total[[#This Row],[Metodo]],TbTipos[Tecnología]&amp;TbTipos[Metodo],TbTipos[Tipo])</f>
        <v>CUDA con graph</v>
      </c>
      <c r="E373" s="15" t="str" cm="1">
        <f t="array" ref="E373">_xlfn.XLOOKUP(Total[[#This Row],[Tecnología]]&amp;Total[[#This Row],[Problema]],TbNombres[Tecnología]&amp;TbNombres[Problema],TbNombres[Nombre])</f>
        <v>Brusselator1d shuffle</v>
      </c>
      <c r="F373" s="2">
        <v>4</v>
      </c>
      <c r="G373" s="2">
        <v>6</v>
      </c>
      <c r="H373" s="2">
        <v>256</v>
      </c>
      <c r="I373" s="2">
        <v>2000</v>
      </c>
      <c r="J373" s="2">
        <v>4000</v>
      </c>
      <c r="K373" s="2">
        <v>6.1341099999999997</v>
      </c>
    </row>
    <row r="374" spans="2:11" x14ac:dyDescent="0.2">
      <c r="B374" s="26" t="str">
        <f>_xlfn.XLOOKUP(Total[[#This Row],[Metodo]],TbSolver[Metodo],TbSolver[Solver])</f>
        <v>Adams Bashford</v>
      </c>
      <c r="C374" s="26" t="str">
        <f>_xlfn.XLOOKUP(Total[[#This Row],[Hebras]],TbTecnologia[Hebras],TbTecnologia[Tecnología])</f>
        <v>CUDA</v>
      </c>
      <c r="D374" s="15" t="str" cm="1">
        <f t="array" ref="D374">_xlfn.XLOOKUP(Total[[#This Row],[Tecnología]]&amp;Total[[#This Row],[Metodo]],TbTipos[Tecnología]&amp;TbTipos[Metodo],TbTipos[Tipo])</f>
        <v>CUDA sin graph</v>
      </c>
      <c r="E374" s="15" t="str" cm="1">
        <f t="array" ref="E374">_xlfn.XLOOKUP(Total[[#This Row],[Tecnología]]&amp;Total[[#This Row],[Problema]],TbNombres[Tecnología]&amp;TbNombres[Problema],TbNombres[Nombre])</f>
        <v>Brusselator1d shuffle</v>
      </c>
      <c r="F374" s="2">
        <v>3</v>
      </c>
      <c r="G374" s="2">
        <v>6</v>
      </c>
      <c r="H374" s="2">
        <v>256</v>
      </c>
      <c r="I374" s="2">
        <v>10000</v>
      </c>
      <c r="J374" s="2">
        <v>20000</v>
      </c>
      <c r="K374" s="2">
        <v>6.194</v>
      </c>
    </row>
    <row r="375" spans="2:11" x14ac:dyDescent="0.2">
      <c r="B375" s="26" t="str">
        <f>_xlfn.XLOOKUP(Total[[#This Row],[Metodo]],TbSolver[Metodo],TbSolver[Solver])</f>
        <v>Adams Bashford</v>
      </c>
      <c r="C375" s="26" t="str">
        <f>_xlfn.XLOOKUP(Total[[#This Row],[Hebras]],TbTecnologia[Hebras],TbTecnologia[Tecnología])</f>
        <v>CUDA</v>
      </c>
      <c r="D375" s="15" t="str" cm="1">
        <f t="array" ref="D375">_xlfn.XLOOKUP(Total[[#This Row],[Tecnología]]&amp;Total[[#This Row],[Metodo]],TbTipos[Tecnología]&amp;TbTipos[Metodo],TbTipos[Tipo])</f>
        <v>CUDA sin graph</v>
      </c>
      <c r="E375" s="15" t="str" cm="1">
        <f t="array" ref="E375">_xlfn.XLOOKUP(Total[[#This Row],[Tecnología]]&amp;Total[[#This Row],[Problema]],TbNombres[Tecnología]&amp;TbNombres[Problema],TbNombres[Nombre])</f>
        <v>Brusselator1d</v>
      </c>
      <c r="F375" s="2">
        <v>3</v>
      </c>
      <c r="G375" s="2">
        <v>5</v>
      </c>
      <c r="H375" s="2">
        <v>256</v>
      </c>
      <c r="I375" s="2">
        <v>10000</v>
      </c>
      <c r="J375" s="2">
        <v>20000</v>
      </c>
      <c r="K375" s="2">
        <v>6.1955400000000003</v>
      </c>
    </row>
    <row r="376" spans="2:11" x14ac:dyDescent="0.2">
      <c r="B376" s="26" t="str">
        <f>_xlfn.XLOOKUP(Total[[#This Row],[Metodo]],TbSolver[Metodo],TbSolver[Solver])</f>
        <v>Adams Bashford</v>
      </c>
      <c r="C376" s="26" t="str">
        <f>_xlfn.XLOOKUP(Total[[#This Row],[Hebras]],TbTecnologia[Hebras],TbTecnologia[Tecnología])</f>
        <v>CUDA</v>
      </c>
      <c r="D376" s="15" t="str" cm="1">
        <f t="array" ref="D376">_xlfn.XLOOKUP(Total[[#This Row],[Tecnología]]&amp;Total[[#This Row],[Metodo]],TbTipos[Tecnología]&amp;TbTipos[Metodo],TbTipos[Tipo])</f>
        <v>CUDA sin graph</v>
      </c>
      <c r="E376" s="15" t="str" cm="1">
        <f t="array" ref="E376">_xlfn.XLOOKUP(Total[[#This Row],[Tecnología]]&amp;Total[[#This Row],[Problema]],TbNombres[Tecnología]&amp;TbNombres[Problema],TbNombres[Nombre])</f>
        <v>Brusselator1d grid</v>
      </c>
      <c r="F376" s="2">
        <v>3</v>
      </c>
      <c r="G376" s="2">
        <v>7</v>
      </c>
      <c r="H376" s="2">
        <v>256</v>
      </c>
      <c r="I376" s="2">
        <v>10000</v>
      </c>
      <c r="J376" s="2">
        <v>20000</v>
      </c>
      <c r="K376" s="2">
        <v>6.2668900000000001</v>
      </c>
    </row>
    <row r="377" spans="2:11" x14ac:dyDescent="0.2">
      <c r="B377" s="26" t="str">
        <f>_xlfn.XLOOKUP(Total[[#This Row],[Metodo]],TbSolver[Metodo],TbSolver[Solver])</f>
        <v>Adams Bashford</v>
      </c>
      <c r="C377" s="26" t="str">
        <f>_xlfn.XLOOKUP(Total[[#This Row],[Hebras]],TbTecnologia[Hebras],TbTecnologia[Tecnología])</f>
        <v>CUDA</v>
      </c>
      <c r="D377" s="15" t="str" cm="1">
        <f t="array" ref="D377">_xlfn.XLOOKUP(Total[[#This Row],[Tecnología]]&amp;Total[[#This Row],[Metodo]],TbTipos[Tecnología]&amp;TbTipos[Metodo],TbTipos[Tipo])</f>
        <v>CUDA con graph</v>
      </c>
      <c r="E377" s="15" t="str" cm="1">
        <f t="array" ref="E377">_xlfn.XLOOKUP(Total[[#This Row],[Tecnología]]&amp;Total[[#This Row],[Problema]],TbNombres[Tecnología]&amp;TbNombres[Problema],TbNombres[Nombre])</f>
        <v>Brusselator1d</v>
      </c>
      <c r="F377" s="2">
        <v>4</v>
      </c>
      <c r="G377" s="2">
        <v>5</v>
      </c>
      <c r="H377" s="2">
        <v>256</v>
      </c>
      <c r="I377" s="2">
        <v>5000</v>
      </c>
      <c r="J377" s="2">
        <v>10000</v>
      </c>
      <c r="K377" s="2">
        <v>6.3339499999999997</v>
      </c>
    </row>
    <row r="378" spans="2:11" x14ac:dyDescent="0.2">
      <c r="B378" s="26" t="str">
        <f>_xlfn.XLOOKUP(Total[[#This Row],[Metodo]],TbSolver[Metodo],TbSolver[Solver])</f>
        <v>Adams Bashford</v>
      </c>
      <c r="C378" s="26" t="str">
        <f>_xlfn.XLOOKUP(Total[[#This Row],[Hebras]],TbTecnologia[Hebras],TbTecnologia[Tecnología])</f>
        <v>CUDA</v>
      </c>
      <c r="D378" s="15" t="str" cm="1">
        <f t="array" ref="D378">_xlfn.XLOOKUP(Total[[#This Row],[Tecnología]]&amp;Total[[#This Row],[Metodo]],TbTipos[Tecnología]&amp;TbTipos[Metodo],TbTipos[Tipo])</f>
        <v>CUDA con graph</v>
      </c>
      <c r="E378" s="15" t="str" cm="1">
        <f t="array" ref="E378">_xlfn.XLOOKUP(Total[[#This Row],[Tecnología]]&amp;Total[[#This Row],[Problema]],TbNombres[Tecnología]&amp;TbNombres[Problema],TbNombres[Nombre])</f>
        <v>Brusselator1d shuffle</v>
      </c>
      <c r="F378" s="2">
        <v>4</v>
      </c>
      <c r="G378" s="2">
        <v>6</v>
      </c>
      <c r="H378" s="2">
        <v>256</v>
      </c>
      <c r="I378" s="2">
        <v>5000</v>
      </c>
      <c r="J378" s="2">
        <v>10000</v>
      </c>
      <c r="K378" s="2">
        <v>6.35222</v>
      </c>
    </row>
    <row r="379" spans="2:11" x14ac:dyDescent="0.2">
      <c r="B379" s="26" t="str">
        <f>_xlfn.XLOOKUP(Total[[#This Row],[Metodo]],TbSolver[Metodo],TbSolver[Solver])</f>
        <v>Adams Bashford</v>
      </c>
      <c r="C379" s="26" t="str">
        <f>_xlfn.XLOOKUP(Total[[#This Row],[Hebras]],TbTecnologia[Hebras],TbTecnologia[Tecnología])</f>
        <v>CUDA</v>
      </c>
      <c r="D379" s="15" t="str" cm="1">
        <f t="array" ref="D379">_xlfn.XLOOKUP(Total[[#This Row],[Tecnología]]&amp;Total[[#This Row],[Metodo]],TbTipos[Tecnología]&amp;TbTipos[Metodo],TbTipos[Tipo])</f>
        <v>CUDA con graph</v>
      </c>
      <c r="E379" s="15" t="str" cm="1">
        <f t="array" ref="E379">_xlfn.XLOOKUP(Total[[#This Row],[Tecnología]]&amp;Total[[#This Row],[Problema]],TbNombres[Tecnología]&amp;TbNombres[Problema],TbNombres[Nombre])</f>
        <v>Brusselator1d grid</v>
      </c>
      <c r="F379" s="2">
        <v>4</v>
      </c>
      <c r="G379" s="2">
        <v>7</v>
      </c>
      <c r="H379" s="2">
        <v>256</v>
      </c>
      <c r="I379" s="2">
        <v>5000</v>
      </c>
      <c r="J379" s="2">
        <v>10000</v>
      </c>
      <c r="K379" s="2">
        <v>6.3566900000000004</v>
      </c>
    </row>
    <row r="380" spans="2:11" x14ac:dyDescent="0.2">
      <c r="B380" s="26" t="str">
        <f>_xlfn.XLOOKUP(Total[[#This Row],[Metodo]],TbSolver[Metodo],TbSolver[Solver])</f>
        <v>Adams Bashford</v>
      </c>
      <c r="C380" s="26" t="str">
        <f>_xlfn.XLOOKUP(Total[[#This Row],[Hebras]],TbTecnologia[Hebras],TbTecnologia[Tecnología])</f>
        <v>CUDA</v>
      </c>
      <c r="D380" s="15" t="str" cm="1">
        <f t="array" ref="D380">_xlfn.XLOOKUP(Total[[#This Row],[Tecnología]]&amp;Total[[#This Row],[Metodo]],TbTipos[Tecnología]&amp;TbTipos[Metodo],TbTipos[Tipo])</f>
        <v>CUDA sin graph</v>
      </c>
      <c r="E380" s="15" t="str" cm="1">
        <f t="array" ref="E380">_xlfn.XLOOKUP(Total[[#This Row],[Tecnología]]&amp;Total[[#This Row],[Problema]],TbNombres[Tecnología]&amp;TbNombres[Problema],TbNombres[Nombre])</f>
        <v>Brusselator1d</v>
      </c>
      <c r="F380" s="2">
        <v>3</v>
      </c>
      <c r="G380" s="2">
        <v>5</v>
      </c>
      <c r="H380" s="2">
        <v>256</v>
      </c>
      <c r="I380" s="2">
        <v>20000</v>
      </c>
      <c r="J380" s="2">
        <v>40000</v>
      </c>
      <c r="K380" s="2">
        <v>7.6532600000000004</v>
      </c>
    </row>
    <row r="381" spans="2:11" x14ac:dyDescent="0.2">
      <c r="B381" s="26" t="str">
        <f>_xlfn.XLOOKUP(Total[[#This Row],[Metodo]],TbSolver[Metodo],TbSolver[Solver])</f>
        <v>Adams Bashford</v>
      </c>
      <c r="C381" s="26" t="str">
        <f>_xlfn.XLOOKUP(Total[[#This Row],[Hebras]],TbTecnologia[Hebras],TbTecnologia[Tecnología])</f>
        <v>CUDA</v>
      </c>
      <c r="D381" s="15" t="str" cm="1">
        <f t="array" ref="D381">_xlfn.XLOOKUP(Total[[#This Row],[Tecnología]]&amp;Total[[#This Row],[Metodo]],TbTipos[Tecnología]&amp;TbTipos[Metodo],TbTipos[Tipo])</f>
        <v>CUDA sin graph</v>
      </c>
      <c r="E381" s="15" t="str" cm="1">
        <f t="array" ref="E381">_xlfn.XLOOKUP(Total[[#This Row],[Tecnología]]&amp;Total[[#This Row],[Problema]],TbNombres[Tecnología]&amp;TbNombres[Problema],TbNombres[Nombre])</f>
        <v>Brusselator1d shuffle</v>
      </c>
      <c r="F381" s="2">
        <v>3</v>
      </c>
      <c r="G381" s="2">
        <v>6</v>
      </c>
      <c r="H381" s="2">
        <v>256</v>
      </c>
      <c r="I381" s="2">
        <v>20000</v>
      </c>
      <c r="J381" s="2">
        <v>40000</v>
      </c>
      <c r="K381" s="2">
        <v>7.7135699999999998</v>
      </c>
    </row>
    <row r="382" spans="2:11" x14ac:dyDescent="0.2">
      <c r="B382" s="26" t="str">
        <f>_xlfn.XLOOKUP(Total[[#This Row],[Metodo]],TbSolver[Metodo],TbSolver[Solver])</f>
        <v>Adams Bashford</v>
      </c>
      <c r="C382" s="26" t="str">
        <f>_xlfn.XLOOKUP(Total[[#This Row],[Hebras]],TbTecnologia[Hebras],TbTecnologia[Tecnología])</f>
        <v>CUDA</v>
      </c>
      <c r="D382" s="15" t="str" cm="1">
        <f t="array" ref="D382">_xlfn.XLOOKUP(Total[[#This Row],[Tecnología]]&amp;Total[[#This Row],[Metodo]],TbTipos[Tecnología]&amp;TbTipos[Metodo],TbTipos[Tipo])</f>
        <v>CUDA sin graph</v>
      </c>
      <c r="E382" s="15" t="str" cm="1">
        <f t="array" ref="E382">_xlfn.XLOOKUP(Total[[#This Row],[Tecnología]]&amp;Total[[#This Row],[Problema]],TbNombres[Tecnología]&amp;TbNombres[Problema],TbNombres[Nombre])</f>
        <v>Brusselator1d</v>
      </c>
      <c r="F382" s="2">
        <v>3</v>
      </c>
      <c r="G382" s="2">
        <v>5</v>
      </c>
      <c r="H382" s="2">
        <v>256</v>
      </c>
      <c r="I382" s="2">
        <v>20000</v>
      </c>
      <c r="J382" s="2">
        <v>40000</v>
      </c>
      <c r="K382" s="2">
        <v>7.7762599999999997</v>
      </c>
    </row>
    <row r="383" spans="2:11" x14ac:dyDescent="0.2">
      <c r="B383" s="26" t="str">
        <f>_xlfn.XLOOKUP(Total[[#This Row],[Metodo]],TbSolver[Metodo],TbSolver[Solver])</f>
        <v>Adams Bashford</v>
      </c>
      <c r="C383" s="26" t="str">
        <f>_xlfn.XLOOKUP(Total[[#This Row],[Hebras]],TbTecnologia[Hebras],TbTecnologia[Tecnología])</f>
        <v>CUDA</v>
      </c>
      <c r="D383" s="15" t="str" cm="1">
        <f t="array" ref="D383">_xlfn.XLOOKUP(Total[[#This Row],[Tecnología]]&amp;Total[[#This Row],[Metodo]],TbTipos[Tecnología]&amp;TbTipos[Metodo],TbTipos[Tipo])</f>
        <v>CUDA sin graph</v>
      </c>
      <c r="E383" s="15" t="str" cm="1">
        <f t="array" ref="E383">_xlfn.XLOOKUP(Total[[#This Row],[Tecnología]]&amp;Total[[#This Row],[Problema]],TbNombres[Tecnología]&amp;TbNombres[Problema],TbNombres[Nombre])</f>
        <v>Brusselator1d grid</v>
      </c>
      <c r="F383" s="2">
        <v>3</v>
      </c>
      <c r="G383" s="2">
        <v>7</v>
      </c>
      <c r="H383" s="2">
        <v>256</v>
      </c>
      <c r="I383" s="2">
        <v>20000</v>
      </c>
      <c r="J383" s="2">
        <v>40000</v>
      </c>
      <c r="K383" s="2">
        <v>7.8226500000000003</v>
      </c>
    </row>
    <row r="384" spans="2:11" x14ac:dyDescent="0.2">
      <c r="B384" s="26" t="str">
        <f>_xlfn.XLOOKUP(Total[[#This Row],[Metodo]],TbSolver[Metodo],TbSolver[Solver])</f>
        <v>Adams Bashford</v>
      </c>
      <c r="C384" s="26" t="str">
        <f>_xlfn.XLOOKUP(Total[[#This Row],[Hebras]],TbTecnologia[Hebras],TbTecnologia[Tecnología])</f>
        <v>CUDA</v>
      </c>
      <c r="D384" s="15" t="str" cm="1">
        <f t="array" ref="D384">_xlfn.XLOOKUP(Total[[#This Row],[Tecnología]]&amp;Total[[#This Row],[Metodo]],TbTipos[Tecnología]&amp;TbTipos[Metodo],TbTipos[Tipo])</f>
        <v>CUDA sin graph</v>
      </c>
      <c r="E384" s="15" t="str" cm="1">
        <f t="array" ref="E384">_xlfn.XLOOKUP(Total[[#This Row],[Tecnología]]&amp;Total[[#This Row],[Problema]],TbNombres[Tecnología]&amp;TbNombres[Problema],TbNombres[Nombre])</f>
        <v>Brusselator1d shuffle</v>
      </c>
      <c r="F384" s="2">
        <v>3</v>
      </c>
      <c r="G384" s="2">
        <v>6</v>
      </c>
      <c r="H384" s="2">
        <v>256</v>
      </c>
      <c r="I384" s="2">
        <v>50000</v>
      </c>
      <c r="J384" s="2">
        <v>100000</v>
      </c>
      <c r="K384" s="2">
        <v>12.061299999999999</v>
      </c>
    </row>
    <row r="385" spans="2:11" x14ac:dyDescent="0.2">
      <c r="B385" s="26" t="str">
        <f>_xlfn.XLOOKUP(Total[[#This Row],[Metodo]],TbSolver[Metodo],TbSolver[Solver])</f>
        <v>Adams Bashford</v>
      </c>
      <c r="C385" s="26" t="str">
        <f>_xlfn.XLOOKUP(Total[[#This Row],[Hebras]],TbTecnologia[Hebras],TbTecnologia[Tecnología])</f>
        <v>CUDA</v>
      </c>
      <c r="D385" s="15" t="str" cm="1">
        <f t="array" ref="D385">_xlfn.XLOOKUP(Total[[#This Row],[Tecnología]]&amp;Total[[#This Row],[Metodo]],TbTipos[Tecnología]&amp;TbTipos[Metodo],TbTipos[Tipo])</f>
        <v>CUDA sin graph</v>
      </c>
      <c r="E385" s="15" t="str" cm="1">
        <f t="array" ref="E385">_xlfn.XLOOKUP(Total[[#This Row],[Tecnología]]&amp;Total[[#This Row],[Problema]],TbNombres[Tecnología]&amp;TbNombres[Problema],TbNombres[Nombre])</f>
        <v>Brusselator1d grid</v>
      </c>
      <c r="F385" s="2">
        <v>3</v>
      </c>
      <c r="G385" s="2">
        <v>7</v>
      </c>
      <c r="H385" s="2">
        <v>256</v>
      </c>
      <c r="I385" s="2">
        <v>50000</v>
      </c>
      <c r="J385" s="2">
        <v>100000</v>
      </c>
      <c r="K385" s="2">
        <v>12.233599999999999</v>
      </c>
    </row>
    <row r="386" spans="2:11" x14ac:dyDescent="0.2">
      <c r="B386" s="26" t="str">
        <f>_xlfn.XLOOKUP(Total[[#This Row],[Metodo]],TbSolver[Metodo],TbSolver[Solver])</f>
        <v>Adams Bashford</v>
      </c>
      <c r="C386" s="26" t="str">
        <f>_xlfn.XLOOKUP(Total[[#This Row],[Hebras]],TbTecnologia[Hebras],TbTecnologia[Tecnología])</f>
        <v>CUDA</v>
      </c>
      <c r="D386" s="15" t="str" cm="1">
        <f t="array" ref="D386">_xlfn.XLOOKUP(Total[[#This Row],[Tecnología]]&amp;Total[[#This Row],[Metodo]],TbTipos[Tecnología]&amp;TbTipos[Metodo],TbTipos[Tipo])</f>
        <v>CUDA sin graph</v>
      </c>
      <c r="E386" s="15" t="str" cm="1">
        <f t="array" ref="E386">_xlfn.XLOOKUP(Total[[#This Row],[Tecnología]]&amp;Total[[#This Row],[Problema]],TbNombres[Tecnología]&amp;TbNombres[Problema],TbNombres[Nombre])</f>
        <v>Brusselator1d</v>
      </c>
      <c r="F386" s="2">
        <v>3</v>
      </c>
      <c r="G386" s="2">
        <v>5</v>
      </c>
      <c r="H386" s="2">
        <v>256</v>
      </c>
      <c r="I386" s="2">
        <v>50000</v>
      </c>
      <c r="J386" s="2">
        <v>100000</v>
      </c>
      <c r="K386" s="2">
        <v>13.191000000000001</v>
      </c>
    </row>
    <row r="387" spans="2:11" x14ac:dyDescent="0.2">
      <c r="B387" s="26" t="str">
        <f>_xlfn.XLOOKUP(Total[[#This Row],[Metodo]],TbSolver[Metodo],TbSolver[Solver])</f>
        <v>Adams Bashford</v>
      </c>
      <c r="C387" s="26" t="str">
        <f>_xlfn.XLOOKUP(Total[[#This Row],[Hebras]],TbTecnologia[Hebras],TbTecnologia[Tecnología])</f>
        <v>CUDA</v>
      </c>
      <c r="D387" s="15" t="str" cm="1">
        <f t="array" ref="D387">_xlfn.XLOOKUP(Total[[#This Row],[Tecnología]]&amp;Total[[#This Row],[Metodo]],TbTipos[Tecnología]&amp;TbTipos[Metodo],TbTipos[Tipo])</f>
        <v>CUDA sin graph</v>
      </c>
      <c r="E387" s="15" t="str" cm="1">
        <f t="array" ref="E387">_xlfn.XLOOKUP(Total[[#This Row],[Tecnología]]&amp;Total[[#This Row],[Problema]],TbNombres[Tecnología]&amp;TbNombres[Problema],TbNombres[Nombre])</f>
        <v>Brusselator1d</v>
      </c>
      <c r="F387" s="2">
        <v>3</v>
      </c>
      <c r="G387" s="2">
        <v>5</v>
      </c>
      <c r="H387" s="2">
        <v>256</v>
      </c>
      <c r="I387" s="2">
        <v>50000</v>
      </c>
      <c r="J387" s="2">
        <v>100000</v>
      </c>
      <c r="K387" s="2">
        <v>13.288</v>
      </c>
    </row>
    <row r="388" spans="2:11" x14ac:dyDescent="0.2">
      <c r="B388" s="26" t="str">
        <f>_xlfn.XLOOKUP(Total[[#This Row],[Metodo]],TbSolver[Metodo],TbSolver[Solver])</f>
        <v>Adams Bashford</v>
      </c>
      <c r="C388" s="26" t="str">
        <f>_xlfn.XLOOKUP(Total[[#This Row],[Hebras]],TbTecnologia[Hebras],TbTecnologia[Tecnología])</f>
        <v>CUDA</v>
      </c>
      <c r="D388" s="15" t="str" cm="1">
        <f t="array" ref="D388">_xlfn.XLOOKUP(Total[[#This Row],[Tecnología]]&amp;Total[[#This Row],[Metodo]],TbTipos[Tecnología]&amp;TbTipos[Metodo],TbTipos[Tipo])</f>
        <v>CUDA sin graph</v>
      </c>
      <c r="E388" s="15" t="str" cm="1">
        <f t="array" ref="E388">_xlfn.XLOOKUP(Total[[#This Row],[Tecnología]]&amp;Total[[#This Row],[Problema]],TbNombres[Tecnología]&amp;TbNombres[Problema],TbNombres[Nombre])</f>
        <v>Brusselator1d shuffle</v>
      </c>
      <c r="F388" s="2">
        <v>3</v>
      </c>
      <c r="G388" s="2">
        <v>6</v>
      </c>
      <c r="H388" s="2">
        <v>256</v>
      </c>
      <c r="I388" s="2">
        <v>100000</v>
      </c>
      <c r="J388" s="2">
        <v>200000</v>
      </c>
      <c r="K388" s="2">
        <v>29.034800000000001</v>
      </c>
    </row>
    <row r="389" spans="2:11" x14ac:dyDescent="0.2">
      <c r="B389" s="26" t="str">
        <f>_xlfn.XLOOKUP(Total[[#This Row],[Metodo]],TbSolver[Metodo],TbSolver[Solver])</f>
        <v>Adams Bashford</v>
      </c>
      <c r="C389" s="26" t="str">
        <f>_xlfn.XLOOKUP(Total[[#This Row],[Hebras]],TbTecnologia[Hebras],TbTecnologia[Tecnología])</f>
        <v>CUDA</v>
      </c>
      <c r="D389" s="15" t="str" cm="1">
        <f t="array" ref="D389">_xlfn.XLOOKUP(Total[[#This Row],[Tecnología]]&amp;Total[[#This Row],[Metodo]],TbTipos[Tecnología]&amp;TbTipos[Metodo],TbTipos[Tipo])</f>
        <v>CUDA sin graph</v>
      </c>
      <c r="E389" s="15" t="str" cm="1">
        <f t="array" ref="E389">_xlfn.XLOOKUP(Total[[#This Row],[Tecnología]]&amp;Total[[#This Row],[Problema]],TbNombres[Tecnología]&amp;TbNombres[Problema],TbNombres[Nombre])</f>
        <v>Brusselator1d grid</v>
      </c>
      <c r="F389" s="2">
        <v>3</v>
      </c>
      <c r="G389" s="2">
        <v>7</v>
      </c>
      <c r="H389" s="2">
        <v>256</v>
      </c>
      <c r="I389" s="2">
        <v>100000</v>
      </c>
      <c r="J389" s="2">
        <v>200000</v>
      </c>
      <c r="K389" s="2">
        <v>29.699200000000001</v>
      </c>
    </row>
    <row r="390" spans="2:11" x14ac:dyDescent="0.2">
      <c r="B390" s="26" t="str">
        <f>_xlfn.XLOOKUP(Total[[#This Row],[Metodo]],TbSolver[Metodo],TbSolver[Solver])</f>
        <v>Adams Bashford</v>
      </c>
      <c r="C390" s="26" t="str">
        <f>_xlfn.XLOOKUP(Total[[#This Row],[Hebras]],TbTecnologia[Hebras],TbTecnologia[Tecnología])</f>
        <v>CUDA</v>
      </c>
      <c r="D390" s="15" t="str" cm="1">
        <f t="array" ref="D390">_xlfn.XLOOKUP(Total[[#This Row],[Tecnología]]&amp;Total[[#This Row],[Metodo]],TbTipos[Tecnología]&amp;TbTipos[Metodo],TbTipos[Tipo])</f>
        <v>CUDA sin graph</v>
      </c>
      <c r="E390" s="15" t="str" cm="1">
        <f t="array" ref="E390">_xlfn.XLOOKUP(Total[[#This Row],[Tecnología]]&amp;Total[[#This Row],[Problema]],TbNombres[Tecnología]&amp;TbNombres[Problema],TbNombres[Nombre])</f>
        <v>Brusselator1d</v>
      </c>
      <c r="F390" s="2">
        <v>3</v>
      </c>
      <c r="G390" s="2">
        <v>5</v>
      </c>
      <c r="H390" s="2">
        <v>256</v>
      </c>
      <c r="I390" s="2">
        <v>100000</v>
      </c>
      <c r="J390" s="2">
        <v>200000</v>
      </c>
      <c r="K390" s="2">
        <v>30.912700000000001</v>
      </c>
    </row>
    <row r="391" spans="2:11" x14ac:dyDescent="0.2">
      <c r="B391" s="26" t="str">
        <f>_xlfn.XLOOKUP(Total[[#This Row],[Metodo]],TbSolver[Metodo],TbSolver[Solver])</f>
        <v>Adams Bashford</v>
      </c>
      <c r="C391" s="26" t="str">
        <f>_xlfn.XLOOKUP(Total[[#This Row],[Hebras]],TbTecnologia[Hebras],TbTecnologia[Tecnología])</f>
        <v>CUDA</v>
      </c>
      <c r="D391" s="15" t="str" cm="1">
        <f t="array" ref="D391">_xlfn.XLOOKUP(Total[[#This Row],[Tecnología]]&amp;Total[[#This Row],[Metodo]],TbTipos[Tecnología]&amp;TbTipos[Metodo],TbTipos[Tipo])</f>
        <v>CUDA sin graph</v>
      </c>
      <c r="E391" s="15" t="str" cm="1">
        <f t="array" ref="E391">_xlfn.XLOOKUP(Total[[#This Row],[Tecnología]]&amp;Total[[#This Row],[Problema]],TbNombres[Tecnología]&amp;TbNombres[Problema],TbNombres[Nombre])</f>
        <v>Brusselator1d</v>
      </c>
      <c r="F391" s="2">
        <v>3</v>
      </c>
      <c r="G391" s="2">
        <v>5</v>
      </c>
      <c r="H391" s="2">
        <v>256</v>
      </c>
      <c r="I391" s="2">
        <v>100000</v>
      </c>
      <c r="J391" s="2">
        <v>200000</v>
      </c>
      <c r="K391" s="2">
        <v>31.215399999999999</v>
      </c>
    </row>
    <row r="392" spans="2:11" x14ac:dyDescent="0.2">
      <c r="B392" s="26" t="str">
        <f>_xlfn.XLOOKUP(Total[[#This Row],[Metodo]],TbSolver[Metodo],TbSolver[Solver])</f>
        <v>Adams Bashford</v>
      </c>
      <c r="C392" s="26" t="str">
        <f>_xlfn.XLOOKUP(Total[[#This Row],[Hebras]],TbTecnologia[Hebras],TbTecnologia[Tecnología])</f>
        <v>CUDA</v>
      </c>
      <c r="D392" s="15" t="str" cm="1">
        <f t="array" ref="D392">_xlfn.XLOOKUP(Total[[#This Row],[Tecnología]]&amp;Total[[#This Row],[Metodo]],TbTipos[Tecnología]&amp;TbTipos[Metodo],TbTipos[Tipo])</f>
        <v>CUDA sin graph</v>
      </c>
      <c r="E392" s="15" t="str" cm="1">
        <f t="array" ref="E392">_xlfn.XLOOKUP(Total[[#This Row],[Tecnología]]&amp;Total[[#This Row],[Problema]],TbNombres[Tecnología]&amp;TbNombres[Problema],TbNombres[Nombre])</f>
        <v>Brusselator1d grid</v>
      </c>
      <c r="F392" s="2">
        <v>3</v>
      </c>
      <c r="G392" s="2">
        <v>7</v>
      </c>
      <c r="H392" s="2">
        <v>256</v>
      </c>
      <c r="I392" s="2">
        <v>200000</v>
      </c>
      <c r="J392" s="2">
        <v>400000</v>
      </c>
      <c r="K392" s="2">
        <v>62.265799999999999</v>
      </c>
    </row>
    <row r="393" spans="2:11" x14ac:dyDescent="0.2">
      <c r="B393" s="26" t="str">
        <f>_xlfn.XLOOKUP(Total[[#This Row],[Metodo]],TbSolver[Metodo],TbSolver[Solver])</f>
        <v>Adams Bashford</v>
      </c>
      <c r="C393" s="26" t="str">
        <f>_xlfn.XLOOKUP(Total[[#This Row],[Hebras]],TbTecnologia[Hebras],TbTecnologia[Tecnología])</f>
        <v>CUDA</v>
      </c>
      <c r="D393" s="15" t="str" cm="1">
        <f t="array" ref="D393">_xlfn.XLOOKUP(Total[[#This Row],[Tecnología]]&amp;Total[[#This Row],[Metodo]],TbTipos[Tecnología]&amp;TbTipos[Metodo],TbTipos[Tipo])</f>
        <v>CUDA sin graph</v>
      </c>
      <c r="E393" s="15" t="str" cm="1">
        <f t="array" ref="E393">_xlfn.XLOOKUP(Total[[#This Row],[Tecnología]]&amp;Total[[#This Row],[Problema]],TbNombres[Tecnología]&amp;TbNombres[Problema],TbNombres[Nombre])</f>
        <v>Brusselator1d shuffle</v>
      </c>
      <c r="F393" s="2">
        <v>3</v>
      </c>
      <c r="G393" s="2">
        <v>6</v>
      </c>
      <c r="H393" s="2">
        <v>256</v>
      </c>
      <c r="I393" s="2">
        <v>200000</v>
      </c>
      <c r="J393" s="2">
        <v>400000</v>
      </c>
      <c r="K393" s="2">
        <v>64.066100000000006</v>
      </c>
    </row>
    <row r="394" spans="2:11" x14ac:dyDescent="0.2">
      <c r="B394" s="26" t="str">
        <f>_xlfn.XLOOKUP(Total[[#This Row],[Metodo]],TbSolver[Metodo],TbSolver[Solver])</f>
        <v>Adams Bashford</v>
      </c>
      <c r="C394" s="26" t="str">
        <f>_xlfn.XLOOKUP(Total[[#This Row],[Hebras]],TbTecnologia[Hebras],TbTecnologia[Tecnología])</f>
        <v>CUDA</v>
      </c>
      <c r="D394" s="15" t="str" cm="1">
        <f t="array" ref="D394">_xlfn.XLOOKUP(Total[[#This Row],[Tecnología]]&amp;Total[[#This Row],[Metodo]],TbTipos[Tecnología]&amp;TbTipos[Metodo],TbTipos[Tipo])</f>
        <v>CUDA sin graph</v>
      </c>
      <c r="E394" s="15" t="str" cm="1">
        <f t="array" ref="E394">_xlfn.XLOOKUP(Total[[#This Row],[Tecnología]]&amp;Total[[#This Row],[Problema]],TbNombres[Tecnología]&amp;TbNombres[Problema],TbNombres[Nombre])</f>
        <v>Brusselator1d</v>
      </c>
      <c r="F394" s="2">
        <v>3</v>
      </c>
      <c r="G394" s="2">
        <v>5</v>
      </c>
      <c r="H394" s="2">
        <v>256</v>
      </c>
      <c r="I394" s="2">
        <v>200000</v>
      </c>
      <c r="J394" s="2">
        <v>400000</v>
      </c>
      <c r="K394" s="2">
        <v>64.316400000000002</v>
      </c>
    </row>
    <row r="395" spans="2:11" x14ac:dyDescent="0.2">
      <c r="B395" s="26" t="str">
        <f>_xlfn.XLOOKUP(Total[[#This Row],[Metodo]],TbSolver[Metodo],TbSolver[Solver])</f>
        <v>Adams Bashford</v>
      </c>
      <c r="C395" s="26" t="str">
        <f>_xlfn.XLOOKUP(Total[[#This Row],[Hebras]],TbTecnologia[Hebras],TbTecnologia[Tecnología])</f>
        <v>CUDA</v>
      </c>
      <c r="D395" s="15" t="str" cm="1">
        <f t="array" ref="D395">_xlfn.XLOOKUP(Total[[#This Row],[Tecnología]]&amp;Total[[#This Row],[Metodo]],TbTipos[Tecnología]&amp;TbTipos[Metodo],TbTipos[Tipo])</f>
        <v>CUDA sin graph</v>
      </c>
      <c r="E395" s="15" t="str" cm="1">
        <f t="array" ref="E395">_xlfn.XLOOKUP(Total[[#This Row],[Tecnología]]&amp;Total[[#This Row],[Problema]],TbNombres[Tecnología]&amp;TbNombres[Problema],TbNombres[Nombre])</f>
        <v>Brusselator1d</v>
      </c>
      <c r="F395" s="2">
        <v>3</v>
      </c>
      <c r="G395" s="2">
        <v>5</v>
      </c>
      <c r="H395" s="2">
        <v>256</v>
      </c>
      <c r="I395" s="2">
        <v>200000</v>
      </c>
      <c r="J395" s="2">
        <v>400000</v>
      </c>
      <c r="K395" s="2">
        <v>64.938500000000005</v>
      </c>
    </row>
    <row r="396" spans="2:11" x14ac:dyDescent="0.2">
      <c r="B396" s="26" t="str">
        <f>_xlfn.XLOOKUP(Total[[#This Row],[Metodo]],TbSolver[Metodo],TbSolver[Solver])</f>
        <v>Adams Bashford</v>
      </c>
      <c r="C396" s="26" t="str">
        <f>_xlfn.XLOOKUP(Total[[#This Row],[Hebras]],TbTecnologia[Hebras],TbTecnologia[Tecnología])</f>
        <v>OMP</v>
      </c>
      <c r="D396" s="15" t="str" cm="1">
        <f t="array" ref="D396">_xlfn.XLOOKUP(Total[[#This Row],[Tecnología]]&amp;Total[[#This Row],[Metodo]],TbTipos[Tecnología]&amp;TbTipos[Metodo],TbTipos[Tipo])</f>
        <v>OMP Operaciones</v>
      </c>
      <c r="E396" s="15" t="str" cm="1">
        <f t="array" ref="E396">_xlfn.XLOOKUP(Total[[#This Row],[Tecnología]]&amp;Total[[#This Row],[Problema]],TbNombres[Tecnología]&amp;TbNombres[Problema],TbNombres[Nombre])</f>
        <v>Brusselator1d</v>
      </c>
      <c r="F396" s="2">
        <v>3</v>
      </c>
      <c r="G396" s="2">
        <v>3</v>
      </c>
      <c r="H396" s="2">
        <v>1</v>
      </c>
      <c r="I396" s="2">
        <v>100</v>
      </c>
      <c r="J396" s="2">
        <v>200</v>
      </c>
      <c r="K396" s="2">
        <v>2.05783</v>
      </c>
    </row>
    <row r="397" spans="2:11" x14ac:dyDescent="0.2">
      <c r="B397" s="26" t="str">
        <f>_xlfn.XLOOKUP(Total[[#This Row],[Metodo]],TbSolver[Metodo],TbSolver[Solver])</f>
        <v>Adams Bashford</v>
      </c>
      <c r="C397" s="26" t="str">
        <f>_xlfn.XLOOKUP(Total[[#This Row],[Hebras]],TbTecnologia[Hebras],TbTecnologia[Tecnología])</f>
        <v>OMP</v>
      </c>
      <c r="D397" s="15" t="str" cm="1">
        <f t="array" ref="D397">_xlfn.XLOOKUP(Total[[#This Row],[Tecnología]]&amp;Total[[#This Row],[Metodo]],TbTipos[Tecnología]&amp;TbTipos[Metodo],TbTipos[Tipo])</f>
        <v>OMP Operaciones</v>
      </c>
      <c r="E397" s="15" t="str" cm="1">
        <f t="array" ref="E397">_xlfn.XLOOKUP(Total[[#This Row],[Tecnología]]&amp;Total[[#This Row],[Problema]],TbNombres[Tecnología]&amp;TbNombres[Problema],TbNombres[Nombre])</f>
        <v>Brusselator1d</v>
      </c>
      <c r="F397" s="2">
        <v>3</v>
      </c>
      <c r="G397" s="2">
        <v>3</v>
      </c>
      <c r="H397" s="2">
        <v>4</v>
      </c>
      <c r="I397" s="2">
        <v>100</v>
      </c>
      <c r="J397" s="2">
        <v>200</v>
      </c>
      <c r="K397" s="2">
        <v>14.2804</v>
      </c>
    </row>
    <row r="398" spans="2:11" x14ac:dyDescent="0.2">
      <c r="B398" s="26" t="str">
        <f>_xlfn.XLOOKUP(Total[[#This Row],[Metodo]],TbSolver[Metodo],TbSolver[Solver])</f>
        <v>Adams Bashford</v>
      </c>
      <c r="C398" s="26" t="str">
        <f>_xlfn.XLOOKUP(Total[[#This Row],[Hebras]],TbTecnologia[Hebras],TbTecnologia[Tecnología])</f>
        <v>OMP</v>
      </c>
      <c r="D398" s="15" t="str" cm="1">
        <f t="array" ref="D398">_xlfn.XLOOKUP(Total[[#This Row],[Tecnología]]&amp;Total[[#This Row],[Metodo]],TbTipos[Tecnología]&amp;TbTipos[Metodo],TbTipos[Tipo])</f>
        <v>OMP Operaciones</v>
      </c>
      <c r="E398" s="15" t="str" cm="1">
        <f t="array" ref="E398">_xlfn.XLOOKUP(Total[[#This Row],[Tecnología]]&amp;Total[[#This Row],[Problema]],TbNombres[Tecnología]&amp;TbNombres[Problema],TbNombres[Nombre])</f>
        <v>Brusselator1d</v>
      </c>
      <c r="F398" s="2">
        <v>3</v>
      </c>
      <c r="G398" s="2">
        <v>3</v>
      </c>
      <c r="H398" s="2">
        <v>16</v>
      </c>
      <c r="I398" s="2">
        <v>100</v>
      </c>
      <c r="J398" s="2">
        <v>200</v>
      </c>
      <c r="K398" s="2">
        <v>38.778199999999998</v>
      </c>
    </row>
    <row r="399" spans="2:11" x14ac:dyDescent="0.2">
      <c r="B399" s="26" t="str">
        <f>_xlfn.XLOOKUP(Total[[#This Row],[Metodo]],TbSolver[Metodo],TbSolver[Solver])</f>
        <v>Adams Bashford</v>
      </c>
      <c r="C399" s="26" t="str">
        <f>_xlfn.XLOOKUP(Total[[#This Row],[Hebras]],TbTecnologia[Hebras],TbTecnologia[Tecnología])</f>
        <v>OMP</v>
      </c>
      <c r="D399" s="15" t="str" cm="1">
        <f t="array" ref="D399">_xlfn.XLOOKUP(Total[[#This Row],[Tecnología]]&amp;Total[[#This Row],[Metodo]],TbTipos[Tecnología]&amp;TbTipos[Metodo],TbTipos[Tipo])</f>
        <v>OMP Operaciones</v>
      </c>
      <c r="E399" s="15" t="str" cm="1">
        <f t="array" ref="E399">_xlfn.XLOOKUP(Total[[#This Row],[Tecnología]]&amp;Total[[#This Row],[Problema]],TbNombres[Tecnología]&amp;TbNombres[Problema],TbNombres[Nombre])</f>
        <v>Brusselator1d</v>
      </c>
      <c r="F399" s="2">
        <v>3</v>
      </c>
      <c r="G399" s="2">
        <v>3</v>
      </c>
      <c r="H399" s="2">
        <v>1</v>
      </c>
      <c r="I399" s="2">
        <v>200</v>
      </c>
      <c r="J399" s="2">
        <v>400</v>
      </c>
      <c r="K399" s="2">
        <v>2.63</v>
      </c>
    </row>
    <row r="400" spans="2:11" x14ac:dyDescent="0.2">
      <c r="B400" s="26" t="str">
        <f>_xlfn.XLOOKUP(Total[[#This Row],[Metodo]],TbSolver[Metodo],TbSolver[Solver])</f>
        <v>Adams Bashford</v>
      </c>
      <c r="C400" s="26" t="str">
        <f>_xlfn.XLOOKUP(Total[[#This Row],[Hebras]],TbTecnologia[Hebras],TbTecnologia[Tecnología])</f>
        <v>OMP</v>
      </c>
      <c r="D400" s="15" t="str" cm="1">
        <f t="array" ref="D400">_xlfn.XLOOKUP(Total[[#This Row],[Tecnología]]&amp;Total[[#This Row],[Metodo]],TbTipos[Tecnología]&amp;TbTipos[Metodo],TbTipos[Tipo])</f>
        <v>OMP Operaciones</v>
      </c>
      <c r="E400" s="15" t="str" cm="1">
        <f t="array" ref="E400">_xlfn.XLOOKUP(Total[[#This Row],[Tecnología]]&amp;Total[[#This Row],[Problema]],TbNombres[Tecnología]&amp;TbNombres[Problema],TbNombres[Nombre])</f>
        <v>Brusselator1d</v>
      </c>
      <c r="F400" s="2">
        <v>3</v>
      </c>
      <c r="G400" s="2">
        <v>3</v>
      </c>
      <c r="H400" s="2">
        <v>4</v>
      </c>
      <c r="I400" s="2">
        <v>200</v>
      </c>
      <c r="J400" s="2">
        <v>400</v>
      </c>
      <c r="K400" s="2">
        <v>13.9947</v>
      </c>
    </row>
    <row r="401" spans="2:11" x14ac:dyDescent="0.2">
      <c r="B401" s="26" t="str">
        <f>_xlfn.XLOOKUP(Total[[#This Row],[Metodo]],TbSolver[Metodo],TbSolver[Solver])</f>
        <v>Adams Bashford</v>
      </c>
      <c r="C401" s="26" t="str">
        <f>_xlfn.XLOOKUP(Total[[#This Row],[Hebras]],TbTecnologia[Hebras],TbTecnologia[Tecnología])</f>
        <v>OMP</v>
      </c>
      <c r="D401" s="15" t="str" cm="1">
        <f t="array" ref="D401">_xlfn.XLOOKUP(Total[[#This Row],[Tecnología]]&amp;Total[[#This Row],[Metodo]],TbTipos[Tecnología]&amp;TbTipos[Metodo],TbTipos[Tipo])</f>
        <v>OMP Operaciones</v>
      </c>
      <c r="E401" s="15" t="str" cm="1">
        <f t="array" ref="E401">_xlfn.XLOOKUP(Total[[#This Row],[Tecnología]]&amp;Total[[#This Row],[Problema]],TbNombres[Tecnología]&amp;TbNombres[Problema],TbNombres[Nombre])</f>
        <v>Brusselator1d</v>
      </c>
      <c r="F401" s="2">
        <v>3</v>
      </c>
      <c r="G401" s="2">
        <v>3</v>
      </c>
      <c r="H401" s="2">
        <v>16</v>
      </c>
      <c r="I401" s="2">
        <v>200</v>
      </c>
      <c r="J401" s="2">
        <v>400</v>
      </c>
      <c r="K401" s="2">
        <v>28.839300000000001</v>
      </c>
    </row>
    <row r="402" spans="2:11" x14ac:dyDescent="0.2">
      <c r="B402" s="26" t="str">
        <f>_xlfn.XLOOKUP(Total[[#This Row],[Metodo]],TbSolver[Metodo],TbSolver[Solver])</f>
        <v>Adams Bashford</v>
      </c>
      <c r="C402" s="26" t="str">
        <f>_xlfn.XLOOKUP(Total[[#This Row],[Hebras]],TbTecnologia[Hebras],TbTecnologia[Tecnología])</f>
        <v>OMP</v>
      </c>
      <c r="D402" s="15" t="str" cm="1">
        <f t="array" ref="D402">_xlfn.XLOOKUP(Total[[#This Row],[Tecnología]]&amp;Total[[#This Row],[Metodo]],TbTipos[Tecnología]&amp;TbTipos[Metodo],TbTipos[Tipo])</f>
        <v>OMP Operaciones</v>
      </c>
      <c r="E402" s="15" t="str" cm="1">
        <f t="array" ref="E402">_xlfn.XLOOKUP(Total[[#This Row],[Tecnología]]&amp;Total[[#This Row],[Problema]],TbNombres[Tecnología]&amp;TbNombres[Problema],TbNombres[Nombre])</f>
        <v>Brusselator1d</v>
      </c>
      <c r="F402" s="2">
        <v>3</v>
      </c>
      <c r="G402" s="2">
        <v>3</v>
      </c>
      <c r="H402" s="2">
        <v>1</v>
      </c>
      <c r="I402" s="2">
        <v>500</v>
      </c>
      <c r="J402" s="2">
        <v>1000</v>
      </c>
      <c r="K402" s="2">
        <v>4.5126900000000001</v>
      </c>
    </row>
    <row r="403" spans="2:11" x14ac:dyDescent="0.2">
      <c r="B403" s="26" t="str">
        <f>_xlfn.XLOOKUP(Total[[#This Row],[Metodo]],TbSolver[Metodo],TbSolver[Solver])</f>
        <v>Adams Bashford</v>
      </c>
      <c r="C403" s="26" t="str">
        <f>_xlfn.XLOOKUP(Total[[#This Row],[Hebras]],TbTecnologia[Hebras],TbTecnologia[Tecnología])</f>
        <v>OMP</v>
      </c>
      <c r="D403" s="15" t="str" cm="1">
        <f t="array" ref="D403">_xlfn.XLOOKUP(Total[[#This Row],[Tecnología]]&amp;Total[[#This Row],[Metodo]],TbTipos[Tecnología]&amp;TbTipos[Metodo],TbTipos[Tipo])</f>
        <v>OMP Operaciones</v>
      </c>
      <c r="E403" s="15" t="str" cm="1">
        <f t="array" ref="E403">_xlfn.XLOOKUP(Total[[#This Row],[Tecnología]]&amp;Total[[#This Row],[Problema]],TbNombres[Tecnología]&amp;TbNombres[Problema],TbNombres[Nombre])</f>
        <v>Brusselator1d</v>
      </c>
      <c r="F403" s="2">
        <v>3</v>
      </c>
      <c r="G403" s="2">
        <v>3</v>
      </c>
      <c r="H403" s="2">
        <v>4</v>
      </c>
      <c r="I403" s="2">
        <v>500</v>
      </c>
      <c r="J403" s="2">
        <v>1000</v>
      </c>
      <c r="K403" s="2">
        <v>15.901400000000001</v>
      </c>
    </row>
    <row r="404" spans="2:11" x14ac:dyDescent="0.2">
      <c r="B404" s="26" t="str">
        <f>_xlfn.XLOOKUP(Total[[#This Row],[Metodo]],TbSolver[Metodo],TbSolver[Solver])</f>
        <v>Adams Bashford</v>
      </c>
      <c r="C404" s="26" t="str">
        <f>_xlfn.XLOOKUP(Total[[#This Row],[Hebras]],TbTecnologia[Hebras],TbTecnologia[Tecnología])</f>
        <v>OMP</v>
      </c>
      <c r="D404" s="15" t="str" cm="1">
        <f t="array" ref="D404">_xlfn.XLOOKUP(Total[[#This Row],[Tecnología]]&amp;Total[[#This Row],[Metodo]],TbTipos[Tecnología]&amp;TbTipos[Metodo],TbTipos[Tipo])</f>
        <v>OMP Operaciones</v>
      </c>
      <c r="E404" s="15" t="str" cm="1">
        <f t="array" ref="E404">_xlfn.XLOOKUP(Total[[#This Row],[Tecnología]]&amp;Total[[#This Row],[Problema]],TbNombres[Tecnología]&amp;TbNombres[Problema],TbNombres[Nombre])</f>
        <v>Brusselator1d</v>
      </c>
      <c r="F404" s="2">
        <v>3</v>
      </c>
      <c r="G404" s="2">
        <v>3</v>
      </c>
      <c r="H404" s="2">
        <v>16</v>
      </c>
      <c r="I404" s="2">
        <v>500</v>
      </c>
      <c r="J404" s="2">
        <v>1000</v>
      </c>
      <c r="K404" s="2">
        <v>39.573799999999999</v>
      </c>
    </row>
    <row r="405" spans="2:11" x14ac:dyDescent="0.2">
      <c r="B405" s="26" t="str">
        <f>_xlfn.XLOOKUP(Total[[#This Row],[Metodo]],TbSolver[Metodo],TbSolver[Solver])</f>
        <v>Adams Bashford</v>
      </c>
      <c r="C405" s="26" t="str">
        <f>_xlfn.XLOOKUP(Total[[#This Row],[Hebras]],TbTecnologia[Hebras],TbTecnologia[Tecnología])</f>
        <v>OMP</v>
      </c>
      <c r="D405" s="15" t="str" cm="1">
        <f t="array" ref="D405">_xlfn.XLOOKUP(Total[[#This Row],[Tecnología]]&amp;Total[[#This Row],[Metodo]],TbTipos[Tecnología]&amp;TbTipos[Metodo],TbTipos[Tipo])</f>
        <v>OMP Operaciones</v>
      </c>
      <c r="E405" s="15" t="str" cm="1">
        <f t="array" ref="E405">_xlfn.XLOOKUP(Total[[#This Row],[Tecnología]]&amp;Total[[#This Row],[Problema]],TbNombres[Tecnología]&amp;TbNombres[Problema],TbNombres[Nombre])</f>
        <v>Brusselator1d</v>
      </c>
      <c r="F405" s="2">
        <v>3</v>
      </c>
      <c r="G405" s="2">
        <v>3</v>
      </c>
      <c r="H405" s="2">
        <v>1</v>
      </c>
      <c r="I405" s="2">
        <v>1000</v>
      </c>
      <c r="J405" s="2">
        <v>2000</v>
      </c>
      <c r="K405" s="2">
        <v>7.6295599999999997</v>
      </c>
    </row>
    <row r="406" spans="2:11" x14ac:dyDescent="0.2">
      <c r="B406" s="26" t="str">
        <f>_xlfn.XLOOKUP(Total[[#This Row],[Metodo]],TbSolver[Metodo],TbSolver[Solver])</f>
        <v>Adams Bashford</v>
      </c>
      <c r="C406" s="26" t="str">
        <f>_xlfn.XLOOKUP(Total[[#This Row],[Hebras]],TbTecnologia[Hebras],TbTecnologia[Tecnología])</f>
        <v>OMP</v>
      </c>
      <c r="D406" s="15" t="str" cm="1">
        <f t="array" ref="D406">_xlfn.XLOOKUP(Total[[#This Row],[Tecnología]]&amp;Total[[#This Row],[Metodo]],TbTipos[Tecnología]&amp;TbTipos[Metodo],TbTipos[Tipo])</f>
        <v>OMP Operaciones</v>
      </c>
      <c r="E406" s="15" t="str" cm="1">
        <f t="array" ref="E406">_xlfn.XLOOKUP(Total[[#This Row],[Tecnología]]&amp;Total[[#This Row],[Problema]],TbNombres[Tecnología]&amp;TbNombres[Problema],TbNombres[Nombre])</f>
        <v>Brusselator1d</v>
      </c>
      <c r="F406" s="2">
        <v>3</v>
      </c>
      <c r="G406" s="2">
        <v>3</v>
      </c>
      <c r="H406" s="2">
        <v>4</v>
      </c>
      <c r="I406" s="2">
        <v>1000</v>
      </c>
      <c r="J406" s="2">
        <v>2000</v>
      </c>
      <c r="K406" s="2">
        <v>15.4558</v>
      </c>
    </row>
    <row r="407" spans="2:11" x14ac:dyDescent="0.2">
      <c r="B407" s="26" t="str">
        <f>_xlfn.XLOOKUP(Total[[#This Row],[Metodo]],TbSolver[Metodo],TbSolver[Solver])</f>
        <v>Adams Bashford</v>
      </c>
      <c r="C407" s="26" t="str">
        <f>_xlfn.XLOOKUP(Total[[#This Row],[Hebras]],TbTecnologia[Hebras],TbTecnologia[Tecnología])</f>
        <v>OMP</v>
      </c>
      <c r="D407" s="15" t="str" cm="1">
        <f t="array" ref="D407">_xlfn.XLOOKUP(Total[[#This Row],[Tecnología]]&amp;Total[[#This Row],[Metodo]],TbTipos[Tecnología]&amp;TbTipos[Metodo],TbTipos[Tipo])</f>
        <v>OMP Operaciones</v>
      </c>
      <c r="E407" s="15" t="str" cm="1">
        <f t="array" ref="E407">_xlfn.XLOOKUP(Total[[#This Row],[Tecnología]]&amp;Total[[#This Row],[Problema]],TbNombres[Tecnología]&amp;TbNombres[Problema],TbNombres[Nombre])</f>
        <v>Brusselator1d</v>
      </c>
      <c r="F407" s="2">
        <v>3</v>
      </c>
      <c r="G407" s="2">
        <v>3</v>
      </c>
      <c r="H407" s="2">
        <v>16</v>
      </c>
      <c r="I407" s="2">
        <v>1000</v>
      </c>
      <c r="J407" s="2">
        <v>2000</v>
      </c>
      <c r="K407" s="2">
        <v>31.922799999999999</v>
      </c>
    </row>
    <row r="408" spans="2:11" x14ac:dyDescent="0.2">
      <c r="B408" s="26" t="str">
        <f>_xlfn.XLOOKUP(Total[[#This Row],[Metodo]],TbSolver[Metodo],TbSolver[Solver])</f>
        <v>Adams Bashford</v>
      </c>
      <c r="C408" s="26" t="str">
        <f>_xlfn.XLOOKUP(Total[[#This Row],[Hebras]],TbTecnologia[Hebras],TbTecnologia[Tecnología])</f>
        <v>OMP</v>
      </c>
      <c r="D408" s="15" t="str" cm="1">
        <f t="array" ref="D408">_xlfn.XLOOKUP(Total[[#This Row],[Tecnología]]&amp;Total[[#This Row],[Metodo]],TbTipos[Tecnología]&amp;TbTipos[Metodo],TbTipos[Tipo])</f>
        <v>OMP Elementos</v>
      </c>
      <c r="E408" s="15" t="str" cm="1">
        <f t="array" ref="E408">_xlfn.XLOOKUP(Total[[#This Row],[Tecnología]]&amp;Total[[#This Row],[Problema]],TbNombres[Tecnología]&amp;TbNombres[Problema],TbNombres[Nombre])</f>
        <v>Brusselator1d</v>
      </c>
      <c r="F408" s="2">
        <v>4</v>
      </c>
      <c r="G408" s="2">
        <v>3</v>
      </c>
      <c r="H408" s="2">
        <v>1</v>
      </c>
      <c r="I408" s="2">
        <v>100</v>
      </c>
      <c r="J408" s="2">
        <v>200</v>
      </c>
      <c r="K408" s="2">
        <v>1.6834800000000001</v>
      </c>
    </row>
    <row r="409" spans="2:11" x14ac:dyDescent="0.2">
      <c r="B409" s="26" t="str">
        <f>_xlfn.XLOOKUP(Total[[#This Row],[Metodo]],TbSolver[Metodo],TbSolver[Solver])</f>
        <v>Adams Bashford</v>
      </c>
      <c r="C409" s="26" t="str">
        <f>_xlfn.XLOOKUP(Total[[#This Row],[Hebras]],TbTecnologia[Hebras],TbTecnologia[Tecnología])</f>
        <v>OMP</v>
      </c>
      <c r="D409" s="15" t="str" cm="1">
        <f t="array" ref="D409">_xlfn.XLOOKUP(Total[[#This Row],[Tecnología]]&amp;Total[[#This Row],[Metodo]],TbTipos[Tecnología]&amp;TbTipos[Metodo],TbTipos[Tipo])</f>
        <v>OMP Elementos</v>
      </c>
      <c r="E409" s="15" t="str" cm="1">
        <f t="array" ref="E409">_xlfn.XLOOKUP(Total[[#This Row],[Tecnología]]&amp;Total[[#This Row],[Problema]],TbNombres[Tecnología]&amp;TbNombres[Problema],TbNombres[Nombre])</f>
        <v>Brusselator1d</v>
      </c>
      <c r="F409" s="2">
        <v>4</v>
      </c>
      <c r="G409" s="2">
        <v>3</v>
      </c>
      <c r="H409" s="2">
        <v>4</v>
      </c>
      <c r="I409" s="2">
        <v>100</v>
      </c>
      <c r="J409" s="2">
        <v>200</v>
      </c>
      <c r="K409" s="2">
        <v>4.3878500000000003</v>
      </c>
    </row>
    <row r="410" spans="2:11" x14ac:dyDescent="0.2">
      <c r="B410" s="26" t="str">
        <f>_xlfn.XLOOKUP(Total[[#This Row],[Metodo]],TbSolver[Metodo],TbSolver[Solver])</f>
        <v>Adams Bashford</v>
      </c>
      <c r="C410" s="26" t="str">
        <f>_xlfn.XLOOKUP(Total[[#This Row],[Hebras]],TbTecnologia[Hebras],TbTecnologia[Tecnología])</f>
        <v>OMP</v>
      </c>
      <c r="D410" s="15" t="str" cm="1">
        <f t="array" ref="D410">_xlfn.XLOOKUP(Total[[#This Row],[Tecnología]]&amp;Total[[#This Row],[Metodo]],TbTipos[Tecnología]&amp;TbTipos[Metodo],TbTipos[Tipo])</f>
        <v>OMP Elementos</v>
      </c>
      <c r="E410" s="15" t="str" cm="1">
        <f t="array" ref="E410">_xlfn.XLOOKUP(Total[[#This Row],[Tecnología]]&amp;Total[[#This Row],[Problema]],TbNombres[Tecnología]&amp;TbNombres[Problema],TbNombres[Nombre])</f>
        <v>Brusselator1d</v>
      </c>
      <c r="F410" s="2">
        <v>4</v>
      </c>
      <c r="G410" s="2">
        <v>3</v>
      </c>
      <c r="H410" s="2">
        <v>16</v>
      </c>
      <c r="I410" s="2">
        <v>100</v>
      </c>
      <c r="J410" s="2">
        <v>200</v>
      </c>
      <c r="K410" s="2">
        <v>21.4377</v>
      </c>
    </row>
    <row r="411" spans="2:11" x14ac:dyDescent="0.2">
      <c r="B411" s="26" t="str">
        <f>_xlfn.XLOOKUP(Total[[#This Row],[Metodo]],TbSolver[Metodo],TbSolver[Solver])</f>
        <v>Adams Bashford</v>
      </c>
      <c r="C411" s="26" t="str">
        <f>_xlfn.XLOOKUP(Total[[#This Row],[Hebras]],TbTecnologia[Hebras],TbTecnologia[Tecnología])</f>
        <v>OMP</v>
      </c>
      <c r="D411" s="15" t="str" cm="1">
        <f t="array" ref="D411">_xlfn.XLOOKUP(Total[[#This Row],[Tecnología]]&amp;Total[[#This Row],[Metodo]],TbTipos[Tecnología]&amp;TbTipos[Metodo],TbTipos[Tipo])</f>
        <v>OMP Elementos</v>
      </c>
      <c r="E411" s="15" t="str" cm="1">
        <f t="array" ref="E411">_xlfn.XLOOKUP(Total[[#This Row],[Tecnología]]&amp;Total[[#This Row],[Problema]],TbNombres[Tecnología]&amp;TbNombres[Problema],TbNombres[Nombre])</f>
        <v>Brusselator1d</v>
      </c>
      <c r="F411" s="2">
        <v>4</v>
      </c>
      <c r="G411" s="2">
        <v>3</v>
      </c>
      <c r="H411" s="2">
        <v>1</v>
      </c>
      <c r="I411" s="2">
        <v>200</v>
      </c>
      <c r="J411" s="2">
        <v>400</v>
      </c>
      <c r="K411" s="2">
        <v>2.9061900000000001</v>
      </c>
    </row>
    <row r="412" spans="2:11" x14ac:dyDescent="0.2">
      <c r="B412" s="26" t="str">
        <f>_xlfn.XLOOKUP(Total[[#This Row],[Metodo]],TbSolver[Metodo],TbSolver[Solver])</f>
        <v>Adams Bashford</v>
      </c>
      <c r="C412" s="26" t="str">
        <f>_xlfn.XLOOKUP(Total[[#This Row],[Hebras]],TbTecnologia[Hebras],TbTecnologia[Tecnología])</f>
        <v>OMP</v>
      </c>
      <c r="D412" s="15" t="str" cm="1">
        <f t="array" ref="D412">_xlfn.XLOOKUP(Total[[#This Row],[Tecnología]]&amp;Total[[#This Row],[Metodo]],TbTipos[Tecnología]&amp;TbTipos[Metodo],TbTipos[Tipo])</f>
        <v>OMP Elementos</v>
      </c>
      <c r="E412" s="15" t="str" cm="1">
        <f t="array" ref="E412">_xlfn.XLOOKUP(Total[[#This Row],[Tecnología]]&amp;Total[[#This Row],[Problema]],TbNombres[Tecnología]&amp;TbNombres[Problema],TbNombres[Nombre])</f>
        <v>Brusselator1d</v>
      </c>
      <c r="F412" s="2">
        <v>4</v>
      </c>
      <c r="G412" s="2">
        <v>3</v>
      </c>
      <c r="H412" s="2">
        <v>4</v>
      </c>
      <c r="I412" s="2">
        <v>200</v>
      </c>
      <c r="J412" s="2">
        <v>400</v>
      </c>
      <c r="K412" s="2">
        <v>5.0616000000000003</v>
      </c>
    </row>
    <row r="413" spans="2:11" x14ac:dyDescent="0.2">
      <c r="B413" s="26" t="str">
        <f>_xlfn.XLOOKUP(Total[[#This Row],[Metodo]],TbSolver[Metodo],TbSolver[Solver])</f>
        <v>Adams Bashford</v>
      </c>
      <c r="C413" s="26" t="str">
        <f>_xlfn.XLOOKUP(Total[[#This Row],[Hebras]],TbTecnologia[Hebras],TbTecnologia[Tecnología])</f>
        <v>OMP</v>
      </c>
      <c r="D413" s="15" t="str" cm="1">
        <f t="array" ref="D413">_xlfn.XLOOKUP(Total[[#This Row],[Tecnología]]&amp;Total[[#This Row],[Metodo]],TbTipos[Tecnología]&amp;TbTipos[Metodo],TbTipos[Tipo])</f>
        <v>OMP Elementos</v>
      </c>
      <c r="E413" s="15" t="str" cm="1">
        <f t="array" ref="E413">_xlfn.XLOOKUP(Total[[#This Row],[Tecnología]]&amp;Total[[#This Row],[Problema]],TbNombres[Tecnología]&amp;TbNombres[Problema],TbNombres[Nombre])</f>
        <v>Brusselator1d</v>
      </c>
      <c r="F413" s="2">
        <v>4</v>
      </c>
      <c r="G413" s="2">
        <v>3</v>
      </c>
      <c r="H413" s="2">
        <v>16</v>
      </c>
      <c r="I413" s="2">
        <v>200</v>
      </c>
      <c r="J413" s="2">
        <v>400</v>
      </c>
      <c r="K413" s="2">
        <v>12.112299999999999</v>
      </c>
    </row>
    <row r="414" spans="2:11" x14ac:dyDescent="0.2">
      <c r="B414" s="26" t="str">
        <f>_xlfn.XLOOKUP(Total[[#This Row],[Metodo]],TbSolver[Metodo],TbSolver[Solver])</f>
        <v>Adams Bashford</v>
      </c>
      <c r="C414" s="26" t="str">
        <f>_xlfn.XLOOKUP(Total[[#This Row],[Hebras]],TbTecnologia[Hebras],TbTecnologia[Tecnología])</f>
        <v>OMP</v>
      </c>
      <c r="D414" s="15" t="str" cm="1">
        <f t="array" ref="D414">_xlfn.XLOOKUP(Total[[#This Row],[Tecnología]]&amp;Total[[#This Row],[Metodo]],TbTipos[Tecnología]&amp;TbTipos[Metodo],TbTipos[Tipo])</f>
        <v>OMP Elementos</v>
      </c>
      <c r="E414" s="15" t="str" cm="1">
        <f t="array" ref="E414">_xlfn.XLOOKUP(Total[[#This Row],[Tecnología]]&amp;Total[[#This Row],[Problema]],TbNombres[Tecnología]&amp;TbNombres[Problema],TbNombres[Nombre])</f>
        <v>Brusselator1d</v>
      </c>
      <c r="F414" s="2">
        <v>4</v>
      </c>
      <c r="G414" s="2">
        <v>3</v>
      </c>
      <c r="H414" s="2">
        <v>1</v>
      </c>
      <c r="I414" s="2">
        <v>500</v>
      </c>
      <c r="J414" s="2">
        <v>1000</v>
      </c>
      <c r="K414" s="2">
        <v>6.5622100000000003</v>
      </c>
    </row>
    <row r="415" spans="2:11" x14ac:dyDescent="0.2">
      <c r="B415" s="26" t="str">
        <f>_xlfn.XLOOKUP(Total[[#This Row],[Metodo]],TbSolver[Metodo],TbSolver[Solver])</f>
        <v>Adams Bashford</v>
      </c>
      <c r="C415" s="26" t="str">
        <f>_xlfn.XLOOKUP(Total[[#This Row],[Hebras]],TbTecnologia[Hebras],TbTecnologia[Tecnología])</f>
        <v>OMP</v>
      </c>
      <c r="D415" s="15" t="str" cm="1">
        <f t="array" ref="D415">_xlfn.XLOOKUP(Total[[#This Row],[Tecnología]]&amp;Total[[#This Row],[Metodo]],TbTipos[Tecnología]&amp;TbTipos[Metodo],TbTipos[Tipo])</f>
        <v>OMP Elementos</v>
      </c>
      <c r="E415" s="15" t="str" cm="1">
        <f t="array" ref="E415">_xlfn.XLOOKUP(Total[[#This Row],[Tecnología]]&amp;Total[[#This Row],[Problema]],TbNombres[Tecnología]&amp;TbNombres[Problema],TbNombres[Nombre])</f>
        <v>Brusselator1d</v>
      </c>
      <c r="F415" s="2">
        <v>4</v>
      </c>
      <c r="G415" s="2">
        <v>3</v>
      </c>
      <c r="H415" s="2">
        <v>4</v>
      </c>
      <c r="I415" s="2">
        <v>500</v>
      </c>
      <c r="J415" s="2">
        <v>1000</v>
      </c>
      <c r="K415" s="2">
        <v>5.54575</v>
      </c>
    </row>
    <row r="416" spans="2:11" x14ac:dyDescent="0.2">
      <c r="B416" s="26" t="str">
        <f>_xlfn.XLOOKUP(Total[[#This Row],[Metodo]],TbSolver[Metodo],TbSolver[Solver])</f>
        <v>Adams Bashford</v>
      </c>
      <c r="C416" s="26" t="str">
        <f>_xlfn.XLOOKUP(Total[[#This Row],[Hebras]],TbTecnologia[Hebras],TbTecnologia[Tecnología])</f>
        <v>OMP</v>
      </c>
      <c r="D416" s="15" t="str" cm="1">
        <f t="array" ref="D416">_xlfn.XLOOKUP(Total[[#This Row],[Tecnología]]&amp;Total[[#This Row],[Metodo]],TbTipos[Tecnología]&amp;TbTipos[Metodo],TbTipos[Tipo])</f>
        <v>OMP Elementos</v>
      </c>
      <c r="E416" s="15" t="str" cm="1">
        <f t="array" ref="E416">_xlfn.XLOOKUP(Total[[#This Row],[Tecnología]]&amp;Total[[#This Row],[Problema]],TbNombres[Tecnología]&amp;TbNombres[Problema],TbNombres[Nombre])</f>
        <v>Brusselator1d</v>
      </c>
      <c r="F416" s="2">
        <v>4</v>
      </c>
      <c r="G416" s="2">
        <v>3</v>
      </c>
      <c r="H416" s="2">
        <v>16</v>
      </c>
      <c r="I416" s="2">
        <v>500</v>
      </c>
      <c r="J416" s="2">
        <v>1000</v>
      </c>
      <c r="K416" s="2">
        <v>9.4365000000000006</v>
      </c>
    </row>
    <row r="417" spans="2:11" x14ac:dyDescent="0.2">
      <c r="B417" s="26" t="str">
        <f>_xlfn.XLOOKUP(Total[[#This Row],[Metodo]],TbSolver[Metodo],TbSolver[Solver])</f>
        <v>Adams Bashford</v>
      </c>
      <c r="C417" s="26" t="str">
        <f>_xlfn.XLOOKUP(Total[[#This Row],[Hebras]],TbTecnologia[Hebras],TbTecnologia[Tecnología])</f>
        <v>OMP</v>
      </c>
      <c r="D417" s="15" t="str" cm="1">
        <f t="array" ref="D417">_xlfn.XLOOKUP(Total[[#This Row],[Tecnología]]&amp;Total[[#This Row],[Metodo]],TbTipos[Tecnología]&amp;TbTipos[Metodo],TbTipos[Tipo])</f>
        <v>OMP Elementos</v>
      </c>
      <c r="E417" s="15" t="str" cm="1">
        <f t="array" ref="E417">_xlfn.XLOOKUP(Total[[#This Row],[Tecnología]]&amp;Total[[#This Row],[Problema]],TbNombres[Tecnología]&amp;TbNombres[Problema],TbNombres[Nombre])</f>
        <v>Brusselator1d</v>
      </c>
      <c r="F417" s="2">
        <v>4</v>
      </c>
      <c r="G417" s="2">
        <v>3</v>
      </c>
      <c r="H417" s="2">
        <v>1</v>
      </c>
      <c r="I417" s="2">
        <v>1000</v>
      </c>
      <c r="J417" s="2">
        <v>2000</v>
      </c>
      <c r="K417" s="2">
        <v>12.600099999999999</v>
      </c>
    </row>
    <row r="418" spans="2:11" x14ac:dyDescent="0.2">
      <c r="B418" s="26" t="str">
        <f>_xlfn.XLOOKUP(Total[[#This Row],[Metodo]],TbSolver[Metodo],TbSolver[Solver])</f>
        <v>Adams Bashford</v>
      </c>
      <c r="C418" s="26" t="str">
        <f>_xlfn.XLOOKUP(Total[[#This Row],[Hebras]],TbTecnologia[Hebras],TbTecnologia[Tecnología])</f>
        <v>OMP</v>
      </c>
      <c r="D418" s="15" t="str" cm="1">
        <f t="array" ref="D418">_xlfn.XLOOKUP(Total[[#This Row],[Tecnología]]&amp;Total[[#This Row],[Metodo]],TbTipos[Tecnología]&amp;TbTipos[Metodo],TbTipos[Tipo])</f>
        <v>OMP Elementos</v>
      </c>
      <c r="E418" s="15" t="str" cm="1">
        <f t="array" ref="E418">_xlfn.XLOOKUP(Total[[#This Row],[Tecnología]]&amp;Total[[#This Row],[Problema]],TbNombres[Tecnología]&amp;TbNombres[Problema],TbNombres[Nombre])</f>
        <v>Brusselator1d</v>
      </c>
      <c r="F418" s="2">
        <v>4</v>
      </c>
      <c r="G418" s="2">
        <v>3</v>
      </c>
      <c r="H418" s="2">
        <v>4</v>
      </c>
      <c r="I418" s="2">
        <v>1000</v>
      </c>
      <c r="J418" s="2">
        <v>2000</v>
      </c>
      <c r="K418" s="2">
        <v>7.5404</v>
      </c>
    </row>
    <row r="419" spans="2:11" x14ac:dyDescent="0.2">
      <c r="B419" s="26" t="str">
        <f>_xlfn.XLOOKUP(Total[[#This Row],[Metodo]],TbSolver[Metodo],TbSolver[Solver])</f>
        <v>Adams Bashford</v>
      </c>
      <c r="C419" s="26" t="str">
        <f>_xlfn.XLOOKUP(Total[[#This Row],[Hebras]],TbTecnologia[Hebras],TbTecnologia[Tecnología])</f>
        <v>OMP</v>
      </c>
      <c r="D419" s="15" t="str" cm="1">
        <f t="array" ref="D419">_xlfn.XLOOKUP(Total[[#This Row],[Tecnología]]&amp;Total[[#This Row],[Metodo]],TbTipos[Tecnología]&amp;TbTipos[Metodo],TbTipos[Tipo])</f>
        <v>OMP Elementos</v>
      </c>
      <c r="E419" s="15" t="str" cm="1">
        <f t="array" ref="E419">_xlfn.XLOOKUP(Total[[#This Row],[Tecnología]]&amp;Total[[#This Row],[Problema]],TbNombres[Tecnología]&amp;TbNombres[Problema],TbNombres[Nombre])</f>
        <v>Brusselator1d</v>
      </c>
      <c r="F419" s="2">
        <v>4</v>
      </c>
      <c r="G419" s="2">
        <v>3</v>
      </c>
      <c r="H419" s="2">
        <v>16</v>
      </c>
      <c r="I419" s="2">
        <v>1000</v>
      </c>
      <c r="J419" s="2">
        <v>2000</v>
      </c>
      <c r="K419" s="2">
        <v>16.010300000000001</v>
      </c>
    </row>
    <row r="420" spans="2:11" x14ac:dyDescent="0.2">
      <c r="B420" s="26" t="str">
        <f>_xlfn.XLOOKUP(Total[[#This Row],[Metodo]],TbSolver[Metodo],TbSolver[Solver])</f>
        <v>Adams Bashford</v>
      </c>
      <c r="C420" s="26" t="str">
        <f>_xlfn.XLOOKUP(Total[[#This Row],[Hebras]],TbTecnologia[Hebras],TbTecnologia[Tecnología])</f>
        <v>CUDA</v>
      </c>
      <c r="D420" s="15" t="str" cm="1">
        <f t="array" ref="D420">_xlfn.XLOOKUP(Total[[#This Row],[Tecnología]]&amp;Total[[#This Row],[Metodo]],TbTipos[Tecnología]&amp;TbTipos[Metodo],TbTipos[Tipo])</f>
        <v>CUDA sin graph</v>
      </c>
      <c r="E420" s="15" t="str" cm="1">
        <f t="array" ref="E420">_xlfn.XLOOKUP(Total[[#This Row],[Tecnología]]&amp;Total[[#This Row],[Problema]],TbNombres[Tecnología]&amp;TbNombres[Problema],TbNombres[Nombre])</f>
        <v>Brusselator2d shuffle</v>
      </c>
      <c r="F420" s="2">
        <v>3</v>
      </c>
      <c r="G420" s="2">
        <v>9</v>
      </c>
      <c r="H420" s="2">
        <v>256</v>
      </c>
      <c r="I420" s="2">
        <v>50</v>
      </c>
      <c r="J420" s="2">
        <v>5000</v>
      </c>
      <c r="K420" s="2">
        <v>5.2246300000000003</v>
      </c>
    </row>
    <row r="421" spans="2:11" x14ac:dyDescent="0.2">
      <c r="B421" s="26" t="str">
        <f>_xlfn.XLOOKUP(Total[[#This Row],[Metodo]],TbSolver[Metodo],TbSolver[Solver])</f>
        <v>Adams Bashford</v>
      </c>
      <c r="C421" s="26" t="str">
        <f>_xlfn.XLOOKUP(Total[[#This Row],[Hebras]],TbTecnologia[Hebras],TbTecnologia[Tecnología])</f>
        <v>CUDA</v>
      </c>
      <c r="D421" s="15" t="str" cm="1">
        <f t="array" ref="D421">_xlfn.XLOOKUP(Total[[#This Row],[Tecnología]]&amp;Total[[#This Row],[Metodo]],TbTipos[Tecnología]&amp;TbTipos[Metodo],TbTipos[Tipo])</f>
        <v>CUDA sin graph</v>
      </c>
      <c r="E421" s="15" t="str" cm="1">
        <f t="array" ref="E421">_xlfn.XLOOKUP(Total[[#This Row],[Tecnología]]&amp;Total[[#This Row],[Problema]],TbNombres[Tecnología]&amp;TbNombres[Problema],TbNombres[Nombre])</f>
        <v>Brusselator2d</v>
      </c>
      <c r="F421" s="2">
        <v>3</v>
      </c>
      <c r="G421" s="2">
        <v>8</v>
      </c>
      <c r="H421" s="2">
        <v>256</v>
      </c>
      <c r="I421" s="2">
        <v>50</v>
      </c>
      <c r="J421" s="2">
        <v>5000</v>
      </c>
      <c r="K421" s="2">
        <v>5.2259399999999996</v>
      </c>
    </row>
    <row r="422" spans="2:11" x14ac:dyDescent="0.2">
      <c r="B422" s="26" t="str">
        <f>_xlfn.XLOOKUP(Total[[#This Row],[Metodo]],TbSolver[Metodo],TbSolver[Solver])</f>
        <v>Adams Bashford</v>
      </c>
      <c r="C422" s="26" t="str">
        <f>_xlfn.XLOOKUP(Total[[#This Row],[Hebras]],TbTecnologia[Hebras],TbTecnologia[Tecnología])</f>
        <v>CUDA</v>
      </c>
      <c r="D422" s="15" t="str" cm="1">
        <f t="array" ref="D422">_xlfn.XLOOKUP(Total[[#This Row],[Tecnología]]&amp;Total[[#This Row],[Metodo]],TbTipos[Tecnología]&amp;TbTipos[Metodo],TbTipos[Tipo])</f>
        <v>CUDA con graph</v>
      </c>
      <c r="E422" s="15" t="str" cm="1">
        <f t="array" ref="E422">_xlfn.XLOOKUP(Total[[#This Row],[Tecnología]]&amp;Total[[#This Row],[Problema]],TbNombres[Tecnología]&amp;TbNombres[Problema],TbNombres[Nombre])</f>
        <v>Brusselator2d</v>
      </c>
      <c r="F422" s="2">
        <v>4</v>
      </c>
      <c r="G422" s="2">
        <v>8</v>
      </c>
      <c r="H422" s="2">
        <v>256</v>
      </c>
      <c r="I422" s="2">
        <v>50</v>
      </c>
      <c r="J422" s="2">
        <v>5000</v>
      </c>
      <c r="K422" s="2">
        <v>6.9137899999999997</v>
      </c>
    </row>
    <row r="423" spans="2:11" x14ac:dyDescent="0.2">
      <c r="B423" s="26" t="str">
        <f>_xlfn.XLOOKUP(Total[[#This Row],[Metodo]],TbSolver[Metodo],TbSolver[Solver])</f>
        <v>Adams Bashford</v>
      </c>
      <c r="C423" s="26" t="str">
        <f>_xlfn.XLOOKUP(Total[[#This Row],[Hebras]],TbTecnologia[Hebras],TbTecnologia[Tecnología])</f>
        <v>CUDA</v>
      </c>
      <c r="D423" s="15" t="str" cm="1">
        <f t="array" ref="D423">_xlfn.XLOOKUP(Total[[#This Row],[Tecnología]]&amp;Total[[#This Row],[Metodo]],TbTipos[Tecnología]&amp;TbTipos[Metodo],TbTipos[Tipo])</f>
        <v>CUDA con graph</v>
      </c>
      <c r="E423" s="15" t="str" cm="1">
        <f t="array" ref="E423">_xlfn.XLOOKUP(Total[[#This Row],[Tecnología]]&amp;Total[[#This Row],[Problema]],TbNombres[Tecnología]&amp;TbNombres[Problema],TbNombres[Nombre])</f>
        <v>Brusselator2d shuffle</v>
      </c>
      <c r="F423" s="2">
        <v>4</v>
      </c>
      <c r="G423" s="2">
        <v>9</v>
      </c>
      <c r="H423" s="2">
        <v>256</v>
      </c>
      <c r="I423" s="2">
        <v>50</v>
      </c>
      <c r="J423" s="2">
        <v>5000</v>
      </c>
      <c r="K423" s="2">
        <v>6.9316700000000004</v>
      </c>
    </row>
    <row r="424" spans="2:11" x14ac:dyDescent="0.2">
      <c r="B424" s="26" t="str">
        <f>_xlfn.XLOOKUP(Total[[#This Row],[Metodo]],TbSolver[Metodo],TbSolver[Solver])</f>
        <v>Adams Bashford</v>
      </c>
      <c r="C424" s="26" t="str">
        <f>_xlfn.XLOOKUP(Total[[#This Row],[Hebras]],TbTecnologia[Hebras],TbTecnologia[Tecnología])</f>
        <v>CUDA</v>
      </c>
      <c r="D424" s="15" t="str" cm="1">
        <f t="array" ref="D424">_xlfn.XLOOKUP(Total[[#This Row],[Tecnología]]&amp;Total[[#This Row],[Metodo]],TbTipos[Tecnología]&amp;TbTipos[Metodo],TbTipos[Tipo])</f>
        <v>CUDA sin graph</v>
      </c>
      <c r="E424" s="15" t="str" cm="1">
        <f t="array" ref="E424">_xlfn.XLOOKUP(Total[[#This Row],[Tecnología]]&amp;Total[[#This Row],[Problema]],TbNombres[Tecnología]&amp;TbNombres[Problema],TbNombres[Nombre])</f>
        <v>Brusselator2d shuffle</v>
      </c>
      <c r="F424" s="2">
        <v>3</v>
      </c>
      <c r="G424" s="2">
        <v>9</v>
      </c>
      <c r="H424" s="2">
        <v>256</v>
      </c>
      <c r="I424" s="2">
        <v>100</v>
      </c>
      <c r="J424" s="2">
        <v>20000</v>
      </c>
      <c r="K424" s="2">
        <v>7.3433200000000003</v>
      </c>
    </row>
    <row r="425" spans="2:11" x14ac:dyDescent="0.2">
      <c r="B425" s="26" t="str">
        <f>_xlfn.XLOOKUP(Total[[#This Row],[Metodo]],TbSolver[Metodo],TbSolver[Solver])</f>
        <v>Adams Bashford</v>
      </c>
      <c r="C425" s="26" t="str">
        <f>_xlfn.XLOOKUP(Total[[#This Row],[Hebras]],TbTecnologia[Hebras],TbTecnologia[Tecnología])</f>
        <v>CUDA</v>
      </c>
      <c r="D425" s="15" t="str" cm="1">
        <f t="array" ref="D425">_xlfn.XLOOKUP(Total[[#This Row],[Tecnología]]&amp;Total[[#This Row],[Metodo]],TbTipos[Tecnología]&amp;TbTipos[Metodo],TbTipos[Tipo])</f>
        <v>CUDA sin graph</v>
      </c>
      <c r="E425" s="15" t="str" cm="1">
        <f t="array" ref="E425">_xlfn.XLOOKUP(Total[[#This Row],[Tecnología]]&amp;Total[[#This Row],[Problema]],TbNombres[Tecnología]&amp;TbNombres[Problema],TbNombres[Nombre])</f>
        <v>Brusselator2d</v>
      </c>
      <c r="F425" s="2">
        <v>3</v>
      </c>
      <c r="G425" s="2">
        <v>8</v>
      </c>
      <c r="H425" s="2">
        <v>256</v>
      </c>
      <c r="I425" s="2">
        <v>100</v>
      </c>
      <c r="J425" s="2">
        <v>20000</v>
      </c>
      <c r="K425" s="2">
        <v>7.3652899999999999</v>
      </c>
    </row>
    <row r="426" spans="2:11" x14ac:dyDescent="0.2">
      <c r="B426" s="26" t="str">
        <f>_xlfn.XLOOKUP(Total[[#This Row],[Metodo]],TbSolver[Metodo],TbSolver[Solver])</f>
        <v>Adams Bashford</v>
      </c>
      <c r="C426" s="26" t="str">
        <f>_xlfn.XLOOKUP(Total[[#This Row],[Hebras]],TbTecnologia[Hebras],TbTecnologia[Tecnología])</f>
        <v>CUDA</v>
      </c>
      <c r="D426" s="15" t="str" cm="1">
        <f t="array" ref="D426">_xlfn.XLOOKUP(Total[[#This Row],[Tecnología]]&amp;Total[[#This Row],[Metodo]],TbTipos[Tecnología]&amp;TbTipos[Metodo],TbTipos[Tipo])</f>
        <v>CUDA con graph</v>
      </c>
      <c r="E426" s="15" t="str" cm="1">
        <f t="array" ref="E426">_xlfn.XLOOKUP(Total[[#This Row],[Tecnología]]&amp;Total[[#This Row],[Problema]],TbNombres[Tecnología]&amp;TbNombres[Problema],TbNombres[Nombre])</f>
        <v>Brusselator2d</v>
      </c>
      <c r="F426" s="2">
        <v>4</v>
      </c>
      <c r="G426" s="2">
        <v>8</v>
      </c>
      <c r="H426" s="2">
        <v>256</v>
      </c>
      <c r="I426" s="2">
        <v>100</v>
      </c>
      <c r="J426" s="2">
        <v>20000</v>
      </c>
      <c r="K426" s="2">
        <v>9.3744099999999992</v>
      </c>
    </row>
    <row r="427" spans="2:11" x14ac:dyDescent="0.2">
      <c r="B427" s="26" t="str">
        <f>_xlfn.XLOOKUP(Total[[#This Row],[Metodo]],TbSolver[Metodo],TbSolver[Solver])</f>
        <v>Adams Bashford</v>
      </c>
      <c r="C427" s="26" t="str">
        <f>_xlfn.XLOOKUP(Total[[#This Row],[Hebras]],TbTecnologia[Hebras],TbTecnologia[Tecnología])</f>
        <v>CUDA</v>
      </c>
      <c r="D427" s="15" t="str" cm="1">
        <f t="array" ref="D427">_xlfn.XLOOKUP(Total[[#This Row],[Tecnología]]&amp;Total[[#This Row],[Metodo]],TbTipos[Tecnología]&amp;TbTipos[Metodo],TbTipos[Tipo])</f>
        <v>CUDA con graph</v>
      </c>
      <c r="E427" s="15" t="str" cm="1">
        <f t="array" ref="E427">_xlfn.XLOOKUP(Total[[#This Row],[Tecnología]]&amp;Total[[#This Row],[Problema]],TbNombres[Tecnología]&amp;TbNombres[Problema],TbNombres[Nombre])</f>
        <v>Brusselator2d shuffle</v>
      </c>
      <c r="F427" s="2">
        <v>4</v>
      </c>
      <c r="G427" s="2">
        <v>9</v>
      </c>
      <c r="H427" s="2">
        <v>256</v>
      </c>
      <c r="I427" s="2">
        <v>100</v>
      </c>
      <c r="J427" s="2">
        <v>20000</v>
      </c>
      <c r="K427" s="2">
        <v>9.4117700000000006</v>
      </c>
    </row>
    <row r="428" spans="2:11" x14ac:dyDescent="0.2">
      <c r="B428" s="26" t="str">
        <f>_xlfn.XLOOKUP(Total[[#This Row],[Metodo]],TbSolver[Metodo],TbSolver[Solver])</f>
        <v>Adams Bashford</v>
      </c>
      <c r="C428" s="26" t="str">
        <f>_xlfn.XLOOKUP(Total[[#This Row],[Hebras]],TbTecnologia[Hebras],TbTecnologia[Tecnología])</f>
        <v>CUDA</v>
      </c>
      <c r="D428" s="15" t="str" cm="1">
        <f t="array" ref="D428">_xlfn.XLOOKUP(Total[[#This Row],[Tecnología]]&amp;Total[[#This Row],[Metodo]],TbTipos[Tecnología]&amp;TbTipos[Metodo],TbTipos[Tipo])</f>
        <v>CUDA sin graph</v>
      </c>
      <c r="E428" s="15" t="str" cm="1">
        <f t="array" ref="E428">_xlfn.XLOOKUP(Total[[#This Row],[Tecnología]]&amp;Total[[#This Row],[Problema]],TbNombres[Tecnología]&amp;TbNombres[Problema],TbNombres[Nombre])</f>
        <v>Brusselator2d shuffle</v>
      </c>
      <c r="F428" s="2">
        <v>3</v>
      </c>
      <c r="G428" s="2">
        <v>9</v>
      </c>
      <c r="H428" s="2">
        <v>256</v>
      </c>
      <c r="I428" s="2">
        <v>200</v>
      </c>
      <c r="J428" s="2">
        <v>80000</v>
      </c>
      <c r="K428" s="2">
        <v>13.7272</v>
      </c>
    </row>
    <row r="429" spans="2:11" x14ac:dyDescent="0.2">
      <c r="B429" s="26" t="str">
        <f>_xlfn.XLOOKUP(Total[[#This Row],[Metodo]],TbSolver[Metodo],TbSolver[Solver])</f>
        <v>Adams Bashford</v>
      </c>
      <c r="C429" s="26" t="str">
        <f>_xlfn.XLOOKUP(Total[[#This Row],[Hebras]],TbTecnologia[Hebras],TbTecnologia[Tecnología])</f>
        <v>CUDA</v>
      </c>
      <c r="D429" s="15" t="str" cm="1">
        <f t="array" ref="D429">_xlfn.XLOOKUP(Total[[#This Row],[Tecnología]]&amp;Total[[#This Row],[Metodo]],TbTipos[Tecnología]&amp;TbTipos[Metodo],TbTipos[Tipo])</f>
        <v>CUDA sin graph</v>
      </c>
      <c r="E429" s="15" t="str" cm="1">
        <f t="array" ref="E429">_xlfn.XLOOKUP(Total[[#This Row],[Tecnología]]&amp;Total[[#This Row],[Problema]],TbNombres[Tecnología]&amp;TbNombres[Problema],TbNombres[Nombre])</f>
        <v>Brusselator2d</v>
      </c>
      <c r="F429" s="2">
        <v>3</v>
      </c>
      <c r="G429" s="2">
        <v>8</v>
      </c>
      <c r="H429" s="2">
        <v>256</v>
      </c>
      <c r="I429" s="2">
        <v>200</v>
      </c>
      <c r="J429" s="2">
        <v>80000</v>
      </c>
      <c r="K429" s="2">
        <v>13.9071</v>
      </c>
    </row>
    <row r="430" spans="2:11" x14ac:dyDescent="0.2">
      <c r="B430" s="26" t="str">
        <f>_xlfn.XLOOKUP(Total[[#This Row],[Metodo]],TbSolver[Metodo],TbSolver[Solver])</f>
        <v>Adams Bashford</v>
      </c>
      <c r="C430" s="26" t="str">
        <f>_xlfn.XLOOKUP(Total[[#This Row],[Hebras]],TbTecnologia[Hebras],TbTecnologia[Tecnología])</f>
        <v>CUDA</v>
      </c>
      <c r="D430" s="15" t="str" cm="1">
        <f t="array" ref="D430">_xlfn.XLOOKUP(Total[[#This Row],[Tecnología]]&amp;Total[[#This Row],[Metodo]],TbTipos[Tecnología]&amp;TbTipos[Metodo],TbTipos[Tipo])</f>
        <v>CUDA con graph</v>
      </c>
      <c r="E430" s="15" t="str" cm="1">
        <f t="array" ref="E430">_xlfn.XLOOKUP(Total[[#This Row],[Tecnología]]&amp;Total[[#This Row],[Problema]],TbNombres[Tecnología]&amp;TbNombres[Problema],TbNombres[Nombre])</f>
        <v>Brusselator2d</v>
      </c>
      <c r="F430" s="2">
        <v>4</v>
      </c>
      <c r="G430" s="2">
        <v>8</v>
      </c>
      <c r="H430" s="2">
        <v>256</v>
      </c>
      <c r="I430" s="2">
        <v>200</v>
      </c>
      <c r="J430" s="2">
        <v>80000</v>
      </c>
      <c r="K430" s="2">
        <v>18.820699999999999</v>
      </c>
    </row>
    <row r="431" spans="2:11" x14ac:dyDescent="0.2">
      <c r="B431" s="26" t="str">
        <f>_xlfn.XLOOKUP(Total[[#This Row],[Metodo]],TbSolver[Metodo],TbSolver[Solver])</f>
        <v>Adams Bashford</v>
      </c>
      <c r="C431" s="26" t="str">
        <f>_xlfn.XLOOKUP(Total[[#This Row],[Hebras]],TbTecnologia[Hebras],TbTecnologia[Tecnología])</f>
        <v>CUDA</v>
      </c>
      <c r="D431" s="15" t="str" cm="1">
        <f t="array" ref="D431">_xlfn.XLOOKUP(Total[[#This Row],[Tecnología]]&amp;Total[[#This Row],[Metodo]],TbTipos[Tecnología]&amp;TbTipos[Metodo],TbTipos[Tipo])</f>
        <v>CUDA con graph</v>
      </c>
      <c r="E431" s="15" t="str" cm="1">
        <f t="array" ref="E431">_xlfn.XLOOKUP(Total[[#This Row],[Tecnología]]&amp;Total[[#This Row],[Problema]],TbNombres[Tecnología]&amp;TbNombres[Problema],TbNombres[Nombre])</f>
        <v>Brusselator2d shuffle</v>
      </c>
      <c r="F431" s="2">
        <v>4</v>
      </c>
      <c r="G431" s="2">
        <v>9</v>
      </c>
      <c r="H431" s="2">
        <v>256</v>
      </c>
      <c r="I431" s="2">
        <v>200</v>
      </c>
      <c r="J431" s="2">
        <v>80000</v>
      </c>
      <c r="K431" s="2">
        <v>19.009899999999998</v>
      </c>
    </row>
    <row r="432" spans="2:11" x14ac:dyDescent="0.2">
      <c r="B432" s="26" t="str">
        <f>_xlfn.XLOOKUP(Total[[#This Row],[Metodo]],TbSolver[Metodo],TbSolver[Solver])</f>
        <v>Adams Bashford</v>
      </c>
      <c r="C432" s="26" t="str">
        <f>_xlfn.XLOOKUP(Total[[#This Row],[Hebras]],TbTecnologia[Hebras],TbTecnologia[Tecnología])</f>
        <v>OMP</v>
      </c>
      <c r="D432" s="16" t="str" cm="1">
        <f t="array" ref="D432">_xlfn.XLOOKUP(Total[[#This Row],[Tecnología]]&amp;Total[[#This Row],[Metodo]],TbTipos[Tecnología]&amp;TbTipos[Metodo],TbTipos[Tipo])</f>
        <v>OMP Elementos</v>
      </c>
      <c r="E432" s="16" t="str" cm="1">
        <f t="array" ref="E432">_xlfn.XLOOKUP(Total[[#This Row],[Tecnología]]&amp;Total[[#This Row],[Problema]],TbNombres[Tecnología]&amp;TbNombres[Problema],TbNombres[Nombre])</f>
        <v>Brusselator2d</v>
      </c>
      <c r="F432" s="4">
        <v>4</v>
      </c>
      <c r="G432" s="4">
        <v>4</v>
      </c>
      <c r="H432" s="4">
        <v>16</v>
      </c>
      <c r="I432" s="4">
        <v>50</v>
      </c>
      <c r="J432" s="4">
        <v>5000</v>
      </c>
      <c r="K432" s="4">
        <v>20.823799999999999</v>
      </c>
    </row>
    <row r="433" spans="2:11" x14ac:dyDescent="0.2">
      <c r="B433" s="26" t="str">
        <f>_xlfn.XLOOKUP(Total[[#This Row],[Metodo]],TbSolver[Metodo],TbSolver[Solver])</f>
        <v>Adams Bashford</v>
      </c>
      <c r="C433" s="26" t="str">
        <f>_xlfn.XLOOKUP(Total[[#This Row],[Hebras]],TbTecnologia[Hebras],TbTecnologia[Tecnología])</f>
        <v>OMP</v>
      </c>
      <c r="D433" s="16" t="str" cm="1">
        <f t="array" ref="D433">_xlfn.XLOOKUP(Total[[#This Row],[Tecnología]]&amp;Total[[#This Row],[Metodo]],TbTipos[Tecnología]&amp;TbTipos[Metodo],TbTipos[Tipo])</f>
        <v>OMP Operaciones</v>
      </c>
      <c r="E433" s="16" t="str" cm="1">
        <f t="array" ref="E433">_xlfn.XLOOKUP(Total[[#This Row],[Tecnología]]&amp;Total[[#This Row],[Problema]],TbNombres[Tecnología]&amp;TbNombres[Problema],TbNombres[Nombre])</f>
        <v>Brusselator2d</v>
      </c>
      <c r="F433" s="4">
        <v>3</v>
      </c>
      <c r="G433" s="4">
        <v>4</v>
      </c>
      <c r="H433" s="4">
        <v>4</v>
      </c>
      <c r="I433" s="4">
        <v>50</v>
      </c>
      <c r="J433" s="4">
        <v>5000</v>
      </c>
      <c r="K433" s="4">
        <v>20.840399999999999</v>
      </c>
    </row>
    <row r="434" spans="2:11" x14ac:dyDescent="0.2">
      <c r="B434" s="26" t="str">
        <f>_xlfn.XLOOKUP(Total[[#This Row],[Metodo]],TbSolver[Metodo],TbSolver[Solver])</f>
        <v>Adams Bashford</v>
      </c>
      <c r="C434" s="26" t="str">
        <f>_xlfn.XLOOKUP(Total[[#This Row],[Hebras]],TbTecnologia[Hebras],TbTecnologia[Tecnología])</f>
        <v>OMP</v>
      </c>
      <c r="D434" s="16" t="str" cm="1">
        <f t="array" ref="D434">_xlfn.XLOOKUP(Total[[#This Row],[Tecnología]]&amp;Total[[#This Row],[Metodo]],TbTipos[Tecnología]&amp;TbTipos[Metodo],TbTipos[Tipo])</f>
        <v>OMP Elementos</v>
      </c>
      <c r="E434" s="16" t="str" cm="1">
        <f t="array" ref="E434">_xlfn.XLOOKUP(Total[[#This Row],[Tecnología]]&amp;Total[[#This Row],[Problema]],TbNombres[Tecnología]&amp;TbNombres[Problema],TbNombres[Nombre])</f>
        <v>Brusselator2d</v>
      </c>
      <c r="F434" s="4">
        <v>4</v>
      </c>
      <c r="G434" s="4">
        <v>4</v>
      </c>
      <c r="H434" s="4">
        <v>4</v>
      </c>
      <c r="I434" s="4">
        <v>50</v>
      </c>
      <c r="J434" s="4">
        <v>5000</v>
      </c>
      <c r="K434" s="4">
        <v>21.574999999999999</v>
      </c>
    </row>
    <row r="435" spans="2:11" x14ac:dyDescent="0.2">
      <c r="B435" s="26" t="str">
        <f>_xlfn.XLOOKUP(Total[[#This Row],[Metodo]],TbSolver[Metodo],TbSolver[Solver])</f>
        <v>Adams Bashford</v>
      </c>
      <c r="C435" s="26" t="str">
        <f>_xlfn.XLOOKUP(Total[[#This Row],[Hebras]],TbTecnologia[Hebras],TbTecnologia[Tecnología])</f>
        <v>OMP</v>
      </c>
      <c r="D435" s="16" t="str" cm="1">
        <f t="array" ref="D435">_xlfn.XLOOKUP(Total[[#This Row],[Tecnología]]&amp;Total[[#This Row],[Metodo]],TbTipos[Tecnología]&amp;TbTipos[Metodo],TbTipos[Tipo])</f>
        <v>OMP Operaciones</v>
      </c>
      <c r="E435" s="16" t="str" cm="1">
        <f t="array" ref="E435">_xlfn.XLOOKUP(Total[[#This Row],[Tecnología]]&amp;Total[[#This Row],[Problema]],TbNombres[Tecnología]&amp;TbNombres[Problema],TbNombres[Nombre])</f>
        <v>Brusselator2d</v>
      </c>
      <c r="F435" s="4">
        <v>3</v>
      </c>
      <c r="G435" s="4">
        <v>4</v>
      </c>
      <c r="H435" s="4">
        <v>1</v>
      </c>
      <c r="I435" s="4">
        <v>50</v>
      </c>
      <c r="J435" s="4">
        <v>5000</v>
      </c>
      <c r="K435" s="4">
        <v>29.783799999999999</v>
      </c>
    </row>
    <row r="436" spans="2:11" x14ac:dyDescent="0.2">
      <c r="B436" s="26" t="str">
        <f>_xlfn.XLOOKUP(Total[[#This Row],[Metodo]],TbSolver[Metodo],TbSolver[Solver])</f>
        <v>Adams Bashford</v>
      </c>
      <c r="C436" s="26" t="str">
        <f>_xlfn.XLOOKUP(Total[[#This Row],[Hebras]],TbTecnologia[Hebras],TbTecnologia[Tecnología])</f>
        <v>OMP</v>
      </c>
      <c r="D436" s="16" t="str" cm="1">
        <f t="array" ref="D436">_xlfn.XLOOKUP(Total[[#This Row],[Tecnología]]&amp;Total[[#This Row],[Metodo]],TbTipos[Tecnología]&amp;TbTipos[Metodo],TbTipos[Tipo])</f>
        <v>OMP Operaciones</v>
      </c>
      <c r="E436" s="16" t="str" cm="1">
        <f t="array" ref="E436">_xlfn.XLOOKUP(Total[[#This Row],[Tecnología]]&amp;Total[[#This Row],[Problema]],TbNombres[Tecnología]&amp;TbNombres[Problema],TbNombres[Nombre])</f>
        <v>Brusselator2d</v>
      </c>
      <c r="F436" s="4">
        <v>3</v>
      </c>
      <c r="G436" s="4">
        <v>4</v>
      </c>
      <c r="H436" s="4">
        <v>16</v>
      </c>
      <c r="I436" s="4">
        <v>50</v>
      </c>
      <c r="J436" s="4">
        <v>5000</v>
      </c>
      <c r="K436" s="4">
        <v>31.9894</v>
      </c>
    </row>
    <row r="437" spans="2:11" x14ac:dyDescent="0.2">
      <c r="B437" s="26" t="str">
        <f>_xlfn.XLOOKUP(Total[[#This Row],[Metodo]],TbSolver[Metodo],TbSolver[Solver])</f>
        <v>Adams Bashford</v>
      </c>
      <c r="C437" s="26" t="str">
        <f>_xlfn.XLOOKUP(Total[[#This Row],[Hebras]],TbTecnologia[Hebras],TbTecnologia[Tecnología])</f>
        <v>OMP</v>
      </c>
      <c r="D437" s="16" t="str" cm="1">
        <f t="array" ref="D437">_xlfn.XLOOKUP(Total[[#This Row],[Tecnología]]&amp;Total[[#This Row],[Metodo]],TbTipos[Tecnología]&amp;TbTipos[Metodo],TbTipos[Tipo])</f>
        <v>OMP Operaciones</v>
      </c>
      <c r="E437" s="16" t="str" cm="1">
        <f t="array" ref="E437">_xlfn.XLOOKUP(Total[[#This Row],[Tecnología]]&amp;Total[[#This Row],[Problema]],TbNombres[Tecnología]&amp;TbNombres[Problema],TbNombres[Nombre])</f>
        <v>Brusselator2d</v>
      </c>
      <c r="F437" s="4">
        <v>3</v>
      </c>
      <c r="G437" s="4">
        <v>4</v>
      </c>
      <c r="H437" s="4">
        <v>16</v>
      </c>
      <c r="I437" s="4">
        <v>100</v>
      </c>
      <c r="J437" s="4">
        <v>20000</v>
      </c>
      <c r="K437" s="4">
        <v>42.384900000000002</v>
      </c>
    </row>
    <row r="438" spans="2:11" x14ac:dyDescent="0.2">
      <c r="B438" s="26" t="str">
        <f>_xlfn.XLOOKUP(Total[[#This Row],[Metodo]],TbSolver[Metodo],TbSolver[Solver])</f>
        <v>Adams Bashford</v>
      </c>
      <c r="C438" s="26" t="str">
        <f>_xlfn.XLOOKUP(Total[[#This Row],[Hebras]],TbTecnologia[Hebras],TbTecnologia[Tecnología])</f>
        <v>OMP</v>
      </c>
      <c r="D438" s="16" t="str" cm="1">
        <f t="array" ref="D438">_xlfn.XLOOKUP(Total[[#This Row],[Tecnología]]&amp;Total[[#This Row],[Metodo]],TbTipos[Tecnología]&amp;TbTipos[Metodo],TbTipos[Tipo])</f>
        <v>OMP Operaciones</v>
      </c>
      <c r="E438" s="16" t="str" cm="1">
        <f t="array" ref="E438">_xlfn.XLOOKUP(Total[[#This Row],[Tecnología]]&amp;Total[[#This Row],[Problema]],TbNombres[Tecnología]&amp;TbNombres[Problema],TbNombres[Nombre])</f>
        <v>Brusselator2d</v>
      </c>
      <c r="F438" s="4">
        <v>3</v>
      </c>
      <c r="G438" s="4">
        <v>4</v>
      </c>
      <c r="H438" s="4">
        <v>4</v>
      </c>
      <c r="I438" s="4">
        <v>100</v>
      </c>
      <c r="J438" s="4">
        <v>20000</v>
      </c>
      <c r="K438" s="4">
        <v>43.1858</v>
      </c>
    </row>
    <row r="439" spans="2:11" x14ac:dyDescent="0.2">
      <c r="B439" s="26" t="str">
        <f>_xlfn.XLOOKUP(Total[[#This Row],[Metodo]],TbSolver[Metodo],TbSolver[Solver])</f>
        <v>Adams Bashford</v>
      </c>
      <c r="C439" s="26" t="str">
        <f>_xlfn.XLOOKUP(Total[[#This Row],[Hebras]],TbTecnologia[Hebras],TbTecnologia[Tecnología])</f>
        <v>OMP</v>
      </c>
      <c r="D439" s="16" t="str" cm="1">
        <f t="array" ref="D439">_xlfn.XLOOKUP(Total[[#This Row],[Tecnología]]&amp;Total[[#This Row],[Metodo]],TbTipos[Tecnología]&amp;TbTipos[Metodo],TbTipos[Tipo])</f>
        <v>OMP Operaciones</v>
      </c>
      <c r="E439" s="16" t="str" cm="1">
        <f t="array" ref="E439">_xlfn.XLOOKUP(Total[[#This Row],[Tecnología]]&amp;Total[[#This Row],[Problema]],TbNombres[Tecnología]&amp;TbNombres[Problema],TbNombres[Nombre])</f>
        <v>Brusselator2d</v>
      </c>
      <c r="F439" s="4">
        <v>3</v>
      </c>
      <c r="G439" s="4">
        <v>4</v>
      </c>
      <c r="H439" s="4">
        <v>16</v>
      </c>
      <c r="I439" s="4">
        <v>150</v>
      </c>
      <c r="J439" s="4">
        <v>45000</v>
      </c>
      <c r="K439" s="4">
        <v>47.894500000000001</v>
      </c>
    </row>
    <row r="440" spans="2:11" x14ac:dyDescent="0.2">
      <c r="B440" s="26" t="str">
        <f>_xlfn.XLOOKUP(Total[[#This Row],[Metodo]],TbSolver[Metodo],TbSolver[Solver])</f>
        <v>Adams Bashford</v>
      </c>
      <c r="C440" s="26" t="str">
        <f>_xlfn.XLOOKUP(Total[[#This Row],[Hebras]],TbTecnologia[Hebras],TbTecnologia[Tecnología])</f>
        <v>OMP</v>
      </c>
      <c r="D440" s="16" t="str" cm="1">
        <f t="array" ref="D440">_xlfn.XLOOKUP(Total[[#This Row],[Tecnología]]&amp;Total[[#This Row],[Metodo]],TbTipos[Tecnología]&amp;TbTipos[Metodo],TbTipos[Tipo])</f>
        <v>OMP Elementos</v>
      </c>
      <c r="E440" s="16" t="str" cm="1">
        <f t="array" ref="E440">_xlfn.XLOOKUP(Total[[#This Row],[Tecnología]]&amp;Total[[#This Row],[Problema]],TbNombres[Tecnología]&amp;TbNombres[Problema],TbNombres[Nombre])</f>
        <v>Brusselator2d</v>
      </c>
      <c r="F440" s="4">
        <v>4</v>
      </c>
      <c r="G440" s="4">
        <v>4</v>
      </c>
      <c r="H440" s="4">
        <v>16</v>
      </c>
      <c r="I440" s="4">
        <v>150</v>
      </c>
      <c r="J440" s="4">
        <v>45000</v>
      </c>
      <c r="K440" s="4">
        <v>56.496699999999997</v>
      </c>
    </row>
    <row r="441" spans="2:11" x14ac:dyDescent="0.2">
      <c r="B441" s="26" t="str">
        <f>_xlfn.XLOOKUP(Total[[#This Row],[Metodo]],TbSolver[Metodo],TbSolver[Solver])</f>
        <v>Adams Bashford</v>
      </c>
      <c r="C441" s="26" t="str">
        <f>_xlfn.XLOOKUP(Total[[#This Row],[Hebras]],TbTecnologia[Hebras],TbTecnologia[Tecnología])</f>
        <v>OMP</v>
      </c>
      <c r="D441" s="16" t="str" cm="1">
        <f t="array" ref="D441">_xlfn.XLOOKUP(Total[[#This Row],[Tecnología]]&amp;Total[[#This Row],[Metodo]],TbTipos[Tecnología]&amp;TbTipos[Metodo],TbTipos[Tipo])</f>
        <v>OMP Elementos</v>
      </c>
      <c r="E441" s="16" t="str" cm="1">
        <f t="array" ref="E441">_xlfn.XLOOKUP(Total[[#This Row],[Tecnología]]&amp;Total[[#This Row],[Problema]],TbNombres[Tecnología]&amp;TbNombres[Problema],TbNombres[Nombre])</f>
        <v>Brusselator2d</v>
      </c>
      <c r="F441" s="4">
        <v>4</v>
      </c>
      <c r="G441" s="4">
        <v>4</v>
      </c>
      <c r="H441" s="4">
        <v>1</v>
      </c>
      <c r="I441" s="4">
        <v>50</v>
      </c>
      <c r="J441" s="4">
        <v>5000</v>
      </c>
      <c r="K441" s="4">
        <v>65.056100000000001</v>
      </c>
    </row>
    <row r="442" spans="2:11" x14ac:dyDescent="0.2">
      <c r="B442" s="26" t="str">
        <f>_xlfn.XLOOKUP(Total[[#This Row],[Metodo]],TbSolver[Metodo],TbSolver[Solver])</f>
        <v>Adams Bashford</v>
      </c>
      <c r="C442" s="26" t="str">
        <f>_xlfn.XLOOKUP(Total[[#This Row],[Hebras]],TbTecnologia[Hebras],TbTecnologia[Tecnología])</f>
        <v>OMP</v>
      </c>
      <c r="D442" s="16" t="str" cm="1">
        <f t="array" ref="D442">_xlfn.XLOOKUP(Total[[#This Row],[Tecnología]]&amp;Total[[#This Row],[Metodo]],TbTipos[Tecnología]&amp;TbTipos[Metodo],TbTipos[Tipo])</f>
        <v>OMP Operaciones</v>
      </c>
      <c r="E442" s="16" t="str" cm="1">
        <f t="array" ref="E442">_xlfn.XLOOKUP(Total[[#This Row],[Tecnología]]&amp;Total[[#This Row],[Problema]],TbNombres[Tecnología]&amp;TbNombres[Problema],TbNombres[Nombre])</f>
        <v>Brusselator2d</v>
      </c>
      <c r="F442" s="4">
        <v>3</v>
      </c>
      <c r="G442" s="4">
        <v>4</v>
      </c>
      <c r="H442" s="4">
        <v>16</v>
      </c>
      <c r="I442" s="4">
        <v>200</v>
      </c>
      <c r="J442" s="4">
        <v>80000</v>
      </c>
      <c r="K442" s="4">
        <v>66.903000000000006</v>
      </c>
    </row>
    <row r="443" spans="2:11" x14ac:dyDescent="0.2">
      <c r="B443" s="26" t="str">
        <f>_xlfn.XLOOKUP(Total[[#This Row],[Metodo]],TbSolver[Metodo],TbSolver[Solver])</f>
        <v>Adams Bashford</v>
      </c>
      <c r="C443" s="26" t="str">
        <f>_xlfn.XLOOKUP(Total[[#This Row],[Hebras]],TbTecnologia[Hebras],TbTecnologia[Tecnología])</f>
        <v>OMP</v>
      </c>
      <c r="D443" s="16" t="str" cm="1">
        <f t="array" ref="D443">_xlfn.XLOOKUP(Total[[#This Row],[Tecnología]]&amp;Total[[#This Row],[Metodo]],TbTipos[Tecnología]&amp;TbTipos[Metodo],TbTipos[Tipo])</f>
        <v>OMP Elementos</v>
      </c>
      <c r="E443" s="16" t="str" cm="1">
        <f t="array" ref="E443">_xlfn.XLOOKUP(Total[[#This Row],[Tecnología]]&amp;Total[[#This Row],[Problema]],TbNombres[Tecnología]&amp;TbNombres[Problema],TbNombres[Nombre])</f>
        <v>Brusselator2d</v>
      </c>
      <c r="F443" s="4">
        <v>4</v>
      </c>
      <c r="G443" s="4">
        <v>4</v>
      </c>
      <c r="H443" s="4">
        <v>4</v>
      </c>
      <c r="I443" s="4">
        <v>100</v>
      </c>
      <c r="J443" s="4">
        <v>20000</v>
      </c>
      <c r="K443" s="4">
        <v>73.046400000000006</v>
      </c>
    </row>
    <row r="444" spans="2:11" x14ac:dyDescent="0.2">
      <c r="B444" s="26" t="str">
        <f>_xlfn.XLOOKUP(Total[[#This Row],[Metodo]],TbSolver[Metodo],TbSolver[Solver])</f>
        <v>Adams Bashford</v>
      </c>
      <c r="C444" s="26" t="str">
        <f>_xlfn.XLOOKUP(Total[[#This Row],[Hebras]],TbTecnologia[Hebras],TbTecnologia[Tecnología])</f>
        <v>OMP</v>
      </c>
      <c r="D444" s="16" t="str" cm="1">
        <f t="array" ref="D444">_xlfn.XLOOKUP(Total[[#This Row],[Tecnología]]&amp;Total[[#This Row],[Metodo]],TbTipos[Tecnología]&amp;TbTipos[Metodo],TbTipos[Tipo])</f>
        <v>OMP Operaciones</v>
      </c>
      <c r="E444" s="16" t="str" cm="1">
        <f t="array" ref="E444">_xlfn.XLOOKUP(Total[[#This Row],[Tecnología]]&amp;Total[[#This Row],[Problema]],TbNombres[Tecnología]&amp;TbNombres[Problema],TbNombres[Nombre])</f>
        <v>Brusselator2d</v>
      </c>
      <c r="F444" s="4">
        <v>3</v>
      </c>
      <c r="G444" s="4">
        <v>4</v>
      </c>
      <c r="H444" s="4">
        <v>4</v>
      </c>
      <c r="I444" s="4">
        <v>150</v>
      </c>
      <c r="J444" s="4">
        <v>45000</v>
      </c>
      <c r="K444" s="4">
        <v>83.186300000000003</v>
      </c>
    </row>
    <row r="445" spans="2:11" x14ac:dyDescent="0.2">
      <c r="B445" s="26" t="str">
        <f>_xlfn.XLOOKUP(Total[[#This Row],[Metodo]],TbSolver[Metodo],TbSolver[Solver])</f>
        <v>Adams Bashford</v>
      </c>
      <c r="C445" s="26" t="str">
        <f>_xlfn.XLOOKUP(Total[[#This Row],[Hebras]],TbTecnologia[Hebras],TbTecnologia[Tecnología])</f>
        <v>OMP</v>
      </c>
      <c r="D445" s="16" t="str" cm="1">
        <f t="array" ref="D445">_xlfn.XLOOKUP(Total[[#This Row],[Tecnología]]&amp;Total[[#This Row],[Metodo]],TbTipos[Tecnología]&amp;TbTipos[Metodo],TbTipos[Tipo])</f>
        <v>OMP Elementos</v>
      </c>
      <c r="E445" s="16" t="str" cm="1">
        <f t="array" ref="E445">_xlfn.XLOOKUP(Total[[#This Row],[Tecnología]]&amp;Total[[#This Row],[Problema]],TbNombres[Tecnología]&amp;TbNombres[Problema],TbNombres[Nombre])</f>
        <v>Brusselator2d</v>
      </c>
      <c r="F445" s="4">
        <v>4</v>
      </c>
      <c r="G445" s="4">
        <v>4</v>
      </c>
      <c r="H445" s="4">
        <v>16</v>
      </c>
      <c r="I445" s="4">
        <v>200</v>
      </c>
      <c r="J445" s="4">
        <v>80000</v>
      </c>
      <c r="K445" s="4">
        <v>90.070800000000006</v>
      </c>
    </row>
    <row r="446" spans="2:11" x14ac:dyDescent="0.2">
      <c r="B446" s="26" t="str">
        <f>_xlfn.XLOOKUP(Total[[#This Row],[Metodo]],TbSolver[Metodo],TbSolver[Solver])</f>
        <v>Adams Bashford</v>
      </c>
      <c r="C446" s="26" t="str">
        <f>_xlfn.XLOOKUP(Total[[#This Row],[Hebras]],TbTecnologia[Hebras],TbTecnologia[Tecnología])</f>
        <v>CUDA</v>
      </c>
      <c r="D446" s="15" t="str" cm="1">
        <f t="array" ref="D446">_xlfn.XLOOKUP(Total[[#This Row],[Tecnología]]&amp;Total[[#This Row],[Metodo]],TbTipos[Tecnología]&amp;TbTipos[Metodo],TbTipos[Tipo])</f>
        <v>CUDA sin graph</v>
      </c>
      <c r="E446" s="15" t="str" cm="1">
        <f t="array" ref="E446">_xlfn.XLOOKUP(Total[[#This Row],[Tecnología]]&amp;Total[[#This Row],[Problema]],TbNombres[Tecnología]&amp;TbNombres[Problema],TbNombres[Nombre])</f>
        <v>Brusselator2d shuffle</v>
      </c>
      <c r="F446" s="2">
        <v>3</v>
      </c>
      <c r="G446" s="2">
        <v>9</v>
      </c>
      <c r="H446" s="2">
        <v>256</v>
      </c>
      <c r="I446" s="2">
        <v>500</v>
      </c>
      <c r="J446" s="2">
        <v>500000</v>
      </c>
      <c r="K446" s="2">
        <v>98.018500000000003</v>
      </c>
    </row>
    <row r="447" spans="2:11" x14ac:dyDescent="0.2">
      <c r="B447" s="26" t="str">
        <f>_xlfn.XLOOKUP(Total[[#This Row],[Metodo]],TbSolver[Metodo],TbSolver[Solver])</f>
        <v>Adams Bashford</v>
      </c>
      <c r="C447" s="26" t="str">
        <f>_xlfn.XLOOKUP(Total[[#This Row],[Hebras]],TbTecnologia[Hebras],TbTecnologia[Tecnología])</f>
        <v>CUDA</v>
      </c>
      <c r="D447" s="15" t="str" cm="1">
        <f t="array" ref="D447">_xlfn.XLOOKUP(Total[[#This Row],[Tecnología]]&amp;Total[[#This Row],[Metodo]],TbTipos[Tecnología]&amp;TbTipos[Metodo],TbTipos[Tipo])</f>
        <v>CUDA sin graph</v>
      </c>
      <c r="E447" s="15" t="str" cm="1">
        <f t="array" ref="E447">_xlfn.XLOOKUP(Total[[#This Row],[Tecnología]]&amp;Total[[#This Row],[Problema]],TbNombres[Tecnología]&amp;TbNombres[Problema],TbNombres[Nombre])</f>
        <v>Brusselator2d</v>
      </c>
      <c r="F447" s="2">
        <v>3</v>
      </c>
      <c r="G447" s="2">
        <v>8</v>
      </c>
      <c r="H447" s="2">
        <v>256</v>
      </c>
      <c r="I447" s="2">
        <v>500</v>
      </c>
      <c r="J447" s="2">
        <v>500000</v>
      </c>
      <c r="K447" s="2">
        <v>98.777100000000004</v>
      </c>
    </row>
    <row r="448" spans="2:11" x14ac:dyDescent="0.2">
      <c r="B448" s="26" t="str">
        <f>_xlfn.XLOOKUP(Total[[#This Row],[Metodo]],TbSolver[Metodo],TbSolver[Solver])</f>
        <v>Adams Bashford</v>
      </c>
      <c r="C448" s="26" t="str">
        <f>_xlfn.XLOOKUP(Total[[#This Row],[Hebras]],TbTecnologia[Hebras],TbTecnologia[Tecnología])</f>
        <v>OMP</v>
      </c>
      <c r="D448" s="16" t="str" cm="1">
        <f t="array" ref="D448">_xlfn.XLOOKUP(Total[[#This Row],[Tecnología]]&amp;Total[[#This Row],[Metodo]],TbTipos[Tecnología]&amp;TbTipos[Metodo],TbTipos[Tipo])</f>
        <v>OMP Elementos</v>
      </c>
      <c r="E448" s="16" t="str" cm="1">
        <f t="array" ref="E448">_xlfn.XLOOKUP(Total[[#This Row],[Tecnología]]&amp;Total[[#This Row],[Problema]],TbNombres[Tecnología]&amp;TbNombres[Problema],TbNombres[Nombre])</f>
        <v>Brusselator2d</v>
      </c>
      <c r="F448" s="4">
        <v>4</v>
      </c>
      <c r="G448" s="4">
        <v>4</v>
      </c>
      <c r="H448" s="4">
        <v>16</v>
      </c>
      <c r="I448" s="4">
        <v>100</v>
      </c>
      <c r="J448" s="4">
        <v>20000</v>
      </c>
      <c r="K448" s="4">
        <v>108.842</v>
      </c>
    </row>
    <row r="449" spans="2:11" x14ac:dyDescent="0.2">
      <c r="B449" s="26" t="str">
        <f>_xlfn.XLOOKUP(Total[[#This Row],[Metodo]],TbSolver[Metodo],TbSolver[Solver])</f>
        <v>Adams Bashford</v>
      </c>
      <c r="C449" s="26" t="str">
        <f>_xlfn.XLOOKUP(Total[[#This Row],[Hebras]],TbTecnologia[Hebras],TbTecnologia[Tecnología])</f>
        <v>OMP</v>
      </c>
      <c r="D449" s="16" t="str" cm="1">
        <f t="array" ref="D449">_xlfn.XLOOKUP(Total[[#This Row],[Tecnología]]&amp;Total[[#This Row],[Metodo]],TbTipos[Tecnología]&amp;TbTipos[Metodo],TbTipos[Tipo])</f>
        <v>OMP Operaciones</v>
      </c>
      <c r="E449" s="16" t="str" cm="1">
        <f t="array" ref="E449">_xlfn.XLOOKUP(Total[[#This Row],[Tecnología]]&amp;Total[[#This Row],[Problema]],TbNombres[Tecnología]&amp;TbNombres[Problema],TbNombres[Nombre])</f>
        <v>Brusselator2d</v>
      </c>
      <c r="F449" s="4">
        <v>3</v>
      </c>
      <c r="G449" s="4">
        <v>4</v>
      </c>
      <c r="H449" s="4">
        <v>1</v>
      </c>
      <c r="I449" s="4">
        <v>100</v>
      </c>
      <c r="J449" s="4">
        <v>20000</v>
      </c>
      <c r="K449" s="4">
        <v>122.321</v>
      </c>
    </row>
    <row r="450" spans="2:11" x14ac:dyDescent="0.2">
      <c r="B450" s="26" t="str">
        <f>_xlfn.XLOOKUP(Total[[#This Row],[Metodo]],TbSolver[Metodo],TbSolver[Solver])</f>
        <v>Adams Bashford</v>
      </c>
      <c r="C450" s="26" t="str">
        <f>_xlfn.XLOOKUP(Total[[#This Row],[Hebras]],TbTecnologia[Hebras],TbTecnologia[Tecnología])</f>
        <v>OMP</v>
      </c>
      <c r="D450" s="16" t="str" cm="1">
        <f t="array" ref="D450">_xlfn.XLOOKUP(Total[[#This Row],[Tecnología]]&amp;Total[[#This Row],[Metodo]],TbTipos[Tecnología]&amp;TbTipos[Metodo],TbTipos[Tipo])</f>
        <v>OMP Operaciones</v>
      </c>
      <c r="E450" s="16" t="str" cm="1">
        <f t="array" ref="E450">_xlfn.XLOOKUP(Total[[#This Row],[Tecnología]]&amp;Total[[#This Row],[Problema]],TbNombres[Tecnología]&amp;TbNombres[Problema],TbNombres[Nombre])</f>
        <v>Brusselator2d</v>
      </c>
      <c r="F450" s="4">
        <v>3</v>
      </c>
      <c r="G450" s="4">
        <v>4</v>
      </c>
      <c r="H450" s="4">
        <v>4</v>
      </c>
      <c r="I450" s="4">
        <v>200</v>
      </c>
      <c r="J450" s="4">
        <v>80000</v>
      </c>
      <c r="K450" s="4">
        <v>143.374</v>
      </c>
    </row>
    <row r="451" spans="2:11" x14ac:dyDescent="0.2">
      <c r="B451" s="26" t="str">
        <f>_xlfn.XLOOKUP(Total[[#This Row],[Metodo]],TbSolver[Metodo],TbSolver[Solver])</f>
        <v>Adams Bashford</v>
      </c>
      <c r="C451" s="26" t="str">
        <f>_xlfn.XLOOKUP(Total[[#This Row],[Hebras]],TbTecnologia[Hebras],TbTecnologia[Tecnología])</f>
        <v>OMP</v>
      </c>
      <c r="D451" s="16" t="str" cm="1">
        <f t="array" ref="D451">_xlfn.XLOOKUP(Total[[#This Row],[Tecnología]]&amp;Total[[#This Row],[Metodo]],TbTipos[Tecnología]&amp;TbTipos[Metodo],TbTipos[Tipo])</f>
        <v>OMP Elementos</v>
      </c>
      <c r="E451" s="16" t="str" cm="1">
        <f t="array" ref="E451">_xlfn.XLOOKUP(Total[[#This Row],[Tecnología]]&amp;Total[[#This Row],[Problema]],TbNombres[Tecnología]&amp;TbNombres[Problema],TbNombres[Nombre])</f>
        <v>Brusselator2d</v>
      </c>
      <c r="F451" s="4">
        <v>4</v>
      </c>
      <c r="G451" s="4">
        <v>4</v>
      </c>
      <c r="H451" s="4">
        <v>4</v>
      </c>
      <c r="I451" s="4">
        <v>150</v>
      </c>
      <c r="J451" s="4">
        <v>45000</v>
      </c>
      <c r="K451" s="4">
        <v>158.96299999999999</v>
      </c>
    </row>
    <row r="452" spans="2:11" x14ac:dyDescent="0.2">
      <c r="B452" s="26" t="str">
        <f>_xlfn.XLOOKUP(Total[[#This Row],[Metodo]],TbSolver[Metodo],TbSolver[Solver])</f>
        <v>Adams Bashford</v>
      </c>
      <c r="C452" s="26" t="str">
        <f>_xlfn.XLOOKUP(Total[[#This Row],[Hebras]],TbTecnologia[Hebras],TbTecnologia[Tecnología])</f>
        <v>CUDA</v>
      </c>
      <c r="D452" s="15" t="str" cm="1">
        <f t="array" ref="D452">_xlfn.XLOOKUP(Total[[#This Row],[Tecnología]]&amp;Total[[#This Row],[Metodo]],TbTipos[Tecnología]&amp;TbTipos[Metodo],TbTipos[Tipo])</f>
        <v>CUDA con graph</v>
      </c>
      <c r="E452" s="15" t="str" cm="1">
        <f t="array" ref="E452">_xlfn.XLOOKUP(Total[[#This Row],[Tecnología]]&amp;Total[[#This Row],[Problema]],TbNombres[Tecnología]&amp;TbNombres[Problema],TbNombres[Nombre])</f>
        <v>Brusselator2d shuffle</v>
      </c>
      <c r="F452" s="2">
        <v>4</v>
      </c>
      <c r="G452" s="2">
        <v>9</v>
      </c>
      <c r="H452" s="2">
        <v>256</v>
      </c>
      <c r="I452" s="2">
        <v>500</v>
      </c>
      <c r="J452" s="2">
        <v>500000</v>
      </c>
      <c r="K452" s="2">
        <v>176.041</v>
      </c>
    </row>
    <row r="453" spans="2:11" x14ac:dyDescent="0.2">
      <c r="B453" s="26" t="str">
        <f>_xlfn.XLOOKUP(Total[[#This Row],[Metodo]],TbSolver[Metodo],TbSolver[Solver])</f>
        <v>Adams Bashford</v>
      </c>
      <c r="C453" s="26" t="str">
        <f>_xlfn.XLOOKUP(Total[[#This Row],[Hebras]],TbTecnologia[Hebras],TbTecnologia[Tecnología])</f>
        <v>CUDA</v>
      </c>
      <c r="D453" s="15" t="str" cm="1">
        <f t="array" ref="D453">_xlfn.XLOOKUP(Total[[#This Row],[Tecnología]]&amp;Total[[#This Row],[Metodo]],TbTipos[Tecnología]&amp;TbTipos[Metodo],TbTipos[Tipo])</f>
        <v>CUDA con graph</v>
      </c>
      <c r="E453" s="15" t="str" cm="1">
        <f t="array" ref="E453">_xlfn.XLOOKUP(Total[[#This Row],[Tecnología]]&amp;Total[[#This Row],[Problema]],TbNombres[Tecnología]&amp;TbNombres[Problema],TbNombres[Nombre])</f>
        <v>Brusselator2d</v>
      </c>
      <c r="F453" s="2">
        <v>4</v>
      </c>
      <c r="G453" s="2">
        <v>8</v>
      </c>
      <c r="H453" s="2">
        <v>256</v>
      </c>
      <c r="I453" s="2">
        <v>500</v>
      </c>
      <c r="J453" s="2">
        <v>500000</v>
      </c>
      <c r="K453" s="2">
        <v>176.75299999999999</v>
      </c>
    </row>
    <row r="454" spans="2:11" x14ac:dyDescent="0.2">
      <c r="B454" s="26" t="str">
        <f>_xlfn.XLOOKUP(Total[[#This Row],[Metodo]],TbSolver[Metodo],TbSolver[Solver])</f>
        <v>Adams Bashford</v>
      </c>
      <c r="C454" s="26" t="str">
        <f>_xlfn.XLOOKUP(Total[[#This Row],[Hebras]],TbTecnologia[Hebras],TbTecnologia[Tecnología])</f>
        <v>OMP</v>
      </c>
      <c r="D454" s="16" t="str" cm="1">
        <f t="array" ref="D454">_xlfn.XLOOKUP(Total[[#This Row],[Tecnología]]&amp;Total[[#This Row],[Metodo]],TbTipos[Tecnología]&amp;TbTipos[Metodo],TbTipos[Tipo])</f>
        <v>OMP Elementos</v>
      </c>
      <c r="E454" s="16" t="str" cm="1">
        <f t="array" ref="E454">_xlfn.XLOOKUP(Total[[#This Row],[Tecnología]]&amp;Total[[#This Row],[Problema]],TbNombres[Tecnología]&amp;TbNombres[Problema],TbNombres[Nombre])</f>
        <v>Brusselator2d</v>
      </c>
      <c r="F454" s="4">
        <v>4</v>
      </c>
      <c r="G454" s="4">
        <v>4</v>
      </c>
      <c r="H454" s="4">
        <v>1</v>
      </c>
      <c r="I454" s="4">
        <v>100</v>
      </c>
      <c r="J454" s="4">
        <v>20000</v>
      </c>
      <c r="K454" s="4">
        <v>261.65199999999999</v>
      </c>
    </row>
    <row r="455" spans="2:11" x14ac:dyDescent="0.2">
      <c r="B455" s="26" t="str">
        <f>_xlfn.XLOOKUP(Total[[#This Row],[Metodo]],TbSolver[Metodo],TbSolver[Solver])</f>
        <v>Adams Bashford</v>
      </c>
      <c r="C455" s="26" t="str">
        <f>_xlfn.XLOOKUP(Total[[#This Row],[Hebras]],TbTecnologia[Hebras],TbTecnologia[Tecnología])</f>
        <v>OMP</v>
      </c>
      <c r="D455" s="16" t="str" cm="1">
        <f t="array" ref="D455">_xlfn.XLOOKUP(Total[[#This Row],[Tecnología]]&amp;Total[[#This Row],[Metodo]],TbTipos[Tecnología]&amp;TbTipos[Metodo],TbTipos[Tipo])</f>
        <v>OMP Elementos</v>
      </c>
      <c r="E455" s="16" t="str" cm="1">
        <f t="array" ref="E455">_xlfn.XLOOKUP(Total[[#This Row],[Tecnología]]&amp;Total[[#This Row],[Problema]],TbNombres[Tecnología]&amp;TbNombres[Problema],TbNombres[Nombre])</f>
        <v>Brusselator2d</v>
      </c>
      <c r="F455" s="4">
        <v>4</v>
      </c>
      <c r="G455" s="4">
        <v>4</v>
      </c>
      <c r="H455" s="4">
        <v>4</v>
      </c>
      <c r="I455" s="4">
        <v>200</v>
      </c>
      <c r="J455" s="4">
        <v>80000</v>
      </c>
      <c r="K455" s="4">
        <v>281.49200000000002</v>
      </c>
    </row>
    <row r="456" spans="2:11" x14ac:dyDescent="0.2">
      <c r="B456" s="26" t="str">
        <f>_xlfn.XLOOKUP(Total[[#This Row],[Metodo]],TbSolver[Metodo],TbSolver[Solver])</f>
        <v>Adams Bashford</v>
      </c>
      <c r="C456" s="26" t="str">
        <f>_xlfn.XLOOKUP(Total[[#This Row],[Hebras]],TbTecnologia[Hebras],TbTecnologia[Tecnología])</f>
        <v>OMP</v>
      </c>
      <c r="D456" s="16" t="str" cm="1">
        <f t="array" ref="D456">_xlfn.XLOOKUP(Total[[#This Row],[Tecnología]]&amp;Total[[#This Row],[Metodo]],TbTipos[Tecnología]&amp;TbTipos[Metodo],TbTipos[Tipo])</f>
        <v>OMP Operaciones</v>
      </c>
      <c r="E456" s="16" t="str" cm="1">
        <f t="array" ref="E456">_xlfn.XLOOKUP(Total[[#This Row],[Tecnología]]&amp;Total[[#This Row],[Problema]],TbNombres[Tecnología]&amp;TbNombres[Problema],TbNombres[Nombre])</f>
        <v>Brusselator2d</v>
      </c>
      <c r="F456" s="4">
        <v>3</v>
      </c>
      <c r="G456" s="4">
        <v>4</v>
      </c>
      <c r="H456" s="4">
        <v>1</v>
      </c>
      <c r="I456" s="4">
        <v>150</v>
      </c>
      <c r="J456" s="4">
        <v>45000</v>
      </c>
      <c r="K456" s="4">
        <v>315.30200000000002</v>
      </c>
    </row>
    <row r="457" spans="2:11" x14ac:dyDescent="0.2">
      <c r="B457" s="26" t="str">
        <f>_xlfn.XLOOKUP(Total[[#This Row],[Metodo]],TbSolver[Metodo],TbSolver[Solver])</f>
        <v>Adams Bashford</v>
      </c>
      <c r="C457" s="26" t="str">
        <f>_xlfn.XLOOKUP(Total[[#This Row],[Hebras]],TbTecnologia[Hebras],TbTecnologia[Tecnología])</f>
        <v>OMP</v>
      </c>
      <c r="D457" s="16" t="str" cm="1">
        <f t="array" ref="D457">_xlfn.XLOOKUP(Total[[#This Row],[Tecnología]]&amp;Total[[#This Row],[Metodo]],TbTipos[Tecnología]&amp;TbTipos[Metodo],TbTipos[Tipo])</f>
        <v>OMP Operaciones</v>
      </c>
      <c r="E457" s="16" t="str" cm="1">
        <f t="array" ref="E457">_xlfn.XLOOKUP(Total[[#This Row],[Tecnología]]&amp;Total[[#This Row],[Problema]],TbNombres[Tecnología]&amp;TbNombres[Problema],TbNombres[Nombre])</f>
        <v>Brusselator2d</v>
      </c>
      <c r="F457" s="4">
        <v>3</v>
      </c>
      <c r="G457" s="4">
        <v>4</v>
      </c>
      <c r="H457" s="4">
        <v>1</v>
      </c>
      <c r="I457" s="4">
        <v>200</v>
      </c>
      <c r="J457" s="4">
        <v>80000</v>
      </c>
      <c r="K457" s="4">
        <v>578.274</v>
      </c>
    </row>
    <row r="458" spans="2:11" x14ac:dyDescent="0.2">
      <c r="B458" s="26" t="str">
        <f>_xlfn.XLOOKUP(Total[[#This Row],[Metodo]],TbSolver[Metodo],TbSolver[Solver])</f>
        <v>Adams Bashford</v>
      </c>
      <c r="C458" s="26" t="str">
        <f>_xlfn.XLOOKUP(Total[[#This Row],[Hebras]],TbTecnologia[Hebras],TbTecnologia[Tecnología])</f>
        <v>OMP</v>
      </c>
      <c r="D458" s="16" t="str" cm="1">
        <f t="array" ref="D458">_xlfn.XLOOKUP(Total[[#This Row],[Tecnología]]&amp;Total[[#This Row],[Metodo]],TbTipos[Tecnología]&amp;TbTipos[Metodo],TbTipos[Tipo])</f>
        <v>OMP Elementos</v>
      </c>
      <c r="E458" s="16" t="str" cm="1">
        <f t="array" ref="E458">_xlfn.XLOOKUP(Total[[#This Row],[Tecnología]]&amp;Total[[#This Row],[Problema]],TbNombres[Tecnología]&amp;TbNombres[Problema],TbNombres[Nombre])</f>
        <v>Brusselator2d</v>
      </c>
      <c r="F458" s="4">
        <v>4</v>
      </c>
      <c r="G458" s="4">
        <v>4</v>
      </c>
      <c r="H458" s="4">
        <v>1</v>
      </c>
      <c r="I458" s="4">
        <v>150</v>
      </c>
      <c r="J458" s="4">
        <v>45000</v>
      </c>
      <c r="K458" s="4">
        <v>616.67200000000003</v>
      </c>
    </row>
    <row r="459" spans="2:11" x14ac:dyDescent="0.2">
      <c r="B459" s="26" t="str">
        <f>_xlfn.XLOOKUP(Total[[#This Row],[Metodo]],TbSolver[Metodo],TbSolver[Solver])</f>
        <v>Adams Bashford</v>
      </c>
      <c r="C459" s="26" t="str">
        <f>_xlfn.XLOOKUP(Total[[#This Row],[Hebras]],TbTecnologia[Hebras],TbTecnologia[Tecnología])</f>
        <v>OMP</v>
      </c>
      <c r="D459" s="16" t="str" cm="1">
        <f t="array" ref="D459">_xlfn.XLOOKUP(Total[[#This Row],[Tecnología]]&amp;Total[[#This Row],[Metodo]],TbTipos[Tecnología]&amp;TbTipos[Metodo],TbTipos[Tipo])</f>
        <v>OMP Elementos</v>
      </c>
      <c r="E459" s="16" t="str" cm="1">
        <f t="array" ref="E459">_xlfn.XLOOKUP(Total[[#This Row],[Tecnología]]&amp;Total[[#This Row],[Problema]],TbNombres[Tecnología]&amp;TbNombres[Problema],TbNombres[Nombre])</f>
        <v>Brusselator2d</v>
      </c>
      <c r="F459" s="4">
        <v>4</v>
      </c>
      <c r="G459" s="4">
        <v>4</v>
      </c>
      <c r="H459" s="4">
        <v>1</v>
      </c>
      <c r="I459" s="4">
        <v>200</v>
      </c>
      <c r="J459" s="4">
        <v>80000</v>
      </c>
      <c r="K459" s="4">
        <v>1104.52</v>
      </c>
    </row>
    <row r="460" spans="2:11" x14ac:dyDescent="0.2">
      <c r="B460" s="26" t="str">
        <f>_xlfn.XLOOKUP(Total[[#This Row],[Metodo]],TbSolver[Metodo],TbSolver[Solver])</f>
        <v>Adams Bashford Moulton</v>
      </c>
      <c r="C460" s="26" t="str">
        <f>_xlfn.XLOOKUP(Total[[#This Row],[Hebras]],TbTecnologia[Hebras],TbTecnologia[Tecnología])</f>
        <v>CUDA</v>
      </c>
      <c r="D460" s="15" t="str" cm="1">
        <f t="array" ref="D460">_xlfn.XLOOKUP(Total[[#This Row],[Tecnología]]&amp;Total[[#This Row],[Metodo]],TbTipos[Tecnología]&amp;TbTipos[Metodo],TbTipos[Tipo])</f>
        <v>CUDA con graph</v>
      </c>
      <c r="E460" s="15" t="str" cm="1">
        <f t="array" ref="E460">_xlfn.XLOOKUP(Total[[#This Row],[Tecnología]]&amp;Total[[#This Row],[Problema]],TbNombres[Tecnología]&amp;TbNombres[Problema],TbNombres[Nombre])</f>
        <v>Simple Advdiff</v>
      </c>
      <c r="F460" s="2">
        <v>6</v>
      </c>
      <c r="G460" s="2">
        <v>1</v>
      </c>
      <c r="H460" s="2">
        <v>256</v>
      </c>
      <c r="I460" s="2">
        <v>100</v>
      </c>
      <c r="J460" s="2">
        <v>100</v>
      </c>
      <c r="K460" s="2">
        <v>10.407299999999999</v>
      </c>
    </row>
    <row r="461" spans="2:11" x14ac:dyDescent="0.2">
      <c r="B461" s="26" t="str">
        <f>_xlfn.XLOOKUP(Total[[#This Row],[Metodo]],TbSolver[Metodo],TbSolver[Solver])</f>
        <v>Adams Bashford Moulton</v>
      </c>
      <c r="C461" s="26" t="str">
        <f>_xlfn.XLOOKUP(Total[[#This Row],[Hebras]],TbTecnologia[Hebras],TbTecnologia[Tecnología])</f>
        <v>CUDA</v>
      </c>
      <c r="D461" s="15" t="str" cm="1">
        <f t="array" ref="D461">_xlfn.XLOOKUP(Total[[#This Row],[Tecnología]]&amp;Total[[#This Row],[Metodo]],TbTipos[Tecnología]&amp;TbTipos[Metodo],TbTipos[Tipo])</f>
        <v>CUDA con graph</v>
      </c>
      <c r="E461" s="15" t="str" cm="1">
        <f t="array" ref="E461">_xlfn.XLOOKUP(Total[[#This Row],[Tecnología]]&amp;Total[[#This Row],[Problema]],TbNombres[Tecnología]&amp;TbNombres[Problema],TbNombres[Nombre])</f>
        <v>Simple Advdiff shuffle</v>
      </c>
      <c r="F461" s="2">
        <v>6</v>
      </c>
      <c r="G461" s="2">
        <v>2</v>
      </c>
      <c r="H461" s="2">
        <v>256</v>
      </c>
      <c r="I461" s="2">
        <v>100</v>
      </c>
      <c r="J461" s="2">
        <v>100</v>
      </c>
      <c r="K461" s="2">
        <v>10.632999999999999</v>
      </c>
    </row>
    <row r="462" spans="2:11" x14ac:dyDescent="0.2">
      <c r="B462" s="26" t="str">
        <f>_xlfn.XLOOKUP(Total[[#This Row],[Metodo]],TbSolver[Metodo],TbSolver[Solver])</f>
        <v>Adams Bashford Moulton</v>
      </c>
      <c r="C462" s="26" t="str">
        <f>_xlfn.XLOOKUP(Total[[#This Row],[Hebras]],TbTecnologia[Hebras],TbTecnologia[Tecnología])</f>
        <v>CUDA</v>
      </c>
      <c r="D462" s="15" t="str" cm="1">
        <f t="array" ref="D462">_xlfn.XLOOKUP(Total[[#This Row],[Tecnología]]&amp;Total[[#This Row],[Metodo]],TbTipos[Tecnología]&amp;TbTipos[Metodo],TbTipos[Tipo])</f>
        <v>CUDA sin graph</v>
      </c>
      <c r="E462" s="15" t="str" cm="1">
        <f t="array" ref="E462">_xlfn.XLOOKUP(Total[[#This Row],[Tecnología]]&amp;Total[[#This Row],[Problema]],TbNombres[Tecnología]&amp;TbNombres[Problema],TbNombres[Nombre])</f>
        <v>Simple Advdiff</v>
      </c>
      <c r="F462" s="2">
        <v>5</v>
      </c>
      <c r="G462" s="2">
        <v>1</v>
      </c>
      <c r="H462" s="2">
        <v>256</v>
      </c>
      <c r="I462" s="2">
        <v>100</v>
      </c>
      <c r="J462" s="2">
        <v>100</v>
      </c>
      <c r="K462" s="2">
        <v>11.0381</v>
      </c>
    </row>
    <row r="463" spans="2:11" x14ac:dyDescent="0.2">
      <c r="B463" s="26" t="str">
        <f>_xlfn.XLOOKUP(Total[[#This Row],[Metodo]],TbSolver[Metodo],TbSolver[Solver])</f>
        <v>Adams Bashford Moulton</v>
      </c>
      <c r="C463" s="26" t="str">
        <f>_xlfn.XLOOKUP(Total[[#This Row],[Hebras]],TbTecnologia[Hebras],TbTecnologia[Tecnología])</f>
        <v>CUDA</v>
      </c>
      <c r="D463" s="15" t="str" cm="1">
        <f t="array" ref="D463">_xlfn.XLOOKUP(Total[[#This Row],[Tecnología]]&amp;Total[[#This Row],[Metodo]],TbTipos[Tecnología]&amp;TbTipos[Metodo],TbTipos[Tipo])</f>
        <v>CUDA sin graph</v>
      </c>
      <c r="E463" s="15" t="str" cm="1">
        <f t="array" ref="E463">_xlfn.XLOOKUP(Total[[#This Row],[Tecnología]]&amp;Total[[#This Row],[Problema]],TbNombres[Tecnología]&amp;TbNombres[Problema],TbNombres[Nombre])</f>
        <v>Simple Advdiff shuffle</v>
      </c>
      <c r="F463" s="2">
        <v>5</v>
      </c>
      <c r="G463" s="2">
        <v>2</v>
      </c>
      <c r="H463" s="2">
        <v>256</v>
      </c>
      <c r="I463" s="2">
        <v>100</v>
      </c>
      <c r="J463" s="2">
        <v>100</v>
      </c>
      <c r="K463" s="2">
        <v>11.2033</v>
      </c>
    </row>
    <row r="464" spans="2:11" x14ac:dyDescent="0.2">
      <c r="B464" s="26" t="str">
        <f>_xlfn.XLOOKUP(Total[[#This Row],[Metodo]],TbSolver[Metodo],TbSolver[Solver])</f>
        <v>Adams Bashford Moulton</v>
      </c>
      <c r="C464" s="26" t="str">
        <f>_xlfn.XLOOKUP(Total[[#This Row],[Hebras]],TbTecnologia[Hebras],TbTecnologia[Tecnología])</f>
        <v>CUDA</v>
      </c>
      <c r="D464" s="15" t="str" cm="1">
        <f t="array" ref="D464">_xlfn.XLOOKUP(Total[[#This Row],[Tecnología]]&amp;Total[[#This Row],[Metodo]],TbTipos[Tecnología]&amp;TbTipos[Metodo],TbTipos[Tipo])</f>
        <v>CUDA con graph</v>
      </c>
      <c r="E464" s="15" t="str" cm="1">
        <f t="array" ref="E464">_xlfn.XLOOKUP(Total[[#This Row],[Tecnología]]&amp;Total[[#This Row],[Problema]],TbNombres[Tecnología]&amp;TbNombres[Problema],TbNombres[Nombre])</f>
        <v>Simple Advdiff</v>
      </c>
      <c r="F464" s="2">
        <v>6</v>
      </c>
      <c r="G464" s="2">
        <v>1</v>
      </c>
      <c r="H464" s="2">
        <v>256</v>
      </c>
      <c r="I464" s="2">
        <v>200</v>
      </c>
      <c r="J464" s="2">
        <v>200</v>
      </c>
      <c r="K464" s="2">
        <v>11.706899999999999</v>
      </c>
    </row>
    <row r="465" spans="2:11" x14ac:dyDescent="0.2">
      <c r="B465" s="26" t="str">
        <f>_xlfn.XLOOKUP(Total[[#This Row],[Metodo]],TbSolver[Metodo],TbSolver[Solver])</f>
        <v>Adams Bashford Moulton</v>
      </c>
      <c r="C465" s="26" t="str">
        <f>_xlfn.XLOOKUP(Total[[#This Row],[Hebras]],TbTecnologia[Hebras],TbTecnologia[Tecnología])</f>
        <v>CUDA</v>
      </c>
      <c r="D465" s="15" t="str" cm="1">
        <f t="array" ref="D465">_xlfn.XLOOKUP(Total[[#This Row],[Tecnología]]&amp;Total[[#This Row],[Metodo]],TbTipos[Tecnología]&amp;TbTipos[Metodo],TbTipos[Tipo])</f>
        <v>CUDA con graph</v>
      </c>
      <c r="E465" s="15" t="str" cm="1">
        <f t="array" ref="E465">_xlfn.XLOOKUP(Total[[#This Row],[Tecnología]]&amp;Total[[#This Row],[Problema]],TbNombres[Tecnología]&amp;TbNombres[Problema],TbNombres[Nombre])</f>
        <v>Simple Advdiff shuffle</v>
      </c>
      <c r="F465" s="2">
        <v>6</v>
      </c>
      <c r="G465" s="2">
        <v>2</v>
      </c>
      <c r="H465" s="2">
        <v>256</v>
      </c>
      <c r="I465" s="2">
        <v>200</v>
      </c>
      <c r="J465" s="2">
        <v>200</v>
      </c>
      <c r="K465" s="2">
        <v>11.7073</v>
      </c>
    </row>
    <row r="466" spans="2:11" x14ac:dyDescent="0.2">
      <c r="B466" s="26" t="str">
        <f>_xlfn.XLOOKUP(Total[[#This Row],[Metodo]],TbSolver[Metodo],TbSolver[Solver])</f>
        <v>Adams Bashford Moulton</v>
      </c>
      <c r="C466" s="26" t="str">
        <f>_xlfn.XLOOKUP(Total[[#This Row],[Hebras]],TbTecnologia[Hebras],TbTecnologia[Tecnología])</f>
        <v>CUDA</v>
      </c>
      <c r="D466" s="15" t="str" cm="1">
        <f t="array" ref="D466">_xlfn.XLOOKUP(Total[[#This Row],[Tecnología]]&amp;Total[[#This Row],[Metodo]],TbTipos[Tecnología]&amp;TbTipos[Metodo],TbTipos[Tipo])</f>
        <v>CUDA con graph</v>
      </c>
      <c r="E466" s="15" t="str" cm="1">
        <f t="array" ref="E466">_xlfn.XLOOKUP(Total[[#This Row],[Tecnología]]&amp;Total[[#This Row],[Problema]],TbNombres[Tecnología]&amp;TbNombres[Problema],TbNombres[Nombre])</f>
        <v>Simple Advdiff</v>
      </c>
      <c r="F466" s="2">
        <v>6</v>
      </c>
      <c r="G466" s="2">
        <v>1</v>
      </c>
      <c r="H466" s="2">
        <v>256</v>
      </c>
      <c r="I466" s="2">
        <v>500</v>
      </c>
      <c r="J466" s="2">
        <v>500</v>
      </c>
      <c r="K466" s="2">
        <v>12.135899999999999</v>
      </c>
    </row>
    <row r="467" spans="2:11" x14ac:dyDescent="0.2">
      <c r="B467" s="26" t="str">
        <f>_xlfn.XLOOKUP(Total[[#This Row],[Metodo]],TbSolver[Metodo],TbSolver[Solver])</f>
        <v>Adams Bashford Moulton</v>
      </c>
      <c r="C467" s="26" t="str">
        <f>_xlfn.XLOOKUP(Total[[#This Row],[Hebras]],TbTecnologia[Hebras],TbTecnologia[Tecnología])</f>
        <v>CUDA</v>
      </c>
      <c r="D467" s="15" t="str" cm="1">
        <f t="array" ref="D467">_xlfn.XLOOKUP(Total[[#This Row],[Tecnología]]&amp;Total[[#This Row],[Metodo]],TbTipos[Tecnología]&amp;TbTipos[Metodo],TbTipos[Tipo])</f>
        <v>CUDA con graph</v>
      </c>
      <c r="E467" s="15" t="str" cm="1">
        <f t="array" ref="E467">_xlfn.XLOOKUP(Total[[#This Row],[Tecnología]]&amp;Total[[#This Row],[Problema]],TbNombres[Tecnología]&amp;TbNombres[Problema],TbNombres[Nombre])</f>
        <v>Simple Advdiff shuffle</v>
      </c>
      <c r="F467" s="2">
        <v>6</v>
      </c>
      <c r="G467" s="2">
        <v>2</v>
      </c>
      <c r="H467" s="2">
        <v>256</v>
      </c>
      <c r="I467" s="2">
        <v>500</v>
      </c>
      <c r="J467" s="2">
        <v>500</v>
      </c>
      <c r="K467" s="2">
        <v>12.163600000000001</v>
      </c>
    </row>
    <row r="468" spans="2:11" x14ac:dyDescent="0.2">
      <c r="B468" s="26" t="str">
        <f>_xlfn.XLOOKUP(Total[[#This Row],[Metodo]],TbSolver[Metodo],TbSolver[Solver])</f>
        <v>Adams Bashford Moulton</v>
      </c>
      <c r="C468" s="26" t="str">
        <f>_xlfn.XLOOKUP(Total[[#This Row],[Hebras]],TbTecnologia[Hebras],TbTecnologia[Tecnología])</f>
        <v>CUDA</v>
      </c>
      <c r="D468" s="15" t="str" cm="1">
        <f t="array" ref="D468">_xlfn.XLOOKUP(Total[[#This Row],[Tecnología]]&amp;Total[[#This Row],[Metodo]],TbTipos[Tecnología]&amp;TbTipos[Metodo],TbTipos[Tipo])</f>
        <v>CUDA con graph</v>
      </c>
      <c r="E468" s="15" t="str" cm="1">
        <f t="array" ref="E468">_xlfn.XLOOKUP(Total[[#This Row],[Tecnología]]&amp;Total[[#This Row],[Problema]],TbNombres[Tecnología]&amp;TbNombres[Problema],TbNombres[Nombre])</f>
        <v>Simple Advdiff</v>
      </c>
      <c r="F468" s="2">
        <v>6</v>
      </c>
      <c r="G468" s="2">
        <v>1</v>
      </c>
      <c r="H468" s="2">
        <v>256</v>
      </c>
      <c r="I468" s="2">
        <v>1000</v>
      </c>
      <c r="J468" s="2">
        <v>1000</v>
      </c>
      <c r="K468" s="2">
        <v>12.1858</v>
      </c>
    </row>
    <row r="469" spans="2:11" x14ac:dyDescent="0.2">
      <c r="B469" s="26" t="str">
        <f>_xlfn.XLOOKUP(Total[[#This Row],[Metodo]],TbSolver[Metodo],TbSolver[Solver])</f>
        <v>Adams Bashford Moulton</v>
      </c>
      <c r="C469" s="26" t="str">
        <f>_xlfn.XLOOKUP(Total[[#This Row],[Hebras]],TbTecnologia[Hebras],TbTecnologia[Tecnología])</f>
        <v>CUDA</v>
      </c>
      <c r="D469" s="15" t="str" cm="1">
        <f t="array" ref="D469">_xlfn.XLOOKUP(Total[[#This Row],[Tecnología]]&amp;Total[[#This Row],[Metodo]],TbTipos[Tecnología]&amp;TbTipos[Metodo],TbTipos[Tipo])</f>
        <v>CUDA con graph</v>
      </c>
      <c r="E469" s="15" t="str" cm="1">
        <f t="array" ref="E469">_xlfn.XLOOKUP(Total[[#This Row],[Tecnología]]&amp;Total[[#This Row],[Problema]],TbNombres[Tecnología]&amp;TbNombres[Problema],TbNombres[Nombre])</f>
        <v>Simple Advdiff shuffle</v>
      </c>
      <c r="F469" s="2">
        <v>6</v>
      </c>
      <c r="G469" s="2">
        <v>2</v>
      </c>
      <c r="H469" s="2">
        <v>256</v>
      </c>
      <c r="I469" s="2">
        <v>1000</v>
      </c>
      <c r="J469" s="2">
        <v>1000</v>
      </c>
      <c r="K469" s="2">
        <v>12.204800000000001</v>
      </c>
    </row>
    <row r="470" spans="2:11" x14ac:dyDescent="0.2">
      <c r="B470" s="26" t="str">
        <f>_xlfn.XLOOKUP(Total[[#This Row],[Metodo]],TbSolver[Metodo],TbSolver[Solver])</f>
        <v>Adams Bashford Moulton</v>
      </c>
      <c r="C470" s="26" t="str">
        <f>_xlfn.XLOOKUP(Total[[#This Row],[Hebras]],TbTecnologia[Hebras],TbTecnologia[Tecnología])</f>
        <v>CUDA</v>
      </c>
      <c r="D470" s="15" t="str" cm="1">
        <f t="array" ref="D470">_xlfn.XLOOKUP(Total[[#This Row],[Tecnología]]&amp;Total[[#This Row],[Metodo]],TbTipos[Tecnología]&amp;TbTipos[Metodo],TbTipos[Tipo])</f>
        <v>CUDA con graph</v>
      </c>
      <c r="E470" s="15" t="str" cm="1">
        <f t="array" ref="E470">_xlfn.XLOOKUP(Total[[#This Row],[Tecnología]]&amp;Total[[#This Row],[Problema]],TbNombres[Tecnología]&amp;TbNombres[Problema],TbNombres[Nombre])</f>
        <v>Simple Advdiff</v>
      </c>
      <c r="F470" s="2">
        <v>6</v>
      </c>
      <c r="G470" s="2">
        <v>1</v>
      </c>
      <c r="H470" s="2">
        <v>256</v>
      </c>
      <c r="I470" s="2">
        <v>2000</v>
      </c>
      <c r="J470" s="2">
        <v>2000</v>
      </c>
      <c r="K470" s="2">
        <v>12.272500000000001</v>
      </c>
    </row>
    <row r="471" spans="2:11" x14ac:dyDescent="0.2">
      <c r="B471" s="26" t="str">
        <f>_xlfn.XLOOKUP(Total[[#This Row],[Metodo]],TbSolver[Metodo],TbSolver[Solver])</f>
        <v>Adams Bashford Moulton</v>
      </c>
      <c r="C471" s="26" t="str">
        <f>_xlfn.XLOOKUP(Total[[#This Row],[Hebras]],TbTecnologia[Hebras],TbTecnologia[Tecnología])</f>
        <v>CUDA</v>
      </c>
      <c r="D471" s="15" t="str" cm="1">
        <f t="array" ref="D471">_xlfn.XLOOKUP(Total[[#This Row],[Tecnología]]&amp;Total[[#This Row],[Metodo]],TbTipos[Tecnología]&amp;TbTipos[Metodo],TbTipos[Tipo])</f>
        <v>CUDA con graph</v>
      </c>
      <c r="E471" s="15" t="str" cm="1">
        <f t="array" ref="E471">_xlfn.XLOOKUP(Total[[#This Row],[Tecnología]]&amp;Total[[#This Row],[Problema]],TbNombres[Tecnología]&amp;TbNombres[Problema],TbNombres[Nombre])</f>
        <v>Simple Advdiff shuffle</v>
      </c>
      <c r="F471" s="2">
        <v>6</v>
      </c>
      <c r="G471" s="2">
        <v>2</v>
      </c>
      <c r="H471" s="2">
        <v>256</v>
      </c>
      <c r="I471" s="2">
        <v>2000</v>
      </c>
      <c r="J471" s="2">
        <v>2000</v>
      </c>
      <c r="K471" s="2">
        <v>12.2935</v>
      </c>
    </row>
    <row r="472" spans="2:11" x14ac:dyDescent="0.2">
      <c r="B472" s="26" t="str">
        <f>_xlfn.XLOOKUP(Total[[#This Row],[Metodo]],TbSolver[Metodo],TbSolver[Solver])</f>
        <v>Adams Bashford Moulton</v>
      </c>
      <c r="C472" s="26" t="str">
        <f>_xlfn.XLOOKUP(Total[[#This Row],[Hebras]],TbTecnologia[Hebras],TbTecnologia[Tecnología])</f>
        <v>CUDA</v>
      </c>
      <c r="D472" s="15" t="str" cm="1">
        <f t="array" ref="D472">_xlfn.XLOOKUP(Total[[#This Row],[Tecnología]]&amp;Total[[#This Row],[Metodo]],TbTipos[Tecnología]&amp;TbTipos[Metodo],TbTipos[Tipo])</f>
        <v>CUDA con graph</v>
      </c>
      <c r="E472" s="15" t="str" cm="1">
        <f t="array" ref="E472">_xlfn.XLOOKUP(Total[[#This Row],[Tecnología]]&amp;Total[[#This Row],[Problema]],TbNombres[Tecnología]&amp;TbNombres[Problema],TbNombres[Nombre])</f>
        <v>Simple Advdiff</v>
      </c>
      <c r="F472" s="2">
        <v>6</v>
      </c>
      <c r="G472" s="2">
        <v>1</v>
      </c>
      <c r="H472" s="2">
        <v>256</v>
      </c>
      <c r="I472" s="2">
        <v>5000</v>
      </c>
      <c r="J472" s="2">
        <v>5000</v>
      </c>
      <c r="K472" s="2">
        <v>12.4802</v>
      </c>
    </row>
    <row r="473" spans="2:11" x14ac:dyDescent="0.2">
      <c r="B473" s="26" t="str">
        <f>_xlfn.XLOOKUP(Total[[#This Row],[Metodo]],TbSolver[Metodo],TbSolver[Solver])</f>
        <v>Adams Bashford Moulton</v>
      </c>
      <c r="C473" s="26" t="str">
        <f>_xlfn.XLOOKUP(Total[[#This Row],[Hebras]],TbTecnologia[Hebras],TbTecnologia[Tecnología])</f>
        <v>CUDA</v>
      </c>
      <c r="D473" s="15" t="str" cm="1">
        <f t="array" ref="D473">_xlfn.XLOOKUP(Total[[#This Row],[Tecnología]]&amp;Total[[#This Row],[Metodo]],TbTipos[Tecnología]&amp;TbTipos[Metodo],TbTipos[Tipo])</f>
        <v>CUDA con graph</v>
      </c>
      <c r="E473" s="15" t="str" cm="1">
        <f t="array" ref="E473">_xlfn.XLOOKUP(Total[[#This Row],[Tecnología]]&amp;Total[[#This Row],[Problema]],TbNombres[Tecnología]&amp;TbNombres[Problema],TbNombres[Nombre])</f>
        <v>Simple Advdiff shuffle</v>
      </c>
      <c r="F473" s="2">
        <v>6</v>
      </c>
      <c r="G473" s="2">
        <v>2</v>
      </c>
      <c r="H473" s="2">
        <v>256</v>
      </c>
      <c r="I473" s="2">
        <v>5000</v>
      </c>
      <c r="J473" s="2">
        <v>5000</v>
      </c>
      <c r="K473" s="2">
        <v>12.497</v>
      </c>
    </row>
    <row r="474" spans="2:11" x14ac:dyDescent="0.2">
      <c r="B474" s="26" t="str">
        <f>_xlfn.XLOOKUP(Total[[#This Row],[Metodo]],TbSolver[Metodo],TbSolver[Solver])</f>
        <v>Adams Bashford Moulton</v>
      </c>
      <c r="C474" s="26" t="str">
        <f>_xlfn.XLOOKUP(Total[[#This Row],[Hebras]],TbTecnologia[Hebras],TbTecnologia[Tecnología])</f>
        <v>CUDA</v>
      </c>
      <c r="D474" s="15" t="str" cm="1">
        <f t="array" ref="D474">_xlfn.XLOOKUP(Total[[#This Row],[Tecnología]]&amp;Total[[#This Row],[Metodo]],TbTipos[Tecnología]&amp;TbTipos[Metodo],TbTipos[Tipo])</f>
        <v>CUDA sin graph</v>
      </c>
      <c r="E474" s="15" t="str" cm="1">
        <f t="array" ref="E474">_xlfn.XLOOKUP(Total[[#This Row],[Tecnología]]&amp;Total[[#This Row],[Problema]],TbNombres[Tecnología]&amp;TbNombres[Problema],TbNombres[Nombre])</f>
        <v>Simple Advdiff</v>
      </c>
      <c r="F474" s="2">
        <v>5</v>
      </c>
      <c r="G474" s="2">
        <v>1</v>
      </c>
      <c r="H474" s="2">
        <v>256</v>
      </c>
      <c r="I474" s="2">
        <v>500</v>
      </c>
      <c r="J474" s="2">
        <v>500</v>
      </c>
      <c r="K474" s="2">
        <v>12.7247</v>
      </c>
    </row>
    <row r="475" spans="2:11" x14ac:dyDescent="0.2">
      <c r="B475" s="26" t="str">
        <f>_xlfn.XLOOKUP(Total[[#This Row],[Metodo]],TbSolver[Metodo],TbSolver[Solver])</f>
        <v>Adams Bashford Moulton</v>
      </c>
      <c r="C475" s="26" t="str">
        <f>_xlfn.XLOOKUP(Total[[#This Row],[Hebras]],TbTecnologia[Hebras],TbTecnologia[Tecnología])</f>
        <v>CUDA</v>
      </c>
      <c r="D475" s="15" t="str" cm="1">
        <f t="array" ref="D475">_xlfn.XLOOKUP(Total[[#This Row],[Tecnología]]&amp;Total[[#This Row],[Metodo]],TbTipos[Tecnología]&amp;TbTipos[Metodo],TbTipos[Tipo])</f>
        <v>CUDA sin graph</v>
      </c>
      <c r="E475" s="15" t="str" cm="1">
        <f t="array" ref="E475">_xlfn.XLOOKUP(Total[[#This Row],[Tecnología]]&amp;Total[[#This Row],[Problema]],TbNombres[Tecnología]&amp;TbNombres[Problema],TbNombres[Nombre])</f>
        <v>Simple Advdiff shuffle</v>
      </c>
      <c r="F475" s="2">
        <v>5</v>
      </c>
      <c r="G475" s="2">
        <v>2</v>
      </c>
      <c r="H475" s="2">
        <v>256</v>
      </c>
      <c r="I475" s="2">
        <v>500</v>
      </c>
      <c r="J475" s="2">
        <v>500</v>
      </c>
      <c r="K475" s="2">
        <v>12.746700000000001</v>
      </c>
    </row>
    <row r="476" spans="2:11" x14ac:dyDescent="0.2">
      <c r="B476" s="26" t="str">
        <f>_xlfn.XLOOKUP(Total[[#This Row],[Metodo]],TbSolver[Metodo],TbSolver[Solver])</f>
        <v>Adams Bashford Moulton</v>
      </c>
      <c r="C476" s="26" t="str">
        <f>_xlfn.XLOOKUP(Total[[#This Row],[Hebras]],TbTecnologia[Hebras],TbTecnologia[Tecnología])</f>
        <v>CUDA</v>
      </c>
      <c r="D476" s="15" t="str" cm="1">
        <f t="array" ref="D476">_xlfn.XLOOKUP(Total[[#This Row],[Tecnología]]&amp;Total[[#This Row],[Metodo]],TbTipos[Tecnología]&amp;TbTipos[Metodo],TbTipos[Tipo])</f>
        <v>CUDA sin graph</v>
      </c>
      <c r="E476" s="15" t="str" cm="1">
        <f t="array" ref="E476">_xlfn.XLOOKUP(Total[[#This Row],[Tecnología]]&amp;Total[[#This Row],[Problema]],TbNombres[Tecnología]&amp;TbNombres[Problema],TbNombres[Nombre])</f>
        <v>Simple Advdiff shuffle</v>
      </c>
      <c r="F476" s="2">
        <v>5</v>
      </c>
      <c r="G476" s="2">
        <v>2</v>
      </c>
      <c r="H476" s="2">
        <v>256</v>
      </c>
      <c r="I476" s="2">
        <v>1000</v>
      </c>
      <c r="J476" s="2">
        <v>1000</v>
      </c>
      <c r="K476" s="2">
        <v>12.77</v>
      </c>
    </row>
    <row r="477" spans="2:11" x14ac:dyDescent="0.2">
      <c r="B477" s="26" t="str">
        <f>_xlfn.XLOOKUP(Total[[#This Row],[Metodo]],TbSolver[Metodo],TbSolver[Solver])</f>
        <v>Adams Bashford Moulton</v>
      </c>
      <c r="C477" s="26" t="str">
        <f>_xlfn.XLOOKUP(Total[[#This Row],[Hebras]],TbTecnologia[Hebras],TbTecnologia[Tecnología])</f>
        <v>CUDA</v>
      </c>
      <c r="D477" s="15" t="str" cm="1">
        <f t="array" ref="D477">_xlfn.XLOOKUP(Total[[#This Row],[Tecnología]]&amp;Total[[#This Row],[Metodo]],TbTipos[Tecnología]&amp;TbTipos[Metodo],TbTipos[Tipo])</f>
        <v>CUDA sin graph</v>
      </c>
      <c r="E477" s="15" t="str" cm="1">
        <f t="array" ref="E477">_xlfn.XLOOKUP(Total[[#This Row],[Tecnología]]&amp;Total[[#This Row],[Problema]],TbNombres[Tecnología]&amp;TbNombres[Problema],TbNombres[Nombre])</f>
        <v>Simple Advdiff</v>
      </c>
      <c r="F477" s="2">
        <v>5</v>
      </c>
      <c r="G477" s="2">
        <v>1</v>
      </c>
      <c r="H477" s="2">
        <v>256</v>
      </c>
      <c r="I477" s="2">
        <v>1000</v>
      </c>
      <c r="J477" s="2">
        <v>1000</v>
      </c>
      <c r="K477" s="2">
        <v>12.7789</v>
      </c>
    </row>
    <row r="478" spans="2:11" x14ac:dyDescent="0.2">
      <c r="B478" s="26" t="str">
        <f>_xlfn.XLOOKUP(Total[[#This Row],[Metodo]],TbSolver[Metodo],TbSolver[Solver])</f>
        <v>Adams Bashford Moulton</v>
      </c>
      <c r="C478" s="26" t="str">
        <f>_xlfn.XLOOKUP(Total[[#This Row],[Hebras]],TbTecnologia[Hebras],TbTecnologia[Tecnología])</f>
        <v>CUDA</v>
      </c>
      <c r="D478" s="15" t="str" cm="1">
        <f t="array" ref="D478">_xlfn.XLOOKUP(Total[[#This Row],[Tecnología]]&amp;Total[[#This Row],[Metodo]],TbTipos[Tecnología]&amp;TbTipos[Metodo],TbTipos[Tipo])</f>
        <v>CUDA sin graph</v>
      </c>
      <c r="E478" s="15" t="str" cm="1">
        <f t="array" ref="E478">_xlfn.XLOOKUP(Total[[#This Row],[Tecnología]]&amp;Total[[#This Row],[Problema]],TbNombres[Tecnología]&amp;TbNombres[Problema],TbNombres[Nombre])</f>
        <v>Simple Advdiff shuffle</v>
      </c>
      <c r="F478" s="2">
        <v>5</v>
      </c>
      <c r="G478" s="2">
        <v>2</v>
      </c>
      <c r="H478" s="2">
        <v>256</v>
      </c>
      <c r="I478" s="2">
        <v>2000</v>
      </c>
      <c r="J478" s="2">
        <v>2000</v>
      </c>
      <c r="K478" s="2">
        <v>12.875999999999999</v>
      </c>
    </row>
    <row r="479" spans="2:11" x14ac:dyDescent="0.2">
      <c r="B479" s="26" t="str">
        <f>_xlfn.XLOOKUP(Total[[#This Row],[Metodo]],TbSolver[Metodo],TbSolver[Solver])</f>
        <v>Adams Bashford Moulton</v>
      </c>
      <c r="C479" s="26" t="str">
        <f>_xlfn.XLOOKUP(Total[[#This Row],[Hebras]],TbTecnologia[Hebras],TbTecnologia[Tecnología])</f>
        <v>CUDA</v>
      </c>
      <c r="D479" s="15" t="str" cm="1">
        <f t="array" ref="D479">_xlfn.XLOOKUP(Total[[#This Row],[Tecnología]]&amp;Total[[#This Row],[Metodo]],TbTipos[Tecnología]&amp;TbTipos[Metodo],TbTipos[Tipo])</f>
        <v>CUDA sin graph</v>
      </c>
      <c r="E479" s="15" t="str" cm="1">
        <f t="array" ref="E479">_xlfn.XLOOKUP(Total[[#This Row],[Tecnología]]&amp;Total[[#This Row],[Problema]],TbNombres[Tecnología]&amp;TbNombres[Problema],TbNombres[Nombre])</f>
        <v>Simple Advdiff</v>
      </c>
      <c r="F479" s="2">
        <v>5</v>
      </c>
      <c r="G479" s="2">
        <v>1</v>
      </c>
      <c r="H479" s="2">
        <v>256</v>
      </c>
      <c r="I479" s="2">
        <v>2000</v>
      </c>
      <c r="J479" s="2">
        <v>2000</v>
      </c>
      <c r="K479" s="2">
        <v>12.920500000000001</v>
      </c>
    </row>
    <row r="480" spans="2:11" x14ac:dyDescent="0.2">
      <c r="B480" s="26" t="str">
        <f>_xlfn.XLOOKUP(Total[[#This Row],[Metodo]],TbSolver[Metodo],TbSolver[Solver])</f>
        <v>Adams Bashford Moulton</v>
      </c>
      <c r="C480" s="26" t="str">
        <f>_xlfn.XLOOKUP(Total[[#This Row],[Hebras]],TbTecnologia[Hebras],TbTecnologia[Tecnología])</f>
        <v>CUDA</v>
      </c>
      <c r="D480" s="15" t="str" cm="1">
        <f t="array" ref="D480">_xlfn.XLOOKUP(Total[[#This Row],[Tecnología]]&amp;Total[[#This Row],[Metodo]],TbTipos[Tecnología]&amp;TbTipos[Metodo],TbTipos[Tipo])</f>
        <v>CUDA sin graph</v>
      </c>
      <c r="E480" s="15" t="str" cm="1">
        <f t="array" ref="E480">_xlfn.XLOOKUP(Total[[#This Row],[Tecnología]]&amp;Total[[#This Row],[Problema]],TbNombres[Tecnología]&amp;TbNombres[Problema],TbNombres[Nombre])</f>
        <v>Simple Advdiff</v>
      </c>
      <c r="F480" s="2">
        <v>5</v>
      </c>
      <c r="G480" s="2">
        <v>1</v>
      </c>
      <c r="H480" s="2">
        <v>256</v>
      </c>
      <c r="I480" s="2">
        <v>5000</v>
      </c>
      <c r="J480" s="2">
        <v>5000</v>
      </c>
      <c r="K480" s="2">
        <v>13.1076</v>
      </c>
    </row>
    <row r="481" spans="2:11" x14ac:dyDescent="0.2">
      <c r="B481" s="26" t="str">
        <f>_xlfn.XLOOKUP(Total[[#This Row],[Metodo]],TbSolver[Metodo],TbSolver[Solver])</f>
        <v>Adams Bashford Moulton</v>
      </c>
      <c r="C481" s="26" t="str">
        <f>_xlfn.XLOOKUP(Total[[#This Row],[Hebras]],TbTecnologia[Hebras],TbTecnologia[Tecnología])</f>
        <v>CUDA</v>
      </c>
      <c r="D481" s="15" t="str" cm="1">
        <f t="array" ref="D481">_xlfn.XLOOKUP(Total[[#This Row],[Tecnología]]&amp;Total[[#This Row],[Metodo]],TbTipos[Tecnología]&amp;TbTipos[Metodo],TbTipos[Tipo])</f>
        <v>CUDA sin graph</v>
      </c>
      <c r="E481" s="15" t="str" cm="1">
        <f t="array" ref="E481">_xlfn.XLOOKUP(Total[[#This Row],[Tecnología]]&amp;Total[[#This Row],[Problema]],TbNombres[Tecnología]&amp;TbNombres[Problema],TbNombres[Nombre])</f>
        <v>Simple Advdiff shuffle</v>
      </c>
      <c r="F481" s="2">
        <v>5</v>
      </c>
      <c r="G481" s="2">
        <v>2</v>
      </c>
      <c r="H481" s="2">
        <v>256</v>
      </c>
      <c r="I481" s="2">
        <v>5000</v>
      </c>
      <c r="J481" s="2">
        <v>5000</v>
      </c>
      <c r="K481" s="2">
        <v>13.1449</v>
      </c>
    </row>
    <row r="482" spans="2:11" x14ac:dyDescent="0.2">
      <c r="B482" s="26" t="str">
        <f>_xlfn.XLOOKUP(Total[[#This Row],[Metodo]],TbSolver[Metodo],TbSolver[Solver])</f>
        <v>Adams Bashford Moulton</v>
      </c>
      <c r="C482" s="26" t="str">
        <f>_xlfn.XLOOKUP(Total[[#This Row],[Hebras]],TbTecnologia[Hebras],TbTecnologia[Tecnología])</f>
        <v>CUDA</v>
      </c>
      <c r="D482" s="15" t="str" cm="1">
        <f t="array" ref="D482">_xlfn.XLOOKUP(Total[[#This Row],[Tecnología]]&amp;Total[[#This Row],[Metodo]],TbTipos[Tecnología]&amp;TbTipos[Metodo],TbTipos[Tipo])</f>
        <v>CUDA sin graph</v>
      </c>
      <c r="E482" s="15" t="str" cm="1">
        <f t="array" ref="E482">_xlfn.XLOOKUP(Total[[#This Row],[Tecnología]]&amp;Total[[#This Row],[Problema]],TbNombres[Tecnología]&amp;TbNombres[Problema],TbNombres[Nombre])</f>
        <v>Simple Advdiff</v>
      </c>
      <c r="F482" s="2">
        <v>5</v>
      </c>
      <c r="G482" s="2">
        <v>1</v>
      </c>
      <c r="H482" s="2">
        <v>256</v>
      </c>
      <c r="I482" s="2">
        <v>10000</v>
      </c>
      <c r="J482" s="2">
        <v>10000</v>
      </c>
      <c r="K482" s="2">
        <v>13.3089</v>
      </c>
    </row>
    <row r="483" spans="2:11" x14ac:dyDescent="0.2">
      <c r="B483" s="26" t="str">
        <f>_xlfn.XLOOKUP(Total[[#This Row],[Metodo]],TbSolver[Metodo],TbSolver[Solver])</f>
        <v>Adams Bashford Moulton</v>
      </c>
      <c r="C483" s="26" t="str">
        <f>_xlfn.XLOOKUP(Total[[#This Row],[Hebras]],TbTecnologia[Hebras],TbTecnologia[Tecnología])</f>
        <v>CUDA</v>
      </c>
      <c r="D483" s="15" t="str" cm="1">
        <f t="array" ref="D483">_xlfn.XLOOKUP(Total[[#This Row],[Tecnología]]&amp;Total[[#This Row],[Metodo]],TbTipos[Tecnología]&amp;TbTipos[Metodo],TbTipos[Tipo])</f>
        <v>CUDA sin graph</v>
      </c>
      <c r="E483" s="15" t="str" cm="1">
        <f t="array" ref="E483">_xlfn.XLOOKUP(Total[[#This Row],[Tecnología]]&amp;Total[[#This Row],[Problema]],TbNombres[Tecnología]&amp;TbNombres[Problema],TbNombres[Nombre])</f>
        <v>Simple Advdiff</v>
      </c>
      <c r="F483" s="2">
        <v>5</v>
      </c>
      <c r="G483" s="2">
        <v>1</v>
      </c>
      <c r="H483" s="2">
        <v>256</v>
      </c>
      <c r="I483" s="2">
        <v>200</v>
      </c>
      <c r="J483" s="2">
        <v>200</v>
      </c>
      <c r="K483" s="2">
        <v>14.282400000000001</v>
      </c>
    </row>
    <row r="484" spans="2:11" x14ac:dyDescent="0.2">
      <c r="B484" s="26" t="str">
        <f>_xlfn.XLOOKUP(Total[[#This Row],[Metodo]],TbSolver[Metodo],TbSolver[Solver])</f>
        <v>Adams Bashford Moulton</v>
      </c>
      <c r="C484" s="26" t="str">
        <f>_xlfn.XLOOKUP(Total[[#This Row],[Hebras]],TbTecnologia[Hebras],TbTecnologia[Tecnología])</f>
        <v>CUDA</v>
      </c>
      <c r="D484" s="15" t="str" cm="1">
        <f t="array" ref="D484">_xlfn.XLOOKUP(Total[[#This Row],[Tecnología]]&amp;Total[[#This Row],[Metodo]],TbTipos[Tecnología]&amp;TbTipos[Metodo],TbTipos[Tipo])</f>
        <v>CUDA sin graph</v>
      </c>
      <c r="E484" s="15" t="str" cm="1">
        <f t="array" ref="E484">_xlfn.XLOOKUP(Total[[#This Row],[Tecnología]]&amp;Total[[#This Row],[Problema]],TbNombres[Tecnología]&amp;TbNombres[Problema],TbNombres[Nombre])</f>
        <v>Simple Advdiff shuffle</v>
      </c>
      <c r="F484" s="2">
        <v>5</v>
      </c>
      <c r="G484" s="2">
        <v>2</v>
      </c>
      <c r="H484" s="2">
        <v>256</v>
      </c>
      <c r="I484" s="2">
        <v>200</v>
      </c>
      <c r="J484" s="2">
        <v>200</v>
      </c>
      <c r="K484" s="2">
        <v>14.307499999999999</v>
      </c>
    </row>
    <row r="485" spans="2:11" x14ac:dyDescent="0.2">
      <c r="B485" s="26" t="str">
        <f>_xlfn.XLOOKUP(Total[[#This Row],[Metodo]],TbSolver[Metodo],TbSolver[Solver])</f>
        <v>Adams Bashford Moulton</v>
      </c>
      <c r="C485" s="26" t="str">
        <f>_xlfn.XLOOKUP(Total[[#This Row],[Hebras]],TbTecnologia[Hebras],TbTecnologia[Tecnología])</f>
        <v>CUDA</v>
      </c>
      <c r="D485" s="15" t="str" cm="1">
        <f t="array" ref="D485">_xlfn.XLOOKUP(Total[[#This Row],[Tecnología]]&amp;Total[[#This Row],[Metodo]],TbTipos[Tecnología]&amp;TbTipos[Metodo],TbTipos[Tipo])</f>
        <v>CUDA sin graph</v>
      </c>
      <c r="E485" s="15" t="str" cm="1">
        <f t="array" ref="E485">_xlfn.XLOOKUP(Total[[#This Row],[Tecnología]]&amp;Total[[#This Row],[Problema]],TbNombres[Tecnología]&amp;TbNombres[Problema],TbNombres[Nombre])</f>
        <v>Simple Advdiff</v>
      </c>
      <c r="F485" s="2">
        <v>5</v>
      </c>
      <c r="G485" s="2">
        <v>1</v>
      </c>
      <c r="H485" s="2">
        <v>256</v>
      </c>
      <c r="I485" s="2">
        <v>20000</v>
      </c>
      <c r="J485" s="2">
        <v>20000</v>
      </c>
      <c r="K485" s="2">
        <v>17.305800000000001</v>
      </c>
    </row>
    <row r="486" spans="2:11" x14ac:dyDescent="0.2">
      <c r="B486" s="26" t="str">
        <f>_xlfn.XLOOKUP(Total[[#This Row],[Metodo]],TbSolver[Metodo],TbSolver[Solver])</f>
        <v>Adams Bashford Moulton</v>
      </c>
      <c r="C486" s="26" t="str">
        <f>_xlfn.XLOOKUP(Total[[#This Row],[Hebras]],TbTecnologia[Hebras],TbTecnologia[Tecnología])</f>
        <v>CUDA</v>
      </c>
      <c r="D486" s="15" t="str" cm="1">
        <f t="array" ref="D486">_xlfn.XLOOKUP(Total[[#This Row],[Tecnología]]&amp;Total[[#This Row],[Metodo]],TbTipos[Tecnología]&amp;TbTipos[Metodo],TbTipos[Tipo])</f>
        <v>CUDA sin graph</v>
      </c>
      <c r="E486" s="15" t="str" cm="1">
        <f t="array" ref="E486">_xlfn.XLOOKUP(Total[[#This Row],[Tecnología]]&amp;Total[[#This Row],[Problema]],TbNombres[Tecnología]&amp;TbNombres[Problema],TbNombres[Nombre])</f>
        <v>Simple Advdiff</v>
      </c>
      <c r="F486" s="2">
        <v>5</v>
      </c>
      <c r="G486" s="2">
        <v>1</v>
      </c>
      <c r="H486" s="2">
        <v>256</v>
      </c>
      <c r="I486" s="2">
        <v>50000</v>
      </c>
      <c r="J486" s="2">
        <v>50000</v>
      </c>
      <c r="K486" s="2">
        <v>22.110499999999998</v>
      </c>
    </row>
    <row r="487" spans="2:11" x14ac:dyDescent="0.2">
      <c r="B487" s="26" t="str">
        <f>_xlfn.XLOOKUP(Total[[#This Row],[Metodo]],TbSolver[Metodo],TbSolver[Solver])</f>
        <v>Adams Bashford Moulton</v>
      </c>
      <c r="C487" s="26" t="str">
        <f>_xlfn.XLOOKUP(Total[[#This Row],[Hebras]],TbTecnologia[Hebras],TbTecnologia[Tecnología])</f>
        <v>CUDA</v>
      </c>
      <c r="D487" s="15" t="str" cm="1">
        <f t="array" ref="D487">_xlfn.XLOOKUP(Total[[#This Row],[Tecnología]]&amp;Total[[#This Row],[Metodo]],TbTipos[Tecnología]&amp;TbTipos[Metodo],TbTipos[Tipo])</f>
        <v>CUDA sin graph</v>
      </c>
      <c r="E487" s="15" t="str" cm="1">
        <f t="array" ref="E487">_xlfn.XLOOKUP(Total[[#This Row],[Tecnología]]&amp;Total[[#This Row],[Problema]],TbNombres[Tecnología]&amp;TbNombres[Problema],TbNombres[Nombre])</f>
        <v>Simple Advdiff</v>
      </c>
      <c r="F487" s="2">
        <v>5</v>
      </c>
      <c r="G487" s="2">
        <v>1</v>
      </c>
      <c r="H487" s="2">
        <v>256</v>
      </c>
      <c r="I487" s="2">
        <v>100000</v>
      </c>
      <c r="J487" s="2">
        <v>100000</v>
      </c>
      <c r="K487" s="2">
        <v>40.3996</v>
      </c>
    </row>
    <row r="488" spans="2:11" x14ac:dyDescent="0.2">
      <c r="B488" s="26" t="str">
        <f>_xlfn.XLOOKUP(Total[[#This Row],[Metodo]],TbSolver[Metodo],TbSolver[Solver])</f>
        <v>Adams Bashford Moulton</v>
      </c>
      <c r="C488" s="26" t="str">
        <f>_xlfn.XLOOKUP(Total[[#This Row],[Hebras]],TbTecnologia[Hebras],TbTecnologia[Tecnología])</f>
        <v>CUDA</v>
      </c>
      <c r="D488" s="15" t="str" cm="1">
        <f t="array" ref="D488">_xlfn.XLOOKUP(Total[[#This Row],[Tecnología]]&amp;Total[[#This Row],[Metodo]],TbTipos[Tecnología]&amp;TbTipos[Metodo],TbTipos[Tipo])</f>
        <v>CUDA sin graph</v>
      </c>
      <c r="E488" s="15" t="str" cm="1">
        <f t="array" ref="E488">_xlfn.XLOOKUP(Total[[#This Row],[Tecnología]]&amp;Total[[#This Row],[Problema]],TbNombres[Tecnología]&amp;TbNombres[Problema],TbNombres[Nombre])</f>
        <v>Simple Advdiff</v>
      </c>
      <c r="F488" s="2">
        <v>5</v>
      </c>
      <c r="G488" s="2">
        <v>1</v>
      </c>
      <c r="H488" s="2">
        <v>256</v>
      </c>
      <c r="I488" s="2">
        <v>200000</v>
      </c>
      <c r="J488" s="2">
        <v>200000</v>
      </c>
      <c r="K488" s="2">
        <v>94.000799999999998</v>
      </c>
    </row>
    <row r="489" spans="2:11" x14ac:dyDescent="0.2">
      <c r="B489" s="26" t="str">
        <f>_xlfn.XLOOKUP(Total[[#This Row],[Metodo]],TbSolver[Metodo],TbSolver[Solver])</f>
        <v>Adams Bashford Moulton</v>
      </c>
      <c r="C489" s="26" t="str">
        <f>_xlfn.XLOOKUP(Total[[#This Row],[Hebras]],TbTecnologia[Hebras],TbTecnologia[Tecnología])</f>
        <v>OMP</v>
      </c>
      <c r="D489" s="15" t="str" cm="1">
        <f t="array" ref="D489">_xlfn.XLOOKUP(Total[[#This Row],[Tecnología]]&amp;Total[[#This Row],[Metodo]],TbTipos[Tecnología]&amp;TbTipos[Metodo],TbTipos[Tipo])</f>
        <v>OMP Operaciones</v>
      </c>
      <c r="E489" s="15" t="str" cm="1">
        <f t="array" ref="E489">_xlfn.XLOOKUP(Total[[#This Row],[Tecnología]]&amp;Total[[#This Row],[Problema]],TbNombres[Tecnología]&amp;TbNombres[Problema],TbNombres[Nombre])</f>
        <v>Simple Advdiff</v>
      </c>
      <c r="F489" s="2">
        <v>5</v>
      </c>
      <c r="G489" s="2">
        <v>1</v>
      </c>
      <c r="H489" s="2">
        <v>1</v>
      </c>
      <c r="I489" s="2">
        <v>100</v>
      </c>
      <c r="J489" s="2">
        <v>100</v>
      </c>
      <c r="K489" s="2">
        <v>4.5551399999999997</v>
      </c>
    </row>
    <row r="490" spans="2:11" x14ac:dyDescent="0.2">
      <c r="B490" s="26" t="str">
        <f>_xlfn.XLOOKUP(Total[[#This Row],[Metodo]],TbSolver[Metodo],TbSolver[Solver])</f>
        <v>Adams Bashford Moulton</v>
      </c>
      <c r="C490" s="26" t="str">
        <f>_xlfn.XLOOKUP(Total[[#This Row],[Hebras]],TbTecnologia[Hebras],TbTecnologia[Tecnología])</f>
        <v>OMP</v>
      </c>
      <c r="D490" s="15" t="str" cm="1">
        <f t="array" ref="D490">_xlfn.XLOOKUP(Total[[#This Row],[Tecnología]]&amp;Total[[#This Row],[Metodo]],TbTipos[Tecnología]&amp;TbTipos[Metodo],TbTipos[Tipo])</f>
        <v>OMP Operaciones</v>
      </c>
      <c r="E490" s="15" t="str" cm="1">
        <f t="array" ref="E490">_xlfn.XLOOKUP(Total[[#This Row],[Tecnología]]&amp;Total[[#This Row],[Problema]],TbNombres[Tecnología]&amp;TbNombres[Problema],TbNombres[Nombre])</f>
        <v>Simple Advdiff</v>
      </c>
      <c r="F490" s="2">
        <v>5</v>
      </c>
      <c r="G490" s="2">
        <v>1</v>
      </c>
      <c r="H490" s="2">
        <v>4</v>
      </c>
      <c r="I490" s="2">
        <v>100</v>
      </c>
      <c r="J490" s="2">
        <v>100</v>
      </c>
      <c r="K490" s="2">
        <v>43.716000000000001</v>
      </c>
    </row>
    <row r="491" spans="2:11" x14ac:dyDescent="0.2">
      <c r="B491" s="26" t="str">
        <f>_xlfn.XLOOKUP(Total[[#This Row],[Metodo]],TbSolver[Metodo],TbSolver[Solver])</f>
        <v>Adams Bashford Moulton</v>
      </c>
      <c r="C491" s="26" t="str">
        <f>_xlfn.XLOOKUP(Total[[#This Row],[Hebras]],TbTecnologia[Hebras],TbTecnologia[Tecnología])</f>
        <v>OMP</v>
      </c>
      <c r="D491" s="15" t="str" cm="1">
        <f t="array" ref="D491">_xlfn.XLOOKUP(Total[[#This Row],[Tecnología]]&amp;Total[[#This Row],[Metodo]],TbTipos[Tecnología]&amp;TbTipos[Metodo],TbTipos[Tipo])</f>
        <v>OMP Operaciones</v>
      </c>
      <c r="E491" s="15" t="str" cm="1">
        <f t="array" ref="E491">_xlfn.XLOOKUP(Total[[#This Row],[Tecnología]]&amp;Total[[#This Row],[Problema]],TbNombres[Tecnología]&amp;TbNombres[Problema],TbNombres[Nombre])</f>
        <v>Simple Advdiff</v>
      </c>
      <c r="F491" s="2">
        <v>5</v>
      </c>
      <c r="G491" s="2">
        <v>1</v>
      </c>
      <c r="H491" s="2">
        <v>16</v>
      </c>
      <c r="I491" s="2">
        <v>100</v>
      </c>
      <c r="J491" s="2">
        <v>100</v>
      </c>
      <c r="K491" s="2">
        <v>112.265</v>
      </c>
    </row>
    <row r="492" spans="2:11" x14ac:dyDescent="0.2">
      <c r="B492" s="26" t="str">
        <f>_xlfn.XLOOKUP(Total[[#This Row],[Metodo]],TbSolver[Metodo],TbSolver[Solver])</f>
        <v>Adams Bashford Moulton</v>
      </c>
      <c r="C492" s="26" t="str">
        <f>_xlfn.XLOOKUP(Total[[#This Row],[Hebras]],TbTecnologia[Hebras],TbTecnologia[Tecnología])</f>
        <v>OMP</v>
      </c>
      <c r="D492" s="15" t="str" cm="1">
        <f t="array" ref="D492">_xlfn.XLOOKUP(Total[[#This Row],[Tecnología]]&amp;Total[[#This Row],[Metodo]],TbTipos[Tecnología]&amp;TbTipos[Metodo],TbTipos[Tipo])</f>
        <v>OMP Operaciones</v>
      </c>
      <c r="E492" s="15" t="str" cm="1">
        <f t="array" ref="E492">_xlfn.XLOOKUP(Total[[#This Row],[Tecnología]]&amp;Total[[#This Row],[Problema]],TbNombres[Tecnología]&amp;TbNombres[Problema],TbNombres[Nombre])</f>
        <v>Simple Advdiff</v>
      </c>
      <c r="F492" s="2">
        <v>5</v>
      </c>
      <c r="G492" s="2">
        <v>1</v>
      </c>
      <c r="H492" s="2">
        <v>1</v>
      </c>
      <c r="I492" s="2">
        <v>200</v>
      </c>
      <c r="J492" s="2">
        <v>200</v>
      </c>
      <c r="K492" s="2">
        <v>5.1783299999999999</v>
      </c>
    </row>
    <row r="493" spans="2:11" x14ac:dyDescent="0.2">
      <c r="B493" s="26" t="str">
        <f>_xlfn.XLOOKUP(Total[[#This Row],[Metodo]],TbSolver[Metodo],TbSolver[Solver])</f>
        <v>Adams Bashford Moulton</v>
      </c>
      <c r="C493" s="26" t="str">
        <f>_xlfn.XLOOKUP(Total[[#This Row],[Hebras]],TbTecnologia[Hebras],TbTecnologia[Tecnología])</f>
        <v>OMP</v>
      </c>
      <c r="D493" s="15" t="str" cm="1">
        <f t="array" ref="D493">_xlfn.XLOOKUP(Total[[#This Row],[Tecnología]]&amp;Total[[#This Row],[Metodo]],TbTipos[Tecnología]&amp;TbTipos[Metodo],TbTipos[Tipo])</f>
        <v>OMP Operaciones</v>
      </c>
      <c r="E493" s="15" t="str" cm="1">
        <f t="array" ref="E493">_xlfn.XLOOKUP(Total[[#This Row],[Tecnología]]&amp;Total[[#This Row],[Problema]],TbNombres[Tecnología]&amp;TbNombres[Problema],TbNombres[Nombre])</f>
        <v>Simple Advdiff</v>
      </c>
      <c r="F493" s="2">
        <v>5</v>
      </c>
      <c r="G493" s="2">
        <v>1</v>
      </c>
      <c r="H493" s="2">
        <v>4</v>
      </c>
      <c r="I493" s="2">
        <v>200</v>
      </c>
      <c r="J493" s="2">
        <v>200</v>
      </c>
      <c r="K493" s="2">
        <v>38.086300000000001</v>
      </c>
    </row>
    <row r="494" spans="2:11" x14ac:dyDescent="0.2">
      <c r="B494" s="26" t="str">
        <f>_xlfn.XLOOKUP(Total[[#This Row],[Metodo]],TbSolver[Metodo],TbSolver[Solver])</f>
        <v>Adams Bashford Moulton</v>
      </c>
      <c r="C494" s="26" t="str">
        <f>_xlfn.XLOOKUP(Total[[#This Row],[Hebras]],TbTecnologia[Hebras],TbTecnologia[Tecnología])</f>
        <v>OMP</v>
      </c>
      <c r="D494" s="15" t="str" cm="1">
        <f t="array" ref="D494">_xlfn.XLOOKUP(Total[[#This Row],[Tecnología]]&amp;Total[[#This Row],[Metodo]],TbTipos[Tecnología]&amp;TbTipos[Metodo],TbTipos[Tipo])</f>
        <v>OMP Operaciones</v>
      </c>
      <c r="E494" s="15" t="str" cm="1">
        <f t="array" ref="E494">_xlfn.XLOOKUP(Total[[#This Row],[Tecnología]]&amp;Total[[#This Row],[Problema]],TbNombres[Tecnología]&amp;TbNombres[Problema],TbNombres[Nombre])</f>
        <v>Simple Advdiff</v>
      </c>
      <c r="F494" s="2">
        <v>5</v>
      </c>
      <c r="G494" s="2">
        <v>1</v>
      </c>
      <c r="H494" s="2">
        <v>16</v>
      </c>
      <c r="I494" s="2">
        <v>200</v>
      </c>
      <c r="J494" s="2">
        <v>200</v>
      </c>
      <c r="K494" s="2">
        <v>89.890199999999993</v>
      </c>
    </row>
    <row r="495" spans="2:11" x14ac:dyDescent="0.2">
      <c r="B495" s="26" t="str">
        <f>_xlfn.XLOOKUP(Total[[#This Row],[Metodo]],TbSolver[Metodo],TbSolver[Solver])</f>
        <v>Adams Bashford Moulton</v>
      </c>
      <c r="C495" s="26" t="str">
        <f>_xlfn.XLOOKUP(Total[[#This Row],[Hebras]],TbTecnologia[Hebras],TbTecnologia[Tecnología])</f>
        <v>OMP</v>
      </c>
      <c r="D495" s="15" t="str" cm="1">
        <f t="array" ref="D495">_xlfn.XLOOKUP(Total[[#This Row],[Tecnología]]&amp;Total[[#This Row],[Metodo]],TbTipos[Tecnología]&amp;TbTipos[Metodo],TbTipos[Tipo])</f>
        <v>OMP Operaciones</v>
      </c>
      <c r="E495" s="15" t="str" cm="1">
        <f t="array" ref="E495">_xlfn.XLOOKUP(Total[[#This Row],[Tecnología]]&amp;Total[[#This Row],[Problema]],TbNombres[Tecnología]&amp;TbNombres[Problema],TbNombres[Nombre])</f>
        <v>Simple Advdiff</v>
      </c>
      <c r="F495" s="2">
        <v>5</v>
      </c>
      <c r="G495" s="2">
        <v>1</v>
      </c>
      <c r="H495" s="2">
        <v>1</v>
      </c>
      <c r="I495" s="2">
        <v>500</v>
      </c>
      <c r="J495" s="2">
        <v>500</v>
      </c>
      <c r="K495" s="2">
        <v>6.8080400000000001</v>
      </c>
    </row>
    <row r="496" spans="2:11" x14ac:dyDescent="0.2">
      <c r="B496" s="26" t="str">
        <f>_xlfn.XLOOKUP(Total[[#This Row],[Metodo]],TbSolver[Metodo],TbSolver[Solver])</f>
        <v>Adams Bashford Moulton</v>
      </c>
      <c r="C496" s="26" t="str">
        <f>_xlfn.XLOOKUP(Total[[#This Row],[Hebras]],TbTecnologia[Hebras],TbTecnologia[Tecnología])</f>
        <v>OMP</v>
      </c>
      <c r="D496" s="15" t="str" cm="1">
        <f t="array" ref="D496">_xlfn.XLOOKUP(Total[[#This Row],[Tecnología]]&amp;Total[[#This Row],[Metodo]],TbTipos[Tecnología]&amp;TbTipos[Metodo],TbTipos[Tipo])</f>
        <v>OMP Operaciones</v>
      </c>
      <c r="E496" s="15" t="str" cm="1">
        <f t="array" ref="E496">_xlfn.XLOOKUP(Total[[#This Row],[Tecnología]]&amp;Total[[#This Row],[Problema]],TbNombres[Tecnología]&amp;TbNombres[Problema],TbNombres[Nombre])</f>
        <v>Simple Advdiff</v>
      </c>
      <c r="F496" s="2">
        <v>5</v>
      </c>
      <c r="G496" s="2">
        <v>1</v>
      </c>
      <c r="H496" s="2">
        <v>4</v>
      </c>
      <c r="I496" s="2">
        <v>500</v>
      </c>
      <c r="J496" s="2">
        <v>500</v>
      </c>
      <c r="K496" s="2">
        <v>50.9985</v>
      </c>
    </row>
    <row r="497" spans="2:11" x14ac:dyDescent="0.2">
      <c r="B497" s="26" t="str">
        <f>_xlfn.XLOOKUP(Total[[#This Row],[Metodo]],TbSolver[Metodo],TbSolver[Solver])</f>
        <v>Adams Bashford Moulton</v>
      </c>
      <c r="C497" s="26" t="str">
        <f>_xlfn.XLOOKUP(Total[[#This Row],[Hebras]],TbTecnologia[Hebras],TbTecnologia[Tecnología])</f>
        <v>OMP</v>
      </c>
      <c r="D497" s="15" t="str" cm="1">
        <f t="array" ref="D497">_xlfn.XLOOKUP(Total[[#This Row],[Tecnología]]&amp;Total[[#This Row],[Metodo]],TbTipos[Tecnología]&amp;TbTipos[Metodo],TbTipos[Tipo])</f>
        <v>OMP Operaciones</v>
      </c>
      <c r="E497" s="15" t="str" cm="1">
        <f t="array" ref="E497">_xlfn.XLOOKUP(Total[[#This Row],[Tecnología]]&amp;Total[[#This Row],[Problema]],TbNombres[Tecnología]&amp;TbNombres[Problema],TbNombres[Nombre])</f>
        <v>Simple Advdiff</v>
      </c>
      <c r="F497" s="2">
        <v>5</v>
      </c>
      <c r="G497" s="2">
        <v>1</v>
      </c>
      <c r="H497" s="2">
        <v>16</v>
      </c>
      <c r="I497" s="2">
        <v>500</v>
      </c>
      <c r="J497" s="2">
        <v>500</v>
      </c>
      <c r="K497" s="2">
        <v>106.66200000000001</v>
      </c>
    </row>
    <row r="498" spans="2:11" x14ac:dyDescent="0.2">
      <c r="B498" s="26" t="str">
        <f>_xlfn.XLOOKUP(Total[[#This Row],[Metodo]],TbSolver[Metodo],TbSolver[Solver])</f>
        <v>Adams Bashford Moulton</v>
      </c>
      <c r="C498" s="26" t="str">
        <f>_xlfn.XLOOKUP(Total[[#This Row],[Hebras]],TbTecnologia[Hebras],TbTecnologia[Tecnología])</f>
        <v>OMP</v>
      </c>
      <c r="D498" s="15" t="str" cm="1">
        <f t="array" ref="D498">_xlfn.XLOOKUP(Total[[#This Row],[Tecnología]]&amp;Total[[#This Row],[Metodo]],TbTipos[Tecnología]&amp;TbTipos[Metodo],TbTipos[Tipo])</f>
        <v>OMP Operaciones</v>
      </c>
      <c r="E498" s="15" t="str" cm="1">
        <f t="array" ref="E498">_xlfn.XLOOKUP(Total[[#This Row],[Tecnología]]&amp;Total[[#This Row],[Problema]],TbNombres[Tecnología]&amp;TbNombres[Problema],TbNombres[Nombre])</f>
        <v>Simple Advdiff</v>
      </c>
      <c r="F498" s="2">
        <v>5</v>
      </c>
      <c r="G498" s="2">
        <v>1</v>
      </c>
      <c r="H498" s="2">
        <v>1</v>
      </c>
      <c r="I498" s="2">
        <v>1000</v>
      </c>
      <c r="J498" s="2">
        <v>1000</v>
      </c>
      <c r="K498" s="2">
        <v>10.2989</v>
      </c>
    </row>
    <row r="499" spans="2:11" x14ac:dyDescent="0.2">
      <c r="B499" s="26" t="str">
        <f>_xlfn.XLOOKUP(Total[[#This Row],[Metodo]],TbSolver[Metodo],TbSolver[Solver])</f>
        <v>Adams Bashford Moulton</v>
      </c>
      <c r="C499" s="26" t="str">
        <f>_xlfn.XLOOKUP(Total[[#This Row],[Hebras]],TbTecnologia[Hebras],TbTecnologia[Tecnología])</f>
        <v>OMP</v>
      </c>
      <c r="D499" s="15" t="str" cm="1">
        <f t="array" ref="D499">_xlfn.XLOOKUP(Total[[#This Row],[Tecnología]]&amp;Total[[#This Row],[Metodo]],TbTipos[Tecnología]&amp;TbTipos[Metodo],TbTipos[Tipo])</f>
        <v>OMP Operaciones</v>
      </c>
      <c r="E499" s="15" t="str" cm="1">
        <f t="array" ref="E499">_xlfn.XLOOKUP(Total[[#This Row],[Tecnología]]&amp;Total[[#This Row],[Problema]],TbNombres[Tecnología]&amp;TbNombres[Problema],TbNombres[Nombre])</f>
        <v>Simple Advdiff</v>
      </c>
      <c r="F499" s="2">
        <v>5</v>
      </c>
      <c r="G499" s="2">
        <v>1</v>
      </c>
      <c r="H499" s="2">
        <v>4</v>
      </c>
      <c r="I499" s="2">
        <v>1000</v>
      </c>
      <c r="J499" s="2">
        <v>1000</v>
      </c>
      <c r="K499" s="2">
        <v>43.6098</v>
      </c>
    </row>
    <row r="500" spans="2:11" x14ac:dyDescent="0.2">
      <c r="B500" s="26" t="str">
        <f>_xlfn.XLOOKUP(Total[[#This Row],[Metodo]],TbSolver[Metodo],TbSolver[Solver])</f>
        <v>Adams Bashford Moulton</v>
      </c>
      <c r="C500" s="26" t="str">
        <f>_xlfn.XLOOKUP(Total[[#This Row],[Hebras]],TbTecnologia[Hebras],TbTecnologia[Tecnología])</f>
        <v>OMP</v>
      </c>
      <c r="D500" s="15" t="str" cm="1">
        <f t="array" ref="D500">_xlfn.XLOOKUP(Total[[#This Row],[Tecnología]]&amp;Total[[#This Row],[Metodo]],TbTipos[Tecnología]&amp;TbTipos[Metodo],TbTipos[Tipo])</f>
        <v>OMP Operaciones</v>
      </c>
      <c r="E500" s="15" t="str" cm="1">
        <f t="array" ref="E500">_xlfn.XLOOKUP(Total[[#This Row],[Tecnología]]&amp;Total[[#This Row],[Problema]],TbNombres[Tecnología]&amp;TbNombres[Problema],TbNombres[Nombre])</f>
        <v>Simple Advdiff</v>
      </c>
      <c r="F500" s="2">
        <v>5</v>
      </c>
      <c r="G500" s="2">
        <v>1</v>
      </c>
      <c r="H500" s="2">
        <v>16</v>
      </c>
      <c r="I500" s="2">
        <v>1000</v>
      </c>
      <c r="J500" s="2">
        <v>1000</v>
      </c>
      <c r="K500" s="2">
        <v>85.655199999999994</v>
      </c>
    </row>
    <row r="501" spans="2:11" x14ac:dyDescent="0.2">
      <c r="B501" s="26" t="str">
        <f>_xlfn.XLOOKUP(Total[[#This Row],[Metodo]],TbSolver[Metodo],TbSolver[Solver])</f>
        <v>Adams Bashford Moulton</v>
      </c>
      <c r="C501" s="26" t="str">
        <f>_xlfn.XLOOKUP(Total[[#This Row],[Hebras]],TbTecnologia[Hebras],TbTecnologia[Tecnología])</f>
        <v>OMP</v>
      </c>
      <c r="D501" s="15" t="str" cm="1">
        <f t="array" ref="D501">_xlfn.XLOOKUP(Total[[#This Row],[Tecnología]]&amp;Total[[#This Row],[Metodo]],TbTipos[Tecnología]&amp;TbTipos[Metodo],TbTipos[Tipo])</f>
        <v>OMP Elementos</v>
      </c>
      <c r="E501" s="15" t="str" cm="1">
        <f t="array" ref="E501">_xlfn.XLOOKUP(Total[[#This Row],[Tecnología]]&amp;Total[[#This Row],[Problema]],TbNombres[Tecnología]&amp;TbNombres[Problema],TbNombres[Nombre])</f>
        <v>Simple Advdiff</v>
      </c>
      <c r="F501" s="2">
        <v>6</v>
      </c>
      <c r="G501" s="2">
        <v>1</v>
      </c>
      <c r="H501" s="2">
        <v>1</v>
      </c>
      <c r="I501" s="2">
        <v>100</v>
      </c>
      <c r="J501" s="2">
        <v>100</v>
      </c>
      <c r="K501" s="2">
        <v>3.1528900000000002</v>
      </c>
    </row>
    <row r="502" spans="2:11" x14ac:dyDescent="0.2">
      <c r="B502" s="26" t="str">
        <f>_xlfn.XLOOKUP(Total[[#This Row],[Metodo]],TbSolver[Metodo],TbSolver[Solver])</f>
        <v>Adams Bashford Moulton</v>
      </c>
      <c r="C502" s="26" t="str">
        <f>_xlfn.XLOOKUP(Total[[#This Row],[Hebras]],TbTecnologia[Hebras],TbTecnologia[Tecnología])</f>
        <v>OMP</v>
      </c>
      <c r="D502" s="15" t="str" cm="1">
        <f t="array" ref="D502">_xlfn.XLOOKUP(Total[[#This Row],[Tecnología]]&amp;Total[[#This Row],[Metodo]],TbTipos[Tecnología]&amp;TbTipos[Metodo],TbTipos[Tipo])</f>
        <v>OMP Elementos</v>
      </c>
      <c r="E502" s="15" t="str" cm="1">
        <f t="array" ref="E502">_xlfn.XLOOKUP(Total[[#This Row],[Tecnología]]&amp;Total[[#This Row],[Problema]],TbNombres[Tecnología]&amp;TbNombres[Problema],TbNombres[Nombre])</f>
        <v>Simple Advdiff</v>
      </c>
      <c r="F502" s="2">
        <v>6</v>
      </c>
      <c r="G502" s="2">
        <v>1</v>
      </c>
      <c r="H502" s="2">
        <v>4</v>
      </c>
      <c r="I502" s="2">
        <v>100</v>
      </c>
      <c r="J502" s="2">
        <v>100</v>
      </c>
      <c r="K502" s="2">
        <v>9.6583900000000007</v>
      </c>
    </row>
    <row r="503" spans="2:11" x14ac:dyDescent="0.2">
      <c r="B503" s="26" t="str">
        <f>_xlfn.XLOOKUP(Total[[#This Row],[Metodo]],TbSolver[Metodo],TbSolver[Solver])</f>
        <v>Adams Bashford Moulton</v>
      </c>
      <c r="C503" s="26" t="str">
        <f>_xlfn.XLOOKUP(Total[[#This Row],[Hebras]],TbTecnologia[Hebras],TbTecnologia[Tecnología])</f>
        <v>OMP</v>
      </c>
      <c r="D503" s="15" t="str" cm="1">
        <f t="array" ref="D503">_xlfn.XLOOKUP(Total[[#This Row],[Tecnología]]&amp;Total[[#This Row],[Metodo]],TbTipos[Tecnología]&amp;TbTipos[Metodo],TbTipos[Tipo])</f>
        <v>OMP Elementos</v>
      </c>
      <c r="E503" s="15" t="str" cm="1">
        <f t="array" ref="E503">_xlfn.XLOOKUP(Total[[#This Row],[Tecnología]]&amp;Total[[#This Row],[Problema]],TbNombres[Tecnología]&amp;TbNombres[Problema],TbNombres[Nombre])</f>
        <v>Simple Advdiff</v>
      </c>
      <c r="F503" s="2">
        <v>6</v>
      </c>
      <c r="G503" s="2">
        <v>1</v>
      </c>
      <c r="H503" s="2">
        <v>16</v>
      </c>
      <c r="I503" s="2">
        <v>100</v>
      </c>
      <c r="J503" s="2">
        <v>100</v>
      </c>
      <c r="K503" s="2">
        <v>39.554499999999997</v>
      </c>
    </row>
    <row r="504" spans="2:11" x14ac:dyDescent="0.2">
      <c r="B504" s="26" t="str">
        <f>_xlfn.XLOOKUP(Total[[#This Row],[Metodo]],TbSolver[Metodo],TbSolver[Solver])</f>
        <v>Adams Bashford Moulton</v>
      </c>
      <c r="C504" s="26" t="str">
        <f>_xlfn.XLOOKUP(Total[[#This Row],[Hebras]],TbTecnologia[Hebras],TbTecnologia[Tecnología])</f>
        <v>OMP</v>
      </c>
      <c r="D504" s="15" t="str" cm="1">
        <f t="array" ref="D504">_xlfn.XLOOKUP(Total[[#This Row],[Tecnología]]&amp;Total[[#This Row],[Metodo]],TbTipos[Tecnología]&amp;TbTipos[Metodo],TbTipos[Tipo])</f>
        <v>OMP Elementos</v>
      </c>
      <c r="E504" s="15" t="str" cm="1">
        <f t="array" ref="E504">_xlfn.XLOOKUP(Total[[#This Row],[Tecnología]]&amp;Total[[#This Row],[Problema]],TbNombres[Tecnología]&amp;TbNombres[Problema],TbNombres[Nombre])</f>
        <v>Simple Advdiff</v>
      </c>
      <c r="F504" s="2">
        <v>6</v>
      </c>
      <c r="G504" s="2">
        <v>1</v>
      </c>
      <c r="H504" s="2">
        <v>1</v>
      </c>
      <c r="I504" s="2">
        <v>200</v>
      </c>
      <c r="J504" s="2">
        <v>200</v>
      </c>
      <c r="K504" s="2">
        <v>5.5153400000000001</v>
      </c>
    </row>
    <row r="505" spans="2:11" x14ac:dyDescent="0.2">
      <c r="B505" s="26" t="str">
        <f>_xlfn.XLOOKUP(Total[[#This Row],[Metodo]],TbSolver[Metodo],TbSolver[Solver])</f>
        <v>Adams Bashford Moulton</v>
      </c>
      <c r="C505" s="26" t="str">
        <f>_xlfn.XLOOKUP(Total[[#This Row],[Hebras]],TbTecnologia[Hebras],TbTecnologia[Tecnología])</f>
        <v>OMP</v>
      </c>
      <c r="D505" s="15" t="str" cm="1">
        <f t="array" ref="D505">_xlfn.XLOOKUP(Total[[#This Row],[Tecnología]]&amp;Total[[#This Row],[Metodo]],TbTipos[Tecnología]&amp;TbTipos[Metodo],TbTipos[Tipo])</f>
        <v>OMP Elementos</v>
      </c>
      <c r="E505" s="15" t="str" cm="1">
        <f t="array" ref="E505">_xlfn.XLOOKUP(Total[[#This Row],[Tecnología]]&amp;Total[[#This Row],[Problema]],TbNombres[Tecnología]&amp;TbNombres[Problema],TbNombres[Nombre])</f>
        <v>Simple Advdiff</v>
      </c>
      <c r="F505" s="2">
        <v>6</v>
      </c>
      <c r="G505" s="2">
        <v>1</v>
      </c>
      <c r="H505" s="2">
        <v>4</v>
      </c>
      <c r="I505" s="2">
        <v>200</v>
      </c>
      <c r="J505" s="2">
        <v>200</v>
      </c>
      <c r="K505" s="2">
        <v>9.2685300000000002</v>
      </c>
    </row>
    <row r="506" spans="2:11" x14ac:dyDescent="0.2">
      <c r="B506" s="26" t="str">
        <f>_xlfn.XLOOKUP(Total[[#This Row],[Metodo]],TbSolver[Metodo],TbSolver[Solver])</f>
        <v>Adams Bashford Moulton</v>
      </c>
      <c r="C506" s="26" t="str">
        <f>_xlfn.XLOOKUP(Total[[#This Row],[Hebras]],TbTecnologia[Hebras],TbTecnologia[Tecnología])</f>
        <v>OMP</v>
      </c>
      <c r="D506" s="15" t="str" cm="1">
        <f t="array" ref="D506">_xlfn.XLOOKUP(Total[[#This Row],[Tecnología]]&amp;Total[[#This Row],[Metodo]],TbTipos[Tecnología]&amp;TbTipos[Metodo],TbTipos[Tipo])</f>
        <v>OMP Elementos</v>
      </c>
      <c r="E506" s="15" t="str" cm="1">
        <f t="array" ref="E506">_xlfn.XLOOKUP(Total[[#This Row],[Tecnología]]&amp;Total[[#This Row],[Problema]],TbNombres[Tecnología]&amp;TbNombres[Problema],TbNombres[Nombre])</f>
        <v>Simple Advdiff</v>
      </c>
      <c r="F506" s="2">
        <v>6</v>
      </c>
      <c r="G506" s="2">
        <v>1</v>
      </c>
      <c r="H506" s="2">
        <v>16</v>
      </c>
      <c r="I506" s="2">
        <v>200</v>
      </c>
      <c r="J506" s="2">
        <v>200</v>
      </c>
      <c r="K506" s="2">
        <v>56.233899999999998</v>
      </c>
    </row>
    <row r="507" spans="2:11" x14ac:dyDescent="0.2">
      <c r="B507" s="26" t="str">
        <f>_xlfn.XLOOKUP(Total[[#This Row],[Metodo]],TbSolver[Metodo],TbSolver[Solver])</f>
        <v>Adams Bashford Moulton</v>
      </c>
      <c r="C507" s="26" t="str">
        <f>_xlfn.XLOOKUP(Total[[#This Row],[Hebras]],TbTecnologia[Hebras],TbTecnologia[Tecnología])</f>
        <v>OMP</v>
      </c>
      <c r="D507" s="15" t="str" cm="1">
        <f t="array" ref="D507">_xlfn.XLOOKUP(Total[[#This Row],[Tecnología]]&amp;Total[[#This Row],[Metodo]],TbTipos[Tecnología]&amp;TbTipos[Metodo],TbTipos[Tipo])</f>
        <v>OMP Elementos</v>
      </c>
      <c r="E507" s="15" t="str" cm="1">
        <f t="array" ref="E507">_xlfn.XLOOKUP(Total[[#This Row],[Tecnología]]&amp;Total[[#This Row],[Problema]],TbNombres[Tecnología]&amp;TbNombres[Problema],TbNombres[Nombre])</f>
        <v>Simple Advdiff</v>
      </c>
      <c r="F507" s="2">
        <v>6</v>
      </c>
      <c r="G507" s="2">
        <v>1</v>
      </c>
      <c r="H507" s="2">
        <v>1</v>
      </c>
      <c r="I507" s="2">
        <v>500</v>
      </c>
      <c r="J507" s="2">
        <v>500</v>
      </c>
      <c r="K507" s="2">
        <v>12.668699999999999</v>
      </c>
    </row>
    <row r="508" spans="2:11" x14ac:dyDescent="0.2">
      <c r="B508" s="26" t="str">
        <f>_xlfn.XLOOKUP(Total[[#This Row],[Metodo]],TbSolver[Metodo],TbSolver[Solver])</f>
        <v>Adams Bashford Moulton</v>
      </c>
      <c r="C508" s="26" t="str">
        <f>_xlfn.XLOOKUP(Total[[#This Row],[Hebras]],TbTecnologia[Hebras],TbTecnologia[Tecnología])</f>
        <v>OMP</v>
      </c>
      <c r="D508" s="15" t="str" cm="1">
        <f t="array" ref="D508">_xlfn.XLOOKUP(Total[[#This Row],[Tecnología]]&amp;Total[[#This Row],[Metodo]],TbTipos[Tecnología]&amp;TbTipos[Metodo],TbTipos[Tipo])</f>
        <v>OMP Elementos</v>
      </c>
      <c r="E508" s="15" t="str" cm="1">
        <f t="array" ref="E508">_xlfn.XLOOKUP(Total[[#This Row],[Tecnología]]&amp;Total[[#This Row],[Problema]],TbNombres[Tecnología]&amp;TbNombres[Problema],TbNombres[Nombre])</f>
        <v>Simple Advdiff</v>
      </c>
      <c r="F508" s="2">
        <v>6</v>
      </c>
      <c r="G508" s="2">
        <v>1</v>
      </c>
      <c r="H508" s="2">
        <v>4</v>
      </c>
      <c r="I508" s="2">
        <v>500</v>
      </c>
      <c r="J508" s="2">
        <v>500</v>
      </c>
      <c r="K508" s="2">
        <v>11.7508</v>
      </c>
    </row>
    <row r="509" spans="2:11" x14ac:dyDescent="0.2">
      <c r="B509" s="26" t="str">
        <f>_xlfn.XLOOKUP(Total[[#This Row],[Metodo]],TbSolver[Metodo],TbSolver[Solver])</f>
        <v>Adams Bashford Moulton</v>
      </c>
      <c r="C509" s="26" t="str">
        <f>_xlfn.XLOOKUP(Total[[#This Row],[Hebras]],TbTecnologia[Hebras],TbTecnologia[Tecnología])</f>
        <v>OMP</v>
      </c>
      <c r="D509" s="15" t="str" cm="1">
        <f t="array" ref="D509">_xlfn.XLOOKUP(Total[[#This Row],[Tecnología]]&amp;Total[[#This Row],[Metodo]],TbTipos[Tecnología]&amp;TbTipos[Metodo],TbTipos[Tipo])</f>
        <v>OMP Elementos</v>
      </c>
      <c r="E509" s="15" t="str" cm="1">
        <f t="array" ref="E509">_xlfn.XLOOKUP(Total[[#This Row],[Tecnología]]&amp;Total[[#This Row],[Problema]],TbNombres[Tecnología]&amp;TbNombres[Problema],TbNombres[Nombre])</f>
        <v>Simple Advdiff</v>
      </c>
      <c r="F509" s="2">
        <v>6</v>
      </c>
      <c r="G509" s="2">
        <v>1</v>
      </c>
      <c r="H509" s="2">
        <v>16</v>
      </c>
      <c r="I509" s="2">
        <v>500</v>
      </c>
      <c r="J509" s="2">
        <v>500</v>
      </c>
      <c r="K509" s="2">
        <v>28.921399999999998</v>
      </c>
    </row>
    <row r="510" spans="2:11" x14ac:dyDescent="0.2">
      <c r="B510" s="26" t="str">
        <f>_xlfn.XLOOKUP(Total[[#This Row],[Metodo]],TbSolver[Metodo],TbSolver[Solver])</f>
        <v>Adams Bashford Moulton</v>
      </c>
      <c r="C510" s="26" t="str">
        <f>_xlfn.XLOOKUP(Total[[#This Row],[Hebras]],TbTecnologia[Hebras],TbTecnologia[Tecnología])</f>
        <v>OMP</v>
      </c>
      <c r="D510" s="15" t="str" cm="1">
        <f t="array" ref="D510">_xlfn.XLOOKUP(Total[[#This Row],[Tecnología]]&amp;Total[[#This Row],[Metodo]],TbTipos[Tecnología]&amp;TbTipos[Metodo],TbTipos[Tipo])</f>
        <v>OMP Elementos</v>
      </c>
      <c r="E510" s="15" t="str" cm="1">
        <f t="array" ref="E510">_xlfn.XLOOKUP(Total[[#This Row],[Tecnología]]&amp;Total[[#This Row],[Problema]],TbNombres[Tecnología]&amp;TbNombres[Problema],TbNombres[Nombre])</f>
        <v>Simple Advdiff</v>
      </c>
      <c r="F510" s="2">
        <v>6</v>
      </c>
      <c r="G510" s="2">
        <v>1</v>
      </c>
      <c r="H510" s="2">
        <v>1</v>
      </c>
      <c r="I510" s="2">
        <v>1000</v>
      </c>
      <c r="J510" s="2">
        <v>1000</v>
      </c>
      <c r="K510" s="2">
        <v>24.557400000000001</v>
      </c>
    </row>
    <row r="511" spans="2:11" x14ac:dyDescent="0.2">
      <c r="B511" s="26" t="str">
        <f>_xlfn.XLOOKUP(Total[[#This Row],[Metodo]],TbSolver[Metodo],TbSolver[Solver])</f>
        <v>Adams Bashford Moulton</v>
      </c>
      <c r="C511" s="26" t="str">
        <f>_xlfn.XLOOKUP(Total[[#This Row],[Hebras]],TbTecnologia[Hebras],TbTecnologia[Tecnología])</f>
        <v>OMP</v>
      </c>
      <c r="D511" s="15" t="str" cm="1">
        <f t="array" ref="D511">_xlfn.XLOOKUP(Total[[#This Row],[Tecnología]]&amp;Total[[#This Row],[Metodo]],TbTipos[Tecnología]&amp;TbTipos[Metodo],TbTipos[Tipo])</f>
        <v>OMP Elementos</v>
      </c>
      <c r="E511" s="15" t="str" cm="1">
        <f t="array" ref="E511">_xlfn.XLOOKUP(Total[[#This Row],[Tecnología]]&amp;Total[[#This Row],[Problema]],TbNombres[Tecnología]&amp;TbNombres[Problema],TbNombres[Nombre])</f>
        <v>Simple Advdiff</v>
      </c>
      <c r="F511" s="2">
        <v>6</v>
      </c>
      <c r="G511" s="2">
        <v>1</v>
      </c>
      <c r="H511" s="2">
        <v>4</v>
      </c>
      <c r="I511" s="2">
        <v>1000</v>
      </c>
      <c r="J511" s="2">
        <v>1000</v>
      </c>
      <c r="K511" s="2">
        <v>13.700799999999999</v>
      </c>
    </row>
    <row r="512" spans="2:11" x14ac:dyDescent="0.2">
      <c r="B512" s="26" t="str">
        <f>_xlfn.XLOOKUP(Total[[#This Row],[Metodo]],TbSolver[Metodo],TbSolver[Solver])</f>
        <v>Adams Bashford Moulton</v>
      </c>
      <c r="C512" s="26" t="str">
        <f>_xlfn.XLOOKUP(Total[[#This Row],[Hebras]],TbTecnologia[Hebras],TbTecnologia[Tecnología])</f>
        <v>OMP</v>
      </c>
      <c r="D512" s="15" t="str" cm="1">
        <f t="array" ref="D512">_xlfn.XLOOKUP(Total[[#This Row],[Tecnología]]&amp;Total[[#This Row],[Metodo]],TbTipos[Tecnología]&amp;TbTipos[Metodo],TbTipos[Tipo])</f>
        <v>OMP Elementos</v>
      </c>
      <c r="E512" s="15" t="str" cm="1">
        <f t="array" ref="E512">_xlfn.XLOOKUP(Total[[#This Row],[Tecnología]]&amp;Total[[#This Row],[Problema]],TbNombres[Tecnología]&amp;TbNombres[Problema],TbNombres[Nombre])</f>
        <v>Simple Advdiff</v>
      </c>
      <c r="F512" s="2">
        <v>6</v>
      </c>
      <c r="G512" s="2">
        <v>1</v>
      </c>
      <c r="H512" s="2">
        <v>16</v>
      </c>
      <c r="I512" s="2">
        <v>1000</v>
      </c>
      <c r="J512" s="2">
        <v>1000</v>
      </c>
      <c r="K512" s="2">
        <v>23.094000000000001</v>
      </c>
    </row>
    <row r="513" spans="2:11" x14ac:dyDescent="0.2">
      <c r="B513" s="26" t="str">
        <f>_xlfn.XLOOKUP(Total[[#This Row],[Metodo]],TbSolver[Metodo],TbSolver[Solver])</f>
        <v>Adams Bashford Moulton</v>
      </c>
      <c r="C513" s="26" t="str">
        <f>_xlfn.XLOOKUP(Total[[#This Row],[Hebras]],TbTecnologia[Hebras],TbTecnologia[Tecnología])</f>
        <v>CUDA</v>
      </c>
      <c r="D513" s="15" t="str" cm="1">
        <f t="array" ref="D513">_xlfn.XLOOKUP(Total[[#This Row],[Tecnología]]&amp;Total[[#This Row],[Metodo]],TbTipos[Tecnología]&amp;TbTipos[Metodo],TbTipos[Tipo])</f>
        <v>CUDA con graph</v>
      </c>
      <c r="E513" s="15" t="str" cm="1">
        <f t="array" ref="E513">_xlfn.XLOOKUP(Total[[#This Row],[Tecnología]]&amp;Total[[#This Row],[Problema]],TbNombres[Tecnología]&amp;TbNombres[Problema],TbNombres[Nombre])</f>
        <v>Advdiff1d</v>
      </c>
      <c r="F513" s="2">
        <v>6</v>
      </c>
      <c r="G513" s="2">
        <v>3</v>
      </c>
      <c r="H513" s="2">
        <v>256</v>
      </c>
      <c r="I513" s="2">
        <v>100</v>
      </c>
      <c r="J513" s="2">
        <v>100</v>
      </c>
      <c r="K513" s="2">
        <v>16.264299999999999</v>
      </c>
    </row>
    <row r="514" spans="2:11" x14ac:dyDescent="0.2">
      <c r="B514" s="26" t="str">
        <f>_xlfn.XLOOKUP(Total[[#This Row],[Metodo]],TbSolver[Metodo],TbSolver[Solver])</f>
        <v>Adams Bashford Moulton</v>
      </c>
      <c r="C514" s="26" t="str">
        <f>_xlfn.XLOOKUP(Total[[#This Row],[Hebras]],TbTecnologia[Hebras],TbTecnologia[Tecnología])</f>
        <v>CUDA</v>
      </c>
      <c r="D514" s="15" t="str" cm="1">
        <f t="array" ref="D514">_xlfn.XLOOKUP(Total[[#This Row],[Tecnología]]&amp;Total[[#This Row],[Metodo]],TbTipos[Tecnología]&amp;TbTipos[Metodo],TbTipos[Tipo])</f>
        <v>CUDA con graph</v>
      </c>
      <c r="E514" s="15" t="str" cm="1">
        <f t="array" ref="E514">_xlfn.XLOOKUP(Total[[#This Row],[Tecnología]]&amp;Total[[#This Row],[Problema]],TbNombres[Tecnología]&amp;TbNombres[Problema],TbNombres[Nombre])</f>
        <v>Advdiff1d shuffle</v>
      </c>
      <c r="F514" s="2">
        <v>6</v>
      </c>
      <c r="G514" s="2">
        <v>4</v>
      </c>
      <c r="H514" s="2">
        <v>256</v>
      </c>
      <c r="I514" s="2">
        <v>100</v>
      </c>
      <c r="J514" s="2">
        <v>100</v>
      </c>
      <c r="K514" s="2">
        <v>16.634699999999999</v>
      </c>
    </row>
    <row r="515" spans="2:11" x14ac:dyDescent="0.2">
      <c r="B515" s="26" t="str">
        <f>_xlfn.XLOOKUP(Total[[#This Row],[Metodo]],TbSolver[Metodo],TbSolver[Solver])</f>
        <v>Adams Bashford Moulton</v>
      </c>
      <c r="C515" s="26" t="str">
        <f>_xlfn.XLOOKUP(Total[[#This Row],[Hebras]],TbTecnologia[Hebras],TbTecnologia[Tecnología])</f>
        <v>CUDA</v>
      </c>
      <c r="D515" s="15" t="str" cm="1">
        <f t="array" ref="D515">_xlfn.XLOOKUP(Total[[#This Row],[Tecnología]]&amp;Total[[#This Row],[Metodo]],TbTipos[Tecnología]&amp;TbTipos[Metodo],TbTipos[Tipo])</f>
        <v>CUDA sin graph</v>
      </c>
      <c r="E515" s="15" t="str" cm="1">
        <f t="array" ref="E515">_xlfn.XLOOKUP(Total[[#This Row],[Tecnología]]&amp;Total[[#This Row],[Problema]],TbNombres[Tecnología]&amp;TbNombres[Problema],TbNombres[Nombre])</f>
        <v>Advdiff1d</v>
      </c>
      <c r="F515" s="2">
        <v>5</v>
      </c>
      <c r="G515" s="2">
        <v>3</v>
      </c>
      <c r="H515" s="2">
        <v>256</v>
      </c>
      <c r="I515" s="2">
        <v>100</v>
      </c>
      <c r="J515" s="2">
        <v>100</v>
      </c>
      <c r="K515" s="2">
        <v>16.738600000000002</v>
      </c>
    </row>
    <row r="516" spans="2:11" x14ac:dyDescent="0.2">
      <c r="B516" s="26" t="str">
        <f>_xlfn.XLOOKUP(Total[[#This Row],[Metodo]],TbSolver[Metodo],TbSolver[Solver])</f>
        <v>Adams Bashford Moulton</v>
      </c>
      <c r="C516" s="26" t="str">
        <f>_xlfn.XLOOKUP(Total[[#This Row],[Hebras]],TbTecnologia[Hebras],TbTecnologia[Tecnología])</f>
        <v>CUDA</v>
      </c>
      <c r="D516" s="15" t="str" cm="1">
        <f t="array" ref="D516">_xlfn.XLOOKUP(Total[[#This Row],[Tecnología]]&amp;Total[[#This Row],[Metodo]],TbTipos[Tecnología]&amp;TbTipos[Metodo],TbTipos[Tipo])</f>
        <v>CUDA sin graph</v>
      </c>
      <c r="E516" s="15" t="str" cm="1">
        <f t="array" ref="E516">_xlfn.XLOOKUP(Total[[#This Row],[Tecnología]]&amp;Total[[#This Row],[Problema]],TbNombres[Tecnología]&amp;TbNombres[Problema],TbNombres[Nombre])</f>
        <v>Advdiff1d shuffle</v>
      </c>
      <c r="F516" s="2">
        <v>5</v>
      </c>
      <c r="G516" s="2">
        <v>4</v>
      </c>
      <c r="H516" s="2">
        <v>256</v>
      </c>
      <c r="I516" s="2">
        <v>100</v>
      </c>
      <c r="J516" s="2">
        <v>100</v>
      </c>
      <c r="K516" s="2">
        <v>17.1296</v>
      </c>
    </row>
    <row r="517" spans="2:11" x14ac:dyDescent="0.2">
      <c r="B517" s="26" t="str">
        <f>_xlfn.XLOOKUP(Total[[#This Row],[Metodo]],TbSolver[Metodo],TbSolver[Solver])</f>
        <v>Adams Bashford Moulton</v>
      </c>
      <c r="C517" s="26" t="str">
        <f>_xlfn.XLOOKUP(Total[[#This Row],[Hebras]],TbTecnologia[Hebras],TbTecnologia[Tecnología])</f>
        <v>CUDA</v>
      </c>
      <c r="D517" s="15" t="str" cm="1">
        <f t="array" ref="D517">_xlfn.XLOOKUP(Total[[#This Row],[Tecnología]]&amp;Total[[#This Row],[Metodo]],TbTipos[Tecnología]&amp;TbTipos[Metodo],TbTipos[Tipo])</f>
        <v>CUDA con graph</v>
      </c>
      <c r="E517" s="15" t="str" cm="1">
        <f t="array" ref="E517">_xlfn.XLOOKUP(Total[[#This Row],[Tecnología]]&amp;Total[[#This Row],[Problema]],TbNombres[Tecnología]&amp;TbNombres[Problema],TbNombres[Nombre])</f>
        <v>Advdiff1d</v>
      </c>
      <c r="F517" s="2">
        <v>6</v>
      </c>
      <c r="G517" s="2">
        <v>3</v>
      </c>
      <c r="H517" s="2">
        <v>256</v>
      </c>
      <c r="I517" s="2">
        <v>200</v>
      </c>
      <c r="J517" s="2">
        <v>200</v>
      </c>
      <c r="K517" s="2">
        <v>21.918600000000001</v>
      </c>
    </row>
    <row r="518" spans="2:11" x14ac:dyDescent="0.2">
      <c r="B518" s="26" t="str">
        <f>_xlfn.XLOOKUP(Total[[#This Row],[Metodo]],TbSolver[Metodo],TbSolver[Solver])</f>
        <v>Adams Bashford Moulton</v>
      </c>
      <c r="C518" s="26" t="str">
        <f>_xlfn.XLOOKUP(Total[[#This Row],[Hebras]],TbTecnologia[Hebras],TbTecnologia[Tecnología])</f>
        <v>CUDA</v>
      </c>
      <c r="D518" s="15" t="str" cm="1">
        <f t="array" ref="D518">_xlfn.XLOOKUP(Total[[#This Row],[Tecnología]]&amp;Total[[#This Row],[Metodo]],TbTipos[Tecnología]&amp;TbTipos[Metodo],TbTipos[Tipo])</f>
        <v>CUDA sin graph</v>
      </c>
      <c r="E518" s="15" t="str" cm="1">
        <f t="array" ref="E518">_xlfn.XLOOKUP(Total[[#This Row],[Tecnología]]&amp;Total[[#This Row],[Problema]],TbNombres[Tecnología]&amp;TbNombres[Problema],TbNombres[Nombre])</f>
        <v>Advdiff1d</v>
      </c>
      <c r="F518" s="2">
        <v>5</v>
      </c>
      <c r="G518" s="2">
        <v>3</v>
      </c>
      <c r="H518" s="2">
        <v>256</v>
      </c>
      <c r="I518" s="2">
        <v>200</v>
      </c>
      <c r="J518" s="2">
        <v>200</v>
      </c>
      <c r="K518" s="2">
        <v>22.3888</v>
      </c>
    </row>
    <row r="519" spans="2:11" x14ac:dyDescent="0.2">
      <c r="B519" s="26" t="str">
        <f>_xlfn.XLOOKUP(Total[[#This Row],[Metodo]],TbSolver[Metodo],TbSolver[Solver])</f>
        <v>Adams Bashford Moulton</v>
      </c>
      <c r="C519" s="26" t="str">
        <f>_xlfn.XLOOKUP(Total[[#This Row],[Hebras]],TbTecnologia[Hebras],TbTecnologia[Tecnología])</f>
        <v>CUDA</v>
      </c>
      <c r="D519" s="15" t="str" cm="1">
        <f t="array" ref="D519">_xlfn.XLOOKUP(Total[[#This Row],[Tecnología]]&amp;Total[[#This Row],[Metodo]],TbTipos[Tecnología]&amp;TbTipos[Metodo],TbTipos[Tipo])</f>
        <v>CUDA con graph</v>
      </c>
      <c r="E519" s="15" t="str" cm="1">
        <f t="array" ref="E519">_xlfn.XLOOKUP(Total[[#This Row],[Tecnología]]&amp;Total[[#This Row],[Problema]],TbNombres[Tecnología]&amp;TbNombres[Problema],TbNombres[Nombre])</f>
        <v>Advdiff1d shuffle</v>
      </c>
      <c r="F519" s="2">
        <v>6</v>
      </c>
      <c r="G519" s="2">
        <v>4</v>
      </c>
      <c r="H519" s="2">
        <v>256</v>
      </c>
      <c r="I519" s="2">
        <v>200</v>
      </c>
      <c r="J519" s="2">
        <v>200</v>
      </c>
      <c r="K519" s="2">
        <v>22.496400000000001</v>
      </c>
    </row>
    <row r="520" spans="2:11" x14ac:dyDescent="0.2">
      <c r="B520" s="26" t="str">
        <f>_xlfn.XLOOKUP(Total[[#This Row],[Metodo]],TbSolver[Metodo],TbSolver[Solver])</f>
        <v>Adams Bashford Moulton</v>
      </c>
      <c r="C520" s="26" t="str">
        <f>_xlfn.XLOOKUP(Total[[#This Row],[Hebras]],TbTecnologia[Hebras],TbTecnologia[Tecnología])</f>
        <v>CUDA</v>
      </c>
      <c r="D520" s="15" t="str" cm="1">
        <f t="array" ref="D520">_xlfn.XLOOKUP(Total[[#This Row],[Tecnología]]&amp;Total[[#This Row],[Metodo]],TbTipos[Tecnología]&amp;TbTipos[Metodo],TbTipos[Tipo])</f>
        <v>CUDA sin graph</v>
      </c>
      <c r="E520" s="15" t="str" cm="1">
        <f t="array" ref="E520">_xlfn.XLOOKUP(Total[[#This Row],[Tecnología]]&amp;Total[[#This Row],[Problema]],TbNombres[Tecnología]&amp;TbNombres[Problema],TbNombres[Nombre])</f>
        <v>Advdiff1d shuffle</v>
      </c>
      <c r="F520" s="2">
        <v>5</v>
      </c>
      <c r="G520" s="2">
        <v>4</v>
      </c>
      <c r="H520" s="2">
        <v>256</v>
      </c>
      <c r="I520" s="2">
        <v>200</v>
      </c>
      <c r="J520" s="2">
        <v>200</v>
      </c>
      <c r="K520" s="2">
        <v>22.726900000000001</v>
      </c>
    </row>
    <row r="521" spans="2:11" x14ac:dyDescent="0.2">
      <c r="B521" s="26" t="str">
        <f>_xlfn.XLOOKUP(Total[[#This Row],[Metodo]],TbSolver[Metodo],TbSolver[Solver])</f>
        <v>Adams Bashford Moulton</v>
      </c>
      <c r="C521" s="26" t="str">
        <f>_xlfn.XLOOKUP(Total[[#This Row],[Hebras]],TbTecnologia[Hebras],TbTecnologia[Tecnología])</f>
        <v>CUDA</v>
      </c>
      <c r="D521" s="15" t="str" cm="1">
        <f t="array" ref="D521">_xlfn.XLOOKUP(Total[[#This Row],[Tecnología]]&amp;Total[[#This Row],[Metodo]],TbTipos[Tecnología]&amp;TbTipos[Metodo],TbTipos[Tipo])</f>
        <v>CUDA con graph</v>
      </c>
      <c r="E521" s="15" t="str" cm="1">
        <f t="array" ref="E521">_xlfn.XLOOKUP(Total[[#This Row],[Tecnología]]&amp;Total[[#This Row],[Problema]],TbNombres[Tecnología]&amp;TbNombres[Problema],TbNombres[Nombre])</f>
        <v>Advdiff1d</v>
      </c>
      <c r="F521" s="2">
        <v>6</v>
      </c>
      <c r="G521" s="2">
        <v>3</v>
      </c>
      <c r="H521" s="2">
        <v>256</v>
      </c>
      <c r="I521" s="2">
        <v>500</v>
      </c>
      <c r="J521" s="2">
        <v>500</v>
      </c>
      <c r="K521" s="2">
        <v>23.690100000000001</v>
      </c>
    </row>
    <row r="522" spans="2:11" x14ac:dyDescent="0.2">
      <c r="B522" s="26" t="str">
        <f>_xlfn.XLOOKUP(Total[[#This Row],[Metodo]],TbSolver[Metodo],TbSolver[Solver])</f>
        <v>Adams Bashford Moulton</v>
      </c>
      <c r="C522" s="26" t="str">
        <f>_xlfn.XLOOKUP(Total[[#This Row],[Hebras]],TbTecnologia[Hebras],TbTecnologia[Tecnología])</f>
        <v>CUDA</v>
      </c>
      <c r="D522" s="15" t="str" cm="1">
        <f t="array" ref="D522">_xlfn.XLOOKUP(Total[[#This Row],[Tecnología]]&amp;Total[[#This Row],[Metodo]],TbTipos[Tecnología]&amp;TbTipos[Metodo],TbTipos[Tipo])</f>
        <v>CUDA con graph</v>
      </c>
      <c r="E522" s="15" t="str" cm="1">
        <f t="array" ref="E522">_xlfn.XLOOKUP(Total[[#This Row],[Tecnología]]&amp;Total[[#This Row],[Problema]],TbNombres[Tecnología]&amp;TbNombres[Problema],TbNombres[Nombre])</f>
        <v>Advdiff1d</v>
      </c>
      <c r="F522" s="2">
        <v>6</v>
      </c>
      <c r="G522" s="2">
        <v>3</v>
      </c>
      <c r="H522" s="2">
        <v>256</v>
      </c>
      <c r="I522" s="2">
        <v>1000</v>
      </c>
      <c r="J522" s="2">
        <v>1000</v>
      </c>
      <c r="K522" s="2">
        <v>23.735099999999999</v>
      </c>
    </row>
    <row r="523" spans="2:11" x14ac:dyDescent="0.2">
      <c r="B523" s="26" t="str">
        <f>_xlfn.XLOOKUP(Total[[#This Row],[Metodo]],TbSolver[Metodo],TbSolver[Solver])</f>
        <v>Adams Bashford Moulton</v>
      </c>
      <c r="C523" s="26" t="str">
        <f>_xlfn.XLOOKUP(Total[[#This Row],[Hebras]],TbTecnologia[Hebras],TbTecnologia[Tecnología])</f>
        <v>CUDA</v>
      </c>
      <c r="D523" s="15" t="str" cm="1">
        <f t="array" ref="D523">_xlfn.XLOOKUP(Total[[#This Row],[Tecnología]]&amp;Total[[#This Row],[Metodo]],TbTipos[Tecnología]&amp;TbTipos[Metodo],TbTipos[Tipo])</f>
        <v>CUDA con graph</v>
      </c>
      <c r="E523" s="15" t="str" cm="1">
        <f t="array" ref="E523">_xlfn.XLOOKUP(Total[[#This Row],[Tecnología]]&amp;Total[[#This Row],[Problema]],TbNombres[Tecnología]&amp;TbNombres[Problema],TbNombres[Nombre])</f>
        <v>Advdiff1d</v>
      </c>
      <c r="F523" s="2">
        <v>6</v>
      </c>
      <c r="G523" s="2">
        <v>3</v>
      </c>
      <c r="H523" s="2">
        <v>256</v>
      </c>
      <c r="I523" s="2">
        <v>2000</v>
      </c>
      <c r="J523" s="2">
        <v>2000</v>
      </c>
      <c r="K523" s="2">
        <v>23.829899999999999</v>
      </c>
    </row>
    <row r="524" spans="2:11" x14ac:dyDescent="0.2">
      <c r="B524" s="26" t="str">
        <f>_xlfn.XLOOKUP(Total[[#This Row],[Metodo]],TbSolver[Metodo],TbSolver[Solver])</f>
        <v>Adams Bashford Moulton</v>
      </c>
      <c r="C524" s="26" t="str">
        <f>_xlfn.XLOOKUP(Total[[#This Row],[Hebras]],TbTecnologia[Hebras],TbTecnologia[Tecnología])</f>
        <v>CUDA</v>
      </c>
      <c r="D524" s="15" t="str" cm="1">
        <f t="array" ref="D524">_xlfn.XLOOKUP(Total[[#This Row],[Tecnología]]&amp;Total[[#This Row],[Metodo]],TbTipos[Tecnología]&amp;TbTipos[Metodo],TbTipos[Tipo])</f>
        <v>CUDA sin graph</v>
      </c>
      <c r="E524" s="15" t="str" cm="1">
        <f t="array" ref="E524">_xlfn.XLOOKUP(Total[[#This Row],[Tecnología]]&amp;Total[[#This Row],[Problema]],TbNombres[Tecnología]&amp;TbNombres[Problema],TbNombres[Nombre])</f>
        <v>Advdiff1d</v>
      </c>
      <c r="F524" s="2">
        <v>5</v>
      </c>
      <c r="G524" s="2">
        <v>3</v>
      </c>
      <c r="H524" s="2">
        <v>256</v>
      </c>
      <c r="I524" s="2">
        <v>500</v>
      </c>
      <c r="J524" s="2">
        <v>500</v>
      </c>
      <c r="K524" s="2">
        <v>24.028400000000001</v>
      </c>
    </row>
    <row r="525" spans="2:11" x14ac:dyDescent="0.2">
      <c r="B525" s="26" t="str">
        <f>_xlfn.XLOOKUP(Total[[#This Row],[Metodo]],TbSolver[Metodo],TbSolver[Solver])</f>
        <v>Adams Bashford Moulton</v>
      </c>
      <c r="C525" s="26" t="str">
        <f>_xlfn.XLOOKUP(Total[[#This Row],[Hebras]],TbTecnologia[Hebras],TbTecnologia[Tecnología])</f>
        <v>CUDA</v>
      </c>
      <c r="D525" s="15" t="str" cm="1">
        <f t="array" ref="D525">_xlfn.XLOOKUP(Total[[#This Row],[Tecnología]]&amp;Total[[#This Row],[Metodo]],TbTipos[Tecnología]&amp;TbTipos[Metodo],TbTipos[Tipo])</f>
        <v>CUDA sin graph</v>
      </c>
      <c r="E525" s="15" t="str" cm="1">
        <f t="array" ref="E525">_xlfn.XLOOKUP(Total[[#This Row],[Tecnología]]&amp;Total[[#This Row],[Problema]],TbNombres[Tecnología]&amp;TbNombres[Problema],TbNombres[Nombre])</f>
        <v>Advdiff1d</v>
      </c>
      <c r="F525" s="2">
        <v>5</v>
      </c>
      <c r="G525" s="2">
        <v>3</v>
      </c>
      <c r="H525" s="2">
        <v>256</v>
      </c>
      <c r="I525" s="2">
        <v>1000</v>
      </c>
      <c r="J525" s="2">
        <v>1000</v>
      </c>
      <c r="K525" s="2">
        <v>24.066500000000001</v>
      </c>
    </row>
    <row r="526" spans="2:11" x14ac:dyDescent="0.2">
      <c r="B526" s="26" t="str">
        <f>_xlfn.XLOOKUP(Total[[#This Row],[Metodo]],TbSolver[Metodo],TbSolver[Solver])</f>
        <v>Adams Bashford Moulton</v>
      </c>
      <c r="C526" s="26" t="str">
        <f>_xlfn.XLOOKUP(Total[[#This Row],[Hebras]],TbTecnologia[Hebras],TbTecnologia[Tecnología])</f>
        <v>CUDA</v>
      </c>
      <c r="D526" s="15" t="str" cm="1">
        <f t="array" ref="D526">_xlfn.XLOOKUP(Total[[#This Row],[Tecnología]]&amp;Total[[#This Row],[Metodo]],TbTipos[Tecnología]&amp;TbTipos[Metodo],TbTipos[Tipo])</f>
        <v>CUDA sin graph</v>
      </c>
      <c r="E526" s="15" t="str" cm="1">
        <f t="array" ref="E526">_xlfn.XLOOKUP(Total[[#This Row],[Tecnología]]&amp;Total[[#This Row],[Problema]],TbNombres[Tecnología]&amp;TbNombres[Problema],TbNombres[Nombre])</f>
        <v>Advdiff1d</v>
      </c>
      <c r="F526" s="2">
        <v>5</v>
      </c>
      <c r="G526" s="2">
        <v>3</v>
      </c>
      <c r="H526" s="2">
        <v>256</v>
      </c>
      <c r="I526" s="2">
        <v>2000</v>
      </c>
      <c r="J526" s="2">
        <v>2000</v>
      </c>
      <c r="K526" s="2">
        <v>24.0976</v>
      </c>
    </row>
    <row r="527" spans="2:11" x14ac:dyDescent="0.2">
      <c r="B527" s="26" t="str">
        <f>_xlfn.XLOOKUP(Total[[#This Row],[Metodo]],TbSolver[Metodo],TbSolver[Solver])</f>
        <v>Adams Bashford Moulton</v>
      </c>
      <c r="C527" s="26" t="str">
        <f>_xlfn.XLOOKUP(Total[[#This Row],[Hebras]],TbTecnologia[Hebras],TbTecnologia[Tecnología])</f>
        <v>CUDA</v>
      </c>
      <c r="D527" s="15" t="str" cm="1">
        <f t="array" ref="D527">_xlfn.XLOOKUP(Total[[#This Row],[Tecnología]]&amp;Total[[#This Row],[Metodo]],TbTipos[Tecnología]&amp;TbTipos[Metodo],TbTipos[Tipo])</f>
        <v>CUDA con graph</v>
      </c>
      <c r="E527" s="15" t="str" cm="1">
        <f t="array" ref="E527">_xlfn.XLOOKUP(Total[[#This Row],[Tecnología]]&amp;Total[[#This Row],[Problema]],TbNombres[Tecnología]&amp;TbNombres[Problema],TbNombres[Nombre])</f>
        <v>Advdiff1d</v>
      </c>
      <c r="F527" s="2">
        <v>6</v>
      </c>
      <c r="G527" s="2">
        <v>3</v>
      </c>
      <c r="H527" s="2">
        <v>256</v>
      </c>
      <c r="I527" s="2">
        <v>5000</v>
      </c>
      <c r="J527" s="2">
        <v>5000</v>
      </c>
      <c r="K527" s="2">
        <v>24.243200000000002</v>
      </c>
    </row>
    <row r="528" spans="2:11" x14ac:dyDescent="0.2">
      <c r="B528" s="26" t="str">
        <f>_xlfn.XLOOKUP(Total[[#This Row],[Metodo]],TbSolver[Metodo],TbSolver[Solver])</f>
        <v>Adams Bashford Moulton</v>
      </c>
      <c r="C528" s="26" t="str">
        <f>_xlfn.XLOOKUP(Total[[#This Row],[Hebras]],TbTecnologia[Hebras],TbTecnologia[Tecnología])</f>
        <v>CUDA</v>
      </c>
      <c r="D528" s="15" t="str" cm="1">
        <f t="array" ref="D528">_xlfn.XLOOKUP(Total[[#This Row],[Tecnología]]&amp;Total[[#This Row],[Metodo]],TbTipos[Tecnología]&amp;TbTipos[Metodo],TbTipos[Tipo])</f>
        <v>CUDA con graph</v>
      </c>
      <c r="E528" s="15" t="str" cm="1">
        <f t="array" ref="E528">_xlfn.XLOOKUP(Total[[#This Row],[Tecnología]]&amp;Total[[#This Row],[Problema]],TbNombres[Tecnología]&amp;TbNombres[Problema],TbNombres[Nombre])</f>
        <v>Advdiff1d shuffle</v>
      </c>
      <c r="F528" s="2">
        <v>6</v>
      </c>
      <c r="G528" s="2">
        <v>4</v>
      </c>
      <c r="H528" s="2">
        <v>256</v>
      </c>
      <c r="I528" s="2">
        <v>500</v>
      </c>
      <c r="J528" s="2">
        <v>500</v>
      </c>
      <c r="K528" s="2">
        <v>24.4192</v>
      </c>
    </row>
    <row r="529" spans="2:11" x14ac:dyDescent="0.2">
      <c r="B529" s="26" t="str">
        <f>_xlfn.XLOOKUP(Total[[#This Row],[Metodo]],TbSolver[Metodo],TbSolver[Solver])</f>
        <v>Adams Bashford Moulton</v>
      </c>
      <c r="C529" s="26" t="str">
        <f>_xlfn.XLOOKUP(Total[[#This Row],[Hebras]],TbTecnologia[Hebras],TbTecnologia[Tecnología])</f>
        <v>CUDA</v>
      </c>
      <c r="D529" s="15" t="str" cm="1">
        <f t="array" ref="D529">_xlfn.XLOOKUP(Total[[#This Row],[Tecnología]]&amp;Total[[#This Row],[Metodo]],TbTipos[Tecnología]&amp;TbTipos[Metodo],TbTipos[Tipo])</f>
        <v>CUDA con graph</v>
      </c>
      <c r="E529" s="15" t="str" cm="1">
        <f t="array" ref="E529">_xlfn.XLOOKUP(Total[[#This Row],[Tecnología]]&amp;Total[[#This Row],[Problema]],TbNombres[Tecnología]&amp;TbNombres[Problema],TbNombres[Nombre])</f>
        <v>Advdiff1d shuffle</v>
      </c>
      <c r="F529" s="2">
        <v>6</v>
      </c>
      <c r="G529" s="2">
        <v>4</v>
      </c>
      <c r="H529" s="2">
        <v>256</v>
      </c>
      <c r="I529" s="2">
        <v>1000</v>
      </c>
      <c r="J529" s="2">
        <v>1000</v>
      </c>
      <c r="K529" s="2">
        <v>24.433499999999999</v>
      </c>
    </row>
    <row r="530" spans="2:11" x14ac:dyDescent="0.2">
      <c r="B530" s="26" t="str">
        <f>_xlfn.XLOOKUP(Total[[#This Row],[Metodo]],TbSolver[Metodo],TbSolver[Solver])</f>
        <v>Adams Bashford Moulton</v>
      </c>
      <c r="C530" s="26" t="str">
        <f>_xlfn.XLOOKUP(Total[[#This Row],[Hebras]],TbTecnologia[Hebras],TbTecnologia[Tecnología])</f>
        <v>CUDA</v>
      </c>
      <c r="D530" s="15" t="str" cm="1">
        <f t="array" ref="D530">_xlfn.XLOOKUP(Total[[#This Row],[Tecnología]]&amp;Total[[#This Row],[Metodo]],TbTipos[Tecnología]&amp;TbTipos[Metodo],TbTipos[Tipo])</f>
        <v>CUDA sin graph</v>
      </c>
      <c r="E530" s="15" t="str" cm="1">
        <f t="array" ref="E530">_xlfn.XLOOKUP(Total[[#This Row],[Tecnología]]&amp;Total[[#This Row],[Problema]],TbNombres[Tecnología]&amp;TbNombres[Problema],TbNombres[Nombre])</f>
        <v>Advdiff1d</v>
      </c>
      <c r="F530" s="2">
        <v>5</v>
      </c>
      <c r="G530" s="2">
        <v>3</v>
      </c>
      <c r="H530" s="2">
        <v>256</v>
      </c>
      <c r="I530" s="2">
        <v>5000</v>
      </c>
      <c r="J530" s="2">
        <v>5000</v>
      </c>
      <c r="K530" s="2">
        <v>24.555099999999999</v>
      </c>
    </row>
    <row r="531" spans="2:11" x14ac:dyDescent="0.2">
      <c r="B531" s="26" t="str">
        <f>_xlfn.XLOOKUP(Total[[#This Row],[Metodo]],TbSolver[Metodo],TbSolver[Solver])</f>
        <v>Adams Bashford Moulton</v>
      </c>
      <c r="C531" s="26" t="str">
        <f>_xlfn.XLOOKUP(Total[[#This Row],[Hebras]],TbTecnologia[Hebras],TbTecnologia[Tecnología])</f>
        <v>CUDA</v>
      </c>
      <c r="D531" s="15" t="str" cm="1">
        <f t="array" ref="D531">_xlfn.XLOOKUP(Total[[#This Row],[Tecnología]]&amp;Total[[#This Row],[Metodo]],TbTipos[Tecnología]&amp;TbTipos[Metodo],TbTipos[Tipo])</f>
        <v>CUDA con graph</v>
      </c>
      <c r="E531" s="15" t="str" cm="1">
        <f t="array" ref="E531">_xlfn.XLOOKUP(Total[[#This Row],[Tecnología]]&amp;Total[[#This Row],[Problema]],TbNombres[Tecnología]&amp;TbNombres[Problema],TbNombres[Nombre])</f>
        <v>Advdiff1d shuffle</v>
      </c>
      <c r="F531" s="2">
        <v>6</v>
      </c>
      <c r="G531" s="2">
        <v>4</v>
      </c>
      <c r="H531" s="2">
        <v>256</v>
      </c>
      <c r="I531" s="2">
        <v>2000</v>
      </c>
      <c r="J531" s="2">
        <v>2000</v>
      </c>
      <c r="K531" s="2">
        <v>24.571100000000001</v>
      </c>
    </row>
    <row r="532" spans="2:11" x14ac:dyDescent="0.2">
      <c r="B532" s="26" t="str">
        <f>_xlfn.XLOOKUP(Total[[#This Row],[Metodo]],TbSolver[Metodo],TbSolver[Solver])</f>
        <v>Adams Bashford Moulton</v>
      </c>
      <c r="C532" s="26" t="str">
        <f>_xlfn.XLOOKUP(Total[[#This Row],[Hebras]],TbTecnologia[Hebras],TbTecnologia[Tecnología])</f>
        <v>CUDA</v>
      </c>
      <c r="D532" s="15" t="str" cm="1">
        <f t="array" ref="D532">_xlfn.XLOOKUP(Total[[#This Row],[Tecnología]]&amp;Total[[#This Row],[Metodo]],TbTipos[Tecnología]&amp;TbTipos[Metodo],TbTipos[Tipo])</f>
        <v>CUDA sin graph</v>
      </c>
      <c r="E532" s="15" t="str" cm="1">
        <f t="array" ref="E532">_xlfn.XLOOKUP(Total[[#This Row],[Tecnología]]&amp;Total[[#This Row],[Problema]],TbNombres[Tecnología]&amp;TbNombres[Problema],TbNombres[Nombre])</f>
        <v>Advdiff1d</v>
      </c>
      <c r="F532" s="2">
        <v>5</v>
      </c>
      <c r="G532" s="2">
        <v>3</v>
      </c>
      <c r="H532" s="2">
        <v>256</v>
      </c>
      <c r="I532" s="2">
        <v>10000</v>
      </c>
      <c r="J532" s="2">
        <v>10000</v>
      </c>
      <c r="K532" s="2">
        <v>24.6816</v>
      </c>
    </row>
    <row r="533" spans="2:11" x14ac:dyDescent="0.2">
      <c r="B533" s="26" t="str">
        <f>_xlfn.XLOOKUP(Total[[#This Row],[Metodo]],TbSolver[Metodo],TbSolver[Solver])</f>
        <v>Adams Bashford Moulton</v>
      </c>
      <c r="C533" s="26" t="str">
        <f>_xlfn.XLOOKUP(Total[[#This Row],[Hebras]],TbTecnologia[Hebras],TbTecnologia[Tecnología])</f>
        <v>CUDA</v>
      </c>
      <c r="D533" s="15" t="str" cm="1">
        <f t="array" ref="D533">_xlfn.XLOOKUP(Total[[#This Row],[Tecnología]]&amp;Total[[#This Row],[Metodo]],TbTipos[Tecnología]&amp;TbTipos[Metodo],TbTipos[Tipo])</f>
        <v>CUDA sin graph</v>
      </c>
      <c r="E533" s="15" t="str" cm="1">
        <f t="array" ref="E533">_xlfn.XLOOKUP(Total[[#This Row],[Tecnología]]&amp;Total[[#This Row],[Problema]],TbNombres[Tecnología]&amp;TbNombres[Problema],TbNombres[Nombre])</f>
        <v>Advdiff1d shuffle</v>
      </c>
      <c r="F533" s="2">
        <v>5</v>
      </c>
      <c r="G533" s="2">
        <v>4</v>
      </c>
      <c r="H533" s="2">
        <v>256</v>
      </c>
      <c r="I533" s="2">
        <v>500</v>
      </c>
      <c r="J533" s="2">
        <v>500</v>
      </c>
      <c r="K533" s="2">
        <v>24.748799999999999</v>
      </c>
    </row>
    <row r="534" spans="2:11" x14ac:dyDescent="0.2">
      <c r="B534" s="26" t="str">
        <f>_xlfn.XLOOKUP(Total[[#This Row],[Metodo]],TbSolver[Metodo],TbSolver[Solver])</f>
        <v>Adams Bashford Moulton</v>
      </c>
      <c r="C534" s="26" t="str">
        <f>_xlfn.XLOOKUP(Total[[#This Row],[Hebras]],TbTecnologia[Hebras],TbTecnologia[Tecnología])</f>
        <v>CUDA</v>
      </c>
      <c r="D534" s="15" t="str" cm="1">
        <f t="array" ref="D534">_xlfn.XLOOKUP(Total[[#This Row],[Tecnología]]&amp;Total[[#This Row],[Metodo]],TbTipos[Tecnología]&amp;TbTipos[Metodo],TbTipos[Tipo])</f>
        <v>CUDA sin graph</v>
      </c>
      <c r="E534" s="15" t="str" cm="1">
        <f t="array" ref="E534">_xlfn.XLOOKUP(Total[[#This Row],[Tecnología]]&amp;Total[[#This Row],[Problema]],TbNombres[Tecnología]&amp;TbNombres[Problema],TbNombres[Nombre])</f>
        <v>Advdiff1d shuffle</v>
      </c>
      <c r="F534" s="2">
        <v>5</v>
      </c>
      <c r="G534" s="2">
        <v>4</v>
      </c>
      <c r="H534" s="2">
        <v>256</v>
      </c>
      <c r="I534" s="2">
        <v>1000</v>
      </c>
      <c r="J534" s="2">
        <v>1000</v>
      </c>
      <c r="K534" s="2">
        <v>24.7605</v>
      </c>
    </row>
    <row r="535" spans="2:11" x14ac:dyDescent="0.2">
      <c r="B535" s="26" t="str">
        <f>_xlfn.XLOOKUP(Total[[#This Row],[Metodo]],TbSolver[Metodo],TbSolver[Solver])</f>
        <v>Adams Bashford Moulton</v>
      </c>
      <c r="C535" s="26" t="str">
        <f>_xlfn.XLOOKUP(Total[[#This Row],[Hebras]],TbTecnologia[Hebras],TbTecnologia[Tecnología])</f>
        <v>CUDA</v>
      </c>
      <c r="D535" s="15" t="str" cm="1">
        <f t="array" ref="D535">_xlfn.XLOOKUP(Total[[#This Row],[Tecnología]]&amp;Total[[#This Row],[Metodo]],TbTipos[Tecnología]&amp;TbTipos[Metodo],TbTipos[Tipo])</f>
        <v>CUDA con graph</v>
      </c>
      <c r="E535" s="15" t="str" cm="1">
        <f t="array" ref="E535">_xlfn.XLOOKUP(Total[[#This Row],[Tecnología]]&amp;Total[[#This Row],[Problema]],TbNombres[Tecnología]&amp;TbNombres[Problema],TbNombres[Nombre])</f>
        <v>Advdiff1d shuffle</v>
      </c>
      <c r="F535" s="2">
        <v>6</v>
      </c>
      <c r="G535" s="2">
        <v>4</v>
      </c>
      <c r="H535" s="2">
        <v>256</v>
      </c>
      <c r="I535" s="2">
        <v>5000</v>
      </c>
      <c r="J535" s="2">
        <v>5000</v>
      </c>
      <c r="K535" s="2">
        <v>24.932500000000001</v>
      </c>
    </row>
    <row r="536" spans="2:11" x14ac:dyDescent="0.2">
      <c r="B536" s="26" t="str">
        <f>_xlfn.XLOOKUP(Total[[#This Row],[Metodo]],TbSolver[Metodo],TbSolver[Solver])</f>
        <v>Adams Bashford Moulton</v>
      </c>
      <c r="C536" s="26" t="str">
        <f>_xlfn.XLOOKUP(Total[[#This Row],[Hebras]],TbTecnologia[Hebras],TbTecnologia[Tecnología])</f>
        <v>CUDA</v>
      </c>
      <c r="D536" s="15" t="str" cm="1">
        <f t="array" ref="D536">_xlfn.XLOOKUP(Total[[#This Row],[Tecnología]]&amp;Total[[#This Row],[Metodo]],TbTipos[Tecnología]&amp;TbTipos[Metodo],TbTipos[Tipo])</f>
        <v>CUDA sin graph</v>
      </c>
      <c r="E536" s="15" t="str" cm="1">
        <f t="array" ref="E536">_xlfn.XLOOKUP(Total[[#This Row],[Tecnología]]&amp;Total[[#This Row],[Problema]],TbNombres[Tecnología]&amp;TbNombres[Problema],TbNombres[Nombre])</f>
        <v>Advdiff1d shuffle</v>
      </c>
      <c r="F536" s="2">
        <v>5</v>
      </c>
      <c r="G536" s="2">
        <v>4</v>
      </c>
      <c r="H536" s="2">
        <v>256</v>
      </c>
      <c r="I536" s="2">
        <v>2000</v>
      </c>
      <c r="J536" s="2">
        <v>2000</v>
      </c>
      <c r="K536" s="2">
        <v>24.953700000000001</v>
      </c>
    </row>
    <row r="537" spans="2:11" x14ac:dyDescent="0.2">
      <c r="B537" s="26" t="str">
        <f>_xlfn.XLOOKUP(Total[[#This Row],[Metodo]],TbSolver[Metodo],TbSolver[Solver])</f>
        <v>Adams Bashford Moulton</v>
      </c>
      <c r="C537" s="26" t="str">
        <f>_xlfn.XLOOKUP(Total[[#This Row],[Hebras]],TbTecnologia[Hebras],TbTecnologia[Tecnología])</f>
        <v>CUDA</v>
      </c>
      <c r="D537" s="15" t="str" cm="1">
        <f t="array" ref="D537">_xlfn.XLOOKUP(Total[[#This Row],[Tecnología]]&amp;Total[[#This Row],[Metodo]],TbTipos[Tecnología]&amp;TbTipos[Metodo],TbTipos[Tipo])</f>
        <v>CUDA sin graph</v>
      </c>
      <c r="E537" s="15" t="str" cm="1">
        <f t="array" ref="E537">_xlfn.XLOOKUP(Total[[#This Row],[Tecnología]]&amp;Total[[#This Row],[Problema]],TbNombres[Tecnología]&amp;TbNombres[Problema],TbNombres[Nombre])</f>
        <v>Advdiff1d shuffle</v>
      </c>
      <c r="F537" s="2">
        <v>5</v>
      </c>
      <c r="G537" s="2">
        <v>4</v>
      </c>
      <c r="H537" s="2">
        <v>256</v>
      </c>
      <c r="I537" s="2">
        <v>5000</v>
      </c>
      <c r="J537" s="2">
        <v>5000</v>
      </c>
      <c r="K537" s="2">
        <v>25.251300000000001</v>
      </c>
    </row>
    <row r="538" spans="2:11" x14ac:dyDescent="0.2">
      <c r="B538" s="26" t="str">
        <f>_xlfn.XLOOKUP(Total[[#This Row],[Metodo]],TbSolver[Metodo],TbSolver[Solver])</f>
        <v>Adams Bashford Moulton</v>
      </c>
      <c r="C538" s="26" t="str">
        <f>_xlfn.XLOOKUP(Total[[#This Row],[Hebras]],TbTecnologia[Hebras],TbTecnologia[Tecnología])</f>
        <v>CUDA</v>
      </c>
      <c r="D538" s="15" t="str" cm="1">
        <f t="array" ref="D538">_xlfn.XLOOKUP(Total[[#This Row],[Tecnología]]&amp;Total[[#This Row],[Metodo]],TbTipos[Tecnología]&amp;TbTipos[Metodo],TbTipos[Tipo])</f>
        <v>CUDA sin graph</v>
      </c>
      <c r="E538" s="15" t="str" cm="1">
        <f t="array" ref="E538">_xlfn.XLOOKUP(Total[[#This Row],[Tecnología]]&amp;Total[[#This Row],[Problema]],TbNombres[Tecnología]&amp;TbNombres[Problema],TbNombres[Nombre])</f>
        <v>Advdiff1d</v>
      </c>
      <c r="F538" s="2">
        <v>5</v>
      </c>
      <c r="G538" s="2">
        <v>3</v>
      </c>
      <c r="H538" s="2">
        <v>256</v>
      </c>
      <c r="I538" s="2">
        <v>20000</v>
      </c>
      <c r="J538" s="2">
        <v>20000</v>
      </c>
      <c r="K538" s="2">
        <v>40.832700000000003</v>
      </c>
    </row>
    <row r="539" spans="2:11" x14ac:dyDescent="0.2">
      <c r="B539" s="26" t="str">
        <f>_xlfn.XLOOKUP(Total[[#This Row],[Metodo]],TbSolver[Metodo],TbSolver[Solver])</f>
        <v>Adams Bashford Moulton</v>
      </c>
      <c r="C539" s="26" t="str">
        <f>_xlfn.XLOOKUP(Total[[#This Row],[Hebras]],TbTecnologia[Hebras],TbTecnologia[Tecnología])</f>
        <v>CUDA</v>
      </c>
      <c r="D539" s="15" t="str" cm="1">
        <f t="array" ref="D539">_xlfn.XLOOKUP(Total[[#This Row],[Tecnología]]&amp;Total[[#This Row],[Metodo]],TbTipos[Tecnología]&amp;TbTipos[Metodo],TbTipos[Tipo])</f>
        <v>CUDA sin graph</v>
      </c>
      <c r="E539" s="15" t="str" cm="1">
        <f t="array" ref="E539">_xlfn.XLOOKUP(Total[[#This Row],[Tecnología]]&amp;Total[[#This Row],[Problema]],TbNombres[Tecnología]&amp;TbNombres[Problema],TbNombres[Nombre])</f>
        <v>Advdiff1d</v>
      </c>
      <c r="F539" s="2">
        <v>5</v>
      </c>
      <c r="G539" s="2">
        <v>3</v>
      </c>
      <c r="H539" s="2">
        <v>256</v>
      </c>
      <c r="I539" s="2">
        <v>50000</v>
      </c>
      <c r="J539" s="2">
        <v>50000</v>
      </c>
      <c r="K539" s="2">
        <v>58.4223</v>
      </c>
    </row>
    <row r="540" spans="2:11" x14ac:dyDescent="0.2">
      <c r="B540" s="26" t="str">
        <f>_xlfn.XLOOKUP(Total[[#This Row],[Metodo]],TbSolver[Metodo],TbSolver[Solver])</f>
        <v>Adams Bashford Moulton</v>
      </c>
      <c r="C540" s="26" t="str">
        <f>_xlfn.XLOOKUP(Total[[#This Row],[Hebras]],TbTecnologia[Hebras],TbTecnologia[Tecnología])</f>
        <v>CUDA</v>
      </c>
      <c r="D540" s="15" t="str" cm="1">
        <f t="array" ref="D540">_xlfn.XLOOKUP(Total[[#This Row],[Tecnología]]&amp;Total[[#This Row],[Metodo]],TbTipos[Tecnología]&amp;TbTipos[Metodo],TbTipos[Tipo])</f>
        <v>CUDA sin graph</v>
      </c>
      <c r="E540" s="15" t="str" cm="1">
        <f t="array" ref="E540">_xlfn.XLOOKUP(Total[[#This Row],[Tecnología]]&amp;Total[[#This Row],[Problema]],TbNombres[Tecnología]&amp;TbNombres[Problema],TbNombres[Nombre])</f>
        <v>Advdiff1d</v>
      </c>
      <c r="F540" s="2">
        <v>5</v>
      </c>
      <c r="G540" s="2">
        <v>3</v>
      </c>
      <c r="H540" s="2">
        <v>256</v>
      </c>
      <c r="I540" s="2">
        <v>100000</v>
      </c>
      <c r="J540" s="2">
        <v>100000</v>
      </c>
      <c r="K540" s="2">
        <v>116.55800000000001</v>
      </c>
    </row>
    <row r="541" spans="2:11" x14ac:dyDescent="0.2">
      <c r="B541" s="26" t="str">
        <f>_xlfn.XLOOKUP(Total[[#This Row],[Metodo]],TbSolver[Metodo],TbSolver[Solver])</f>
        <v>Adams Bashford Moulton</v>
      </c>
      <c r="C541" s="26" t="str">
        <f>_xlfn.XLOOKUP(Total[[#This Row],[Hebras]],TbTecnologia[Hebras],TbTecnologia[Tecnología])</f>
        <v>CUDA</v>
      </c>
      <c r="D541" s="15" t="str" cm="1">
        <f t="array" ref="D541">_xlfn.XLOOKUP(Total[[#This Row],[Tecnología]]&amp;Total[[#This Row],[Metodo]],TbTipos[Tecnología]&amp;TbTipos[Metodo],TbTipos[Tipo])</f>
        <v>CUDA sin graph</v>
      </c>
      <c r="E541" s="15" t="str" cm="1">
        <f t="array" ref="E541">_xlfn.XLOOKUP(Total[[#This Row],[Tecnología]]&amp;Total[[#This Row],[Problema]],TbNombres[Tecnología]&amp;TbNombres[Problema],TbNombres[Nombre])</f>
        <v>Advdiff1d</v>
      </c>
      <c r="F541" s="2">
        <v>5</v>
      </c>
      <c r="G541" s="2">
        <v>3</v>
      </c>
      <c r="H541" s="2">
        <v>256</v>
      </c>
      <c r="I541" s="2">
        <v>200000</v>
      </c>
      <c r="J541" s="2">
        <v>200000</v>
      </c>
      <c r="K541" s="2">
        <v>240.96799999999999</v>
      </c>
    </row>
    <row r="542" spans="2:11" x14ac:dyDescent="0.2">
      <c r="B542" s="26" t="str">
        <f>_xlfn.XLOOKUP(Total[[#This Row],[Metodo]],TbSolver[Metodo],TbSolver[Solver])</f>
        <v>Adams Bashford Moulton</v>
      </c>
      <c r="C542" s="26" t="str">
        <f>_xlfn.XLOOKUP(Total[[#This Row],[Hebras]],TbTecnologia[Hebras],TbTecnologia[Tecnología])</f>
        <v>OMP</v>
      </c>
      <c r="D542" s="15" t="str" cm="1">
        <f t="array" ref="D542">_xlfn.XLOOKUP(Total[[#This Row],[Tecnología]]&amp;Total[[#This Row],[Metodo]],TbTipos[Tecnología]&amp;TbTipos[Metodo],TbTipos[Tipo])</f>
        <v>OMP Operaciones</v>
      </c>
      <c r="E542" s="15" t="str" cm="1">
        <f t="array" ref="E542">_xlfn.XLOOKUP(Total[[#This Row],[Tecnología]]&amp;Total[[#This Row],[Problema]],TbNombres[Tecnología]&amp;TbNombres[Problema],TbNombres[Nombre])</f>
        <v>Advdiff1d</v>
      </c>
      <c r="F542" s="2">
        <v>5</v>
      </c>
      <c r="G542" s="2">
        <v>2</v>
      </c>
      <c r="H542" s="2">
        <v>1</v>
      </c>
      <c r="I542" s="2">
        <v>100</v>
      </c>
      <c r="J542" s="2">
        <v>100</v>
      </c>
      <c r="K542" s="2">
        <v>11.7964</v>
      </c>
    </row>
    <row r="543" spans="2:11" x14ac:dyDescent="0.2">
      <c r="B543" s="26" t="str">
        <f>_xlfn.XLOOKUP(Total[[#This Row],[Metodo]],TbSolver[Metodo],TbSolver[Solver])</f>
        <v>Adams Bashford Moulton</v>
      </c>
      <c r="C543" s="26" t="str">
        <f>_xlfn.XLOOKUP(Total[[#This Row],[Hebras]],TbTecnologia[Hebras],TbTecnologia[Tecnología])</f>
        <v>OMP</v>
      </c>
      <c r="D543" s="15" t="str" cm="1">
        <f t="array" ref="D543">_xlfn.XLOOKUP(Total[[#This Row],[Tecnología]]&amp;Total[[#This Row],[Metodo]],TbTipos[Tecnología]&amp;TbTipos[Metodo],TbTipos[Tipo])</f>
        <v>OMP Operaciones</v>
      </c>
      <c r="E543" s="15" t="str" cm="1">
        <f t="array" ref="E543">_xlfn.XLOOKUP(Total[[#This Row],[Tecnología]]&amp;Total[[#This Row],[Problema]],TbNombres[Tecnología]&amp;TbNombres[Problema],TbNombres[Nombre])</f>
        <v>Advdiff1d</v>
      </c>
      <c r="F543" s="2">
        <v>5</v>
      </c>
      <c r="G543" s="2">
        <v>2</v>
      </c>
      <c r="H543" s="2">
        <v>4</v>
      </c>
      <c r="I543" s="2">
        <v>100</v>
      </c>
      <c r="J543" s="2">
        <v>100</v>
      </c>
      <c r="K543" s="2">
        <v>59.247900000000001</v>
      </c>
    </row>
    <row r="544" spans="2:11" x14ac:dyDescent="0.2">
      <c r="B544" s="26" t="str">
        <f>_xlfn.XLOOKUP(Total[[#This Row],[Metodo]],TbSolver[Metodo],TbSolver[Solver])</f>
        <v>Adams Bashford Moulton</v>
      </c>
      <c r="C544" s="26" t="str">
        <f>_xlfn.XLOOKUP(Total[[#This Row],[Hebras]],TbTecnologia[Hebras],TbTecnologia[Tecnología])</f>
        <v>OMP</v>
      </c>
      <c r="D544" s="15" t="str" cm="1">
        <f t="array" ref="D544">_xlfn.XLOOKUP(Total[[#This Row],[Tecnología]]&amp;Total[[#This Row],[Metodo]],TbTipos[Tecnología]&amp;TbTipos[Metodo],TbTipos[Tipo])</f>
        <v>OMP Operaciones</v>
      </c>
      <c r="E544" s="15" t="str" cm="1">
        <f t="array" ref="E544">_xlfn.XLOOKUP(Total[[#This Row],[Tecnología]]&amp;Total[[#This Row],[Problema]],TbNombres[Tecnología]&amp;TbNombres[Problema],TbNombres[Nombre])</f>
        <v>Advdiff1d</v>
      </c>
      <c r="F544" s="2">
        <v>5</v>
      </c>
      <c r="G544" s="2">
        <v>2</v>
      </c>
      <c r="H544" s="2">
        <v>16</v>
      </c>
      <c r="I544" s="2">
        <v>100</v>
      </c>
      <c r="J544" s="2">
        <v>100</v>
      </c>
      <c r="K544" s="2">
        <v>139.191</v>
      </c>
    </row>
    <row r="545" spans="2:11" x14ac:dyDescent="0.2">
      <c r="B545" s="26" t="str">
        <f>_xlfn.XLOOKUP(Total[[#This Row],[Metodo]],TbSolver[Metodo],TbSolver[Solver])</f>
        <v>Adams Bashford Moulton</v>
      </c>
      <c r="C545" s="26" t="str">
        <f>_xlfn.XLOOKUP(Total[[#This Row],[Hebras]],TbTecnologia[Hebras],TbTecnologia[Tecnología])</f>
        <v>OMP</v>
      </c>
      <c r="D545" s="15" t="str" cm="1">
        <f t="array" ref="D545">_xlfn.XLOOKUP(Total[[#This Row],[Tecnología]]&amp;Total[[#This Row],[Metodo]],TbTipos[Tecnología]&amp;TbTipos[Metodo],TbTipos[Tipo])</f>
        <v>OMP Operaciones</v>
      </c>
      <c r="E545" s="15" t="str" cm="1">
        <f t="array" ref="E545">_xlfn.XLOOKUP(Total[[#This Row],[Tecnología]]&amp;Total[[#This Row],[Problema]],TbNombres[Tecnología]&amp;TbNombres[Problema],TbNombres[Nombre])</f>
        <v>Advdiff1d</v>
      </c>
      <c r="F545" s="2">
        <v>5</v>
      </c>
      <c r="G545" s="2">
        <v>2</v>
      </c>
      <c r="H545" s="2">
        <v>1</v>
      </c>
      <c r="I545" s="2">
        <v>200</v>
      </c>
      <c r="J545" s="2">
        <v>200</v>
      </c>
      <c r="K545" s="2">
        <v>18.9529</v>
      </c>
    </row>
    <row r="546" spans="2:11" x14ac:dyDescent="0.2">
      <c r="B546" s="26" t="str">
        <f>_xlfn.XLOOKUP(Total[[#This Row],[Metodo]],TbSolver[Metodo],TbSolver[Solver])</f>
        <v>Adams Bashford Moulton</v>
      </c>
      <c r="C546" s="26" t="str">
        <f>_xlfn.XLOOKUP(Total[[#This Row],[Hebras]],TbTecnologia[Hebras],TbTecnologia[Tecnología])</f>
        <v>OMP</v>
      </c>
      <c r="D546" s="15" t="str" cm="1">
        <f t="array" ref="D546">_xlfn.XLOOKUP(Total[[#This Row],[Tecnología]]&amp;Total[[#This Row],[Metodo]],TbTipos[Tecnología]&amp;TbTipos[Metodo],TbTipos[Tipo])</f>
        <v>OMP Operaciones</v>
      </c>
      <c r="E546" s="15" t="str" cm="1">
        <f t="array" ref="E546">_xlfn.XLOOKUP(Total[[#This Row],[Tecnología]]&amp;Total[[#This Row],[Problema]],TbNombres[Tecnología]&amp;TbNombres[Problema],TbNombres[Nombre])</f>
        <v>Advdiff1d</v>
      </c>
      <c r="F546" s="2">
        <v>5</v>
      </c>
      <c r="G546" s="2">
        <v>2</v>
      </c>
      <c r="H546" s="2">
        <v>4</v>
      </c>
      <c r="I546" s="2">
        <v>200</v>
      </c>
      <c r="J546" s="2">
        <v>200</v>
      </c>
      <c r="K546" s="2">
        <v>50.182699999999997</v>
      </c>
    </row>
    <row r="547" spans="2:11" x14ac:dyDescent="0.2">
      <c r="B547" s="26" t="str">
        <f>_xlfn.XLOOKUP(Total[[#This Row],[Metodo]],TbSolver[Metodo],TbSolver[Solver])</f>
        <v>Adams Bashford Moulton</v>
      </c>
      <c r="C547" s="26" t="str">
        <f>_xlfn.XLOOKUP(Total[[#This Row],[Hebras]],TbTecnologia[Hebras],TbTecnologia[Tecnología])</f>
        <v>OMP</v>
      </c>
      <c r="D547" s="15" t="str" cm="1">
        <f t="array" ref="D547">_xlfn.XLOOKUP(Total[[#This Row],[Tecnología]]&amp;Total[[#This Row],[Metodo]],TbTipos[Tecnología]&amp;TbTipos[Metodo],TbTipos[Tipo])</f>
        <v>OMP Operaciones</v>
      </c>
      <c r="E547" s="15" t="str" cm="1">
        <f t="array" ref="E547">_xlfn.XLOOKUP(Total[[#This Row],[Tecnología]]&amp;Total[[#This Row],[Problema]],TbNombres[Tecnología]&amp;TbNombres[Problema],TbNombres[Nombre])</f>
        <v>Advdiff1d</v>
      </c>
      <c r="F547" s="2">
        <v>5</v>
      </c>
      <c r="G547" s="2">
        <v>2</v>
      </c>
      <c r="H547" s="2">
        <v>16</v>
      </c>
      <c r="I547" s="2">
        <v>200</v>
      </c>
      <c r="J547" s="2">
        <v>200</v>
      </c>
      <c r="K547" s="2">
        <v>107.85299999999999</v>
      </c>
    </row>
    <row r="548" spans="2:11" x14ac:dyDescent="0.2">
      <c r="B548" s="26" t="str">
        <f>_xlfn.XLOOKUP(Total[[#This Row],[Metodo]],TbSolver[Metodo],TbSolver[Solver])</f>
        <v>Adams Bashford Moulton</v>
      </c>
      <c r="C548" s="26" t="str">
        <f>_xlfn.XLOOKUP(Total[[#This Row],[Hebras]],TbTecnologia[Hebras],TbTecnologia[Tecnología])</f>
        <v>OMP</v>
      </c>
      <c r="D548" s="15" t="str" cm="1">
        <f t="array" ref="D548">_xlfn.XLOOKUP(Total[[#This Row],[Tecnología]]&amp;Total[[#This Row],[Metodo]],TbTipos[Tecnología]&amp;TbTipos[Metodo],TbTipos[Tipo])</f>
        <v>OMP Operaciones</v>
      </c>
      <c r="E548" s="15" t="str" cm="1">
        <f t="array" ref="E548">_xlfn.XLOOKUP(Total[[#This Row],[Tecnología]]&amp;Total[[#This Row],[Problema]],TbNombres[Tecnología]&amp;TbNombres[Problema],TbNombres[Nombre])</f>
        <v>Advdiff1d</v>
      </c>
      <c r="F548" s="2">
        <v>5</v>
      </c>
      <c r="G548" s="2">
        <v>2</v>
      </c>
      <c r="H548" s="2">
        <v>1</v>
      </c>
      <c r="I548" s="2">
        <v>500</v>
      </c>
      <c r="J548" s="2">
        <v>500</v>
      </c>
      <c r="K548" s="2">
        <v>38.900799999999997</v>
      </c>
    </row>
    <row r="549" spans="2:11" x14ac:dyDescent="0.2">
      <c r="B549" s="26" t="str">
        <f>_xlfn.XLOOKUP(Total[[#This Row],[Metodo]],TbSolver[Metodo],TbSolver[Solver])</f>
        <v>Adams Bashford Moulton</v>
      </c>
      <c r="C549" s="26" t="str">
        <f>_xlfn.XLOOKUP(Total[[#This Row],[Hebras]],TbTecnologia[Hebras],TbTecnologia[Tecnología])</f>
        <v>OMP</v>
      </c>
      <c r="D549" s="15" t="str" cm="1">
        <f t="array" ref="D549">_xlfn.XLOOKUP(Total[[#This Row],[Tecnología]]&amp;Total[[#This Row],[Metodo]],TbTipos[Tecnología]&amp;TbTipos[Metodo],TbTipos[Tipo])</f>
        <v>OMP Operaciones</v>
      </c>
      <c r="E549" s="15" t="str" cm="1">
        <f t="array" ref="E549">_xlfn.XLOOKUP(Total[[#This Row],[Tecnología]]&amp;Total[[#This Row],[Problema]],TbNombres[Tecnología]&amp;TbNombres[Problema],TbNombres[Nombre])</f>
        <v>Advdiff1d</v>
      </c>
      <c r="F549" s="2">
        <v>5</v>
      </c>
      <c r="G549" s="2">
        <v>2</v>
      </c>
      <c r="H549" s="2">
        <v>4</v>
      </c>
      <c r="I549" s="2">
        <v>500</v>
      </c>
      <c r="J549" s="2">
        <v>500</v>
      </c>
      <c r="K549" s="2">
        <v>64.753900000000002</v>
      </c>
    </row>
    <row r="550" spans="2:11" x14ac:dyDescent="0.2">
      <c r="B550" s="26" t="str">
        <f>_xlfn.XLOOKUP(Total[[#This Row],[Metodo]],TbSolver[Metodo],TbSolver[Solver])</f>
        <v>Adams Bashford Moulton</v>
      </c>
      <c r="C550" s="26" t="str">
        <f>_xlfn.XLOOKUP(Total[[#This Row],[Hebras]],TbTecnologia[Hebras],TbTecnologia[Tecnología])</f>
        <v>OMP</v>
      </c>
      <c r="D550" s="15" t="str" cm="1">
        <f t="array" ref="D550">_xlfn.XLOOKUP(Total[[#This Row],[Tecnología]]&amp;Total[[#This Row],[Metodo]],TbTipos[Tecnología]&amp;TbTipos[Metodo],TbTipos[Tipo])</f>
        <v>OMP Operaciones</v>
      </c>
      <c r="E550" s="15" t="str" cm="1">
        <f t="array" ref="E550">_xlfn.XLOOKUP(Total[[#This Row],[Tecnología]]&amp;Total[[#This Row],[Problema]],TbNombres[Tecnología]&amp;TbNombres[Problema],TbNombres[Nombre])</f>
        <v>Advdiff1d</v>
      </c>
      <c r="F550" s="2">
        <v>5</v>
      </c>
      <c r="G550" s="2">
        <v>2</v>
      </c>
      <c r="H550" s="2">
        <v>16</v>
      </c>
      <c r="I550" s="2">
        <v>500</v>
      </c>
      <c r="J550" s="2">
        <v>500</v>
      </c>
      <c r="K550" s="2">
        <v>132.91999999999999</v>
      </c>
    </row>
    <row r="551" spans="2:11" x14ac:dyDescent="0.2">
      <c r="B551" s="26" t="str">
        <f>_xlfn.XLOOKUP(Total[[#This Row],[Metodo]],TbSolver[Metodo],TbSolver[Solver])</f>
        <v>Adams Bashford Moulton</v>
      </c>
      <c r="C551" s="26" t="str">
        <f>_xlfn.XLOOKUP(Total[[#This Row],[Hebras]],TbTecnologia[Hebras],TbTecnologia[Tecnología])</f>
        <v>OMP</v>
      </c>
      <c r="D551" s="15" t="str" cm="1">
        <f t="array" ref="D551">_xlfn.XLOOKUP(Total[[#This Row],[Tecnología]]&amp;Total[[#This Row],[Metodo]],TbTipos[Tecnología]&amp;TbTipos[Metodo],TbTipos[Tipo])</f>
        <v>OMP Operaciones</v>
      </c>
      <c r="E551" s="15" t="str" cm="1">
        <f t="array" ref="E551">_xlfn.XLOOKUP(Total[[#This Row],[Tecnología]]&amp;Total[[#This Row],[Problema]],TbNombres[Tecnología]&amp;TbNombres[Problema],TbNombres[Nombre])</f>
        <v>Advdiff1d</v>
      </c>
      <c r="F551" s="2">
        <v>5</v>
      </c>
      <c r="G551" s="2">
        <v>2</v>
      </c>
      <c r="H551" s="2">
        <v>1</v>
      </c>
      <c r="I551" s="2">
        <v>1000</v>
      </c>
      <c r="J551" s="2">
        <v>1000</v>
      </c>
      <c r="K551" s="2">
        <v>73.342799999999997</v>
      </c>
    </row>
    <row r="552" spans="2:11" x14ac:dyDescent="0.2">
      <c r="B552" s="26" t="str">
        <f>_xlfn.XLOOKUP(Total[[#This Row],[Metodo]],TbSolver[Metodo],TbSolver[Solver])</f>
        <v>Adams Bashford Moulton</v>
      </c>
      <c r="C552" s="26" t="str">
        <f>_xlfn.XLOOKUP(Total[[#This Row],[Hebras]],TbTecnologia[Hebras],TbTecnologia[Tecnología])</f>
        <v>OMP</v>
      </c>
      <c r="D552" s="15" t="str" cm="1">
        <f t="array" ref="D552">_xlfn.XLOOKUP(Total[[#This Row],[Tecnología]]&amp;Total[[#This Row],[Metodo]],TbTipos[Tecnología]&amp;TbTipos[Metodo],TbTipos[Tipo])</f>
        <v>OMP Operaciones</v>
      </c>
      <c r="E552" s="15" t="str" cm="1">
        <f t="array" ref="E552">_xlfn.XLOOKUP(Total[[#This Row],[Tecnología]]&amp;Total[[#This Row],[Problema]],TbNombres[Tecnología]&amp;TbNombres[Problema],TbNombres[Nombre])</f>
        <v>Advdiff1d</v>
      </c>
      <c r="F552" s="2">
        <v>5</v>
      </c>
      <c r="G552" s="2">
        <v>2</v>
      </c>
      <c r="H552" s="2">
        <v>4</v>
      </c>
      <c r="I552" s="2">
        <v>1000</v>
      </c>
      <c r="J552" s="2">
        <v>1000</v>
      </c>
      <c r="K552" s="2">
        <v>66.462500000000006</v>
      </c>
    </row>
    <row r="553" spans="2:11" x14ac:dyDescent="0.2">
      <c r="B553" s="26" t="str">
        <f>_xlfn.XLOOKUP(Total[[#This Row],[Metodo]],TbSolver[Metodo],TbSolver[Solver])</f>
        <v>Adams Bashford Moulton</v>
      </c>
      <c r="C553" s="26" t="str">
        <f>_xlfn.XLOOKUP(Total[[#This Row],[Hebras]],TbTecnologia[Hebras],TbTecnologia[Tecnología])</f>
        <v>OMP</v>
      </c>
      <c r="D553" s="15" t="str" cm="1">
        <f t="array" ref="D553">_xlfn.XLOOKUP(Total[[#This Row],[Tecnología]]&amp;Total[[#This Row],[Metodo]],TbTipos[Tecnología]&amp;TbTipos[Metodo],TbTipos[Tipo])</f>
        <v>OMP Operaciones</v>
      </c>
      <c r="E553" s="15" t="str" cm="1">
        <f t="array" ref="E553">_xlfn.XLOOKUP(Total[[#This Row],[Tecnología]]&amp;Total[[#This Row],[Problema]],TbNombres[Tecnología]&amp;TbNombres[Problema],TbNombres[Nombre])</f>
        <v>Advdiff1d</v>
      </c>
      <c r="F553" s="2">
        <v>5</v>
      </c>
      <c r="G553" s="2">
        <v>2</v>
      </c>
      <c r="H553" s="2">
        <v>16</v>
      </c>
      <c r="I553" s="2">
        <v>1000</v>
      </c>
      <c r="J553" s="2">
        <v>1000</v>
      </c>
      <c r="K553" s="2">
        <v>106.63500000000001</v>
      </c>
    </row>
    <row r="554" spans="2:11" x14ac:dyDescent="0.2">
      <c r="B554" s="26" t="str">
        <f>_xlfn.XLOOKUP(Total[[#This Row],[Metodo]],TbSolver[Metodo],TbSolver[Solver])</f>
        <v>Adams Bashford Moulton</v>
      </c>
      <c r="C554" s="26" t="str">
        <f>_xlfn.XLOOKUP(Total[[#This Row],[Hebras]],TbTecnologia[Hebras],TbTecnologia[Tecnología])</f>
        <v>OMP</v>
      </c>
      <c r="D554" s="15" t="str" cm="1">
        <f t="array" ref="D554">_xlfn.XLOOKUP(Total[[#This Row],[Tecnología]]&amp;Total[[#This Row],[Metodo]],TbTipos[Tecnología]&amp;TbTipos[Metodo],TbTipos[Tipo])</f>
        <v>OMP Elementos</v>
      </c>
      <c r="E554" s="15" t="str" cm="1">
        <f t="array" ref="E554">_xlfn.XLOOKUP(Total[[#This Row],[Tecnología]]&amp;Total[[#This Row],[Problema]],TbNombres[Tecnología]&amp;TbNombres[Problema],TbNombres[Nombre])</f>
        <v>Advdiff1d</v>
      </c>
      <c r="F554" s="2">
        <v>6</v>
      </c>
      <c r="G554" s="2">
        <v>2</v>
      </c>
      <c r="H554" s="2">
        <v>1</v>
      </c>
      <c r="I554" s="2">
        <v>100</v>
      </c>
      <c r="J554" s="2">
        <v>100</v>
      </c>
      <c r="K554" s="2">
        <v>10.048400000000001</v>
      </c>
    </row>
    <row r="555" spans="2:11" x14ac:dyDescent="0.2">
      <c r="B555" s="26" t="str">
        <f>_xlfn.XLOOKUP(Total[[#This Row],[Metodo]],TbSolver[Metodo],TbSolver[Solver])</f>
        <v>Adams Bashford Moulton</v>
      </c>
      <c r="C555" s="26" t="str">
        <f>_xlfn.XLOOKUP(Total[[#This Row],[Hebras]],TbTecnologia[Hebras],TbTecnologia[Tecnología])</f>
        <v>OMP</v>
      </c>
      <c r="D555" s="15" t="str" cm="1">
        <f t="array" ref="D555">_xlfn.XLOOKUP(Total[[#This Row],[Tecnología]]&amp;Total[[#This Row],[Metodo]],TbTipos[Tecnología]&amp;TbTipos[Metodo],TbTipos[Tipo])</f>
        <v>OMP Elementos</v>
      </c>
      <c r="E555" s="15" t="str" cm="1">
        <f t="array" ref="E555">_xlfn.XLOOKUP(Total[[#This Row],[Tecnología]]&amp;Total[[#This Row],[Problema]],TbNombres[Tecnología]&amp;TbNombres[Problema],TbNombres[Nombre])</f>
        <v>Advdiff1d</v>
      </c>
      <c r="F555" s="2">
        <v>6</v>
      </c>
      <c r="G555" s="2">
        <v>2</v>
      </c>
      <c r="H555" s="2">
        <v>4</v>
      </c>
      <c r="I555" s="2">
        <v>100</v>
      </c>
      <c r="J555" s="2">
        <v>100</v>
      </c>
      <c r="K555" s="2">
        <v>12.5639</v>
      </c>
    </row>
    <row r="556" spans="2:11" x14ac:dyDescent="0.2">
      <c r="B556" s="26" t="str">
        <f>_xlfn.XLOOKUP(Total[[#This Row],[Metodo]],TbSolver[Metodo],TbSolver[Solver])</f>
        <v>Adams Bashford Moulton</v>
      </c>
      <c r="C556" s="26" t="str">
        <f>_xlfn.XLOOKUP(Total[[#This Row],[Hebras]],TbTecnologia[Hebras],TbTecnologia[Tecnología])</f>
        <v>OMP</v>
      </c>
      <c r="D556" s="15" t="str" cm="1">
        <f t="array" ref="D556">_xlfn.XLOOKUP(Total[[#This Row],[Tecnología]]&amp;Total[[#This Row],[Metodo]],TbTipos[Tecnología]&amp;TbTipos[Metodo],TbTipos[Tipo])</f>
        <v>OMP Elementos</v>
      </c>
      <c r="E556" s="15" t="str" cm="1">
        <f t="array" ref="E556">_xlfn.XLOOKUP(Total[[#This Row],[Tecnología]]&amp;Total[[#This Row],[Problema]],TbNombres[Tecnología]&amp;TbNombres[Problema],TbNombres[Nombre])</f>
        <v>Advdiff1d</v>
      </c>
      <c r="F556" s="2">
        <v>6</v>
      </c>
      <c r="G556" s="2">
        <v>2</v>
      </c>
      <c r="H556" s="2">
        <v>16</v>
      </c>
      <c r="I556" s="2">
        <v>100</v>
      </c>
      <c r="J556" s="2">
        <v>100</v>
      </c>
      <c r="K556" s="2">
        <v>33.165700000000001</v>
      </c>
    </row>
    <row r="557" spans="2:11" x14ac:dyDescent="0.2">
      <c r="B557" s="26" t="str">
        <f>_xlfn.XLOOKUP(Total[[#This Row],[Metodo]],TbSolver[Metodo],TbSolver[Solver])</f>
        <v>Adams Bashford Moulton</v>
      </c>
      <c r="C557" s="26" t="str">
        <f>_xlfn.XLOOKUP(Total[[#This Row],[Hebras]],TbTecnologia[Hebras],TbTecnologia[Tecnología])</f>
        <v>OMP</v>
      </c>
      <c r="D557" s="15" t="str" cm="1">
        <f t="array" ref="D557">_xlfn.XLOOKUP(Total[[#This Row],[Tecnología]]&amp;Total[[#This Row],[Metodo]],TbTipos[Tecnología]&amp;TbTipos[Metodo],TbTipos[Tipo])</f>
        <v>OMP Elementos</v>
      </c>
      <c r="E557" s="15" t="str" cm="1">
        <f t="array" ref="E557">_xlfn.XLOOKUP(Total[[#This Row],[Tecnología]]&amp;Total[[#This Row],[Problema]],TbNombres[Tecnología]&amp;TbNombres[Problema],TbNombres[Nombre])</f>
        <v>Advdiff1d</v>
      </c>
      <c r="F557" s="2">
        <v>6</v>
      </c>
      <c r="G557" s="2">
        <v>2</v>
      </c>
      <c r="H557" s="2">
        <v>1</v>
      </c>
      <c r="I557" s="2">
        <v>200</v>
      </c>
      <c r="J557" s="2">
        <v>200</v>
      </c>
      <c r="K557" s="2">
        <v>19.096499999999999</v>
      </c>
    </row>
    <row r="558" spans="2:11" x14ac:dyDescent="0.2">
      <c r="B558" s="26" t="str">
        <f>_xlfn.XLOOKUP(Total[[#This Row],[Metodo]],TbSolver[Metodo],TbSolver[Solver])</f>
        <v>Adams Bashford Moulton</v>
      </c>
      <c r="C558" s="26" t="str">
        <f>_xlfn.XLOOKUP(Total[[#This Row],[Hebras]],TbTecnologia[Hebras],TbTecnologia[Tecnología])</f>
        <v>OMP</v>
      </c>
      <c r="D558" s="15" t="str" cm="1">
        <f t="array" ref="D558">_xlfn.XLOOKUP(Total[[#This Row],[Tecnología]]&amp;Total[[#This Row],[Metodo]],TbTipos[Tecnología]&amp;TbTipos[Metodo],TbTipos[Tipo])</f>
        <v>OMP Elementos</v>
      </c>
      <c r="E558" s="15" t="str" cm="1">
        <f t="array" ref="E558">_xlfn.XLOOKUP(Total[[#This Row],[Tecnología]]&amp;Total[[#This Row],[Problema]],TbNombres[Tecnología]&amp;TbNombres[Problema],TbNombres[Nombre])</f>
        <v>Advdiff1d</v>
      </c>
      <c r="F558" s="2">
        <v>6</v>
      </c>
      <c r="G558" s="2">
        <v>2</v>
      </c>
      <c r="H558" s="2">
        <v>4</v>
      </c>
      <c r="I558" s="2">
        <v>200</v>
      </c>
      <c r="J558" s="2">
        <v>200</v>
      </c>
      <c r="K558" s="2">
        <v>13.9816</v>
      </c>
    </row>
    <row r="559" spans="2:11" x14ac:dyDescent="0.2">
      <c r="B559" s="26" t="str">
        <f>_xlfn.XLOOKUP(Total[[#This Row],[Metodo]],TbSolver[Metodo],TbSolver[Solver])</f>
        <v>Adams Bashford Moulton</v>
      </c>
      <c r="C559" s="26" t="str">
        <f>_xlfn.XLOOKUP(Total[[#This Row],[Hebras]],TbTecnologia[Hebras],TbTecnologia[Tecnología])</f>
        <v>OMP</v>
      </c>
      <c r="D559" s="15" t="str" cm="1">
        <f t="array" ref="D559">_xlfn.XLOOKUP(Total[[#This Row],[Tecnología]]&amp;Total[[#This Row],[Metodo]],TbTipos[Tecnología]&amp;TbTipos[Metodo],TbTipos[Tipo])</f>
        <v>OMP Elementos</v>
      </c>
      <c r="E559" s="15" t="str" cm="1">
        <f t="array" ref="E559">_xlfn.XLOOKUP(Total[[#This Row],[Tecnología]]&amp;Total[[#This Row],[Problema]],TbNombres[Tecnología]&amp;TbNombres[Problema],TbNombres[Nombre])</f>
        <v>Advdiff1d</v>
      </c>
      <c r="F559" s="2">
        <v>6</v>
      </c>
      <c r="G559" s="2">
        <v>2</v>
      </c>
      <c r="H559" s="2">
        <v>16</v>
      </c>
      <c r="I559" s="2">
        <v>200</v>
      </c>
      <c r="J559" s="2">
        <v>200</v>
      </c>
      <c r="K559" s="2">
        <v>41.667099999999998</v>
      </c>
    </row>
    <row r="560" spans="2:11" x14ac:dyDescent="0.2">
      <c r="B560" s="26" t="str">
        <f>_xlfn.XLOOKUP(Total[[#This Row],[Metodo]],TbSolver[Metodo],TbSolver[Solver])</f>
        <v>Adams Bashford Moulton</v>
      </c>
      <c r="C560" s="26" t="str">
        <f>_xlfn.XLOOKUP(Total[[#This Row],[Hebras]],TbTecnologia[Hebras],TbTecnologia[Tecnología])</f>
        <v>OMP</v>
      </c>
      <c r="D560" s="15" t="str" cm="1">
        <f t="array" ref="D560">_xlfn.XLOOKUP(Total[[#This Row],[Tecnología]]&amp;Total[[#This Row],[Metodo]],TbTipos[Tecnología]&amp;TbTipos[Metodo],TbTipos[Tipo])</f>
        <v>OMP Elementos</v>
      </c>
      <c r="E560" s="15" t="str" cm="1">
        <f t="array" ref="E560">_xlfn.XLOOKUP(Total[[#This Row],[Tecnología]]&amp;Total[[#This Row],[Problema]],TbNombres[Tecnología]&amp;TbNombres[Problema],TbNombres[Nombre])</f>
        <v>Advdiff1d</v>
      </c>
      <c r="F560" s="2">
        <v>6</v>
      </c>
      <c r="G560" s="2">
        <v>2</v>
      </c>
      <c r="H560" s="2">
        <v>1</v>
      </c>
      <c r="I560" s="2">
        <v>500</v>
      </c>
      <c r="J560" s="2">
        <v>500</v>
      </c>
      <c r="K560" s="2">
        <v>46.477200000000003</v>
      </c>
    </row>
    <row r="561" spans="2:11" x14ac:dyDescent="0.2">
      <c r="B561" s="26" t="str">
        <f>_xlfn.XLOOKUP(Total[[#This Row],[Metodo]],TbSolver[Metodo],TbSolver[Solver])</f>
        <v>Adams Bashford Moulton</v>
      </c>
      <c r="C561" s="26" t="str">
        <f>_xlfn.XLOOKUP(Total[[#This Row],[Hebras]],TbTecnologia[Hebras],TbTecnologia[Tecnología])</f>
        <v>OMP</v>
      </c>
      <c r="D561" s="15" t="str" cm="1">
        <f t="array" ref="D561">_xlfn.XLOOKUP(Total[[#This Row],[Tecnología]]&amp;Total[[#This Row],[Metodo]],TbTipos[Tecnología]&amp;TbTipos[Metodo],TbTipos[Tipo])</f>
        <v>OMP Elementos</v>
      </c>
      <c r="E561" s="15" t="str" cm="1">
        <f t="array" ref="E561">_xlfn.XLOOKUP(Total[[#This Row],[Tecnología]]&amp;Total[[#This Row],[Problema]],TbNombres[Tecnología]&amp;TbNombres[Problema],TbNombres[Nombre])</f>
        <v>Advdiff1d</v>
      </c>
      <c r="F561" s="2">
        <v>6</v>
      </c>
      <c r="G561" s="2">
        <v>2</v>
      </c>
      <c r="H561" s="2">
        <v>4</v>
      </c>
      <c r="I561" s="2">
        <v>500</v>
      </c>
      <c r="J561" s="2">
        <v>500</v>
      </c>
      <c r="K561" s="2">
        <v>21.6614</v>
      </c>
    </row>
    <row r="562" spans="2:11" x14ac:dyDescent="0.2">
      <c r="B562" s="26" t="str">
        <f>_xlfn.XLOOKUP(Total[[#This Row],[Metodo]],TbSolver[Metodo],TbSolver[Solver])</f>
        <v>Adams Bashford Moulton</v>
      </c>
      <c r="C562" s="26" t="str">
        <f>_xlfn.XLOOKUP(Total[[#This Row],[Hebras]],TbTecnologia[Hebras],TbTecnologia[Tecnología])</f>
        <v>OMP</v>
      </c>
      <c r="D562" s="15" t="str" cm="1">
        <f t="array" ref="D562">_xlfn.XLOOKUP(Total[[#This Row],[Tecnología]]&amp;Total[[#This Row],[Metodo]],TbTipos[Tecnología]&amp;TbTipos[Metodo],TbTipos[Tipo])</f>
        <v>OMP Elementos</v>
      </c>
      <c r="E562" s="15" t="str" cm="1">
        <f t="array" ref="E562">_xlfn.XLOOKUP(Total[[#This Row],[Tecnología]]&amp;Total[[#This Row],[Problema]],TbNombres[Tecnología]&amp;TbNombres[Problema],TbNombres[Nombre])</f>
        <v>Advdiff1d</v>
      </c>
      <c r="F562" s="2">
        <v>6</v>
      </c>
      <c r="G562" s="2">
        <v>2</v>
      </c>
      <c r="H562" s="2">
        <v>16</v>
      </c>
      <c r="I562" s="2">
        <v>500</v>
      </c>
      <c r="J562" s="2">
        <v>500</v>
      </c>
      <c r="K562" s="2">
        <v>24.327500000000001</v>
      </c>
    </row>
    <row r="563" spans="2:11" x14ac:dyDescent="0.2">
      <c r="B563" s="26" t="str">
        <f>_xlfn.XLOOKUP(Total[[#This Row],[Metodo]],TbSolver[Metodo],TbSolver[Solver])</f>
        <v>Adams Bashford Moulton</v>
      </c>
      <c r="C563" s="26" t="str">
        <f>_xlfn.XLOOKUP(Total[[#This Row],[Hebras]],TbTecnologia[Hebras],TbTecnologia[Tecnología])</f>
        <v>OMP</v>
      </c>
      <c r="D563" s="15" t="str" cm="1">
        <f t="array" ref="D563">_xlfn.XLOOKUP(Total[[#This Row],[Tecnología]]&amp;Total[[#This Row],[Metodo]],TbTipos[Tecnología]&amp;TbTipos[Metodo],TbTipos[Tipo])</f>
        <v>OMP Elementos</v>
      </c>
      <c r="E563" s="15" t="str" cm="1">
        <f t="array" ref="E563">_xlfn.XLOOKUP(Total[[#This Row],[Tecnología]]&amp;Total[[#This Row],[Problema]],TbNombres[Tecnología]&amp;TbNombres[Problema],TbNombres[Nombre])</f>
        <v>Advdiff1d</v>
      </c>
      <c r="F563" s="2">
        <v>6</v>
      </c>
      <c r="G563" s="2">
        <v>2</v>
      </c>
      <c r="H563" s="2">
        <v>1</v>
      </c>
      <c r="I563" s="2">
        <v>1000</v>
      </c>
      <c r="J563" s="2">
        <v>1000</v>
      </c>
      <c r="K563" s="2">
        <v>91.630700000000004</v>
      </c>
    </row>
    <row r="564" spans="2:11" x14ac:dyDescent="0.2">
      <c r="B564" s="26" t="str">
        <f>_xlfn.XLOOKUP(Total[[#This Row],[Metodo]],TbSolver[Metodo],TbSolver[Solver])</f>
        <v>Adams Bashford Moulton</v>
      </c>
      <c r="C564" s="26" t="str">
        <f>_xlfn.XLOOKUP(Total[[#This Row],[Hebras]],TbTecnologia[Hebras],TbTecnologia[Tecnología])</f>
        <v>OMP</v>
      </c>
      <c r="D564" s="15" t="str" cm="1">
        <f t="array" ref="D564">_xlfn.XLOOKUP(Total[[#This Row],[Tecnología]]&amp;Total[[#This Row],[Metodo]],TbTipos[Tecnología]&amp;TbTipos[Metodo],TbTipos[Tipo])</f>
        <v>OMP Elementos</v>
      </c>
      <c r="E564" s="15" t="str" cm="1">
        <f t="array" ref="E564">_xlfn.XLOOKUP(Total[[#This Row],[Tecnología]]&amp;Total[[#This Row],[Problema]],TbNombres[Tecnología]&amp;TbNombres[Problema],TbNombres[Nombre])</f>
        <v>Advdiff1d</v>
      </c>
      <c r="F564" s="2">
        <v>6</v>
      </c>
      <c r="G564" s="2">
        <v>2</v>
      </c>
      <c r="H564" s="2">
        <v>4</v>
      </c>
      <c r="I564" s="2">
        <v>1000</v>
      </c>
      <c r="J564" s="2">
        <v>1000</v>
      </c>
      <c r="K564" s="2">
        <v>32.386699999999998</v>
      </c>
    </row>
    <row r="565" spans="2:11" x14ac:dyDescent="0.2">
      <c r="B565" s="26" t="str">
        <f>_xlfn.XLOOKUP(Total[[#This Row],[Metodo]],TbSolver[Metodo],TbSolver[Solver])</f>
        <v>Adams Bashford Moulton</v>
      </c>
      <c r="C565" s="26" t="str">
        <f>_xlfn.XLOOKUP(Total[[#This Row],[Hebras]],TbTecnologia[Hebras],TbTecnologia[Tecnología])</f>
        <v>OMP</v>
      </c>
      <c r="D565" s="15" t="str" cm="1">
        <f t="array" ref="D565">_xlfn.XLOOKUP(Total[[#This Row],[Tecnología]]&amp;Total[[#This Row],[Metodo]],TbTipos[Tecnología]&amp;TbTipos[Metodo],TbTipos[Tipo])</f>
        <v>OMP Elementos</v>
      </c>
      <c r="E565" s="15" t="str" cm="1">
        <f t="array" ref="E565">_xlfn.XLOOKUP(Total[[#This Row],[Tecnología]]&amp;Total[[#This Row],[Problema]],TbNombres[Tecnología]&amp;TbNombres[Problema],TbNombres[Nombre])</f>
        <v>Advdiff1d</v>
      </c>
      <c r="F565" s="2">
        <v>6</v>
      </c>
      <c r="G565" s="2">
        <v>2</v>
      </c>
      <c r="H565" s="2">
        <v>16</v>
      </c>
      <c r="I565" s="2">
        <v>1000</v>
      </c>
      <c r="J565" s="2">
        <v>1000</v>
      </c>
      <c r="K565" s="2">
        <v>116.113</v>
      </c>
    </row>
    <row r="566" spans="2:11" x14ac:dyDescent="0.2">
      <c r="B566" s="26" t="str">
        <f>_xlfn.XLOOKUP(Total[[#This Row],[Metodo]],TbSolver[Metodo],TbSolver[Solver])</f>
        <v>Adams Bashford Moulton</v>
      </c>
      <c r="C566" s="26" t="str">
        <f>_xlfn.XLOOKUP(Total[[#This Row],[Hebras]],TbTecnologia[Hebras],TbTecnologia[Tecnología])</f>
        <v>CUDA</v>
      </c>
      <c r="D566" s="15" t="str" cm="1">
        <f t="array" ref="D566">_xlfn.XLOOKUP(Total[[#This Row],[Tecnología]]&amp;Total[[#This Row],[Metodo]],TbTipos[Tecnología]&amp;TbTipos[Metodo],TbTipos[Tipo])</f>
        <v>CUDA con graph</v>
      </c>
      <c r="E566" s="15" t="str" cm="1">
        <f t="array" ref="E566">_xlfn.XLOOKUP(Total[[#This Row],[Tecnología]]&amp;Total[[#This Row],[Problema]],TbNombres[Tecnología]&amp;TbNombres[Problema],TbNombres[Nombre])</f>
        <v>Brusselator1d</v>
      </c>
      <c r="F566" s="2">
        <v>6</v>
      </c>
      <c r="G566" s="2">
        <v>5</v>
      </c>
      <c r="H566" s="2">
        <v>256</v>
      </c>
      <c r="I566" s="2">
        <v>100</v>
      </c>
      <c r="J566" s="2">
        <v>200</v>
      </c>
      <c r="K566" s="2">
        <v>12.3178</v>
      </c>
    </row>
    <row r="567" spans="2:11" x14ac:dyDescent="0.2">
      <c r="B567" s="26" t="str">
        <f>_xlfn.XLOOKUP(Total[[#This Row],[Metodo]],TbSolver[Metodo],TbSolver[Solver])</f>
        <v>Adams Bashford Moulton</v>
      </c>
      <c r="C567" s="26" t="str">
        <f>_xlfn.XLOOKUP(Total[[#This Row],[Hebras]],TbTecnologia[Hebras],TbTecnologia[Tecnología])</f>
        <v>CUDA</v>
      </c>
      <c r="D567" s="15" t="str" cm="1">
        <f t="array" ref="D567">_xlfn.XLOOKUP(Total[[#This Row],[Tecnología]]&amp;Total[[#This Row],[Metodo]],TbTipos[Tecnología]&amp;TbTipos[Metodo],TbTipos[Tipo])</f>
        <v>CUDA con graph</v>
      </c>
      <c r="E567" s="15" t="str" cm="1">
        <f t="array" ref="E567">_xlfn.XLOOKUP(Total[[#This Row],[Tecnología]]&amp;Total[[#This Row],[Problema]],TbNombres[Tecnología]&amp;TbNombres[Problema],TbNombres[Nombre])</f>
        <v>Brusselator1d shuffle</v>
      </c>
      <c r="F567" s="2">
        <v>6</v>
      </c>
      <c r="G567" s="2">
        <v>6</v>
      </c>
      <c r="H567" s="2">
        <v>256</v>
      </c>
      <c r="I567" s="2">
        <v>100</v>
      </c>
      <c r="J567" s="2">
        <v>200</v>
      </c>
      <c r="K567" s="2">
        <v>12.413600000000001</v>
      </c>
    </row>
    <row r="568" spans="2:11" x14ac:dyDescent="0.2">
      <c r="B568" s="26" t="str">
        <f>_xlfn.XLOOKUP(Total[[#This Row],[Metodo]],TbSolver[Metodo],TbSolver[Solver])</f>
        <v>Adams Bashford Moulton</v>
      </c>
      <c r="C568" s="26" t="str">
        <f>_xlfn.XLOOKUP(Total[[#This Row],[Hebras]],TbTecnologia[Hebras],TbTecnologia[Tecnología])</f>
        <v>CUDA</v>
      </c>
      <c r="D568" s="15" t="str" cm="1">
        <f t="array" ref="D568">_xlfn.XLOOKUP(Total[[#This Row],[Tecnología]]&amp;Total[[#This Row],[Metodo]],TbTipos[Tecnología]&amp;TbTipos[Metodo],TbTipos[Tipo])</f>
        <v>CUDA con graph</v>
      </c>
      <c r="E568" s="15" t="str" cm="1">
        <f t="array" ref="E568">_xlfn.XLOOKUP(Total[[#This Row],[Tecnología]]&amp;Total[[#This Row],[Problema]],TbNombres[Tecnología]&amp;TbNombres[Problema],TbNombres[Nombre])</f>
        <v>Brusselator1d grid</v>
      </c>
      <c r="F568" s="2">
        <v>6</v>
      </c>
      <c r="G568" s="2">
        <v>7</v>
      </c>
      <c r="H568" s="2">
        <v>256</v>
      </c>
      <c r="I568" s="2">
        <v>100</v>
      </c>
      <c r="J568" s="2">
        <v>200</v>
      </c>
      <c r="K568" s="2">
        <v>12.7349</v>
      </c>
    </row>
    <row r="569" spans="2:11" x14ac:dyDescent="0.2">
      <c r="B569" s="26" t="str">
        <f>_xlfn.XLOOKUP(Total[[#This Row],[Metodo]],TbSolver[Metodo],TbSolver[Solver])</f>
        <v>Adams Bashford Moulton</v>
      </c>
      <c r="C569" s="26" t="str">
        <f>_xlfn.XLOOKUP(Total[[#This Row],[Hebras]],TbTecnologia[Hebras],TbTecnologia[Tecnología])</f>
        <v>CUDA</v>
      </c>
      <c r="D569" s="15" t="str" cm="1">
        <f t="array" ref="D569">_xlfn.XLOOKUP(Total[[#This Row],[Tecnología]]&amp;Total[[#This Row],[Metodo]],TbTipos[Tecnología]&amp;TbTipos[Metodo],TbTipos[Tipo])</f>
        <v>CUDA con graph</v>
      </c>
      <c r="E569" s="15" t="str" cm="1">
        <f t="array" ref="E569">_xlfn.XLOOKUP(Total[[#This Row],[Tecnología]]&amp;Total[[#This Row],[Problema]],TbNombres[Tecnología]&amp;TbNombres[Problema],TbNombres[Nombre])</f>
        <v>Brusselator1d</v>
      </c>
      <c r="F569" s="2">
        <v>6</v>
      </c>
      <c r="G569" s="2">
        <v>5</v>
      </c>
      <c r="H569" s="2">
        <v>256</v>
      </c>
      <c r="I569" s="2">
        <v>200</v>
      </c>
      <c r="J569" s="2">
        <v>400</v>
      </c>
      <c r="K569" s="2">
        <v>12.8804</v>
      </c>
    </row>
    <row r="570" spans="2:11" x14ac:dyDescent="0.2">
      <c r="B570" s="26" t="str">
        <f>_xlfn.XLOOKUP(Total[[#This Row],[Metodo]],TbSolver[Metodo],TbSolver[Solver])</f>
        <v>Adams Bashford Moulton</v>
      </c>
      <c r="C570" s="26" t="str">
        <f>_xlfn.XLOOKUP(Total[[#This Row],[Hebras]],TbTecnologia[Hebras],TbTecnologia[Tecnología])</f>
        <v>CUDA</v>
      </c>
      <c r="D570" s="15" t="str" cm="1">
        <f t="array" ref="D570">_xlfn.XLOOKUP(Total[[#This Row],[Tecnología]]&amp;Total[[#This Row],[Metodo]],TbTipos[Tecnología]&amp;TbTipos[Metodo],TbTipos[Tipo])</f>
        <v>CUDA con graph</v>
      </c>
      <c r="E570" s="15" t="str" cm="1">
        <f t="array" ref="E570">_xlfn.XLOOKUP(Total[[#This Row],[Tecnología]]&amp;Total[[#This Row],[Problema]],TbNombres[Tecnología]&amp;TbNombres[Problema],TbNombres[Nombre])</f>
        <v>Brusselator1d</v>
      </c>
      <c r="F570" s="2">
        <v>6</v>
      </c>
      <c r="G570" s="2">
        <v>5</v>
      </c>
      <c r="H570" s="2">
        <v>256</v>
      </c>
      <c r="I570" s="2">
        <v>500</v>
      </c>
      <c r="J570" s="2">
        <v>1000</v>
      </c>
      <c r="K570" s="2">
        <v>12.9506</v>
      </c>
    </row>
    <row r="571" spans="2:11" x14ac:dyDescent="0.2">
      <c r="B571" s="26" t="str">
        <f>_xlfn.XLOOKUP(Total[[#This Row],[Metodo]],TbSolver[Metodo],TbSolver[Solver])</f>
        <v>Adams Bashford Moulton</v>
      </c>
      <c r="C571" s="26" t="str">
        <f>_xlfn.XLOOKUP(Total[[#This Row],[Hebras]],TbTecnologia[Hebras],TbTecnologia[Tecnología])</f>
        <v>CUDA</v>
      </c>
      <c r="D571" s="15" t="str" cm="1">
        <f t="array" ref="D571">_xlfn.XLOOKUP(Total[[#This Row],[Tecnología]]&amp;Total[[#This Row],[Metodo]],TbTipos[Tecnología]&amp;TbTipos[Metodo],TbTipos[Tipo])</f>
        <v>CUDA con graph</v>
      </c>
      <c r="E571" s="15" t="str" cm="1">
        <f t="array" ref="E571">_xlfn.XLOOKUP(Total[[#This Row],[Tecnología]]&amp;Total[[#This Row],[Problema]],TbNombres[Tecnología]&amp;TbNombres[Problema],TbNombres[Nombre])</f>
        <v>Brusselator1d shuffle</v>
      </c>
      <c r="F571" s="2">
        <v>6</v>
      </c>
      <c r="G571" s="2">
        <v>6</v>
      </c>
      <c r="H571" s="2">
        <v>256</v>
      </c>
      <c r="I571" s="2">
        <v>200</v>
      </c>
      <c r="J571" s="2">
        <v>400</v>
      </c>
      <c r="K571" s="2">
        <v>12.9756</v>
      </c>
    </row>
    <row r="572" spans="2:11" x14ac:dyDescent="0.2">
      <c r="B572" s="26" t="str">
        <f>_xlfn.XLOOKUP(Total[[#This Row],[Metodo]],TbSolver[Metodo],TbSolver[Solver])</f>
        <v>Adams Bashford Moulton</v>
      </c>
      <c r="C572" s="26" t="str">
        <f>_xlfn.XLOOKUP(Total[[#This Row],[Hebras]],TbTecnologia[Hebras],TbTecnologia[Tecnología])</f>
        <v>CUDA</v>
      </c>
      <c r="D572" s="15" t="str" cm="1">
        <f t="array" ref="D572">_xlfn.XLOOKUP(Total[[#This Row],[Tecnología]]&amp;Total[[#This Row],[Metodo]],TbTipos[Tecnología]&amp;TbTipos[Metodo],TbTipos[Tipo])</f>
        <v>CUDA con graph</v>
      </c>
      <c r="E572" s="15" t="str" cm="1">
        <f t="array" ref="E572">_xlfn.XLOOKUP(Total[[#This Row],[Tecnología]]&amp;Total[[#This Row],[Problema]],TbNombres[Tecnología]&amp;TbNombres[Problema],TbNombres[Nombre])</f>
        <v>Brusselator1d grid</v>
      </c>
      <c r="F572" s="2">
        <v>6</v>
      </c>
      <c r="G572" s="2">
        <v>7</v>
      </c>
      <c r="H572" s="2">
        <v>256</v>
      </c>
      <c r="I572" s="2">
        <v>200</v>
      </c>
      <c r="J572" s="2">
        <v>400</v>
      </c>
      <c r="K572" s="2">
        <v>12.983700000000001</v>
      </c>
    </row>
    <row r="573" spans="2:11" x14ac:dyDescent="0.2">
      <c r="B573" s="26" t="str">
        <f>_xlfn.XLOOKUP(Total[[#This Row],[Metodo]],TbSolver[Metodo],TbSolver[Solver])</f>
        <v>Adams Bashford Moulton</v>
      </c>
      <c r="C573" s="26" t="str">
        <f>_xlfn.XLOOKUP(Total[[#This Row],[Hebras]],TbTecnologia[Hebras],TbTecnologia[Tecnología])</f>
        <v>CUDA</v>
      </c>
      <c r="D573" s="15" t="str" cm="1">
        <f t="array" ref="D573">_xlfn.XLOOKUP(Total[[#This Row],[Tecnología]]&amp;Total[[#This Row],[Metodo]],TbTipos[Tecnología]&amp;TbTipos[Metodo],TbTipos[Tipo])</f>
        <v>CUDA con graph</v>
      </c>
      <c r="E573" s="15" t="str" cm="1">
        <f t="array" ref="E573">_xlfn.XLOOKUP(Total[[#This Row],[Tecnología]]&amp;Total[[#This Row],[Problema]],TbNombres[Tecnología]&amp;TbNombres[Problema],TbNombres[Nombre])</f>
        <v>Brusselator1d grid</v>
      </c>
      <c r="F573" s="2">
        <v>6</v>
      </c>
      <c r="G573" s="2">
        <v>7</v>
      </c>
      <c r="H573" s="2">
        <v>256</v>
      </c>
      <c r="I573" s="2">
        <v>500</v>
      </c>
      <c r="J573" s="2">
        <v>1000</v>
      </c>
      <c r="K573" s="2">
        <v>13.004200000000001</v>
      </c>
    </row>
    <row r="574" spans="2:11" x14ac:dyDescent="0.2">
      <c r="B574" s="26" t="str">
        <f>_xlfn.XLOOKUP(Total[[#This Row],[Metodo]],TbSolver[Metodo],TbSolver[Solver])</f>
        <v>Adams Bashford Moulton</v>
      </c>
      <c r="C574" s="26" t="str">
        <f>_xlfn.XLOOKUP(Total[[#This Row],[Hebras]],TbTecnologia[Hebras],TbTecnologia[Tecnología])</f>
        <v>CUDA</v>
      </c>
      <c r="D574" s="15" t="str" cm="1">
        <f t="array" ref="D574">_xlfn.XLOOKUP(Total[[#This Row],[Tecnología]]&amp;Total[[#This Row],[Metodo]],TbTipos[Tecnología]&amp;TbTipos[Metodo],TbTipos[Tipo])</f>
        <v>CUDA con graph</v>
      </c>
      <c r="E574" s="15" t="str" cm="1">
        <f t="array" ref="E574">_xlfn.XLOOKUP(Total[[#This Row],[Tecnología]]&amp;Total[[#This Row],[Problema]],TbNombres[Tecnología]&amp;TbNombres[Problema],TbNombres[Nombre])</f>
        <v>Brusselator1d</v>
      </c>
      <c r="F574" s="2">
        <v>6</v>
      </c>
      <c r="G574" s="2">
        <v>5</v>
      </c>
      <c r="H574" s="2">
        <v>256</v>
      </c>
      <c r="I574" s="2">
        <v>1000</v>
      </c>
      <c r="J574" s="2">
        <v>2000</v>
      </c>
      <c r="K574" s="2">
        <v>13.017200000000001</v>
      </c>
    </row>
    <row r="575" spans="2:11" x14ac:dyDescent="0.2">
      <c r="B575" s="26" t="str">
        <f>_xlfn.XLOOKUP(Total[[#This Row],[Metodo]],TbSolver[Metodo],TbSolver[Solver])</f>
        <v>Adams Bashford Moulton</v>
      </c>
      <c r="C575" s="26" t="str">
        <f>_xlfn.XLOOKUP(Total[[#This Row],[Hebras]],TbTecnologia[Hebras],TbTecnologia[Tecnología])</f>
        <v>CUDA</v>
      </c>
      <c r="D575" s="15" t="str" cm="1">
        <f t="array" ref="D575">_xlfn.XLOOKUP(Total[[#This Row],[Tecnología]]&amp;Total[[#This Row],[Metodo]],TbTipos[Tecnología]&amp;TbTipos[Metodo],TbTipos[Tipo])</f>
        <v>CUDA con graph</v>
      </c>
      <c r="E575" s="15" t="str" cm="1">
        <f t="array" ref="E575">_xlfn.XLOOKUP(Total[[#This Row],[Tecnología]]&amp;Total[[#This Row],[Problema]],TbNombres[Tecnología]&amp;TbNombres[Problema],TbNombres[Nombre])</f>
        <v>Brusselator1d shuffle</v>
      </c>
      <c r="F575" s="2">
        <v>6</v>
      </c>
      <c r="G575" s="2">
        <v>6</v>
      </c>
      <c r="H575" s="2">
        <v>256</v>
      </c>
      <c r="I575" s="2">
        <v>500</v>
      </c>
      <c r="J575" s="2">
        <v>1000</v>
      </c>
      <c r="K575" s="2">
        <v>13.020300000000001</v>
      </c>
    </row>
    <row r="576" spans="2:11" x14ac:dyDescent="0.2">
      <c r="B576" s="26" t="str">
        <f>_xlfn.XLOOKUP(Total[[#This Row],[Metodo]],TbSolver[Metodo],TbSolver[Solver])</f>
        <v>Adams Bashford Moulton</v>
      </c>
      <c r="C576" s="26" t="str">
        <f>_xlfn.XLOOKUP(Total[[#This Row],[Hebras]],TbTecnologia[Hebras],TbTecnologia[Tecnología])</f>
        <v>CUDA</v>
      </c>
      <c r="D576" s="15" t="str" cm="1">
        <f t="array" ref="D576">_xlfn.XLOOKUP(Total[[#This Row],[Tecnología]]&amp;Total[[#This Row],[Metodo]],TbTipos[Tecnología]&amp;TbTipos[Metodo],TbTipos[Tipo])</f>
        <v>CUDA con graph</v>
      </c>
      <c r="E576" s="15" t="str" cm="1">
        <f t="array" ref="E576">_xlfn.XLOOKUP(Total[[#This Row],[Tecnología]]&amp;Total[[#This Row],[Problema]],TbNombres[Tecnología]&amp;TbNombres[Problema],TbNombres[Nombre])</f>
        <v>Brusselator1d shuffle</v>
      </c>
      <c r="F576" s="2">
        <v>6</v>
      </c>
      <c r="G576" s="2">
        <v>6</v>
      </c>
      <c r="H576" s="2">
        <v>256</v>
      </c>
      <c r="I576" s="2">
        <v>1000</v>
      </c>
      <c r="J576" s="2">
        <v>2000</v>
      </c>
      <c r="K576" s="2">
        <v>13.092700000000001</v>
      </c>
    </row>
    <row r="577" spans="2:11" x14ac:dyDescent="0.2">
      <c r="B577" s="26" t="str">
        <f>_xlfn.XLOOKUP(Total[[#This Row],[Metodo]],TbSolver[Metodo],TbSolver[Solver])</f>
        <v>Adams Bashford Moulton</v>
      </c>
      <c r="C577" s="26" t="str">
        <f>_xlfn.XLOOKUP(Total[[#This Row],[Hebras]],TbTecnologia[Hebras],TbTecnologia[Tecnología])</f>
        <v>CUDA</v>
      </c>
      <c r="D577" s="15" t="str" cm="1">
        <f t="array" ref="D577">_xlfn.XLOOKUP(Total[[#This Row],[Tecnología]]&amp;Total[[#This Row],[Metodo]],TbTipos[Tecnología]&amp;TbTipos[Metodo],TbTipos[Tipo])</f>
        <v>CUDA con graph</v>
      </c>
      <c r="E577" s="15" t="str" cm="1">
        <f t="array" ref="E577">_xlfn.XLOOKUP(Total[[#This Row],[Tecnología]]&amp;Total[[#This Row],[Problema]],TbNombres[Tecnología]&amp;TbNombres[Problema],TbNombres[Nombre])</f>
        <v>Brusselator1d grid</v>
      </c>
      <c r="F577" s="2">
        <v>6</v>
      </c>
      <c r="G577" s="2">
        <v>7</v>
      </c>
      <c r="H577" s="2">
        <v>256</v>
      </c>
      <c r="I577" s="2">
        <v>1000</v>
      </c>
      <c r="J577" s="2">
        <v>2000</v>
      </c>
      <c r="K577" s="2">
        <v>13.118</v>
      </c>
    </row>
    <row r="578" spans="2:11" x14ac:dyDescent="0.2">
      <c r="B578" s="26" t="str">
        <f>_xlfn.XLOOKUP(Total[[#This Row],[Metodo]],TbSolver[Metodo],TbSolver[Solver])</f>
        <v>Adams Bashford Moulton</v>
      </c>
      <c r="C578" s="26" t="str">
        <f>_xlfn.XLOOKUP(Total[[#This Row],[Hebras]],TbTecnologia[Hebras],TbTecnologia[Tecnología])</f>
        <v>CUDA</v>
      </c>
      <c r="D578" s="15" t="str" cm="1">
        <f t="array" ref="D578">_xlfn.XLOOKUP(Total[[#This Row],[Tecnología]]&amp;Total[[#This Row],[Metodo]],TbTipos[Tecnología]&amp;TbTipos[Metodo],TbTipos[Tipo])</f>
        <v>CUDA con graph</v>
      </c>
      <c r="E578" s="15" t="str" cm="1">
        <f t="array" ref="E578">_xlfn.XLOOKUP(Total[[#This Row],[Tecnología]]&amp;Total[[#This Row],[Problema]],TbNombres[Tecnología]&amp;TbNombres[Problema],TbNombres[Nombre])</f>
        <v>Brusselator1d</v>
      </c>
      <c r="F578" s="2">
        <v>6</v>
      </c>
      <c r="G578" s="2">
        <v>5</v>
      </c>
      <c r="H578" s="2">
        <v>256</v>
      </c>
      <c r="I578" s="2">
        <v>2000</v>
      </c>
      <c r="J578" s="2">
        <v>4000</v>
      </c>
      <c r="K578" s="2">
        <v>13.125999999999999</v>
      </c>
    </row>
    <row r="579" spans="2:11" x14ac:dyDescent="0.2">
      <c r="B579" s="26" t="str">
        <f>_xlfn.XLOOKUP(Total[[#This Row],[Metodo]],TbSolver[Metodo],TbSolver[Solver])</f>
        <v>Adams Bashford Moulton</v>
      </c>
      <c r="C579" s="26" t="str">
        <f>_xlfn.XLOOKUP(Total[[#This Row],[Hebras]],TbTecnologia[Hebras],TbTecnologia[Tecnología])</f>
        <v>CUDA</v>
      </c>
      <c r="D579" s="15" t="str" cm="1">
        <f t="array" ref="D579">_xlfn.XLOOKUP(Total[[#This Row],[Tecnología]]&amp;Total[[#This Row],[Metodo]],TbTipos[Tecnología]&amp;TbTipos[Metodo],TbTipos[Tipo])</f>
        <v>CUDA con graph</v>
      </c>
      <c r="E579" s="15" t="str" cm="1">
        <f t="array" ref="E579">_xlfn.XLOOKUP(Total[[#This Row],[Tecnología]]&amp;Total[[#This Row],[Problema]],TbNombres[Tecnología]&amp;TbNombres[Problema],TbNombres[Nombre])</f>
        <v>Brusselator1d grid</v>
      </c>
      <c r="F579" s="2">
        <v>6</v>
      </c>
      <c r="G579" s="2">
        <v>7</v>
      </c>
      <c r="H579" s="2">
        <v>256</v>
      </c>
      <c r="I579" s="2">
        <v>2000</v>
      </c>
      <c r="J579" s="2">
        <v>4000</v>
      </c>
      <c r="K579" s="2">
        <v>13.203900000000001</v>
      </c>
    </row>
    <row r="580" spans="2:11" x14ac:dyDescent="0.2">
      <c r="B580" s="26" t="str">
        <f>_xlfn.XLOOKUP(Total[[#This Row],[Metodo]],TbSolver[Metodo],TbSolver[Solver])</f>
        <v>Adams Bashford Moulton</v>
      </c>
      <c r="C580" s="26" t="str">
        <f>_xlfn.XLOOKUP(Total[[#This Row],[Hebras]],TbTecnologia[Hebras],TbTecnologia[Tecnología])</f>
        <v>CUDA</v>
      </c>
      <c r="D580" s="15" t="str" cm="1">
        <f t="array" ref="D580">_xlfn.XLOOKUP(Total[[#This Row],[Tecnología]]&amp;Total[[#This Row],[Metodo]],TbTipos[Tecnología]&amp;TbTipos[Metodo],TbTipos[Tipo])</f>
        <v>CUDA con graph</v>
      </c>
      <c r="E580" s="15" t="str" cm="1">
        <f t="array" ref="E580">_xlfn.XLOOKUP(Total[[#This Row],[Tecnología]]&amp;Total[[#This Row],[Problema]],TbNombres[Tecnología]&amp;TbNombres[Problema],TbNombres[Nombre])</f>
        <v>Brusselator1d shuffle</v>
      </c>
      <c r="F580" s="2">
        <v>6</v>
      </c>
      <c r="G580" s="2">
        <v>6</v>
      </c>
      <c r="H580" s="2">
        <v>256</v>
      </c>
      <c r="I580" s="2">
        <v>2000</v>
      </c>
      <c r="J580" s="2">
        <v>4000</v>
      </c>
      <c r="K580" s="2">
        <v>13.230600000000001</v>
      </c>
    </row>
    <row r="581" spans="2:11" x14ac:dyDescent="0.2">
      <c r="B581" s="26" t="str">
        <f>_xlfn.XLOOKUP(Total[[#This Row],[Metodo]],TbSolver[Metodo],TbSolver[Solver])</f>
        <v>Adams Bashford Moulton</v>
      </c>
      <c r="C581" s="26" t="str">
        <f>_xlfn.XLOOKUP(Total[[#This Row],[Hebras]],TbTecnologia[Hebras],TbTecnologia[Tecnología])</f>
        <v>CUDA</v>
      </c>
      <c r="D581" s="15" t="str" cm="1">
        <f t="array" ref="D581">_xlfn.XLOOKUP(Total[[#This Row],[Tecnología]]&amp;Total[[#This Row],[Metodo]],TbTipos[Tecnología]&amp;TbTipos[Metodo],TbTipos[Tipo])</f>
        <v>CUDA sin graph</v>
      </c>
      <c r="E581" s="15" t="str" cm="1">
        <f t="array" ref="E581">_xlfn.XLOOKUP(Total[[#This Row],[Tecnología]]&amp;Total[[#This Row],[Problema]],TbNombres[Tecnología]&amp;TbNombres[Problema],TbNombres[Nombre])</f>
        <v>Brusselator1d shuffle</v>
      </c>
      <c r="F581" s="2">
        <v>5</v>
      </c>
      <c r="G581" s="2">
        <v>6</v>
      </c>
      <c r="H581" s="2">
        <v>256</v>
      </c>
      <c r="I581" s="2">
        <v>500</v>
      </c>
      <c r="J581" s="2">
        <v>1000</v>
      </c>
      <c r="K581" s="2">
        <v>13.5906</v>
      </c>
    </row>
    <row r="582" spans="2:11" x14ac:dyDescent="0.2">
      <c r="B582" s="26" t="str">
        <f>_xlfn.XLOOKUP(Total[[#This Row],[Metodo]],TbSolver[Metodo],TbSolver[Solver])</f>
        <v>Adams Bashford Moulton</v>
      </c>
      <c r="C582" s="26" t="str">
        <f>_xlfn.XLOOKUP(Total[[#This Row],[Hebras]],TbTecnologia[Hebras],TbTecnologia[Tecnología])</f>
        <v>CUDA</v>
      </c>
      <c r="D582" s="15" t="str" cm="1">
        <f t="array" ref="D582">_xlfn.XLOOKUP(Total[[#This Row],[Tecnología]]&amp;Total[[#This Row],[Metodo]],TbTipos[Tecnología]&amp;TbTipos[Metodo],TbTipos[Tipo])</f>
        <v>CUDA sin graph</v>
      </c>
      <c r="E582" s="15" t="str" cm="1">
        <f t="array" ref="E582">_xlfn.XLOOKUP(Total[[#This Row],[Tecnología]]&amp;Total[[#This Row],[Problema]],TbNombres[Tecnología]&amp;TbNombres[Problema],TbNombres[Nombre])</f>
        <v>Brusselator1d</v>
      </c>
      <c r="F582" s="2">
        <v>5</v>
      </c>
      <c r="G582" s="2">
        <v>5</v>
      </c>
      <c r="H582" s="2">
        <v>256</v>
      </c>
      <c r="I582" s="2">
        <v>500</v>
      </c>
      <c r="J582" s="2">
        <v>1000</v>
      </c>
      <c r="K582" s="2">
        <v>13.609400000000001</v>
      </c>
    </row>
    <row r="583" spans="2:11" x14ac:dyDescent="0.2">
      <c r="B583" s="26" t="str">
        <f>_xlfn.XLOOKUP(Total[[#This Row],[Metodo]],TbSolver[Metodo],TbSolver[Solver])</f>
        <v>Adams Bashford Moulton</v>
      </c>
      <c r="C583" s="26" t="str">
        <f>_xlfn.XLOOKUP(Total[[#This Row],[Hebras]],TbTecnologia[Hebras],TbTecnologia[Tecnología])</f>
        <v>CUDA</v>
      </c>
      <c r="D583" s="15" t="str" cm="1">
        <f t="array" ref="D583">_xlfn.XLOOKUP(Total[[#This Row],[Tecnología]]&amp;Total[[#This Row],[Metodo]],TbTipos[Tecnología]&amp;TbTipos[Metodo],TbTipos[Tipo])</f>
        <v>CUDA con graph</v>
      </c>
      <c r="E583" s="15" t="str" cm="1">
        <f t="array" ref="E583">_xlfn.XLOOKUP(Total[[#This Row],[Tecnología]]&amp;Total[[#This Row],[Problema]],TbNombres[Tecnología]&amp;TbNombres[Problema],TbNombres[Nombre])</f>
        <v>Brusselator1d</v>
      </c>
      <c r="F583" s="2">
        <v>6</v>
      </c>
      <c r="G583" s="2">
        <v>5</v>
      </c>
      <c r="H583" s="2">
        <v>256</v>
      </c>
      <c r="I583" s="2">
        <v>5000</v>
      </c>
      <c r="J583" s="2">
        <v>10000</v>
      </c>
      <c r="K583" s="2">
        <v>13.6365</v>
      </c>
    </row>
    <row r="584" spans="2:11" x14ac:dyDescent="0.2">
      <c r="B584" s="26" t="str">
        <f>_xlfn.XLOOKUP(Total[[#This Row],[Metodo]],TbSolver[Metodo],TbSolver[Solver])</f>
        <v>Adams Bashford Moulton</v>
      </c>
      <c r="C584" s="26" t="str">
        <f>_xlfn.XLOOKUP(Total[[#This Row],[Hebras]],TbTecnologia[Hebras],TbTecnologia[Tecnología])</f>
        <v>CUDA</v>
      </c>
      <c r="D584" s="15" t="str" cm="1">
        <f t="array" ref="D584">_xlfn.XLOOKUP(Total[[#This Row],[Tecnología]]&amp;Total[[#This Row],[Metodo]],TbTipos[Tecnología]&amp;TbTipos[Metodo],TbTipos[Tipo])</f>
        <v>CUDA sin graph</v>
      </c>
      <c r="E584" s="15" t="str" cm="1">
        <f t="array" ref="E584">_xlfn.XLOOKUP(Total[[#This Row],[Tecnología]]&amp;Total[[#This Row],[Problema]],TbNombres[Tecnología]&amp;TbNombres[Problema],TbNombres[Nombre])</f>
        <v>Brusselator1d</v>
      </c>
      <c r="F584" s="2">
        <v>5</v>
      </c>
      <c r="G584" s="2">
        <v>5</v>
      </c>
      <c r="H584" s="2">
        <v>256</v>
      </c>
      <c r="I584" s="2">
        <v>1000</v>
      </c>
      <c r="J584" s="2">
        <v>2000</v>
      </c>
      <c r="K584" s="2">
        <v>13.638</v>
      </c>
    </row>
    <row r="585" spans="2:11" x14ac:dyDescent="0.2">
      <c r="B585" s="26" t="str">
        <f>_xlfn.XLOOKUP(Total[[#This Row],[Metodo]],TbSolver[Metodo],TbSolver[Solver])</f>
        <v>Adams Bashford Moulton</v>
      </c>
      <c r="C585" s="26" t="str">
        <f>_xlfn.XLOOKUP(Total[[#This Row],[Hebras]],TbTecnologia[Hebras],TbTecnologia[Tecnología])</f>
        <v>CUDA</v>
      </c>
      <c r="D585" s="15" t="str" cm="1">
        <f t="array" ref="D585">_xlfn.XLOOKUP(Total[[#This Row],[Tecnología]]&amp;Total[[#This Row],[Metodo]],TbTipos[Tecnología]&amp;TbTipos[Metodo],TbTipos[Tipo])</f>
        <v>CUDA con graph</v>
      </c>
      <c r="E585" s="15" t="str" cm="1">
        <f t="array" ref="E585">_xlfn.XLOOKUP(Total[[#This Row],[Tecnología]]&amp;Total[[#This Row],[Problema]],TbNombres[Tecnología]&amp;TbNombres[Problema],TbNombres[Nombre])</f>
        <v>Brusselator1d shuffle</v>
      </c>
      <c r="F585" s="2">
        <v>6</v>
      </c>
      <c r="G585" s="2">
        <v>6</v>
      </c>
      <c r="H585" s="2">
        <v>256</v>
      </c>
      <c r="I585" s="2">
        <v>5000</v>
      </c>
      <c r="J585" s="2">
        <v>10000</v>
      </c>
      <c r="K585" s="2">
        <v>13.6557</v>
      </c>
    </row>
    <row r="586" spans="2:11" x14ac:dyDescent="0.2">
      <c r="B586" s="26" t="str">
        <f>_xlfn.XLOOKUP(Total[[#This Row],[Metodo]],TbSolver[Metodo],TbSolver[Solver])</f>
        <v>Adams Bashford Moulton</v>
      </c>
      <c r="C586" s="26" t="str">
        <f>_xlfn.XLOOKUP(Total[[#This Row],[Hebras]],TbTecnologia[Hebras],TbTecnologia[Tecnología])</f>
        <v>CUDA</v>
      </c>
      <c r="D586" s="15" t="str" cm="1">
        <f t="array" ref="D586">_xlfn.XLOOKUP(Total[[#This Row],[Tecnología]]&amp;Total[[#This Row],[Metodo]],TbTipos[Tecnología]&amp;TbTipos[Metodo],TbTipos[Tipo])</f>
        <v>CUDA con graph</v>
      </c>
      <c r="E586" s="15" t="str" cm="1">
        <f t="array" ref="E586">_xlfn.XLOOKUP(Total[[#This Row],[Tecnología]]&amp;Total[[#This Row],[Problema]],TbNombres[Tecnología]&amp;TbNombres[Problema],TbNombres[Nombre])</f>
        <v>Brusselator1d grid</v>
      </c>
      <c r="F586" s="2">
        <v>6</v>
      </c>
      <c r="G586" s="2">
        <v>7</v>
      </c>
      <c r="H586" s="2">
        <v>256</v>
      </c>
      <c r="I586" s="2">
        <v>5000</v>
      </c>
      <c r="J586" s="2">
        <v>10000</v>
      </c>
      <c r="K586" s="2">
        <v>13.6754</v>
      </c>
    </row>
    <row r="587" spans="2:11" x14ac:dyDescent="0.2">
      <c r="B587" s="26" t="str">
        <f>_xlfn.XLOOKUP(Total[[#This Row],[Metodo]],TbSolver[Metodo],TbSolver[Solver])</f>
        <v>Adams Bashford Moulton</v>
      </c>
      <c r="C587" s="26" t="str">
        <f>_xlfn.XLOOKUP(Total[[#This Row],[Hebras]],TbTecnologia[Hebras],TbTecnologia[Tecnología])</f>
        <v>CUDA</v>
      </c>
      <c r="D587" s="15" t="str" cm="1">
        <f t="array" ref="D587">_xlfn.XLOOKUP(Total[[#This Row],[Tecnología]]&amp;Total[[#This Row],[Metodo]],TbTipos[Tecnología]&amp;TbTipos[Metodo],TbTipos[Tipo])</f>
        <v>CUDA sin graph</v>
      </c>
      <c r="E587" s="15" t="str" cm="1">
        <f t="array" ref="E587">_xlfn.XLOOKUP(Total[[#This Row],[Tecnología]]&amp;Total[[#This Row],[Problema]],TbNombres[Tecnología]&amp;TbNombres[Problema],TbNombres[Nombre])</f>
        <v>Brusselator1d shuffle</v>
      </c>
      <c r="F587" s="2">
        <v>5</v>
      </c>
      <c r="G587" s="2">
        <v>6</v>
      </c>
      <c r="H587" s="2">
        <v>256</v>
      </c>
      <c r="I587" s="2">
        <v>1000</v>
      </c>
      <c r="J587" s="2">
        <v>2000</v>
      </c>
      <c r="K587" s="2">
        <v>13.6983</v>
      </c>
    </row>
    <row r="588" spans="2:11" x14ac:dyDescent="0.2">
      <c r="B588" s="26" t="str">
        <f>_xlfn.XLOOKUP(Total[[#This Row],[Metodo]],TbSolver[Metodo],TbSolver[Solver])</f>
        <v>Adams Bashford Moulton</v>
      </c>
      <c r="C588" s="26" t="str">
        <f>_xlfn.XLOOKUP(Total[[#This Row],[Hebras]],TbTecnologia[Hebras],TbTecnologia[Tecnología])</f>
        <v>CUDA</v>
      </c>
      <c r="D588" s="15" t="str" cm="1">
        <f t="array" ref="D588">_xlfn.XLOOKUP(Total[[#This Row],[Tecnología]]&amp;Total[[#This Row],[Metodo]],TbTipos[Tecnología]&amp;TbTipos[Metodo],TbTipos[Tipo])</f>
        <v>CUDA sin graph</v>
      </c>
      <c r="E588" s="15" t="str" cm="1">
        <f t="array" ref="E588">_xlfn.XLOOKUP(Total[[#This Row],[Tecnología]]&amp;Total[[#This Row],[Problema]],TbNombres[Tecnología]&amp;TbNombres[Problema],TbNombres[Nombre])</f>
        <v>Brusselator1d grid</v>
      </c>
      <c r="F588" s="2">
        <v>5</v>
      </c>
      <c r="G588" s="2">
        <v>7</v>
      </c>
      <c r="H588" s="2">
        <v>256</v>
      </c>
      <c r="I588" s="2">
        <v>500</v>
      </c>
      <c r="J588" s="2">
        <v>1000</v>
      </c>
      <c r="K588" s="2">
        <v>13.730600000000001</v>
      </c>
    </row>
    <row r="589" spans="2:11" x14ac:dyDescent="0.2">
      <c r="B589" s="26" t="str">
        <f>_xlfn.XLOOKUP(Total[[#This Row],[Metodo]],TbSolver[Metodo],TbSolver[Solver])</f>
        <v>Adams Bashford Moulton</v>
      </c>
      <c r="C589" s="26" t="str">
        <f>_xlfn.XLOOKUP(Total[[#This Row],[Hebras]],TbTecnologia[Hebras],TbTecnologia[Tecnología])</f>
        <v>CUDA</v>
      </c>
      <c r="D589" s="15" t="str" cm="1">
        <f t="array" ref="D589">_xlfn.XLOOKUP(Total[[#This Row],[Tecnología]]&amp;Total[[#This Row],[Metodo]],TbTipos[Tecnología]&amp;TbTipos[Metodo],TbTipos[Tipo])</f>
        <v>CUDA sin graph</v>
      </c>
      <c r="E589" s="15" t="str" cm="1">
        <f t="array" ref="E589">_xlfn.XLOOKUP(Total[[#This Row],[Tecnología]]&amp;Total[[#This Row],[Problema]],TbNombres[Tecnología]&amp;TbNombres[Problema],TbNombres[Nombre])</f>
        <v>Brusselator1d grid</v>
      </c>
      <c r="F589" s="2">
        <v>5</v>
      </c>
      <c r="G589" s="2">
        <v>7</v>
      </c>
      <c r="H589" s="2">
        <v>256</v>
      </c>
      <c r="I589" s="2">
        <v>2000</v>
      </c>
      <c r="J589" s="2">
        <v>4000</v>
      </c>
      <c r="K589" s="2">
        <v>13.761900000000001</v>
      </c>
    </row>
    <row r="590" spans="2:11" x14ac:dyDescent="0.2">
      <c r="B590" s="26" t="str">
        <f>_xlfn.XLOOKUP(Total[[#This Row],[Metodo]],TbSolver[Metodo],TbSolver[Solver])</f>
        <v>Adams Bashford Moulton</v>
      </c>
      <c r="C590" s="26" t="str">
        <f>_xlfn.XLOOKUP(Total[[#This Row],[Hebras]],TbTecnologia[Hebras],TbTecnologia[Tecnología])</f>
        <v>CUDA</v>
      </c>
      <c r="D590" s="15" t="str" cm="1">
        <f t="array" ref="D590">_xlfn.XLOOKUP(Total[[#This Row],[Tecnología]]&amp;Total[[#This Row],[Metodo]],TbTipos[Tecnología]&amp;TbTipos[Metodo],TbTipos[Tipo])</f>
        <v>CUDA sin graph</v>
      </c>
      <c r="E590" s="15" t="str" cm="1">
        <f t="array" ref="E590">_xlfn.XLOOKUP(Total[[#This Row],[Tecnología]]&amp;Total[[#This Row],[Problema]],TbNombres[Tecnología]&amp;TbNombres[Problema],TbNombres[Nombre])</f>
        <v>Brusselator1d</v>
      </c>
      <c r="F590" s="2">
        <v>5</v>
      </c>
      <c r="G590" s="2">
        <v>5</v>
      </c>
      <c r="H590" s="2">
        <v>256</v>
      </c>
      <c r="I590" s="2">
        <v>2000</v>
      </c>
      <c r="J590" s="2">
        <v>4000</v>
      </c>
      <c r="K590" s="2">
        <v>13.8041</v>
      </c>
    </row>
    <row r="591" spans="2:11" x14ac:dyDescent="0.2">
      <c r="B591" s="26" t="str">
        <f>_xlfn.XLOOKUP(Total[[#This Row],[Metodo]],TbSolver[Metodo],TbSolver[Solver])</f>
        <v>Adams Bashford Moulton</v>
      </c>
      <c r="C591" s="26" t="str">
        <f>_xlfn.XLOOKUP(Total[[#This Row],[Hebras]],TbTecnologia[Hebras],TbTecnologia[Tecnología])</f>
        <v>CUDA</v>
      </c>
      <c r="D591" s="15" t="str" cm="1">
        <f t="array" ref="D591">_xlfn.XLOOKUP(Total[[#This Row],[Tecnología]]&amp;Total[[#This Row],[Metodo]],TbTipos[Tecnología]&amp;TbTipos[Metodo],TbTipos[Tipo])</f>
        <v>CUDA sin graph</v>
      </c>
      <c r="E591" s="15" t="str" cm="1">
        <f t="array" ref="E591">_xlfn.XLOOKUP(Total[[#This Row],[Tecnología]]&amp;Total[[#This Row],[Problema]],TbNombres[Tecnología]&amp;TbNombres[Problema],TbNombres[Nombre])</f>
        <v>Brusselator1d grid</v>
      </c>
      <c r="F591" s="2">
        <v>5</v>
      </c>
      <c r="G591" s="2">
        <v>7</v>
      </c>
      <c r="H591" s="2">
        <v>256</v>
      </c>
      <c r="I591" s="2">
        <v>1000</v>
      </c>
      <c r="J591" s="2">
        <v>2000</v>
      </c>
      <c r="K591" s="2">
        <v>13.8088</v>
      </c>
    </row>
    <row r="592" spans="2:11" x14ac:dyDescent="0.2">
      <c r="B592" s="26" t="str">
        <f>_xlfn.XLOOKUP(Total[[#This Row],[Metodo]],TbSolver[Metodo],TbSolver[Solver])</f>
        <v>Adams Bashford Moulton</v>
      </c>
      <c r="C592" s="26" t="str">
        <f>_xlfn.XLOOKUP(Total[[#This Row],[Hebras]],TbTecnologia[Hebras],TbTecnologia[Tecnología])</f>
        <v>CUDA</v>
      </c>
      <c r="D592" s="15" t="str" cm="1">
        <f t="array" ref="D592">_xlfn.XLOOKUP(Total[[#This Row],[Tecnología]]&amp;Total[[#This Row],[Metodo]],TbTipos[Tecnología]&amp;TbTipos[Metodo],TbTipos[Tipo])</f>
        <v>CUDA sin graph</v>
      </c>
      <c r="E592" s="15" t="str" cm="1">
        <f t="array" ref="E592">_xlfn.XLOOKUP(Total[[#This Row],[Tecnología]]&amp;Total[[#This Row],[Problema]],TbNombres[Tecnología]&amp;TbNombres[Problema],TbNombres[Nombre])</f>
        <v>Brusselator1d shuffle</v>
      </c>
      <c r="F592" s="2">
        <v>5</v>
      </c>
      <c r="G592" s="2">
        <v>6</v>
      </c>
      <c r="H592" s="2">
        <v>256</v>
      </c>
      <c r="I592" s="2">
        <v>2000</v>
      </c>
      <c r="J592" s="2">
        <v>4000</v>
      </c>
      <c r="K592" s="2">
        <v>13.838800000000001</v>
      </c>
    </row>
    <row r="593" spans="2:11" x14ac:dyDescent="0.2">
      <c r="B593" s="26" t="str">
        <f>_xlfn.XLOOKUP(Total[[#This Row],[Metodo]],TbSolver[Metodo],TbSolver[Solver])</f>
        <v>Adams Bashford Moulton</v>
      </c>
      <c r="C593" s="26" t="str">
        <f>_xlfn.XLOOKUP(Total[[#This Row],[Hebras]],TbTecnologia[Hebras],TbTecnologia[Tecnología])</f>
        <v>CUDA</v>
      </c>
      <c r="D593" s="15" t="str" cm="1">
        <f t="array" ref="D593">_xlfn.XLOOKUP(Total[[#This Row],[Tecnología]]&amp;Total[[#This Row],[Metodo]],TbTipos[Tecnología]&amp;TbTipos[Metodo],TbTipos[Tipo])</f>
        <v>CUDA sin graph</v>
      </c>
      <c r="E593" s="15" t="str" cm="1">
        <f t="array" ref="E593">_xlfn.XLOOKUP(Total[[#This Row],[Tecnología]]&amp;Total[[#This Row],[Problema]],TbNombres[Tecnología]&amp;TbNombres[Problema],TbNombres[Nombre])</f>
        <v>Brusselator1d shuffle</v>
      </c>
      <c r="F593" s="2">
        <v>5</v>
      </c>
      <c r="G593" s="2">
        <v>6</v>
      </c>
      <c r="H593" s="2">
        <v>256</v>
      </c>
      <c r="I593" s="2">
        <v>5000</v>
      </c>
      <c r="J593" s="2">
        <v>10000</v>
      </c>
      <c r="K593" s="2">
        <v>14.284000000000001</v>
      </c>
    </row>
    <row r="594" spans="2:11" x14ac:dyDescent="0.2">
      <c r="B594" s="26" t="str">
        <f>_xlfn.XLOOKUP(Total[[#This Row],[Metodo]],TbSolver[Metodo],TbSolver[Solver])</f>
        <v>Adams Bashford Moulton</v>
      </c>
      <c r="C594" s="26" t="str">
        <f>_xlfn.XLOOKUP(Total[[#This Row],[Hebras]],TbTecnologia[Hebras],TbTecnologia[Tecnología])</f>
        <v>CUDA</v>
      </c>
      <c r="D594" s="15" t="str" cm="1">
        <f t="array" ref="D594">_xlfn.XLOOKUP(Total[[#This Row],[Tecnología]]&amp;Total[[#This Row],[Metodo]],TbTipos[Tecnología]&amp;TbTipos[Metodo],TbTipos[Tipo])</f>
        <v>CUDA sin graph</v>
      </c>
      <c r="E594" s="15" t="str" cm="1">
        <f t="array" ref="E594">_xlfn.XLOOKUP(Total[[#This Row],[Tecnología]]&amp;Total[[#This Row],[Problema]],TbNombres[Tecnología]&amp;TbNombres[Problema],TbNombres[Nombre])</f>
        <v>Brusselator1d grid</v>
      </c>
      <c r="F594" s="2">
        <v>5</v>
      </c>
      <c r="G594" s="2">
        <v>7</v>
      </c>
      <c r="H594" s="2">
        <v>256</v>
      </c>
      <c r="I594" s="2">
        <v>5000</v>
      </c>
      <c r="J594" s="2">
        <v>10000</v>
      </c>
      <c r="K594" s="2">
        <v>14.284000000000001</v>
      </c>
    </row>
    <row r="595" spans="2:11" x14ac:dyDescent="0.2">
      <c r="B595" s="26" t="str">
        <f>_xlfn.XLOOKUP(Total[[#This Row],[Metodo]],TbSolver[Metodo],TbSolver[Solver])</f>
        <v>Adams Bashford Moulton</v>
      </c>
      <c r="C595" s="26" t="str">
        <f>_xlfn.XLOOKUP(Total[[#This Row],[Hebras]],TbTecnologia[Hebras],TbTecnologia[Tecnología])</f>
        <v>CUDA</v>
      </c>
      <c r="D595" s="15" t="str" cm="1">
        <f t="array" ref="D595">_xlfn.XLOOKUP(Total[[#This Row],[Tecnología]]&amp;Total[[#This Row],[Metodo]],TbTipos[Tecnología]&amp;TbTipos[Metodo],TbTipos[Tipo])</f>
        <v>CUDA sin graph</v>
      </c>
      <c r="E595" s="15" t="str" cm="1">
        <f t="array" ref="E595">_xlfn.XLOOKUP(Total[[#This Row],[Tecnología]]&amp;Total[[#This Row],[Problema]],TbNombres[Tecnología]&amp;TbNombres[Problema],TbNombres[Nombre])</f>
        <v>Brusselator1d</v>
      </c>
      <c r="F595" s="2">
        <v>5</v>
      </c>
      <c r="G595" s="2">
        <v>5</v>
      </c>
      <c r="H595" s="2">
        <v>256</v>
      </c>
      <c r="I595" s="2">
        <v>5000</v>
      </c>
      <c r="J595" s="2">
        <v>10000</v>
      </c>
      <c r="K595" s="2">
        <v>14.319800000000001</v>
      </c>
    </row>
    <row r="596" spans="2:11" x14ac:dyDescent="0.2">
      <c r="B596" s="26" t="str">
        <f>_xlfn.XLOOKUP(Total[[#This Row],[Metodo]],TbSolver[Metodo],TbSolver[Solver])</f>
        <v>Adams Bashford Moulton</v>
      </c>
      <c r="C596" s="26" t="str">
        <f>_xlfn.XLOOKUP(Total[[#This Row],[Hebras]],TbTecnologia[Hebras],TbTecnologia[Tecnología])</f>
        <v>CUDA</v>
      </c>
      <c r="D596" s="15" t="str" cm="1">
        <f t="array" ref="D596">_xlfn.XLOOKUP(Total[[#This Row],[Tecnología]]&amp;Total[[#This Row],[Metodo]],TbTipos[Tecnología]&amp;TbTipos[Metodo],TbTipos[Tipo])</f>
        <v>CUDA sin graph</v>
      </c>
      <c r="E596" s="15" t="str" cm="1">
        <f t="array" ref="E596">_xlfn.XLOOKUP(Total[[#This Row],[Tecnología]]&amp;Total[[#This Row],[Problema]],TbNombres[Tecnología]&amp;TbNombres[Problema],TbNombres[Nombre])</f>
        <v>Brusselator1d</v>
      </c>
      <c r="F596" s="2">
        <v>5</v>
      </c>
      <c r="G596" s="2">
        <v>5</v>
      </c>
      <c r="H596" s="2">
        <v>256</v>
      </c>
      <c r="I596" s="2">
        <v>100</v>
      </c>
      <c r="J596" s="2">
        <v>200</v>
      </c>
      <c r="K596" s="2">
        <v>14.4727</v>
      </c>
    </row>
    <row r="597" spans="2:11" x14ac:dyDescent="0.2">
      <c r="B597" s="26" t="str">
        <f>_xlfn.XLOOKUP(Total[[#This Row],[Metodo]],TbSolver[Metodo],TbSolver[Solver])</f>
        <v>Adams Bashford Moulton</v>
      </c>
      <c r="C597" s="26" t="str">
        <f>_xlfn.XLOOKUP(Total[[#This Row],[Hebras]],TbTecnologia[Hebras],TbTecnologia[Tecnología])</f>
        <v>CUDA</v>
      </c>
      <c r="D597" s="15" t="str" cm="1">
        <f t="array" ref="D597">_xlfn.XLOOKUP(Total[[#This Row],[Tecnología]]&amp;Total[[#This Row],[Metodo]],TbTipos[Tecnología]&amp;TbTipos[Metodo],TbTipos[Tipo])</f>
        <v>CUDA sin graph</v>
      </c>
      <c r="E597" s="15" t="str" cm="1">
        <f t="array" ref="E597">_xlfn.XLOOKUP(Total[[#This Row],[Tecnología]]&amp;Total[[#This Row],[Problema]],TbNombres[Tecnología]&amp;TbNombres[Problema],TbNombres[Nombre])</f>
        <v>Brusselator1d grid</v>
      </c>
      <c r="F597" s="2">
        <v>5</v>
      </c>
      <c r="G597" s="2">
        <v>7</v>
      </c>
      <c r="H597" s="2">
        <v>256</v>
      </c>
      <c r="I597" s="2">
        <v>100</v>
      </c>
      <c r="J597" s="2">
        <v>200</v>
      </c>
      <c r="K597" s="2">
        <v>14.5009</v>
      </c>
    </row>
    <row r="598" spans="2:11" x14ac:dyDescent="0.2">
      <c r="B598" s="26" t="str">
        <f>_xlfn.XLOOKUP(Total[[#This Row],[Metodo]],TbSolver[Metodo],TbSolver[Solver])</f>
        <v>Adams Bashford Moulton</v>
      </c>
      <c r="C598" s="26" t="str">
        <f>_xlfn.XLOOKUP(Total[[#This Row],[Hebras]],TbTecnologia[Hebras],TbTecnologia[Tecnología])</f>
        <v>CUDA</v>
      </c>
      <c r="D598" s="15" t="str" cm="1">
        <f t="array" ref="D598">_xlfn.XLOOKUP(Total[[#This Row],[Tecnología]]&amp;Total[[#This Row],[Metodo]],TbTipos[Tecnología]&amp;TbTipos[Metodo],TbTipos[Tipo])</f>
        <v>CUDA sin graph</v>
      </c>
      <c r="E598" s="15" t="str" cm="1">
        <f t="array" ref="E598">_xlfn.XLOOKUP(Total[[#This Row],[Tecnología]]&amp;Total[[#This Row],[Problema]],TbNombres[Tecnología]&amp;TbNombres[Problema],TbNombres[Nombre])</f>
        <v>Brusselator1d shuffle</v>
      </c>
      <c r="F598" s="2">
        <v>5</v>
      </c>
      <c r="G598" s="2">
        <v>6</v>
      </c>
      <c r="H598" s="2">
        <v>256</v>
      </c>
      <c r="I598" s="2">
        <v>100</v>
      </c>
      <c r="J598" s="2">
        <v>200</v>
      </c>
      <c r="K598" s="2">
        <v>14.540699999999999</v>
      </c>
    </row>
    <row r="599" spans="2:11" x14ac:dyDescent="0.2">
      <c r="B599" s="26" t="str">
        <f>_xlfn.XLOOKUP(Total[[#This Row],[Metodo]],TbSolver[Metodo],TbSolver[Solver])</f>
        <v>Adams Bashford Moulton</v>
      </c>
      <c r="C599" s="26" t="str">
        <f>_xlfn.XLOOKUP(Total[[#This Row],[Hebras]],TbTecnologia[Hebras],TbTecnologia[Tecnología])</f>
        <v>CUDA</v>
      </c>
      <c r="D599" s="15" t="str" cm="1">
        <f t="array" ref="D599">_xlfn.XLOOKUP(Total[[#This Row],[Tecnología]]&amp;Total[[#This Row],[Metodo]],TbTipos[Tecnología]&amp;TbTipos[Metodo],TbTipos[Tipo])</f>
        <v>CUDA sin graph</v>
      </c>
      <c r="E599" s="15" t="str" cm="1">
        <f t="array" ref="E599">_xlfn.XLOOKUP(Total[[#This Row],[Tecnología]]&amp;Total[[#This Row],[Problema]],TbNombres[Tecnología]&amp;TbNombres[Problema],TbNombres[Nombre])</f>
        <v>Brusselator1d</v>
      </c>
      <c r="F599" s="2">
        <v>5</v>
      </c>
      <c r="G599" s="2">
        <v>5</v>
      </c>
      <c r="H599" s="2">
        <v>256</v>
      </c>
      <c r="I599" s="2">
        <v>200</v>
      </c>
      <c r="J599" s="2">
        <v>400</v>
      </c>
      <c r="K599" s="2">
        <v>14.583500000000001</v>
      </c>
    </row>
    <row r="600" spans="2:11" x14ac:dyDescent="0.2">
      <c r="B600" s="26" t="str">
        <f>_xlfn.XLOOKUP(Total[[#This Row],[Metodo]],TbSolver[Metodo],TbSolver[Solver])</f>
        <v>Adams Bashford Moulton</v>
      </c>
      <c r="C600" s="26" t="str">
        <f>_xlfn.XLOOKUP(Total[[#This Row],[Hebras]],TbTecnologia[Hebras],TbTecnologia[Tecnología])</f>
        <v>CUDA</v>
      </c>
      <c r="D600" s="15" t="str" cm="1">
        <f t="array" ref="D600">_xlfn.XLOOKUP(Total[[#This Row],[Tecnología]]&amp;Total[[#This Row],[Metodo]],TbTipos[Tecnología]&amp;TbTipos[Metodo],TbTipos[Tipo])</f>
        <v>CUDA sin graph</v>
      </c>
      <c r="E600" s="15" t="str" cm="1">
        <f t="array" ref="E600">_xlfn.XLOOKUP(Total[[#This Row],[Tecnología]]&amp;Total[[#This Row],[Problema]],TbNombres[Tecnología]&amp;TbNombres[Problema],TbNombres[Nombre])</f>
        <v>Brusselator1d grid</v>
      </c>
      <c r="F600" s="2">
        <v>5</v>
      </c>
      <c r="G600" s="2">
        <v>7</v>
      </c>
      <c r="H600" s="2">
        <v>256</v>
      </c>
      <c r="I600" s="2">
        <v>200</v>
      </c>
      <c r="J600" s="2">
        <v>400</v>
      </c>
      <c r="K600" s="2">
        <v>14.6775</v>
      </c>
    </row>
    <row r="601" spans="2:11" x14ac:dyDescent="0.2">
      <c r="B601" s="26" t="str">
        <f>_xlfn.XLOOKUP(Total[[#This Row],[Metodo]],TbSolver[Metodo],TbSolver[Solver])</f>
        <v>Adams Bashford Moulton</v>
      </c>
      <c r="C601" s="26" t="str">
        <f>_xlfn.XLOOKUP(Total[[#This Row],[Hebras]],TbTecnologia[Hebras],TbTecnologia[Tecnología])</f>
        <v>CUDA</v>
      </c>
      <c r="D601" s="15" t="str" cm="1">
        <f t="array" ref="D601">_xlfn.XLOOKUP(Total[[#This Row],[Tecnología]]&amp;Total[[#This Row],[Metodo]],TbTipos[Tecnología]&amp;TbTipos[Metodo],TbTipos[Tipo])</f>
        <v>CUDA sin graph</v>
      </c>
      <c r="E601" s="15" t="str" cm="1">
        <f t="array" ref="E601">_xlfn.XLOOKUP(Total[[#This Row],[Tecnología]]&amp;Total[[#This Row],[Problema]],TbNombres[Tecnología]&amp;TbNombres[Problema],TbNombres[Nombre])</f>
        <v>Brusselator1d shuffle</v>
      </c>
      <c r="F601" s="2">
        <v>5</v>
      </c>
      <c r="G601" s="2">
        <v>6</v>
      </c>
      <c r="H601" s="2">
        <v>256</v>
      </c>
      <c r="I601" s="2">
        <v>200</v>
      </c>
      <c r="J601" s="2">
        <v>400</v>
      </c>
      <c r="K601" s="2">
        <v>14.7171</v>
      </c>
    </row>
    <row r="602" spans="2:11" x14ac:dyDescent="0.2">
      <c r="B602" s="26" t="str">
        <f>_xlfn.XLOOKUP(Total[[#This Row],[Metodo]],TbSolver[Metodo],TbSolver[Solver])</f>
        <v>Adams Bashford Moulton</v>
      </c>
      <c r="C602" s="26" t="str">
        <f>_xlfn.XLOOKUP(Total[[#This Row],[Hebras]],TbTecnologia[Hebras],TbTecnologia[Tecnología])</f>
        <v>CUDA</v>
      </c>
      <c r="D602" s="15" t="str" cm="1">
        <f t="array" ref="D602">_xlfn.XLOOKUP(Total[[#This Row],[Tecnología]]&amp;Total[[#This Row],[Metodo]],TbTipos[Tecnología]&amp;TbTipos[Metodo],TbTipos[Tipo])</f>
        <v>CUDA sin graph</v>
      </c>
      <c r="E602" s="15" t="str" cm="1">
        <f t="array" ref="E602">_xlfn.XLOOKUP(Total[[#This Row],[Tecnología]]&amp;Total[[#This Row],[Problema]],TbNombres[Tecnología]&amp;TbNombres[Problema],TbNombres[Nombre])</f>
        <v>Brusselator1d</v>
      </c>
      <c r="F602" s="2">
        <v>5</v>
      </c>
      <c r="G602" s="2">
        <v>5</v>
      </c>
      <c r="H602" s="2">
        <v>256</v>
      </c>
      <c r="I602" s="2">
        <v>10000</v>
      </c>
      <c r="J602" s="2">
        <v>20000</v>
      </c>
      <c r="K602" s="2">
        <v>18.740500000000001</v>
      </c>
    </row>
    <row r="603" spans="2:11" x14ac:dyDescent="0.2">
      <c r="B603" s="26" t="str">
        <f>_xlfn.XLOOKUP(Total[[#This Row],[Metodo]],TbSolver[Metodo],TbSolver[Solver])</f>
        <v>Adams Bashford Moulton</v>
      </c>
      <c r="C603" s="26" t="str">
        <f>_xlfn.XLOOKUP(Total[[#This Row],[Hebras]],TbTecnologia[Hebras],TbTecnologia[Tecnología])</f>
        <v>CUDA</v>
      </c>
      <c r="D603" s="15" t="str" cm="1">
        <f t="array" ref="D603">_xlfn.XLOOKUP(Total[[#This Row],[Tecnología]]&amp;Total[[#This Row],[Metodo]],TbTipos[Tecnología]&amp;TbTipos[Metodo],TbTipos[Tipo])</f>
        <v>CUDA sin graph</v>
      </c>
      <c r="E603" s="15" t="str" cm="1">
        <f t="array" ref="E603">_xlfn.XLOOKUP(Total[[#This Row],[Tecnología]]&amp;Total[[#This Row],[Problema]],TbNombres[Tecnología]&amp;TbNombres[Problema],TbNombres[Nombre])</f>
        <v>Brusselator1d</v>
      </c>
      <c r="F603" s="2">
        <v>5</v>
      </c>
      <c r="G603" s="2">
        <v>5</v>
      </c>
      <c r="H603" s="2">
        <v>256</v>
      </c>
      <c r="I603" s="2">
        <v>20000</v>
      </c>
      <c r="J603" s="2">
        <v>40000</v>
      </c>
      <c r="K603" s="2">
        <v>23.7239</v>
      </c>
    </row>
    <row r="604" spans="2:11" x14ac:dyDescent="0.2">
      <c r="B604" s="26" t="str">
        <f>_xlfn.XLOOKUP(Total[[#This Row],[Metodo]],TbSolver[Metodo],TbSolver[Solver])</f>
        <v>Adams Bashford Moulton</v>
      </c>
      <c r="C604" s="26" t="str">
        <f>_xlfn.XLOOKUP(Total[[#This Row],[Hebras]],TbTecnologia[Hebras],TbTecnologia[Tecnología])</f>
        <v>CUDA</v>
      </c>
      <c r="D604" s="15" t="str" cm="1">
        <f t="array" ref="D604">_xlfn.XLOOKUP(Total[[#This Row],[Tecnología]]&amp;Total[[#This Row],[Metodo]],TbTipos[Tecnología]&amp;TbTipos[Metodo],TbTipos[Tipo])</f>
        <v>CUDA sin graph</v>
      </c>
      <c r="E604" s="15" t="str" cm="1">
        <f t="array" ref="E604">_xlfn.XLOOKUP(Total[[#This Row],[Tecnología]]&amp;Total[[#This Row],[Problema]],TbNombres[Tecnología]&amp;TbNombres[Problema],TbNombres[Nombre])</f>
        <v>Brusselator1d</v>
      </c>
      <c r="F604" s="2">
        <v>5</v>
      </c>
      <c r="G604" s="2">
        <v>5</v>
      </c>
      <c r="H604" s="2">
        <v>256</v>
      </c>
      <c r="I604" s="2">
        <v>50000</v>
      </c>
      <c r="J604" s="2">
        <v>100000</v>
      </c>
      <c r="K604" s="2">
        <v>51.010599999999997</v>
      </c>
    </row>
    <row r="605" spans="2:11" x14ac:dyDescent="0.2">
      <c r="B605" s="26" t="str">
        <f>_xlfn.XLOOKUP(Total[[#This Row],[Metodo]],TbSolver[Metodo],TbSolver[Solver])</f>
        <v>Adams Bashford Moulton</v>
      </c>
      <c r="C605" s="26" t="str">
        <f>_xlfn.XLOOKUP(Total[[#This Row],[Hebras]],TbTecnologia[Hebras],TbTecnologia[Tecnología])</f>
        <v>CUDA</v>
      </c>
      <c r="D605" s="15" t="str" cm="1">
        <f t="array" ref="D605">_xlfn.XLOOKUP(Total[[#This Row],[Tecnología]]&amp;Total[[#This Row],[Metodo]],TbTipos[Tecnología]&amp;TbTipos[Metodo],TbTipos[Tipo])</f>
        <v>CUDA sin graph</v>
      </c>
      <c r="E605" s="15" t="str" cm="1">
        <f t="array" ref="E605">_xlfn.XLOOKUP(Total[[#This Row],[Tecnología]]&amp;Total[[#This Row],[Problema]],TbNombres[Tecnología]&amp;TbNombres[Problema],TbNombres[Nombre])</f>
        <v>Brusselator1d</v>
      </c>
      <c r="F605" s="2">
        <v>5</v>
      </c>
      <c r="G605" s="2">
        <v>5</v>
      </c>
      <c r="H605" s="2">
        <v>256</v>
      </c>
      <c r="I605" s="2">
        <v>100000</v>
      </c>
      <c r="J605" s="2">
        <v>200000</v>
      </c>
      <c r="K605" s="2">
        <v>104.756</v>
      </c>
    </row>
    <row r="606" spans="2:11" x14ac:dyDescent="0.2">
      <c r="B606" s="26" t="str">
        <f>_xlfn.XLOOKUP(Total[[#This Row],[Metodo]],TbSolver[Metodo],TbSolver[Solver])</f>
        <v>Adams Bashford Moulton</v>
      </c>
      <c r="C606" s="26" t="str">
        <f>_xlfn.XLOOKUP(Total[[#This Row],[Hebras]],TbTecnologia[Hebras],TbTecnologia[Tecnología])</f>
        <v>CUDA</v>
      </c>
      <c r="D606" s="15" t="str" cm="1">
        <f t="array" ref="D606">_xlfn.XLOOKUP(Total[[#This Row],[Tecnología]]&amp;Total[[#This Row],[Metodo]],TbTipos[Tecnología]&amp;TbTipos[Metodo],TbTipos[Tipo])</f>
        <v>CUDA sin graph</v>
      </c>
      <c r="E606" s="15" t="str" cm="1">
        <f t="array" ref="E606">_xlfn.XLOOKUP(Total[[#This Row],[Tecnología]]&amp;Total[[#This Row],[Problema]],TbNombres[Tecnología]&amp;TbNombres[Problema],TbNombres[Nombre])</f>
        <v>Brusselator1d</v>
      </c>
      <c r="F606" s="2">
        <v>5</v>
      </c>
      <c r="G606" s="2">
        <v>5</v>
      </c>
      <c r="H606" s="2">
        <v>256</v>
      </c>
      <c r="I606" s="2">
        <v>200000</v>
      </c>
      <c r="J606" s="2">
        <v>400000</v>
      </c>
      <c r="K606" s="2">
        <v>208.50399999999999</v>
      </c>
    </row>
    <row r="607" spans="2:11" x14ac:dyDescent="0.2">
      <c r="B607" s="26" t="str">
        <f>_xlfn.XLOOKUP(Total[[#This Row],[Metodo]],TbSolver[Metodo],TbSolver[Solver])</f>
        <v>Adams Bashford Moulton</v>
      </c>
      <c r="C607" s="26" t="str">
        <f>_xlfn.XLOOKUP(Total[[#This Row],[Hebras]],TbTecnologia[Hebras],TbTecnologia[Tecnología])</f>
        <v>OMP</v>
      </c>
      <c r="D607" s="15" t="str" cm="1">
        <f t="array" ref="D607">_xlfn.XLOOKUP(Total[[#This Row],[Tecnología]]&amp;Total[[#This Row],[Metodo]],TbTipos[Tecnología]&amp;TbTipos[Metodo],TbTipos[Tipo])</f>
        <v>OMP Operaciones</v>
      </c>
      <c r="E607" s="15" t="str" cm="1">
        <f t="array" ref="E607">_xlfn.XLOOKUP(Total[[#This Row],[Tecnología]]&amp;Total[[#This Row],[Problema]],TbNombres[Tecnología]&amp;TbNombres[Problema],TbNombres[Nombre])</f>
        <v>Brusselator1d</v>
      </c>
      <c r="F607" s="2">
        <v>5</v>
      </c>
      <c r="G607" s="2">
        <v>3</v>
      </c>
      <c r="H607" s="2">
        <v>1</v>
      </c>
      <c r="I607" s="2">
        <v>100</v>
      </c>
      <c r="J607" s="2">
        <v>200</v>
      </c>
      <c r="K607" s="2">
        <v>6.8280700000000003</v>
      </c>
    </row>
    <row r="608" spans="2:11" x14ac:dyDescent="0.2">
      <c r="B608" s="26" t="str">
        <f>_xlfn.XLOOKUP(Total[[#This Row],[Metodo]],TbSolver[Metodo],TbSolver[Solver])</f>
        <v>Adams Bashford Moulton</v>
      </c>
      <c r="C608" s="26" t="str">
        <f>_xlfn.XLOOKUP(Total[[#This Row],[Hebras]],TbTecnologia[Hebras],TbTecnologia[Tecnología])</f>
        <v>OMP</v>
      </c>
      <c r="D608" s="15" t="str" cm="1">
        <f t="array" ref="D608">_xlfn.XLOOKUP(Total[[#This Row],[Tecnología]]&amp;Total[[#This Row],[Metodo]],TbTipos[Tecnología]&amp;TbTipos[Metodo],TbTipos[Tipo])</f>
        <v>OMP Operaciones</v>
      </c>
      <c r="E608" s="15" t="str" cm="1">
        <f t="array" ref="E608">_xlfn.XLOOKUP(Total[[#This Row],[Tecnología]]&amp;Total[[#This Row],[Problema]],TbNombres[Tecnología]&amp;TbNombres[Problema],TbNombres[Nombre])</f>
        <v>Brusselator1d</v>
      </c>
      <c r="F608" s="2">
        <v>5</v>
      </c>
      <c r="G608" s="2">
        <v>3</v>
      </c>
      <c r="H608" s="2">
        <v>4</v>
      </c>
      <c r="I608" s="2">
        <v>100</v>
      </c>
      <c r="J608" s="2">
        <v>200</v>
      </c>
      <c r="K608" s="2">
        <v>45.3827</v>
      </c>
    </row>
    <row r="609" spans="2:11" x14ac:dyDescent="0.2">
      <c r="B609" s="26" t="str">
        <f>_xlfn.XLOOKUP(Total[[#This Row],[Metodo]],TbSolver[Metodo],TbSolver[Solver])</f>
        <v>Adams Bashford Moulton</v>
      </c>
      <c r="C609" s="26" t="str">
        <f>_xlfn.XLOOKUP(Total[[#This Row],[Hebras]],TbTecnologia[Hebras],TbTecnologia[Tecnología])</f>
        <v>OMP</v>
      </c>
      <c r="D609" s="15" t="str" cm="1">
        <f t="array" ref="D609">_xlfn.XLOOKUP(Total[[#This Row],[Tecnología]]&amp;Total[[#This Row],[Metodo]],TbTipos[Tecnología]&amp;TbTipos[Metodo],TbTipos[Tipo])</f>
        <v>OMP Operaciones</v>
      </c>
      <c r="E609" s="15" t="str" cm="1">
        <f t="array" ref="E609">_xlfn.XLOOKUP(Total[[#This Row],[Tecnología]]&amp;Total[[#This Row],[Problema]],TbNombres[Tecnología]&amp;TbNombres[Problema],TbNombres[Nombre])</f>
        <v>Brusselator1d</v>
      </c>
      <c r="F609" s="2">
        <v>5</v>
      </c>
      <c r="G609" s="2">
        <v>3</v>
      </c>
      <c r="H609" s="2">
        <v>16</v>
      </c>
      <c r="I609" s="2">
        <v>100</v>
      </c>
      <c r="J609" s="2">
        <v>200</v>
      </c>
      <c r="K609" s="2">
        <v>103.395</v>
      </c>
    </row>
    <row r="610" spans="2:11" x14ac:dyDescent="0.2">
      <c r="B610" s="26" t="str">
        <f>_xlfn.XLOOKUP(Total[[#This Row],[Metodo]],TbSolver[Metodo],TbSolver[Solver])</f>
        <v>Adams Bashford Moulton</v>
      </c>
      <c r="C610" s="26" t="str">
        <f>_xlfn.XLOOKUP(Total[[#This Row],[Hebras]],TbTecnologia[Hebras],TbTecnologia[Tecnología])</f>
        <v>OMP</v>
      </c>
      <c r="D610" s="15" t="str" cm="1">
        <f t="array" ref="D610">_xlfn.XLOOKUP(Total[[#This Row],[Tecnología]]&amp;Total[[#This Row],[Metodo]],TbTipos[Tecnología]&amp;TbTipos[Metodo],TbTipos[Tipo])</f>
        <v>OMP Operaciones</v>
      </c>
      <c r="E610" s="15" t="str" cm="1">
        <f t="array" ref="E610">_xlfn.XLOOKUP(Total[[#This Row],[Tecnología]]&amp;Total[[#This Row],[Problema]],TbNombres[Tecnología]&amp;TbNombres[Problema],TbNombres[Nombre])</f>
        <v>Brusselator1d</v>
      </c>
      <c r="F610" s="2">
        <v>5</v>
      </c>
      <c r="G610" s="2">
        <v>3</v>
      </c>
      <c r="H610" s="2">
        <v>1</v>
      </c>
      <c r="I610" s="2">
        <v>200</v>
      </c>
      <c r="J610" s="2">
        <v>400</v>
      </c>
      <c r="K610" s="2">
        <v>8.7159899999999997</v>
      </c>
    </row>
    <row r="611" spans="2:11" x14ac:dyDescent="0.2">
      <c r="B611" s="26" t="str">
        <f>_xlfn.XLOOKUP(Total[[#This Row],[Metodo]],TbSolver[Metodo],TbSolver[Solver])</f>
        <v>Adams Bashford Moulton</v>
      </c>
      <c r="C611" s="26" t="str">
        <f>_xlfn.XLOOKUP(Total[[#This Row],[Hebras]],TbTecnologia[Hebras],TbTecnologia[Tecnología])</f>
        <v>OMP</v>
      </c>
      <c r="D611" s="15" t="str" cm="1">
        <f t="array" ref="D611">_xlfn.XLOOKUP(Total[[#This Row],[Tecnología]]&amp;Total[[#This Row],[Metodo]],TbTipos[Tecnología]&amp;TbTipos[Metodo],TbTipos[Tipo])</f>
        <v>OMP Operaciones</v>
      </c>
      <c r="E611" s="15" t="str" cm="1">
        <f t="array" ref="E611">_xlfn.XLOOKUP(Total[[#This Row],[Tecnología]]&amp;Total[[#This Row],[Problema]],TbNombres[Tecnología]&amp;TbNombres[Problema],TbNombres[Nombre])</f>
        <v>Brusselator1d</v>
      </c>
      <c r="F611" s="2">
        <v>5</v>
      </c>
      <c r="G611" s="2">
        <v>3</v>
      </c>
      <c r="H611" s="2">
        <v>4</v>
      </c>
      <c r="I611" s="2">
        <v>200</v>
      </c>
      <c r="J611" s="2">
        <v>400</v>
      </c>
      <c r="K611" s="2">
        <v>52.7333</v>
      </c>
    </row>
    <row r="612" spans="2:11" x14ac:dyDescent="0.2">
      <c r="B612" s="26" t="str">
        <f>_xlfn.XLOOKUP(Total[[#This Row],[Metodo]],TbSolver[Metodo],TbSolver[Solver])</f>
        <v>Adams Bashford Moulton</v>
      </c>
      <c r="C612" s="26" t="str">
        <f>_xlfn.XLOOKUP(Total[[#This Row],[Hebras]],TbTecnologia[Hebras],TbTecnologia[Tecnología])</f>
        <v>OMP</v>
      </c>
      <c r="D612" s="15" t="str" cm="1">
        <f t="array" ref="D612">_xlfn.XLOOKUP(Total[[#This Row],[Tecnología]]&amp;Total[[#This Row],[Metodo]],TbTipos[Tecnología]&amp;TbTipos[Metodo],TbTipos[Tipo])</f>
        <v>OMP Operaciones</v>
      </c>
      <c r="E612" s="15" t="str" cm="1">
        <f t="array" ref="E612">_xlfn.XLOOKUP(Total[[#This Row],[Tecnología]]&amp;Total[[#This Row],[Problema]],TbNombres[Tecnología]&amp;TbNombres[Problema],TbNombres[Nombre])</f>
        <v>Brusselator1d</v>
      </c>
      <c r="F612" s="2">
        <v>5</v>
      </c>
      <c r="G612" s="2">
        <v>3</v>
      </c>
      <c r="H612" s="2">
        <v>16</v>
      </c>
      <c r="I612" s="2">
        <v>200</v>
      </c>
      <c r="J612" s="2">
        <v>400</v>
      </c>
      <c r="K612" s="2">
        <v>132.62700000000001</v>
      </c>
    </row>
    <row r="613" spans="2:11" x14ac:dyDescent="0.2">
      <c r="B613" s="26" t="str">
        <f>_xlfn.XLOOKUP(Total[[#This Row],[Metodo]],TbSolver[Metodo],TbSolver[Solver])</f>
        <v>Adams Bashford Moulton</v>
      </c>
      <c r="C613" s="26" t="str">
        <f>_xlfn.XLOOKUP(Total[[#This Row],[Hebras]],TbTecnologia[Hebras],TbTecnologia[Tecnología])</f>
        <v>OMP</v>
      </c>
      <c r="D613" s="15" t="str" cm="1">
        <f t="array" ref="D613">_xlfn.XLOOKUP(Total[[#This Row],[Tecnología]]&amp;Total[[#This Row],[Metodo]],TbTipos[Tecnología]&amp;TbTipos[Metodo],TbTipos[Tipo])</f>
        <v>OMP Operaciones</v>
      </c>
      <c r="E613" s="15" t="str" cm="1">
        <f t="array" ref="E613">_xlfn.XLOOKUP(Total[[#This Row],[Tecnología]]&amp;Total[[#This Row],[Problema]],TbNombres[Tecnología]&amp;TbNombres[Problema],TbNombres[Nombre])</f>
        <v>Brusselator1d</v>
      </c>
      <c r="F613" s="2">
        <v>5</v>
      </c>
      <c r="G613" s="2">
        <v>3</v>
      </c>
      <c r="H613" s="2">
        <v>1</v>
      </c>
      <c r="I613" s="2">
        <v>500</v>
      </c>
      <c r="J613" s="2">
        <v>1000</v>
      </c>
      <c r="K613" s="2">
        <v>14.595599999999999</v>
      </c>
    </row>
    <row r="614" spans="2:11" x14ac:dyDescent="0.2">
      <c r="B614" s="26" t="str">
        <f>_xlfn.XLOOKUP(Total[[#This Row],[Metodo]],TbSolver[Metodo],TbSolver[Solver])</f>
        <v>Adams Bashford Moulton</v>
      </c>
      <c r="C614" s="26" t="str">
        <f>_xlfn.XLOOKUP(Total[[#This Row],[Hebras]],TbTecnologia[Hebras],TbTecnologia[Tecnología])</f>
        <v>OMP</v>
      </c>
      <c r="D614" s="15" t="str" cm="1">
        <f t="array" ref="D614">_xlfn.XLOOKUP(Total[[#This Row],[Tecnología]]&amp;Total[[#This Row],[Metodo]],TbTipos[Tecnología]&amp;TbTipos[Metodo],TbTipos[Tipo])</f>
        <v>OMP Operaciones</v>
      </c>
      <c r="E614" s="15" t="str" cm="1">
        <f t="array" ref="E614">_xlfn.XLOOKUP(Total[[#This Row],[Tecnología]]&amp;Total[[#This Row],[Problema]],TbNombres[Tecnología]&amp;TbNombres[Problema],TbNombres[Nombre])</f>
        <v>Brusselator1d</v>
      </c>
      <c r="F614" s="2">
        <v>5</v>
      </c>
      <c r="G614" s="2">
        <v>3</v>
      </c>
      <c r="H614" s="2">
        <v>4</v>
      </c>
      <c r="I614" s="2">
        <v>500</v>
      </c>
      <c r="J614" s="2">
        <v>1000</v>
      </c>
      <c r="K614" s="2">
        <v>51.3416</v>
      </c>
    </row>
    <row r="615" spans="2:11" x14ac:dyDescent="0.2">
      <c r="B615" s="26" t="str">
        <f>_xlfn.XLOOKUP(Total[[#This Row],[Metodo]],TbSolver[Metodo],TbSolver[Solver])</f>
        <v>Adams Bashford Moulton</v>
      </c>
      <c r="C615" s="26" t="str">
        <f>_xlfn.XLOOKUP(Total[[#This Row],[Hebras]],TbTecnologia[Hebras],TbTecnologia[Tecnología])</f>
        <v>OMP</v>
      </c>
      <c r="D615" s="15" t="str" cm="1">
        <f t="array" ref="D615">_xlfn.XLOOKUP(Total[[#This Row],[Tecnología]]&amp;Total[[#This Row],[Metodo]],TbTipos[Tecnología]&amp;TbTipos[Metodo],TbTipos[Tipo])</f>
        <v>OMP Operaciones</v>
      </c>
      <c r="E615" s="15" t="str" cm="1">
        <f t="array" ref="E615">_xlfn.XLOOKUP(Total[[#This Row],[Tecnología]]&amp;Total[[#This Row],[Problema]],TbNombres[Tecnología]&amp;TbNombres[Problema],TbNombres[Nombre])</f>
        <v>Brusselator1d</v>
      </c>
      <c r="F615" s="2">
        <v>5</v>
      </c>
      <c r="G615" s="2">
        <v>3</v>
      </c>
      <c r="H615" s="2">
        <v>16</v>
      </c>
      <c r="I615" s="2">
        <v>500</v>
      </c>
      <c r="J615" s="2">
        <v>1000</v>
      </c>
      <c r="K615" s="2">
        <v>100.569</v>
      </c>
    </row>
    <row r="616" spans="2:11" x14ac:dyDescent="0.2">
      <c r="B616" s="26" t="str">
        <f>_xlfn.XLOOKUP(Total[[#This Row],[Metodo]],TbSolver[Metodo],TbSolver[Solver])</f>
        <v>Adams Bashford Moulton</v>
      </c>
      <c r="C616" s="26" t="str">
        <f>_xlfn.XLOOKUP(Total[[#This Row],[Hebras]],TbTecnologia[Hebras],TbTecnologia[Tecnología])</f>
        <v>OMP</v>
      </c>
      <c r="D616" s="15" t="str" cm="1">
        <f t="array" ref="D616">_xlfn.XLOOKUP(Total[[#This Row],[Tecnología]]&amp;Total[[#This Row],[Metodo]],TbTipos[Tecnología]&amp;TbTipos[Metodo],TbTipos[Tipo])</f>
        <v>OMP Operaciones</v>
      </c>
      <c r="E616" s="15" t="str" cm="1">
        <f t="array" ref="E616">_xlfn.XLOOKUP(Total[[#This Row],[Tecnología]]&amp;Total[[#This Row],[Problema]],TbNombres[Tecnología]&amp;TbNombres[Problema],TbNombres[Nombre])</f>
        <v>Brusselator1d</v>
      </c>
      <c r="F616" s="2">
        <v>5</v>
      </c>
      <c r="G616" s="2">
        <v>3</v>
      </c>
      <c r="H616" s="2">
        <v>1</v>
      </c>
      <c r="I616" s="2">
        <v>1000</v>
      </c>
      <c r="J616" s="2">
        <v>2000</v>
      </c>
      <c r="K616" s="2">
        <v>24.846499999999999</v>
      </c>
    </row>
    <row r="617" spans="2:11" x14ac:dyDescent="0.2">
      <c r="B617" s="26" t="str">
        <f>_xlfn.XLOOKUP(Total[[#This Row],[Metodo]],TbSolver[Metodo],TbSolver[Solver])</f>
        <v>Adams Bashford Moulton</v>
      </c>
      <c r="C617" s="26" t="str">
        <f>_xlfn.XLOOKUP(Total[[#This Row],[Hebras]],TbTecnologia[Hebras],TbTecnologia[Tecnología])</f>
        <v>OMP</v>
      </c>
      <c r="D617" s="15" t="str" cm="1">
        <f t="array" ref="D617">_xlfn.XLOOKUP(Total[[#This Row],[Tecnología]]&amp;Total[[#This Row],[Metodo]],TbTipos[Tecnología]&amp;TbTipos[Metodo],TbTipos[Tipo])</f>
        <v>OMP Operaciones</v>
      </c>
      <c r="E617" s="15" t="str" cm="1">
        <f t="array" ref="E617">_xlfn.XLOOKUP(Total[[#This Row],[Tecnología]]&amp;Total[[#This Row],[Problema]],TbNombres[Tecnología]&amp;TbNombres[Problema],TbNombres[Nombre])</f>
        <v>Brusselator1d</v>
      </c>
      <c r="F617" s="2">
        <v>5</v>
      </c>
      <c r="G617" s="2">
        <v>3</v>
      </c>
      <c r="H617" s="2">
        <v>4</v>
      </c>
      <c r="I617" s="2">
        <v>1000</v>
      </c>
      <c r="J617" s="2">
        <v>2000</v>
      </c>
      <c r="K617" s="2">
        <v>56.811799999999998</v>
      </c>
    </row>
    <row r="618" spans="2:11" x14ac:dyDescent="0.2">
      <c r="B618" s="26" t="str">
        <f>_xlfn.XLOOKUP(Total[[#This Row],[Metodo]],TbSolver[Metodo],TbSolver[Solver])</f>
        <v>Adams Bashford Moulton</v>
      </c>
      <c r="C618" s="26" t="str">
        <f>_xlfn.XLOOKUP(Total[[#This Row],[Hebras]],TbTecnologia[Hebras],TbTecnologia[Tecnología])</f>
        <v>OMP</v>
      </c>
      <c r="D618" s="15" t="str" cm="1">
        <f t="array" ref="D618">_xlfn.XLOOKUP(Total[[#This Row],[Tecnología]]&amp;Total[[#This Row],[Metodo]],TbTipos[Tecnología]&amp;TbTipos[Metodo],TbTipos[Tipo])</f>
        <v>OMP Operaciones</v>
      </c>
      <c r="E618" s="15" t="str" cm="1">
        <f t="array" ref="E618">_xlfn.XLOOKUP(Total[[#This Row],[Tecnología]]&amp;Total[[#This Row],[Problema]],TbNombres[Tecnología]&amp;TbNombres[Problema],TbNombres[Nombre])</f>
        <v>Brusselator1d</v>
      </c>
      <c r="F618" s="2">
        <v>5</v>
      </c>
      <c r="G618" s="2">
        <v>3</v>
      </c>
      <c r="H618" s="2">
        <v>16</v>
      </c>
      <c r="I618" s="2">
        <v>1000</v>
      </c>
      <c r="J618" s="2">
        <v>2000</v>
      </c>
      <c r="K618" s="2">
        <v>123.637</v>
      </c>
    </row>
    <row r="619" spans="2:11" x14ac:dyDescent="0.2">
      <c r="B619" s="26" t="str">
        <f>_xlfn.XLOOKUP(Total[[#This Row],[Metodo]],TbSolver[Metodo],TbSolver[Solver])</f>
        <v>Adams Bashford Moulton</v>
      </c>
      <c r="C619" s="26" t="str">
        <f>_xlfn.XLOOKUP(Total[[#This Row],[Hebras]],TbTecnologia[Hebras],TbTecnologia[Tecnología])</f>
        <v>OMP</v>
      </c>
      <c r="D619" s="15" t="str" cm="1">
        <f t="array" ref="D619">_xlfn.XLOOKUP(Total[[#This Row],[Tecnología]]&amp;Total[[#This Row],[Metodo]],TbTipos[Tecnología]&amp;TbTipos[Metodo],TbTipos[Tipo])</f>
        <v>OMP Elementos</v>
      </c>
      <c r="E619" s="15" t="str" cm="1">
        <f t="array" ref="E619">_xlfn.XLOOKUP(Total[[#This Row],[Tecnología]]&amp;Total[[#This Row],[Problema]],TbNombres[Tecnología]&amp;TbNombres[Problema],TbNombres[Nombre])</f>
        <v>Brusselator1d</v>
      </c>
      <c r="F619" s="2">
        <v>6</v>
      </c>
      <c r="G619" s="2">
        <v>3</v>
      </c>
      <c r="H619" s="2">
        <v>1</v>
      </c>
      <c r="I619" s="2">
        <v>100</v>
      </c>
      <c r="J619" s="2">
        <v>200</v>
      </c>
      <c r="K619" s="2">
        <v>5.8336199999999998</v>
      </c>
    </row>
    <row r="620" spans="2:11" x14ac:dyDescent="0.2">
      <c r="B620" s="26" t="str">
        <f>_xlfn.XLOOKUP(Total[[#This Row],[Metodo]],TbSolver[Metodo],TbSolver[Solver])</f>
        <v>Adams Bashford Moulton</v>
      </c>
      <c r="C620" s="26" t="str">
        <f>_xlfn.XLOOKUP(Total[[#This Row],[Hebras]],TbTecnologia[Hebras],TbTecnologia[Tecnología])</f>
        <v>OMP</v>
      </c>
      <c r="D620" s="15" t="str" cm="1">
        <f t="array" ref="D620">_xlfn.XLOOKUP(Total[[#This Row],[Tecnología]]&amp;Total[[#This Row],[Metodo]],TbTipos[Tecnología]&amp;TbTipos[Metodo],TbTipos[Tipo])</f>
        <v>OMP Elementos</v>
      </c>
      <c r="E620" s="15" t="str" cm="1">
        <f t="array" ref="E620">_xlfn.XLOOKUP(Total[[#This Row],[Tecnología]]&amp;Total[[#This Row],[Problema]],TbNombres[Tecnología]&amp;TbNombres[Problema],TbNombres[Nombre])</f>
        <v>Brusselator1d</v>
      </c>
      <c r="F620" s="2">
        <v>6</v>
      </c>
      <c r="G620" s="2">
        <v>3</v>
      </c>
      <c r="H620" s="2">
        <v>4</v>
      </c>
      <c r="I620" s="2">
        <v>100</v>
      </c>
      <c r="J620" s="2">
        <v>200</v>
      </c>
      <c r="K620" s="2">
        <v>9.4379600000000003</v>
      </c>
    </row>
    <row r="621" spans="2:11" x14ac:dyDescent="0.2">
      <c r="B621" s="26" t="str">
        <f>_xlfn.XLOOKUP(Total[[#This Row],[Metodo]],TbSolver[Metodo],TbSolver[Solver])</f>
        <v>Adams Bashford Moulton</v>
      </c>
      <c r="C621" s="26" t="str">
        <f>_xlfn.XLOOKUP(Total[[#This Row],[Hebras]],TbTecnologia[Hebras],TbTecnologia[Tecnología])</f>
        <v>OMP</v>
      </c>
      <c r="D621" s="15" t="str" cm="1">
        <f t="array" ref="D621">_xlfn.XLOOKUP(Total[[#This Row],[Tecnología]]&amp;Total[[#This Row],[Metodo]],TbTipos[Tecnología]&amp;TbTipos[Metodo],TbTipos[Tipo])</f>
        <v>OMP Elementos</v>
      </c>
      <c r="E621" s="15" t="str" cm="1">
        <f t="array" ref="E621">_xlfn.XLOOKUP(Total[[#This Row],[Tecnología]]&amp;Total[[#This Row],[Problema]],TbNombres[Tecnología]&amp;TbNombres[Problema],TbNombres[Nombre])</f>
        <v>Brusselator1d</v>
      </c>
      <c r="F621" s="2">
        <v>6</v>
      </c>
      <c r="G621" s="2">
        <v>3</v>
      </c>
      <c r="H621" s="2">
        <v>16</v>
      </c>
      <c r="I621" s="2">
        <v>100</v>
      </c>
      <c r="J621" s="2">
        <v>200</v>
      </c>
      <c r="K621" s="2">
        <v>38.313299999999998</v>
      </c>
    </row>
    <row r="622" spans="2:11" x14ac:dyDescent="0.2">
      <c r="B622" s="26" t="str">
        <f>_xlfn.XLOOKUP(Total[[#This Row],[Metodo]],TbSolver[Metodo],TbSolver[Solver])</f>
        <v>Adams Bashford Moulton</v>
      </c>
      <c r="C622" s="26" t="str">
        <f>_xlfn.XLOOKUP(Total[[#This Row],[Hebras]],TbTecnologia[Hebras],TbTecnologia[Tecnología])</f>
        <v>OMP</v>
      </c>
      <c r="D622" s="15" t="str" cm="1">
        <f t="array" ref="D622">_xlfn.XLOOKUP(Total[[#This Row],[Tecnología]]&amp;Total[[#This Row],[Metodo]],TbTipos[Tecnología]&amp;TbTipos[Metodo],TbTipos[Tipo])</f>
        <v>OMP Elementos</v>
      </c>
      <c r="E622" s="15" t="str" cm="1">
        <f t="array" ref="E622">_xlfn.XLOOKUP(Total[[#This Row],[Tecnología]]&amp;Total[[#This Row],[Problema]],TbNombres[Tecnología]&amp;TbNombres[Problema],TbNombres[Nombre])</f>
        <v>Brusselator1d</v>
      </c>
      <c r="F622" s="2">
        <v>6</v>
      </c>
      <c r="G622" s="2">
        <v>3</v>
      </c>
      <c r="H622" s="2">
        <v>1</v>
      </c>
      <c r="I622" s="2">
        <v>200</v>
      </c>
      <c r="J622" s="2">
        <v>400</v>
      </c>
      <c r="K622" s="2">
        <v>10.9026</v>
      </c>
    </row>
    <row r="623" spans="2:11" x14ac:dyDescent="0.2">
      <c r="B623" s="26" t="str">
        <f>_xlfn.XLOOKUP(Total[[#This Row],[Metodo]],TbSolver[Metodo],TbSolver[Solver])</f>
        <v>Adams Bashford Moulton</v>
      </c>
      <c r="C623" s="26" t="str">
        <f>_xlfn.XLOOKUP(Total[[#This Row],[Hebras]],TbTecnologia[Hebras],TbTecnologia[Tecnología])</f>
        <v>OMP</v>
      </c>
      <c r="D623" s="15" t="str" cm="1">
        <f t="array" ref="D623">_xlfn.XLOOKUP(Total[[#This Row],[Tecnología]]&amp;Total[[#This Row],[Metodo]],TbTipos[Tecnología]&amp;TbTipos[Metodo],TbTipos[Tipo])</f>
        <v>OMP Elementos</v>
      </c>
      <c r="E623" s="15" t="str" cm="1">
        <f t="array" ref="E623">_xlfn.XLOOKUP(Total[[#This Row],[Tecnología]]&amp;Total[[#This Row],[Problema]],TbNombres[Tecnología]&amp;TbNombres[Problema],TbNombres[Nombre])</f>
        <v>Brusselator1d</v>
      </c>
      <c r="F623" s="2">
        <v>6</v>
      </c>
      <c r="G623" s="2">
        <v>3</v>
      </c>
      <c r="H623" s="2">
        <v>4</v>
      </c>
      <c r="I623" s="2">
        <v>200</v>
      </c>
      <c r="J623" s="2">
        <v>400</v>
      </c>
      <c r="K623" s="2">
        <v>11.3154</v>
      </c>
    </row>
    <row r="624" spans="2:11" x14ac:dyDescent="0.2">
      <c r="B624" s="26" t="str">
        <f>_xlfn.XLOOKUP(Total[[#This Row],[Metodo]],TbSolver[Metodo],TbSolver[Solver])</f>
        <v>Adams Bashford Moulton</v>
      </c>
      <c r="C624" s="26" t="str">
        <f>_xlfn.XLOOKUP(Total[[#This Row],[Hebras]],TbTecnologia[Hebras],TbTecnologia[Tecnología])</f>
        <v>OMP</v>
      </c>
      <c r="D624" s="15" t="str" cm="1">
        <f t="array" ref="D624">_xlfn.XLOOKUP(Total[[#This Row],[Tecnología]]&amp;Total[[#This Row],[Metodo]],TbTipos[Tecnología]&amp;TbTipos[Metodo],TbTipos[Tipo])</f>
        <v>OMP Elementos</v>
      </c>
      <c r="E624" s="15" t="str" cm="1">
        <f t="array" ref="E624">_xlfn.XLOOKUP(Total[[#This Row],[Tecnología]]&amp;Total[[#This Row],[Problema]],TbNombres[Tecnología]&amp;TbNombres[Problema],TbNombres[Nombre])</f>
        <v>Brusselator1d</v>
      </c>
      <c r="F624" s="2">
        <v>6</v>
      </c>
      <c r="G624" s="2">
        <v>3</v>
      </c>
      <c r="H624" s="2">
        <v>16</v>
      </c>
      <c r="I624" s="2">
        <v>200</v>
      </c>
      <c r="J624" s="2">
        <v>400</v>
      </c>
      <c r="K624" s="2">
        <v>31.756699999999999</v>
      </c>
    </row>
    <row r="625" spans="2:11" x14ac:dyDescent="0.2">
      <c r="B625" s="26" t="str">
        <f>_xlfn.XLOOKUP(Total[[#This Row],[Metodo]],TbSolver[Metodo],TbSolver[Solver])</f>
        <v>Adams Bashford Moulton</v>
      </c>
      <c r="C625" s="26" t="str">
        <f>_xlfn.XLOOKUP(Total[[#This Row],[Hebras]],TbTecnologia[Hebras],TbTecnologia[Tecnología])</f>
        <v>OMP</v>
      </c>
      <c r="D625" s="15" t="str" cm="1">
        <f t="array" ref="D625">_xlfn.XLOOKUP(Total[[#This Row],[Tecnología]]&amp;Total[[#This Row],[Metodo]],TbTipos[Tecnología]&amp;TbTipos[Metodo],TbTipos[Tipo])</f>
        <v>OMP Elementos</v>
      </c>
      <c r="E625" s="15" t="str" cm="1">
        <f t="array" ref="E625">_xlfn.XLOOKUP(Total[[#This Row],[Tecnología]]&amp;Total[[#This Row],[Problema]],TbNombres[Tecnología]&amp;TbNombres[Problema],TbNombres[Nombre])</f>
        <v>Brusselator1d</v>
      </c>
      <c r="F625" s="2">
        <v>6</v>
      </c>
      <c r="G625" s="2">
        <v>3</v>
      </c>
      <c r="H625" s="2">
        <v>1</v>
      </c>
      <c r="I625" s="2">
        <v>500</v>
      </c>
      <c r="J625" s="2">
        <v>1000</v>
      </c>
      <c r="K625" s="2">
        <v>26.178599999999999</v>
      </c>
    </row>
    <row r="626" spans="2:11" x14ac:dyDescent="0.2">
      <c r="B626" s="26" t="str">
        <f>_xlfn.XLOOKUP(Total[[#This Row],[Metodo]],TbSolver[Metodo],TbSolver[Solver])</f>
        <v>Adams Bashford Moulton</v>
      </c>
      <c r="C626" s="26" t="str">
        <f>_xlfn.XLOOKUP(Total[[#This Row],[Hebras]],TbTecnologia[Hebras],TbTecnologia[Tecnología])</f>
        <v>OMP</v>
      </c>
      <c r="D626" s="15" t="str" cm="1">
        <f t="array" ref="D626">_xlfn.XLOOKUP(Total[[#This Row],[Tecnología]]&amp;Total[[#This Row],[Metodo]],TbTipos[Tecnología]&amp;TbTipos[Metodo],TbTipos[Tipo])</f>
        <v>OMP Elementos</v>
      </c>
      <c r="E626" s="15" t="str" cm="1">
        <f t="array" ref="E626">_xlfn.XLOOKUP(Total[[#This Row],[Tecnología]]&amp;Total[[#This Row],[Problema]],TbNombres[Tecnología]&amp;TbNombres[Problema],TbNombres[Nombre])</f>
        <v>Brusselator1d</v>
      </c>
      <c r="F626" s="2">
        <v>6</v>
      </c>
      <c r="G626" s="2">
        <v>3</v>
      </c>
      <c r="H626" s="2">
        <v>4</v>
      </c>
      <c r="I626" s="2">
        <v>500</v>
      </c>
      <c r="J626" s="2">
        <v>1000</v>
      </c>
      <c r="K626" s="2">
        <v>14.4763</v>
      </c>
    </row>
    <row r="627" spans="2:11" x14ac:dyDescent="0.2">
      <c r="B627" s="26" t="str">
        <f>_xlfn.XLOOKUP(Total[[#This Row],[Metodo]],TbSolver[Metodo],TbSolver[Solver])</f>
        <v>Adams Bashford Moulton</v>
      </c>
      <c r="C627" s="26" t="str">
        <f>_xlfn.XLOOKUP(Total[[#This Row],[Hebras]],TbTecnologia[Hebras],TbTecnologia[Tecnología])</f>
        <v>OMP</v>
      </c>
      <c r="D627" s="15" t="str" cm="1">
        <f t="array" ref="D627">_xlfn.XLOOKUP(Total[[#This Row],[Tecnología]]&amp;Total[[#This Row],[Metodo]],TbTipos[Tecnología]&amp;TbTipos[Metodo],TbTipos[Tipo])</f>
        <v>OMP Elementos</v>
      </c>
      <c r="E627" s="15" t="str" cm="1">
        <f t="array" ref="E627">_xlfn.XLOOKUP(Total[[#This Row],[Tecnología]]&amp;Total[[#This Row],[Problema]],TbNombres[Tecnología]&amp;TbNombres[Problema],TbNombres[Nombre])</f>
        <v>Brusselator1d</v>
      </c>
      <c r="F627" s="2">
        <v>6</v>
      </c>
      <c r="G627" s="2">
        <v>3</v>
      </c>
      <c r="H627" s="2">
        <v>16</v>
      </c>
      <c r="I627" s="2">
        <v>500</v>
      </c>
      <c r="J627" s="2">
        <v>1000</v>
      </c>
      <c r="K627" s="2">
        <v>20.375399999999999</v>
      </c>
    </row>
    <row r="628" spans="2:11" x14ac:dyDescent="0.2">
      <c r="B628" s="26" t="str">
        <f>_xlfn.XLOOKUP(Total[[#This Row],[Metodo]],TbSolver[Metodo],TbSolver[Solver])</f>
        <v>Adams Bashford Moulton</v>
      </c>
      <c r="C628" s="26" t="str">
        <f>_xlfn.XLOOKUP(Total[[#This Row],[Hebras]],TbTecnologia[Hebras],TbTecnologia[Tecnología])</f>
        <v>OMP</v>
      </c>
      <c r="D628" s="15" t="str" cm="1">
        <f t="array" ref="D628">_xlfn.XLOOKUP(Total[[#This Row],[Tecnología]]&amp;Total[[#This Row],[Metodo]],TbTipos[Tecnología]&amp;TbTipos[Metodo],TbTipos[Tipo])</f>
        <v>OMP Elementos</v>
      </c>
      <c r="E628" s="15" t="str" cm="1">
        <f t="array" ref="E628">_xlfn.XLOOKUP(Total[[#This Row],[Tecnología]]&amp;Total[[#This Row],[Problema]],TbNombres[Tecnología]&amp;TbNombres[Problema],TbNombres[Nombre])</f>
        <v>Brusselator1d</v>
      </c>
      <c r="F628" s="2">
        <v>6</v>
      </c>
      <c r="G628" s="2">
        <v>3</v>
      </c>
      <c r="H628" s="2">
        <v>1</v>
      </c>
      <c r="I628" s="2">
        <v>1000</v>
      </c>
      <c r="J628" s="2">
        <v>2000</v>
      </c>
      <c r="K628" s="2">
        <v>51.4666</v>
      </c>
    </row>
    <row r="629" spans="2:11" x14ac:dyDescent="0.2">
      <c r="B629" s="26" t="str">
        <f>_xlfn.XLOOKUP(Total[[#This Row],[Metodo]],TbSolver[Metodo],TbSolver[Solver])</f>
        <v>Adams Bashford Moulton</v>
      </c>
      <c r="C629" s="26" t="str">
        <f>_xlfn.XLOOKUP(Total[[#This Row],[Hebras]],TbTecnologia[Hebras],TbTecnologia[Tecnología])</f>
        <v>OMP</v>
      </c>
      <c r="D629" s="15" t="str" cm="1">
        <f t="array" ref="D629">_xlfn.XLOOKUP(Total[[#This Row],[Tecnología]]&amp;Total[[#This Row],[Metodo]],TbTipos[Tecnología]&amp;TbTipos[Metodo],TbTipos[Tipo])</f>
        <v>OMP Elementos</v>
      </c>
      <c r="E629" s="15" t="str" cm="1">
        <f t="array" ref="E629">_xlfn.XLOOKUP(Total[[#This Row],[Tecnología]]&amp;Total[[#This Row],[Problema]],TbNombres[Tecnología]&amp;TbNombres[Problema],TbNombres[Nombre])</f>
        <v>Brusselator1d</v>
      </c>
      <c r="F629" s="2">
        <v>6</v>
      </c>
      <c r="G629" s="2">
        <v>3</v>
      </c>
      <c r="H629" s="2">
        <v>4</v>
      </c>
      <c r="I629" s="2">
        <v>1000</v>
      </c>
      <c r="J629" s="2">
        <v>2000</v>
      </c>
      <c r="K629" s="2">
        <v>21.136500000000002</v>
      </c>
    </row>
    <row r="630" spans="2:11" x14ac:dyDescent="0.2">
      <c r="B630" s="26" t="str">
        <f>_xlfn.XLOOKUP(Total[[#This Row],[Metodo]],TbSolver[Metodo],TbSolver[Solver])</f>
        <v>Adams Bashford Moulton</v>
      </c>
      <c r="C630" s="26" t="str">
        <f>_xlfn.XLOOKUP(Total[[#This Row],[Hebras]],TbTecnologia[Hebras],TbTecnologia[Tecnología])</f>
        <v>OMP</v>
      </c>
      <c r="D630" s="15" t="str" cm="1">
        <f t="array" ref="D630">_xlfn.XLOOKUP(Total[[#This Row],[Tecnología]]&amp;Total[[#This Row],[Metodo]],TbTipos[Tecnología]&amp;TbTipos[Metodo],TbTipos[Tipo])</f>
        <v>OMP Elementos</v>
      </c>
      <c r="E630" s="15" t="str" cm="1">
        <f t="array" ref="E630">_xlfn.XLOOKUP(Total[[#This Row],[Tecnología]]&amp;Total[[#This Row],[Problema]],TbNombres[Tecnología]&amp;TbNombres[Problema],TbNombres[Nombre])</f>
        <v>Brusselator1d</v>
      </c>
      <c r="F630" s="2">
        <v>6</v>
      </c>
      <c r="G630" s="2">
        <v>3</v>
      </c>
      <c r="H630" s="2">
        <v>16</v>
      </c>
      <c r="I630" s="2">
        <v>1000</v>
      </c>
      <c r="J630" s="2">
        <v>2000</v>
      </c>
      <c r="K630" s="2">
        <v>31.011299999999999</v>
      </c>
    </row>
    <row r="631" spans="2:11" x14ac:dyDescent="0.2">
      <c r="B631" s="26" t="str">
        <f>_xlfn.XLOOKUP(Total[[#This Row],[Metodo]],TbSolver[Metodo],TbSolver[Solver])</f>
        <v>Adams Bashford Moulton</v>
      </c>
      <c r="C631" s="26" t="str">
        <f>_xlfn.XLOOKUP(Total[[#This Row],[Hebras]],TbTecnologia[Hebras],TbTecnologia[Tecnología])</f>
        <v>CUDA</v>
      </c>
      <c r="D631" s="15" t="str" cm="1">
        <f t="array" ref="D631">_xlfn.XLOOKUP(Total[[#This Row],[Tecnología]]&amp;Total[[#This Row],[Metodo]],TbTipos[Tecnología]&amp;TbTipos[Metodo],TbTipos[Tipo])</f>
        <v>CUDA con graph</v>
      </c>
      <c r="E631" s="15" t="str" cm="1">
        <f t="array" ref="E631">_xlfn.XLOOKUP(Total[[#This Row],[Tecnología]]&amp;Total[[#This Row],[Problema]],TbNombres[Tecnología]&amp;TbNombres[Problema],TbNombres[Nombre])</f>
        <v>Brusselator2d</v>
      </c>
      <c r="F631" s="2">
        <v>6</v>
      </c>
      <c r="G631" s="2">
        <v>8</v>
      </c>
      <c r="H631" s="2">
        <v>256</v>
      </c>
      <c r="I631" s="2">
        <v>50</v>
      </c>
      <c r="J631" s="2">
        <v>5000</v>
      </c>
      <c r="K631" s="2">
        <v>15.341100000000001</v>
      </c>
    </row>
    <row r="632" spans="2:11" x14ac:dyDescent="0.2">
      <c r="B632" s="26" t="str">
        <f>_xlfn.XLOOKUP(Total[[#This Row],[Metodo]],TbSolver[Metodo],TbSolver[Solver])</f>
        <v>Adams Bashford Moulton</v>
      </c>
      <c r="C632" s="26" t="str">
        <f>_xlfn.XLOOKUP(Total[[#This Row],[Hebras]],TbTecnologia[Hebras],TbTecnologia[Tecnología])</f>
        <v>CUDA</v>
      </c>
      <c r="D632" s="15" t="str" cm="1">
        <f t="array" ref="D632">_xlfn.XLOOKUP(Total[[#This Row],[Tecnología]]&amp;Total[[#This Row],[Metodo]],TbTipos[Tecnología]&amp;TbTipos[Metodo],TbTipos[Tipo])</f>
        <v>CUDA con graph</v>
      </c>
      <c r="E632" s="15" t="str" cm="1">
        <f t="array" ref="E632">_xlfn.XLOOKUP(Total[[#This Row],[Tecnología]]&amp;Total[[#This Row],[Problema]],TbNombres[Tecnología]&amp;TbNombres[Problema],TbNombres[Nombre])</f>
        <v>Brusselator2d shuffle</v>
      </c>
      <c r="F632" s="2">
        <v>6</v>
      </c>
      <c r="G632" s="2">
        <v>9</v>
      </c>
      <c r="H632" s="2">
        <v>256</v>
      </c>
      <c r="I632" s="2">
        <v>50</v>
      </c>
      <c r="J632" s="2">
        <v>5000</v>
      </c>
      <c r="K632" s="2">
        <v>15.3935</v>
      </c>
    </row>
    <row r="633" spans="2:11" x14ac:dyDescent="0.2">
      <c r="B633" s="26" t="str">
        <f>_xlfn.XLOOKUP(Total[[#This Row],[Metodo]],TbSolver[Metodo],TbSolver[Solver])</f>
        <v>Adams Bashford Moulton</v>
      </c>
      <c r="C633" s="26" t="str">
        <f>_xlfn.XLOOKUP(Total[[#This Row],[Hebras]],TbTecnologia[Hebras],TbTecnologia[Tecnología])</f>
        <v>CUDA</v>
      </c>
      <c r="D633" s="15" t="str" cm="1">
        <f t="array" ref="D633">_xlfn.XLOOKUP(Total[[#This Row],[Tecnología]]&amp;Total[[#This Row],[Metodo]],TbTipos[Tecnología]&amp;TbTipos[Metodo],TbTipos[Tipo])</f>
        <v>CUDA sin graph</v>
      </c>
      <c r="E633" s="15" t="str" cm="1">
        <f t="array" ref="E633">_xlfn.XLOOKUP(Total[[#This Row],[Tecnología]]&amp;Total[[#This Row],[Problema]],TbNombres[Tecnología]&amp;TbNombres[Problema],TbNombres[Nombre])</f>
        <v>Brusselator2d shuffle</v>
      </c>
      <c r="F633" s="2">
        <v>5</v>
      </c>
      <c r="G633" s="2">
        <v>9</v>
      </c>
      <c r="H633" s="2">
        <v>256</v>
      </c>
      <c r="I633" s="2">
        <v>50</v>
      </c>
      <c r="J633" s="2">
        <v>5000</v>
      </c>
      <c r="K633" s="2">
        <v>15.685700000000001</v>
      </c>
    </row>
    <row r="634" spans="2:11" x14ac:dyDescent="0.2">
      <c r="B634" s="26" t="str">
        <f>_xlfn.XLOOKUP(Total[[#This Row],[Metodo]],TbSolver[Metodo],TbSolver[Solver])</f>
        <v>Adams Bashford Moulton</v>
      </c>
      <c r="C634" s="26" t="str">
        <f>_xlfn.XLOOKUP(Total[[#This Row],[Hebras]],TbTecnologia[Hebras],TbTecnologia[Tecnología])</f>
        <v>CUDA</v>
      </c>
      <c r="D634" s="15" t="str" cm="1">
        <f t="array" ref="D634">_xlfn.XLOOKUP(Total[[#This Row],[Tecnología]]&amp;Total[[#This Row],[Metodo]],TbTipos[Tecnología]&amp;TbTipos[Metodo],TbTipos[Tipo])</f>
        <v>CUDA sin graph</v>
      </c>
      <c r="E634" s="15" t="str" cm="1">
        <f t="array" ref="E634">_xlfn.XLOOKUP(Total[[#This Row],[Tecnología]]&amp;Total[[#This Row],[Problema]],TbNombres[Tecnología]&amp;TbNombres[Problema],TbNombres[Nombre])</f>
        <v>Brusselator2d</v>
      </c>
      <c r="F634" s="2">
        <v>5</v>
      </c>
      <c r="G634" s="2">
        <v>8</v>
      </c>
      <c r="H634" s="2">
        <v>256</v>
      </c>
      <c r="I634" s="2">
        <v>50</v>
      </c>
      <c r="J634" s="2">
        <v>5000</v>
      </c>
      <c r="K634" s="2">
        <v>15.7544</v>
      </c>
    </row>
    <row r="635" spans="2:11" x14ac:dyDescent="0.2">
      <c r="B635" s="26" t="str">
        <f>_xlfn.XLOOKUP(Total[[#This Row],[Metodo]],TbSolver[Metodo],TbSolver[Solver])</f>
        <v>Adams Bashford Moulton</v>
      </c>
      <c r="C635" s="26" t="str">
        <f>_xlfn.XLOOKUP(Total[[#This Row],[Hebras]],TbTecnologia[Hebras],TbTecnologia[Tecnología])</f>
        <v>OMP</v>
      </c>
      <c r="D635" s="16" t="str" cm="1">
        <f t="array" ref="D635">_xlfn.XLOOKUP(Total[[#This Row],[Tecnología]]&amp;Total[[#This Row],[Metodo]],TbTipos[Tecnología]&amp;TbTipos[Metodo],TbTipos[Tipo])</f>
        <v>OMP Operaciones</v>
      </c>
      <c r="E635" s="16" t="str" cm="1">
        <f t="array" ref="E635">_xlfn.XLOOKUP(Total[[#This Row],[Tecnología]]&amp;Total[[#This Row],[Problema]],TbNombres[Tecnología]&amp;TbNombres[Problema],TbNombres[Nombre])</f>
        <v>Brusselator2d</v>
      </c>
      <c r="F635" s="4">
        <v>5</v>
      </c>
      <c r="G635" s="4">
        <v>4</v>
      </c>
      <c r="H635" s="4">
        <v>4</v>
      </c>
      <c r="I635" s="4">
        <v>50</v>
      </c>
      <c r="J635" s="4">
        <v>5000</v>
      </c>
      <c r="K635" s="4">
        <v>66.832300000000004</v>
      </c>
    </row>
    <row r="636" spans="2:11" x14ac:dyDescent="0.2">
      <c r="B636" s="26" t="str">
        <f>_xlfn.XLOOKUP(Total[[#This Row],[Metodo]],TbSolver[Metodo],TbSolver[Solver])</f>
        <v>Adams Bashford Moulton</v>
      </c>
      <c r="C636" s="26" t="str">
        <f>_xlfn.XLOOKUP(Total[[#This Row],[Hebras]],TbTecnologia[Hebras],TbTecnologia[Tecnología])</f>
        <v>OMP</v>
      </c>
      <c r="D636" s="16" t="str" cm="1">
        <f t="array" ref="D636">_xlfn.XLOOKUP(Total[[#This Row],[Tecnología]]&amp;Total[[#This Row],[Metodo]],TbTipos[Tecnología]&amp;TbTipos[Metodo],TbTipos[Tipo])</f>
        <v>OMP Elementos</v>
      </c>
      <c r="E636" s="16" t="str" cm="1">
        <f t="array" ref="E636">_xlfn.XLOOKUP(Total[[#This Row],[Tecnología]]&amp;Total[[#This Row],[Problema]],TbNombres[Tecnología]&amp;TbNombres[Problema],TbNombres[Nombre])</f>
        <v>Brusselator2d</v>
      </c>
      <c r="F636" s="4">
        <v>6</v>
      </c>
      <c r="G636" s="4">
        <v>4</v>
      </c>
      <c r="H636" s="4">
        <v>4</v>
      </c>
      <c r="I636" s="4">
        <v>50</v>
      </c>
      <c r="J636" s="4">
        <v>5000</v>
      </c>
      <c r="K636" s="4">
        <v>68.414500000000004</v>
      </c>
    </row>
    <row r="637" spans="2:11" x14ac:dyDescent="0.2">
      <c r="B637" s="26" t="str">
        <f>_xlfn.XLOOKUP(Total[[#This Row],[Metodo]],TbSolver[Metodo],TbSolver[Solver])</f>
        <v>Adams Bashford Moulton</v>
      </c>
      <c r="C637" s="26" t="str">
        <f>_xlfn.XLOOKUP(Total[[#This Row],[Hebras]],TbTecnologia[Hebras],TbTecnologia[Tecnología])</f>
        <v>OMP</v>
      </c>
      <c r="D637" s="16" t="str" cm="1">
        <f t="array" ref="D637">_xlfn.XLOOKUP(Total[[#This Row],[Tecnología]]&amp;Total[[#This Row],[Metodo]],TbTipos[Tecnología]&amp;TbTipos[Metodo],TbTipos[Tipo])</f>
        <v>OMP Elementos</v>
      </c>
      <c r="E637" s="16" t="str" cm="1">
        <f t="array" ref="E637">_xlfn.XLOOKUP(Total[[#This Row],[Tecnología]]&amp;Total[[#This Row],[Problema]],TbNombres[Tecnología]&amp;TbNombres[Problema],TbNombres[Nombre])</f>
        <v>Brusselator2d</v>
      </c>
      <c r="F637" s="4">
        <v>6</v>
      </c>
      <c r="G637" s="4">
        <v>4</v>
      </c>
      <c r="H637" s="4">
        <v>16</v>
      </c>
      <c r="I637" s="4">
        <v>50</v>
      </c>
      <c r="J637" s="4">
        <v>5000</v>
      </c>
      <c r="K637" s="4">
        <v>91.386899999999997</v>
      </c>
    </row>
    <row r="638" spans="2:11" x14ac:dyDescent="0.2">
      <c r="B638" s="26" t="str">
        <f>_xlfn.XLOOKUP(Total[[#This Row],[Metodo]],TbSolver[Metodo],TbSolver[Solver])</f>
        <v>Adams Bashford Moulton</v>
      </c>
      <c r="C638" s="26" t="str">
        <f>_xlfn.XLOOKUP(Total[[#This Row],[Hebras]],TbTecnologia[Hebras],TbTecnologia[Tecnología])</f>
        <v>OMP</v>
      </c>
      <c r="D638" s="16" t="str" cm="1">
        <f t="array" ref="D638">_xlfn.XLOOKUP(Total[[#This Row],[Tecnología]]&amp;Total[[#This Row],[Metodo]],TbTipos[Tecnología]&amp;TbTipos[Metodo],TbTipos[Tipo])</f>
        <v>OMP Operaciones</v>
      </c>
      <c r="E638" s="16" t="str" cm="1">
        <f t="array" ref="E638">_xlfn.XLOOKUP(Total[[#This Row],[Tecnología]]&amp;Total[[#This Row],[Problema]],TbNombres[Tecnología]&amp;TbNombres[Problema],TbNombres[Nombre])</f>
        <v>Brusselator2d</v>
      </c>
      <c r="F638" s="4">
        <v>5</v>
      </c>
      <c r="G638" s="4">
        <v>4</v>
      </c>
      <c r="H638" s="4">
        <v>1</v>
      </c>
      <c r="I638" s="4">
        <v>50</v>
      </c>
      <c r="J638" s="4">
        <v>5000</v>
      </c>
      <c r="K638" s="4">
        <v>92.678600000000003</v>
      </c>
    </row>
    <row r="639" spans="2:11" x14ac:dyDescent="0.2">
      <c r="B639" s="26" t="str">
        <f>_xlfn.XLOOKUP(Total[[#This Row],[Metodo]],TbSolver[Metodo],TbSolver[Solver])</f>
        <v>Adams Bashford Moulton</v>
      </c>
      <c r="C639" s="26" t="str">
        <f>_xlfn.XLOOKUP(Total[[#This Row],[Hebras]],TbTecnologia[Hebras],TbTecnologia[Tecnología])</f>
        <v>OMP</v>
      </c>
      <c r="D639" s="16" t="str" cm="1">
        <f t="array" ref="D639">_xlfn.XLOOKUP(Total[[#This Row],[Tecnología]]&amp;Total[[#This Row],[Metodo]],TbTipos[Tecnología]&amp;TbTipos[Metodo],TbTipos[Tipo])</f>
        <v>OMP Operaciones</v>
      </c>
      <c r="E639" s="16" t="str" cm="1">
        <f t="array" ref="E639">_xlfn.XLOOKUP(Total[[#This Row],[Tecnología]]&amp;Total[[#This Row],[Problema]],TbNombres[Tecnología]&amp;TbNombres[Problema],TbNombres[Nombre])</f>
        <v>Brusselator2d</v>
      </c>
      <c r="F639" s="4">
        <v>5</v>
      </c>
      <c r="G639" s="4">
        <v>4</v>
      </c>
      <c r="H639" s="4">
        <v>16</v>
      </c>
      <c r="I639" s="4">
        <v>50</v>
      </c>
      <c r="J639" s="4">
        <v>5000</v>
      </c>
      <c r="K639" s="4">
        <v>100.818</v>
      </c>
    </row>
    <row r="640" spans="2:11" x14ac:dyDescent="0.2">
      <c r="B640" s="26" t="str">
        <f>_xlfn.XLOOKUP(Total[[#This Row],[Metodo]],TbSolver[Metodo],TbSolver[Solver])</f>
        <v>Adams Bashford Moulton</v>
      </c>
      <c r="C640" s="26" t="str">
        <f>_xlfn.XLOOKUP(Total[[#This Row],[Hebras]],TbTecnologia[Hebras],TbTecnologia[Tecnología])</f>
        <v>OMP</v>
      </c>
      <c r="D640" s="16" t="str" cm="1">
        <f t="array" ref="D640">_xlfn.XLOOKUP(Total[[#This Row],[Tecnología]]&amp;Total[[#This Row],[Metodo]],TbTipos[Tecnología]&amp;TbTipos[Metodo],TbTipos[Tipo])</f>
        <v>OMP Elementos</v>
      </c>
      <c r="E640" s="16" t="str" cm="1">
        <f t="array" ref="E640">_xlfn.XLOOKUP(Total[[#This Row],[Tecnología]]&amp;Total[[#This Row],[Problema]],TbNombres[Tecnología]&amp;TbNombres[Problema],TbNombres[Nombre])</f>
        <v>Brusselator2d</v>
      </c>
      <c r="F640" s="4">
        <v>6</v>
      </c>
      <c r="G640" s="4">
        <v>4</v>
      </c>
      <c r="H640" s="4">
        <v>1</v>
      </c>
      <c r="I640" s="4">
        <v>50</v>
      </c>
      <c r="J640" s="4">
        <v>5000</v>
      </c>
      <c r="K640" s="4">
        <v>231.11699999999999</v>
      </c>
    </row>
    <row r="641" spans="2:11" x14ac:dyDescent="0.2">
      <c r="B641" s="26" t="str">
        <f>_xlfn.XLOOKUP(Total[[#This Row],[Metodo]],TbSolver[Metodo],TbSolver[Solver])</f>
        <v>Adams Bashford Moulton</v>
      </c>
      <c r="C641" s="26" t="str">
        <f>_xlfn.XLOOKUP(Total[[#This Row],[Hebras]],TbTecnologia[Hebras],TbTecnologia[Tecnología])</f>
        <v>CUDA</v>
      </c>
      <c r="D641" s="15" t="str" cm="1">
        <f t="array" ref="D641">_xlfn.XLOOKUP(Total[[#This Row],[Tecnología]]&amp;Total[[#This Row],[Metodo]],TbTipos[Tecnología]&amp;TbTipos[Metodo],TbTipos[Tipo])</f>
        <v>CUDA con graph</v>
      </c>
      <c r="E641" s="15" t="str" cm="1">
        <f t="array" ref="E641">_xlfn.XLOOKUP(Total[[#This Row],[Tecnología]]&amp;Total[[#This Row],[Problema]],TbNombres[Tecnología]&amp;TbNombres[Problema],TbNombres[Nombre])</f>
        <v>Brusselator2d shuffle</v>
      </c>
      <c r="F641" s="2">
        <v>6</v>
      </c>
      <c r="G641" s="2">
        <v>9</v>
      </c>
      <c r="H641" s="2">
        <v>256</v>
      </c>
      <c r="I641" s="2">
        <v>100</v>
      </c>
      <c r="J641" s="2">
        <v>20000</v>
      </c>
      <c r="K641" s="2">
        <v>22.558299999999999</v>
      </c>
    </row>
    <row r="642" spans="2:11" x14ac:dyDescent="0.2">
      <c r="B642" s="26" t="str">
        <f>_xlfn.XLOOKUP(Total[[#This Row],[Metodo]],TbSolver[Metodo],TbSolver[Solver])</f>
        <v>Adams Bashford Moulton</v>
      </c>
      <c r="C642" s="26" t="str">
        <f>_xlfn.XLOOKUP(Total[[#This Row],[Hebras]],TbTecnologia[Hebras],TbTecnologia[Tecnología])</f>
        <v>CUDA</v>
      </c>
      <c r="D642" s="15" t="str" cm="1">
        <f t="array" ref="D642">_xlfn.XLOOKUP(Total[[#This Row],[Tecnología]]&amp;Total[[#This Row],[Metodo]],TbTipos[Tecnología]&amp;TbTipos[Metodo],TbTipos[Tipo])</f>
        <v>CUDA con graph</v>
      </c>
      <c r="E642" s="15" t="str" cm="1">
        <f t="array" ref="E642">_xlfn.XLOOKUP(Total[[#This Row],[Tecnología]]&amp;Total[[#This Row],[Problema]],TbNombres[Tecnología]&amp;TbNombres[Problema],TbNombres[Nombre])</f>
        <v>Brusselator2d</v>
      </c>
      <c r="F642" s="2">
        <v>6</v>
      </c>
      <c r="G642" s="2">
        <v>8</v>
      </c>
      <c r="H642" s="2">
        <v>256</v>
      </c>
      <c r="I642" s="2">
        <v>100</v>
      </c>
      <c r="J642" s="2">
        <v>20000</v>
      </c>
      <c r="K642" s="2">
        <v>22.657800000000002</v>
      </c>
    </row>
    <row r="643" spans="2:11" x14ac:dyDescent="0.2">
      <c r="B643" s="26" t="str">
        <f>_xlfn.XLOOKUP(Total[[#This Row],[Metodo]],TbSolver[Metodo],TbSolver[Solver])</f>
        <v>Adams Bashford Moulton</v>
      </c>
      <c r="C643" s="26" t="str">
        <f>_xlfn.XLOOKUP(Total[[#This Row],[Hebras]],TbTecnologia[Hebras],TbTecnologia[Tecnología])</f>
        <v>CUDA</v>
      </c>
      <c r="D643" s="15" t="str" cm="1">
        <f t="array" ref="D643">_xlfn.XLOOKUP(Total[[#This Row],[Tecnología]]&amp;Total[[#This Row],[Metodo]],TbTipos[Tecnología]&amp;TbTipos[Metodo],TbTipos[Tipo])</f>
        <v>CUDA sin graph</v>
      </c>
      <c r="E643" s="15" t="str" cm="1">
        <f t="array" ref="E643">_xlfn.XLOOKUP(Total[[#This Row],[Tecnología]]&amp;Total[[#This Row],[Problema]],TbNombres[Tecnología]&amp;TbNombres[Problema],TbNombres[Nombre])</f>
        <v>Brusselator2d</v>
      </c>
      <c r="F643" s="2">
        <v>5</v>
      </c>
      <c r="G643" s="2">
        <v>8</v>
      </c>
      <c r="H643" s="2">
        <v>256</v>
      </c>
      <c r="I643" s="2">
        <v>100</v>
      </c>
      <c r="J643" s="2">
        <v>20000</v>
      </c>
      <c r="K643" s="2">
        <v>22.6586</v>
      </c>
    </row>
    <row r="644" spans="2:11" x14ac:dyDescent="0.2">
      <c r="B644" s="26" t="str">
        <f>_xlfn.XLOOKUP(Total[[#This Row],[Metodo]],TbSolver[Metodo],TbSolver[Solver])</f>
        <v>Adams Bashford Moulton</v>
      </c>
      <c r="C644" s="26" t="str">
        <f>_xlfn.XLOOKUP(Total[[#This Row],[Hebras]],TbTecnologia[Hebras],TbTecnologia[Tecnología])</f>
        <v>CUDA</v>
      </c>
      <c r="D644" s="15" t="str" cm="1">
        <f t="array" ref="D644">_xlfn.XLOOKUP(Total[[#This Row],[Tecnología]]&amp;Total[[#This Row],[Metodo]],TbTipos[Tecnología]&amp;TbTipos[Metodo],TbTipos[Tipo])</f>
        <v>CUDA sin graph</v>
      </c>
      <c r="E644" s="15" t="str" cm="1">
        <f t="array" ref="E644">_xlfn.XLOOKUP(Total[[#This Row],[Tecnología]]&amp;Total[[#This Row],[Problema]],TbNombres[Tecnología]&amp;TbNombres[Problema],TbNombres[Nombre])</f>
        <v>Brusselator2d shuffle</v>
      </c>
      <c r="F644" s="2">
        <v>5</v>
      </c>
      <c r="G644" s="2">
        <v>9</v>
      </c>
      <c r="H644" s="2">
        <v>256</v>
      </c>
      <c r="I644" s="2">
        <v>100</v>
      </c>
      <c r="J644" s="2">
        <v>20000</v>
      </c>
      <c r="K644" s="2">
        <v>22.6951</v>
      </c>
    </row>
    <row r="645" spans="2:11" x14ac:dyDescent="0.2">
      <c r="B645" s="26" t="str">
        <f>_xlfn.XLOOKUP(Total[[#This Row],[Metodo]],TbSolver[Metodo],TbSolver[Solver])</f>
        <v>Adams Bashford Moulton</v>
      </c>
      <c r="C645" s="26" t="str">
        <f>_xlfn.XLOOKUP(Total[[#This Row],[Hebras]],TbTecnologia[Hebras],TbTecnologia[Tecnología])</f>
        <v>OMP</v>
      </c>
      <c r="D645" s="16" t="str" cm="1">
        <f t="array" ref="D645">_xlfn.XLOOKUP(Total[[#This Row],[Tecnología]]&amp;Total[[#This Row],[Metodo]],TbTipos[Tecnología]&amp;TbTipos[Metodo],TbTipos[Tipo])</f>
        <v>OMP Elementos</v>
      </c>
      <c r="E645" s="16" t="str" cm="1">
        <f t="array" ref="E645">_xlfn.XLOOKUP(Total[[#This Row],[Tecnología]]&amp;Total[[#This Row],[Problema]],TbNombres[Tecnología]&amp;TbNombres[Problema],TbNombres[Nombre])</f>
        <v>Brusselator2d</v>
      </c>
      <c r="F645" s="4">
        <v>6</v>
      </c>
      <c r="G645" s="4">
        <v>4</v>
      </c>
      <c r="H645" s="4">
        <v>16</v>
      </c>
      <c r="I645" s="4">
        <v>100</v>
      </c>
      <c r="J645" s="4">
        <v>20000</v>
      </c>
      <c r="K645" s="4">
        <v>136.40299999999999</v>
      </c>
    </row>
    <row r="646" spans="2:11" x14ac:dyDescent="0.2">
      <c r="B646" s="26" t="str">
        <f>_xlfn.XLOOKUP(Total[[#This Row],[Metodo]],TbSolver[Metodo],TbSolver[Solver])</f>
        <v>Adams Bashford Moulton</v>
      </c>
      <c r="C646" s="26" t="str">
        <f>_xlfn.XLOOKUP(Total[[#This Row],[Hebras]],TbTecnologia[Hebras],TbTecnologia[Tecnología])</f>
        <v>OMP</v>
      </c>
      <c r="D646" s="16" t="str" cm="1">
        <f t="array" ref="D646">_xlfn.XLOOKUP(Total[[#This Row],[Tecnología]]&amp;Total[[#This Row],[Metodo]],TbTipos[Tecnología]&amp;TbTipos[Metodo],TbTipos[Tipo])</f>
        <v>OMP Operaciones</v>
      </c>
      <c r="E646" s="16" t="str" cm="1">
        <f t="array" ref="E646">_xlfn.XLOOKUP(Total[[#This Row],[Tecnología]]&amp;Total[[#This Row],[Problema]],TbNombres[Tecnología]&amp;TbNombres[Problema],TbNombres[Nombre])</f>
        <v>Brusselator2d</v>
      </c>
      <c r="F646" s="4">
        <v>5</v>
      </c>
      <c r="G646" s="4">
        <v>4</v>
      </c>
      <c r="H646" s="4">
        <v>4</v>
      </c>
      <c r="I646" s="4">
        <v>100</v>
      </c>
      <c r="J646" s="4">
        <v>20000</v>
      </c>
      <c r="K646" s="4">
        <v>138.566</v>
      </c>
    </row>
    <row r="647" spans="2:11" x14ac:dyDescent="0.2">
      <c r="B647" s="26" t="str">
        <f>_xlfn.XLOOKUP(Total[[#This Row],[Metodo]],TbSolver[Metodo],TbSolver[Solver])</f>
        <v>Adams Bashford Moulton</v>
      </c>
      <c r="C647" s="26" t="str">
        <f>_xlfn.XLOOKUP(Total[[#This Row],[Hebras]],TbTecnologia[Hebras],TbTecnologia[Tecnología])</f>
        <v>OMP</v>
      </c>
      <c r="D647" s="16" t="str" cm="1">
        <f t="array" ref="D647">_xlfn.XLOOKUP(Total[[#This Row],[Tecnología]]&amp;Total[[#This Row],[Metodo]],TbTipos[Tecnología]&amp;TbTipos[Metodo],TbTipos[Tipo])</f>
        <v>OMP Operaciones</v>
      </c>
      <c r="E647" s="16" t="str" cm="1">
        <f t="array" ref="E647">_xlfn.XLOOKUP(Total[[#This Row],[Tecnología]]&amp;Total[[#This Row],[Problema]],TbNombres[Tecnología]&amp;TbNombres[Problema],TbNombres[Nombre])</f>
        <v>Brusselator2d</v>
      </c>
      <c r="F647" s="4">
        <v>5</v>
      </c>
      <c r="G647" s="4">
        <v>4</v>
      </c>
      <c r="H647" s="4">
        <v>16</v>
      </c>
      <c r="I647" s="4">
        <v>100</v>
      </c>
      <c r="J647" s="4">
        <v>20000</v>
      </c>
      <c r="K647" s="4">
        <v>141.82</v>
      </c>
    </row>
    <row r="648" spans="2:11" x14ac:dyDescent="0.2">
      <c r="B648" s="26" t="str">
        <f>_xlfn.XLOOKUP(Total[[#This Row],[Metodo]],TbSolver[Metodo],TbSolver[Solver])</f>
        <v>Adams Bashford Moulton</v>
      </c>
      <c r="C648" s="26" t="str">
        <f>_xlfn.XLOOKUP(Total[[#This Row],[Hebras]],TbTecnologia[Hebras],TbTecnologia[Tecnología])</f>
        <v>OMP</v>
      </c>
      <c r="D648" s="16" t="str" cm="1">
        <f t="array" ref="D648">_xlfn.XLOOKUP(Total[[#This Row],[Tecnología]]&amp;Total[[#This Row],[Metodo]],TbTipos[Tecnología]&amp;TbTipos[Metodo],TbTipos[Tipo])</f>
        <v>OMP Elementos</v>
      </c>
      <c r="E648" s="16" t="str" cm="1">
        <f t="array" ref="E648">_xlfn.XLOOKUP(Total[[#This Row],[Tecnología]]&amp;Total[[#This Row],[Problema]],TbNombres[Tecnología]&amp;TbNombres[Problema],TbNombres[Nombre])</f>
        <v>Brusselator2d</v>
      </c>
      <c r="F648" s="4">
        <v>6</v>
      </c>
      <c r="G648" s="4">
        <v>4</v>
      </c>
      <c r="H648" s="4">
        <v>4</v>
      </c>
      <c r="I648" s="4">
        <v>100</v>
      </c>
      <c r="J648" s="4">
        <v>20000</v>
      </c>
      <c r="K648" s="4">
        <v>257.80200000000002</v>
      </c>
    </row>
    <row r="649" spans="2:11" x14ac:dyDescent="0.2">
      <c r="B649" s="26" t="str">
        <f>_xlfn.XLOOKUP(Total[[#This Row],[Metodo]],TbSolver[Metodo],TbSolver[Solver])</f>
        <v>Adams Bashford Moulton</v>
      </c>
      <c r="C649" s="26" t="str">
        <f>_xlfn.XLOOKUP(Total[[#This Row],[Hebras]],TbTecnologia[Hebras],TbTecnologia[Tecnología])</f>
        <v>OMP</v>
      </c>
      <c r="D649" s="16" t="str" cm="1">
        <f t="array" ref="D649">_xlfn.XLOOKUP(Total[[#This Row],[Tecnología]]&amp;Total[[#This Row],[Metodo]],TbTipos[Tecnología]&amp;TbTipos[Metodo],TbTipos[Tipo])</f>
        <v>OMP Operaciones</v>
      </c>
      <c r="E649" s="16" t="str" cm="1">
        <f t="array" ref="E649">_xlfn.XLOOKUP(Total[[#This Row],[Tecnología]]&amp;Total[[#This Row],[Problema]],TbNombres[Tecnología]&amp;TbNombres[Problema],TbNombres[Nombre])</f>
        <v>Brusselator2d</v>
      </c>
      <c r="F649" s="4">
        <v>5</v>
      </c>
      <c r="G649" s="4">
        <v>4</v>
      </c>
      <c r="H649" s="4">
        <v>1</v>
      </c>
      <c r="I649" s="4">
        <v>100</v>
      </c>
      <c r="J649" s="4">
        <v>20000</v>
      </c>
      <c r="K649" s="4">
        <v>395.86900000000003</v>
      </c>
    </row>
    <row r="650" spans="2:11" x14ac:dyDescent="0.2">
      <c r="B650" s="26" t="str">
        <f>_xlfn.XLOOKUP(Total[[#This Row],[Metodo]],TbSolver[Metodo],TbSolver[Solver])</f>
        <v>Adams Bashford Moulton</v>
      </c>
      <c r="C650" s="26" t="str">
        <f>_xlfn.XLOOKUP(Total[[#This Row],[Hebras]],TbTecnologia[Hebras],TbTecnologia[Tecnología])</f>
        <v>OMP</v>
      </c>
      <c r="D650" s="16" t="str" cm="1">
        <f t="array" ref="D650">_xlfn.XLOOKUP(Total[[#This Row],[Tecnología]]&amp;Total[[#This Row],[Metodo]],TbTipos[Tecnología]&amp;TbTipos[Metodo],TbTipos[Tipo])</f>
        <v>OMP Elementos</v>
      </c>
      <c r="E650" s="16" t="str" cm="1">
        <f t="array" ref="E650">_xlfn.XLOOKUP(Total[[#This Row],[Tecnología]]&amp;Total[[#This Row],[Problema]],TbNombres[Tecnología]&amp;TbNombres[Problema],TbNombres[Nombre])</f>
        <v>Brusselator2d</v>
      </c>
      <c r="F650" s="4">
        <v>6</v>
      </c>
      <c r="G650" s="4">
        <v>4</v>
      </c>
      <c r="H650" s="4">
        <v>1</v>
      </c>
      <c r="I650" s="4">
        <v>100</v>
      </c>
      <c r="J650" s="4">
        <v>20000</v>
      </c>
      <c r="K650" s="4">
        <v>941.42700000000002</v>
      </c>
    </row>
    <row r="651" spans="2:11" x14ac:dyDescent="0.2">
      <c r="B651" s="26" t="str">
        <f>_xlfn.XLOOKUP(Total[[#This Row],[Metodo]],TbSolver[Metodo],TbSolver[Solver])</f>
        <v>Adams Bashford Moulton</v>
      </c>
      <c r="C651" s="26" t="str">
        <f>_xlfn.XLOOKUP(Total[[#This Row],[Hebras]],TbTecnologia[Hebras],TbTecnologia[Tecnología])</f>
        <v>OMP</v>
      </c>
      <c r="D651" s="16" t="str" cm="1">
        <f t="array" ref="D651">_xlfn.XLOOKUP(Total[[#This Row],[Tecnología]]&amp;Total[[#This Row],[Metodo]],TbTipos[Tecnología]&amp;TbTipos[Metodo],TbTipos[Tipo])</f>
        <v>OMP Operaciones</v>
      </c>
      <c r="E651" s="16" t="str" cm="1">
        <f t="array" ref="E651">_xlfn.XLOOKUP(Total[[#This Row],[Tecnología]]&amp;Total[[#This Row],[Problema]],TbNombres[Tecnología]&amp;TbNombres[Problema],TbNombres[Nombre])</f>
        <v>Brusselator2d</v>
      </c>
      <c r="F651" s="4">
        <v>5</v>
      </c>
      <c r="G651" s="4">
        <v>4</v>
      </c>
      <c r="H651" s="4">
        <v>16</v>
      </c>
      <c r="I651" s="4">
        <v>150</v>
      </c>
      <c r="J651" s="4">
        <v>45000</v>
      </c>
      <c r="K651" s="4">
        <v>180.66200000000001</v>
      </c>
    </row>
    <row r="652" spans="2:11" x14ac:dyDescent="0.2">
      <c r="B652" s="26" t="str">
        <f>_xlfn.XLOOKUP(Total[[#This Row],[Metodo]],TbSolver[Metodo],TbSolver[Solver])</f>
        <v>Adams Bashford Moulton</v>
      </c>
      <c r="C652" s="26" t="str">
        <f>_xlfn.XLOOKUP(Total[[#This Row],[Hebras]],TbTecnologia[Hebras],TbTecnologia[Tecnología])</f>
        <v>OMP</v>
      </c>
      <c r="D652" s="16" t="str" cm="1">
        <f t="array" ref="D652">_xlfn.XLOOKUP(Total[[#This Row],[Tecnología]]&amp;Total[[#This Row],[Metodo]],TbTipos[Tecnología]&amp;TbTipos[Metodo],TbTipos[Tipo])</f>
        <v>OMP Elementos</v>
      </c>
      <c r="E652" s="16" t="str" cm="1">
        <f t="array" ref="E652">_xlfn.XLOOKUP(Total[[#This Row],[Tecnología]]&amp;Total[[#This Row],[Problema]],TbNombres[Tecnología]&amp;TbNombres[Problema],TbNombres[Nombre])</f>
        <v>Brusselator2d</v>
      </c>
      <c r="F652" s="4">
        <v>6</v>
      </c>
      <c r="G652" s="4">
        <v>4</v>
      </c>
      <c r="H652" s="4">
        <v>16</v>
      </c>
      <c r="I652" s="4">
        <v>150</v>
      </c>
      <c r="J652" s="4">
        <v>45000</v>
      </c>
      <c r="K652" s="4">
        <v>206.744</v>
      </c>
    </row>
    <row r="653" spans="2:11" x14ac:dyDescent="0.2">
      <c r="B653" s="26" t="str">
        <f>_xlfn.XLOOKUP(Total[[#This Row],[Metodo]],TbSolver[Metodo],TbSolver[Solver])</f>
        <v>Adams Bashford Moulton</v>
      </c>
      <c r="C653" s="26" t="str">
        <f>_xlfn.XLOOKUP(Total[[#This Row],[Hebras]],TbTecnologia[Hebras],TbTecnologia[Tecnología])</f>
        <v>OMP</v>
      </c>
      <c r="D653" s="16" t="str" cm="1">
        <f t="array" ref="D653">_xlfn.XLOOKUP(Total[[#This Row],[Tecnología]]&amp;Total[[#This Row],[Metodo]],TbTipos[Tecnología]&amp;TbTipos[Metodo],TbTipos[Tipo])</f>
        <v>OMP Operaciones</v>
      </c>
      <c r="E653" s="16" t="str" cm="1">
        <f t="array" ref="E653">_xlfn.XLOOKUP(Total[[#This Row],[Tecnología]]&amp;Total[[#This Row],[Problema]],TbNombres[Tecnología]&amp;TbNombres[Problema],TbNombres[Nombre])</f>
        <v>Brusselator2d</v>
      </c>
      <c r="F653" s="4">
        <v>5</v>
      </c>
      <c r="G653" s="4">
        <v>4</v>
      </c>
      <c r="H653" s="4">
        <v>4</v>
      </c>
      <c r="I653" s="4">
        <v>150</v>
      </c>
      <c r="J653" s="4">
        <v>45000</v>
      </c>
      <c r="K653" s="4">
        <v>263.08100000000002</v>
      </c>
    </row>
    <row r="654" spans="2:11" x14ac:dyDescent="0.2">
      <c r="B654" s="26" t="str">
        <f>_xlfn.XLOOKUP(Total[[#This Row],[Metodo]],TbSolver[Metodo],TbSolver[Solver])</f>
        <v>Adams Bashford Moulton</v>
      </c>
      <c r="C654" s="26" t="str">
        <f>_xlfn.XLOOKUP(Total[[#This Row],[Hebras]],TbTecnologia[Hebras],TbTecnologia[Tecnología])</f>
        <v>OMP</v>
      </c>
      <c r="D654" s="16" t="str" cm="1">
        <f t="array" ref="D654">_xlfn.XLOOKUP(Total[[#This Row],[Tecnología]]&amp;Total[[#This Row],[Metodo]],TbTipos[Tecnología]&amp;TbTipos[Metodo],TbTipos[Tipo])</f>
        <v>OMP Elementos</v>
      </c>
      <c r="E654" s="16" t="str" cm="1">
        <f t="array" ref="E654">_xlfn.XLOOKUP(Total[[#This Row],[Tecnología]]&amp;Total[[#This Row],[Problema]],TbNombres[Tecnología]&amp;TbNombres[Problema],TbNombres[Nombre])</f>
        <v>Brusselator2d</v>
      </c>
      <c r="F654" s="4">
        <v>6</v>
      </c>
      <c r="G654" s="4">
        <v>4</v>
      </c>
      <c r="H654" s="4">
        <v>4</v>
      </c>
      <c r="I654" s="4">
        <v>150</v>
      </c>
      <c r="J654" s="4">
        <v>45000</v>
      </c>
      <c r="K654" s="4">
        <v>569.69299999999998</v>
      </c>
    </row>
    <row r="655" spans="2:11" x14ac:dyDescent="0.2">
      <c r="B655" s="26" t="str">
        <f>_xlfn.XLOOKUP(Total[[#This Row],[Metodo]],TbSolver[Metodo],TbSolver[Solver])</f>
        <v>Adams Bashford Moulton</v>
      </c>
      <c r="C655" s="26" t="str">
        <f>_xlfn.XLOOKUP(Total[[#This Row],[Hebras]],TbTecnologia[Hebras],TbTecnologia[Tecnología])</f>
        <v>OMP</v>
      </c>
      <c r="D655" s="16" t="str" cm="1">
        <f t="array" ref="D655">_xlfn.XLOOKUP(Total[[#This Row],[Tecnología]]&amp;Total[[#This Row],[Metodo]],TbTipos[Tecnología]&amp;TbTipos[Metodo],TbTipos[Tipo])</f>
        <v>OMP Operaciones</v>
      </c>
      <c r="E655" s="16" t="str" cm="1">
        <f t="array" ref="E655">_xlfn.XLOOKUP(Total[[#This Row],[Tecnología]]&amp;Total[[#This Row],[Problema]],TbNombres[Tecnología]&amp;TbNombres[Problema],TbNombres[Nombre])</f>
        <v>Brusselator2d</v>
      </c>
      <c r="F655" s="4">
        <v>5</v>
      </c>
      <c r="G655" s="4">
        <v>4</v>
      </c>
      <c r="H655" s="4">
        <v>1</v>
      </c>
      <c r="I655" s="4">
        <v>150</v>
      </c>
      <c r="J655" s="4">
        <v>45000</v>
      </c>
      <c r="K655" s="4">
        <v>976.06100000000004</v>
      </c>
    </row>
    <row r="656" spans="2:11" x14ac:dyDescent="0.2">
      <c r="B656" s="26" t="str">
        <f>_xlfn.XLOOKUP(Total[[#This Row],[Metodo]],TbSolver[Metodo],TbSolver[Solver])</f>
        <v>Adams Bashford Moulton</v>
      </c>
      <c r="C656" s="26" t="str">
        <f>_xlfn.XLOOKUP(Total[[#This Row],[Hebras]],TbTecnologia[Hebras],TbTecnologia[Tecnología])</f>
        <v>OMP</v>
      </c>
      <c r="D656" s="16" t="str" cm="1">
        <f t="array" ref="D656">_xlfn.XLOOKUP(Total[[#This Row],[Tecnología]]&amp;Total[[#This Row],[Metodo]],TbTipos[Tecnología]&amp;TbTipos[Metodo],TbTipos[Tipo])</f>
        <v>OMP Elementos</v>
      </c>
      <c r="E656" s="16" t="str" cm="1">
        <f t="array" ref="E656">_xlfn.XLOOKUP(Total[[#This Row],[Tecnología]]&amp;Total[[#This Row],[Problema]],TbNombres[Tecnología]&amp;TbNombres[Problema],TbNombres[Nombre])</f>
        <v>Brusselator2d</v>
      </c>
      <c r="F656" s="4">
        <v>6</v>
      </c>
      <c r="G656" s="4">
        <v>4</v>
      </c>
      <c r="H656" s="4">
        <v>1</v>
      </c>
      <c r="I656" s="4">
        <v>150</v>
      </c>
      <c r="J656" s="4">
        <v>45000</v>
      </c>
      <c r="K656" s="4">
        <v>2151.79</v>
      </c>
    </row>
    <row r="657" spans="2:11" x14ac:dyDescent="0.2">
      <c r="B657" s="26" t="str">
        <f>_xlfn.XLOOKUP(Total[[#This Row],[Metodo]],TbSolver[Metodo],TbSolver[Solver])</f>
        <v>Adams Bashford Moulton</v>
      </c>
      <c r="C657" s="26" t="str">
        <f>_xlfn.XLOOKUP(Total[[#This Row],[Hebras]],TbTecnologia[Hebras],TbTecnologia[Tecnología])</f>
        <v>CUDA</v>
      </c>
      <c r="D657" s="15" t="str" cm="1">
        <f t="array" ref="D657">_xlfn.XLOOKUP(Total[[#This Row],[Tecnología]]&amp;Total[[#This Row],[Metodo]],TbTipos[Tecnología]&amp;TbTipos[Metodo],TbTipos[Tipo])</f>
        <v>CUDA sin graph</v>
      </c>
      <c r="E657" s="15" t="str" cm="1">
        <f t="array" ref="E657">_xlfn.XLOOKUP(Total[[#This Row],[Tecnología]]&amp;Total[[#This Row],[Problema]],TbNombres[Tecnología]&amp;TbNombres[Problema],TbNombres[Nombre])</f>
        <v>Brusselator2d shuffle</v>
      </c>
      <c r="F657" s="2">
        <v>5</v>
      </c>
      <c r="G657" s="2">
        <v>9</v>
      </c>
      <c r="H657" s="2">
        <v>256</v>
      </c>
      <c r="I657" s="2">
        <v>200</v>
      </c>
      <c r="J657" s="2">
        <v>80000</v>
      </c>
      <c r="K657" s="2">
        <v>42.954099999999997</v>
      </c>
    </row>
    <row r="658" spans="2:11" x14ac:dyDescent="0.2">
      <c r="B658" s="26" t="str">
        <f>_xlfn.XLOOKUP(Total[[#This Row],[Metodo]],TbSolver[Metodo],TbSolver[Solver])</f>
        <v>Adams Bashford Moulton</v>
      </c>
      <c r="C658" s="26" t="str">
        <f>_xlfn.XLOOKUP(Total[[#This Row],[Hebras]],TbTecnologia[Hebras],TbTecnologia[Tecnología])</f>
        <v>CUDA</v>
      </c>
      <c r="D658" s="15" t="str" cm="1">
        <f t="array" ref="D658">_xlfn.XLOOKUP(Total[[#This Row],[Tecnología]]&amp;Total[[#This Row],[Metodo]],TbTipos[Tecnología]&amp;TbTipos[Metodo],TbTipos[Tipo])</f>
        <v>CUDA sin graph</v>
      </c>
      <c r="E658" s="15" t="str" cm="1">
        <f t="array" ref="E658">_xlfn.XLOOKUP(Total[[#This Row],[Tecnología]]&amp;Total[[#This Row],[Problema]],TbNombres[Tecnología]&amp;TbNombres[Problema],TbNombres[Nombre])</f>
        <v>Brusselator2d</v>
      </c>
      <c r="F658" s="2">
        <v>5</v>
      </c>
      <c r="G658" s="2">
        <v>8</v>
      </c>
      <c r="H658" s="2">
        <v>256</v>
      </c>
      <c r="I658" s="2">
        <v>200</v>
      </c>
      <c r="J658" s="2">
        <v>80000</v>
      </c>
      <c r="K658" s="2">
        <v>43.573999999999998</v>
      </c>
    </row>
    <row r="659" spans="2:11" x14ac:dyDescent="0.2">
      <c r="B659" s="26" t="str">
        <f>_xlfn.XLOOKUP(Total[[#This Row],[Metodo]],TbSolver[Metodo],TbSolver[Solver])</f>
        <v>Adams Bashford Moulton</v>
      </c>
      <c r="C659" s="26" t="str">
        <f>_xlfn.XLOOKUP(Total[[#This Row],[Hebras]],TbTecnologia[Hebras],TbTecnologia[Tecnología])</f>
        <v>CUDA</v>
      </c>
      <c r="D659" s="15" t="str" cm="1">
        <f t="array" ref="D659">_xlfn.XLOOKUP(Total[[#This Row],[Tecnología]]&amp;Total[[#This Row],[Metodo]],TbTipos[Tecnología]&amp;TbTipos[Metodo],TbTipos[Tipo])</f>
        <v>CUDA con graph</v>
      </c>
      <c r="E659" s="15" t="str" cm="1">
        <f t="array" ref="E659">_xlfn.XLOOKUP(Total[[#This Row],[Tecnología]]&amp;Total[[#This Row],[Problema]],TbNombres[Tecnología]&amp;TbNombres[Problema],TbNombres[Nombre])</f>
        <v>Brusselator2d</v>
      </c>
      <c r="F659" s="2">
        <v>6</v>
      </c>
      <c r="G659" s="2">
        <v>8</v>
      </c>
      <c r="H659" s="2">
        <v>256</v>
      </c>
      <c r="I659" s="2">
        <v>200</v>
      </c>
      <c r="J659" s="2">
        <v>80000</v>
      </c>
      <c r="K659" s="2">
        <v>47.031500000000001</v>
      </c>
    </row>
    <row r="660" spans="2:11" x14ac:dyDescent="0.2">
      <c r="B660" s="26" t="str">
        <f>_xlfn.XLOOKUP(Total[[#This Row],[Metodo]],TbSolver[Metodo],TbSolver[Solver])</f>
        <v>Adams Bashford Moulton</v>
      </c>
      <c r="C660" s="26" t="str">
        <f>_xlfn.XLOOKUP(Total[[#This Row],[Hebras]],TbTecnologia[Hebras],TbTecnologia[Tecnología])</f>
        <v>CUDA</v>
      </c>
      <c r="D660" s="15" t="str" cm="1">
        <f t="array" ref="D660">_xlfn.XLOOKUP(Total[[#This Row],[Tecnología]]&amp;Total[[#This Row],[Metodo]],TbTipos[Tecnología]&amp;TbTipos[Metodo],TbTipos[Tipo])</f>
        <v>CUDA con graph</v>
      </c>
      <c r="E660" s="15" t="str" cm="1">
        <f t="array" ref="E660">_xlfn.XLOOKUP(Total[[#This Row],[Tecnología]]&amp;Total[[#This Row],[Problema]],TbNombres[Tecnología]&amp;TbNombres[Problema],TbNombres[Nombre])</f>
        <v>Brusselator2d shuffle</v>
      </c>
      <c r="F660" s="2">
        <v>6</v>
      </c>
      <c r="G660" s="2">
        <v>9</v>
      </c>
      <c r="H660" s="2">
        <v>256</v>
      </c>
      <c r="I660" s="2">
        <v>200</v>
      </c>
      <c r="J660" s="2">
        <v>80000</v>
      </c>
      <c r="K660" s="2">
        <v>47.367899999999999</v>
      </c>
    </row>
    <row r="661" spans="2:11" x14ac:dyDescent="0.2">
      <c r="B661" s="26" t="str">
        <f>_xlfn.XLOOKUP(Total[[#This Row],[Metodo]],TbSolver[Metodo],TbSolver[Solver])</f>
        <v>Adams Bashford Moulton</v>
      </c>
      <c r="C661" s="26" t="str">
        <f>_xlfn.XLOOKUP(Total[[#This Row],[Hebras]],TbTecnologia[Hebras],TbTecnologia[Tecnología])</f>
        <v>OMP</v>
      </c>
      <c r="D661" s="16" t="str" cm="1">
        <f t="array" ref="D661">_xlfn.XLOOKUP(Total[[#This Row],[Tecnología]]&amp;Total[[#This Row],[Metodo]],TbTipos[Tecnología]&amp;TbTipos[Metodo],TbTipos[Tipo])</f>
        <v>OMP Operaciones</v>
      </c>
      <c r="E661" s="16" t="str" cm="1">
        <f t="array" ref="E661">_xlfn.XLOOKUP(Total[[#This Row],[Tecnología]]&amp;Total[[#This Row],[Problema]],TbNombres[Tecnología]&amp;TbNombres[Problema],TbNombres[Nombre])</f>
        <v>Brusselator2d</v>
      </c>
      <c r="F661" s="4">
        <v>5</v>
      </c>
      <c r="G661" s="4">
        <v>4</v>
      </c>
      <c r="H661" s="4">
        <v>16</v>
      </c>
      <c r="I661" s="4">
        <v>200</v>
      </c>
      <c r="J661" s="4">
        <v>80000</v>
      </c>
      <c r="K661" s="4">
        <v>214.67</v>
      </c>
    </row>
    <row r="662" spans="2:11" x14ac:dyDescent="0.2">
      <c r="B662" s="26" t="str">
        <f>_xlfn.XLOOKUP(Total[[#This Row],[Metodo]],TbSolver[Metodo],TbSolver[Solver])</f>
        <v>Adams Bashford Moulton</v>
      </c>
      <c r="C662" s="26" t="str">
        <f>_xlfn.XLOOKUP(Total[[#This Row],[Hebras]],TbTecnologia[Hebras],TbTecnologia[Tecnología])</f>
        <v>OMP</v>
      </c>
      <c r="D662" s="16" t="str" cm="1">
        <f t="array" ref="D662">_xlfn.XLOOKUP(Total[[#This Row],[Tecnología]]&amp;Total[[#This Row],[Metodo]],TbTipos[Tecnología]&amp;TbTipos[Metodo],TbTipos[Tipo])</f>
        <v>OMP Elementos</v>
      </c>
      <c r="E662" s="16" t="str" cm="1">
        <f t="array" ref="E662">_xlfn.XLOOKUP(Total[[#This Row],[Tecnología]]&amp;Total[[#This Row],[Problema]],TbNombres[Tecnología]&amp;TbNombres[Problema],TbNombres[Nombre])</f>
        <v>Brusselator2d</v>
      </c>
      <c r="F662" s="4">
        <v>6</v>
      </c>
      <c r="G662" s="4">
        <v>4</v>
      </c>
      <c r="H662" s="4">
        <v>16</v>
      </c>
      <c r="I662" s="4">
        <v>200</v>
      </c>
      <c r="J662" s="4">
        <v>80000</v>
      </c>
      <c r="K662" s="4">
        <v>331.80900000000003</v>
      </c>
    </row>
    <row r="663" spans="2:11" x14ac:dyDescent="0.2">
      <c r="B663" s="26" t="str">
        <f>_xlfn.XLOOKUP(Total[[#This Row],[Metodo]],TbSolver[Metodo],TbSolver[Solver])</f>
        <v>Adams Bashford Moulton</v>
      </c>
      <c r="C663" s="26" t="str">
        <f>_xlfn.XLOOKUP(Total[[#This Row],[Hebras]],TbTecnologia[Hebras],TbTecnologia[Tecnología])</f>
        <v>OMP</v>
      </c>
      <c r="D663" s="16" t="str" cm="1">
        <f t="array" ref="D663">_xlfn.XLOOKUP(Total[[#This Row],[Tecnología]]&amp;Total[[#This Row],[Metodo]],TbTipos[Tecnología]&amp;TbTipos[Metodo],TbTipos[Tipo])</f>
        <v>OMP Operaciones</v>
      </c>
      <c r="E663" s="16" t="str" cm="1">
        <f t="array" ref="E663">_xlfn.XLOOKUP(Total[[#This Row],[Tecnología]]&amp;Total[[#This Row],[Problema]],TbNombres[Tecnología]&amp;TbNombres[Problema],TbNombres[Nombre])</f>
        <v>Brusselator2d</v>
      </c>
      <c r="F663" s="4">
        <v>5</v>
      </c>
      <c r="G663" s="4">
        <v>4</v>
      </c>
      <c r="H663" s="4">
        <v>4</v>
      </c>
      <c r="I663" s="4">
        <v>200</v>
      </c>
      <c r="J663" s="4">
        <v>80000</v>
      </c>
      <c r="K663" s="4">
        <v>466.28199999999998</v>
      </c>
    </row>
    <row r="664" spans="2:11" x14ac:dyDescent="0.2">
      <c r="B664" s="26" t="str">
        <f>_xlfn.XLOOKUP(Total[[#This Row],[Metodo]],TbSolver[Metodo],TbSolver[Solver])</f>
        <v>Adams Bashford Moulton</v>
      </c>
      <c r="C664" s="26" t="str">
        <f>_xlfn.XLOOKUP(Total[[#This Row],[Hebras]],TbTecnologia[Hebras],TbTecnologia[Tecnología])</f>
        <v>OMP</v>
      </c>
      <c r="D664" s="16" t="str" cm="1">
        <f t="array" ref="D664">_xlfn.XLOOKUP(Total[[#This Row],[Tecnología]]&amp;Total[[#This Row],[Metodo]],TbTipos[Tecnología]&amp;TbTipos[Metodo],TbTipos[Tipo])</f>
        <v>OMP Elementos</v>
      </c>
      <c r="E664" s="16" t="str" cm="1">
        <f t="array" ref="E664">_xlfn.XLOOKUP(Total[[#This Row],[Tecnología]]&amp;Total[[#This Row],[Problema]],TbNombres[Tecnología]&amp;TbNombres[Problema],TbNombres[Nombre])</f>
        <v>Brusselator2d</v>
      </c>
      <c r="F664" s="4">
        <v>6</v>
      </c>
      <c r="G664" s="4">
        <v>4</v>
      </c>
      <c r="H664" s="4">
        <v>4</v>
      </c>
      <c r="I664" s="4">
        <v>200</v>
      </c>
      <c r="J664" s="4">
        <v>80000</v>
      </c>
      <c r="K664" s="4">
        <v>1049.3499999999999</v>
      </c>
    </row>
    <row r="665" spans="2:11" x14ac:dyDescent="0.2">
      <c r="B665" s="26" t="str">
        <f>_xlfn.XLOOKUP(Total[[#This Row],[Metodo]],TbSolver[Metodo],TbSolver[Solver])</f>
        <v>Adams Bashford Moulton</v>
      </c>
      <c r="C665" s="26" t="str">
        <f>_xlfn.XLOOKUP(Total[[#This Row],[Hebras]],TbTecnologia[Hebras],TbTecnologia[Tecnología])</f>
        <v>OMP</v>
      </c>
      <c r="D665" s="16" t="str" cm="1">
        <f t="array" ref="D665">_xlfn.XLOOKUP(Total[[#This Row],[Tecnología]]&amp;Total[[#This Row],[Metodo]],TbTipos[Tecnología]&amp;TbTipos[Metodo],TbTipos[Tipo])</f>
        <v>OMP Operaciones</v>
      </c>
      <c r="E665" s="16" t="str" cm="1">
        <f t="array" ref="E665">_xlfn.XLOOKUP(Total[[#This Row],[Tecnología]]&amp;Total[[#This Row],[Problema]],TbNombres[Tecnología]&amp;TbNombres[Problema],TbNombres[Nombre])</f>
        <v>Brusselator2d</v>
      </c>
      <c r="F665" s="4">
        <v>5</v>
      </c>
      <c r="G665" s="4">
        <v>4</v>
      </c>
      <c r="H665" s="4">
        <v>1</v>
      </c>
      <c r="I665" s="4">
        <v>200</v>
      </c>
      <c r="J665" s="4">
        <v>80000</v>
      </c>
      <c r="K665" s="4">
        <v>1825.86</v>
      </c>
    </row>
    <row r="666" spans="2:11" x14ac:dyDescent="0.2">
      <c r="B666" s="26" t="str">
        <f>_xlfn.XLOOKUP(Total[[#This Row],[Metodo]],TbSolver[Metodo],TbSolver[Solver])</f>
        <v>Adams Bashford Moulton</v>
      </c>
      <c r="C666" s="26" t="str">
        <f>_xlfn.XLOOKUP(Total[[#This Row],[Hebras]],TbTecnologia[Hebras],TbTecnologia[Tecnología])</f>
        <v>OMP</v>
      </c>
      <c r="D666" s="16" t="str" cm="1">
        <f t="array" ref="D666">_xlfn.XLOOKUP(Total[[#This Row],[Tecnología]]&amp;Total[[#This Row],[Metodo]],TbTipos[Tecnología]&amp;TbTipos[Metodo],TbTipos[Tipo])</f>
        <v>OMP Elementos</v>
      </c>
      <c r="E666" s="16" t="str" cm="1">
        <f t="array" ref="E666">_xlfn.XLOOKUP(Total[[#This Row],[Tecnología]]&amp;Total[[#This Row],[Problema]],TbNombres[Tecnología]&amp;TbNombres[Problema],TbNombres[Nombre])</f>
        <v>Brusselator2d</v>
      </c>
      <c r="F666" s="4">
        <v>6</v>
      </c>
      <c r="G666" s="4">
        <v>4</v>
      </c>
      <c r="H666" s="4">
        <v>1</v>
      </c>
      <c r="I666" s="4">
        <v>200</v>
      </c>
      <c r="J666" s="4">
        <v>80000</v>
      </c>
      <c r="K666" s="4">
        <v>3809.65</v>
      </c>
    </row>
    <row r="667" spans="2:11" x14ac:dyDescent="0.2">
      <c r="B667" s="26" t="str">
        <f>_xlfn.XLOOKUP(Total[[#This Row],[Metodo]],TbSolver[Metodo],TbSolver[Solver])</f>
        <v>Adams Bashford Moulton</v>
      </c>
      <c r="C667" s="26" t="str">
        <f>_xlfn.XLOOKUP(Total[[#This Row],[Hebras]],TbTecnologia[Hebras],TbTecnologia[Tecnología])</f>
        <v>OMP</v>
      </c>
      <c r="D667" s="16" t="str" cm="1">
        <f t="array" ref="D667">_xlfn.XLOOKUP(Total[[#This Row],[Tecnología]]&amp;Total[[#This Row],[Metodo]],TbTipos[Tecnología]&amp;TbTipos[Metodo],TbTipos[Tipo])</f>
        <v>OMP Elementos</v>
      </c>
      <c r="E667" s="16" t="str" cm="1">
        <f t="array" ref="E667">_xlfn.XLOOKUP(Total[[#This Row],[Tecnología]]&amp;Total[[#This Row],[Problema]],TbNombres[Tecnología]&amp;TbNombres[Problema],TbNombres[Nombre])</f>
        <v>Brusselator2d</v>
      </c>
      <c r="F667" s="4">
        <v>6</v>
      </c>
      <c r="G667" s="4">
        <v>4</v>
      </c>
      <c r="H667" s="4">
        <v>1</v>
      </c>
      <c r="I667" s="4">
        <v>200</v>
      </c>
      <c r="J667" s="4">
        <v>80000</v>
      </c>
      <c r="K667" s="4">
        <v>3970.37</v>
      </c>
    </row>
    <row r="668" spans="2:11" x14ac:dyDescent="0.2">
      <c r="B668" s="26" t="str">
        <f>_xlfn.XLOOKUP(Total[[#This Row],[Metodo]],TbSolver[Metodo],TbSolver[Solver])</f>
        <v>Adams Bashford Moulton</v>
      </c>
      <c r="C668" s="26" t="str">
        <f>_xlfn.XLOOKUP(Total[[#This Row],[Hebras]],TbTecnologia[Hebras],TbTecnologia[Tecnología])</f>
        <v>CUDA</v>
      </c>
      <c r="D668" s="15" t="str" cm="1">
        <f t="array" ref="D668">_xlfn.XLOOKUP(Total[[#This Row],[Tecnología]]&amp;Total[[#This Row],[Metodo]],TbTipos[Tecnología]&amp;TbTipos[Metodo],TbTipos[Tipo])</f>
        <v>CUDA sin graph</v>
      </c>
      <c r="E668" s="15" t="str" cm="1">
        <f t="array" ref="E668">_xlfn.XLOOKUP(Total[[#This Row],[Tecnología]]&amp;Total[[#This Row],[Problema]],TbNombres[Tecnología]&amp;TbNombres[Problema],TbNombres[Nombre])</f>
        <v>Brusselator2d shuffle</v>
      </c>
      <c r="F668" s="2">
        <v>5</v>
      </c>
      <c r="G668" s="2">
        <v>9</v>
      </c>
      <c r="H668" s="2">
        <v>256</v>
      </c>
      <c r="I668" s="2">
        <v>500</v>
      </c>
      <c r="J668" s="2">
        <v>500000</v>
      </c>
      <c r="K668" s="2">
        <v>310.68200000000002</v>
      </c>
    </row>
    <row r="669" spans="2:11" x14ac:dyDescent="0.2">
      <c r="B669" s="26" t="str">
        <f>_xlfn.XLOOKUP(Total[[#This Row],[Metodo]],TbSolver[Metodo],TbSolver[Solver])</f>
        <v>Adams Bashford Moulton</v>
      </c>
      <c r="C669" s="26" t="str">
        <f>_xlfn.XLOOKUP(Total[[#This Row],[Hebras]],TbTecnologia[Hebras],TbTecnologia[Tecnología])</f>
        <v>CUDA</v>
      </c>
      <c r="D669" s="15" t="str" cm="1">
        <f t="array" ref="D669">_xlfn.XLOOKUP(Total[[#This Row],[Tecnología]]&amp;Total[[#This Row],[Metodo]],TbTipos[Tecnología]&amp;TbTipos[Metodo],TbTipos[Tipo])</f>
        <v>CUDA sin graph</v>
      </c>
      <c r="E669" s="15" t="str" cm="1">
        <f t="array" ref="E669">_xlfn.XLOOKUP(Total[[#This Row],[Tecnología]]&amp;Total[[#This Row],[Problema]],TbNombres[Tecnología]&amp;TbNombres[Problema],TbNombres[Nombre])</f>
        <v>Brusselator2d</v>
      </c>
      <c r="F669" s="2">
        <v>5</v>
      </c>
      <c r="G669" s="2">
        <v>8</v>
      </c>
      <c r="H669" s="2">
        <v>256</v>
      </c>
      <c r="I669" s="2">
        <v>500</v>
      </c>
      <c r="J669" s="2">
        <v>500000</v>
      </c>
      <c r="K669" s="2">
        <v>313.98399999999998</v>
      </c>
    </row>
    <row r="670" spans="2:11" x14ac:dyDescent="0.2">
      <c r="B670" s="26" t="str">
        <f>_xlfn.XLOOKUP(Total[[#This Row],[Metodo]],TbSolver[Metodo],TbSolver[Solver])</f>
        <v>Adams Bashford Moulton</v>
      </c>
      <c r="C670" s="26" t="str">
        <f>_xlfn.XLOOKUP(Total[[#This Row],[Hebras]],TbTecnologia[Hebras],TbTecnologia[Tecnología])</f>
        <v>CUDA</v>
      </c>
      <c r="D670" s="15" t="str" cm="1">
        <f t="array" ref="D670">_xlfn.XLOOKUP(Total[[#This Row],[Tecnología]]&amp;Total[[#This Row],[Metodo]],TbTipos[Tecnología]&amp;TbTipos[Metodo],TbTipos[Tipo])</f>
        <v>CUDA con graph</v>
      </c>
      <c r="E670" s="15" t="str" cm="1">
        <f t="array" ref="E670">_xlfn.XLOOKUP(Total[[#This Row],[Tecnología]]&amp;Total[[#This Row],[Problema]],TbNombres[Tecnología]&amp;TbNombres[Problema],TbNombres[Nombre])</f>
        <v>Brusselator2d</v>
      </c>
      <c r="F670" s="2">
        <v>6</v>
      </c>
      <c r="G670" s="2">
        <v>8</v>
      </c>
      <c r="H670" s="2">
        <v>256</v>
      </c>
      <c r="I670" s="2">
        <v>500</v>
      </c>
      <c r="J670" s="2">
        <v>500000</v>
      </c>
      <c r="K670" s="2">
        <v>392.97199999999998</v>
      </c>
    </row>
    <row r="671" spans="2:11" x14ac:dyDescent="0.2">
      <c r="B671" s="26" t="str">
        <f>_xlfn.XLOOKUP(Total[[#This Row],[Metodo]],TbSolver[Metodo],TbSolver[Solver])</f>
        <v>Adams Bashford Moulton</v>
      </c>
      <c r="C671" s="26" t="str">
        <f>_xlfn.XLOOKUP(Total[[#This Row],[Hebras]],TbTecnologia[Hebras],TbTecnologia[Tecnología])</f>
        <v>CUDA</v>
      </c>
      <c r="D671" s="15" t="str" cm="1">
        <f t="array" ref="D671">_xlfn.XLOOKUP(Total[[#This Row],[Tecnología]]&amp;Total[[#This Row],[Metodo]],TbTipos[Tecnología]&amp;TbTipos[Metodo],TbTipos[Tipo])</f>
        <v>CUDA con graph</v>
      </c>
      <c r="E671" s="15" t="str" cm="1">
        <f t="array" ref="E671">_xlfn.XLOOKUP(Total[[#This Row],[Tecnología]]&amp;Total[[#This Row],[Problema]],TbNombres[Tecnología]&amp;TbNombres[Problema],TbNombres[Nombre])</f>
        <v>Brusselator2d shuffle</v>
      </c>
      <c r="F671" s="2">
        <v>6</v>
      </c>
      <c r="G671" s="2">
        <v>9</v>
      </c>
      <c r="H671" s="2">
        <v>256</v>
      </c>
      <c r="I671" s="2">
        <v>500</v>
      </c>
      <c r="J671" s="2">
        <v>500000</v>
      </c>
      <c r="K671" s="2">
        <v>393.34699999999998</v>
      </c>
    </row>
    <row r="672" spans="2:11" x14ac:dyDescent="0.2">
      <c r="B672" s="26" t="str">
        <f>_xlfn.XLOOKUP(Total[[#This Row],[Metodo]],TbSolver[Metodo],TbSolver[Solver])</f>
        <v>Runge Kutta</v>
      </c>
      <c r="C672" s="26" t="str">
        <f>_xlfn.XLOOKUP(Total[[#This Row],[Hebras]],TbTecnologia[Hebras],TbTecnologia[Tecnología])</f>
        <v>CUDA</v>
      </c>
      <c r="D672" s="15" t="str" cm="1">
        <f t="array" ref="D672">_xlfn.XLOOKUP(Total[[#This Row],[Tecnología]]&amp;Total[[#This Row],[Metodo]],TbTipos[Tecnología]&amp;TbTipos[Metodo],TbTipos[Tipo])</f>
        <v>CUDA sin graph</v>
      </c>
      <c r="E672" s="15" t="str" cm="1">
        <f t="array" ref="E672">_xlfn.XLOOKUP(Total[[#This Row],[Tecnología]]&amp;Total[[#This Row],[Problema]],TbNombres[Tecnología]&amp;TbNombres[Problema],TbNombres[Nombre])</f>
        <v>Simple Advdiff</v>
      </c>
      <c r="F672" s="17">
        <v>1</v>
      </c>
      <c r="G672" s="17">
        <v>1</v>
      </c>
      <c r="H672" s="17">
        <v>256</v>
      </c>
      <c r="I672" s="17">
        <v>75000</v>
      </c>
      <c r="J672" s="17">
        <v>75000</v>
      </c>
      <c r="K672" s="17">
        <v>31.302900000000001</v>
      </c>
    </row>
    <row r="673" spans="2:11" x14ac:dyDescent="0.2">
      <c r="B673" s="26" t="str">
        <f>_xlfn.XLOOKUP(Total[[#This Row],[Metodo]],TbSolver[Metodo],TbSolver[Solver])</f>
        <v>Runge Kutta</v>
      </c>
      <c r="C673" s="26" t="str">
        <f>_xlfn.XLOOKUP(Total[[#This Row],[Hebras]],TbTecnologia[Hebras],TbTecnologia[Tecnología])</f>
        <v>CUDA</v>
      </c>
      <c r="D673" s="15" t="str" cm="1">
        <f t="array" ref="D673">_xlfn.XLOOKUP(Total[[#This Row],[Tecnología]]&amp;Total[[#This Row],[Metodo]],TbTipos[Tecnología]&amp;TbTipos[Metodo],TbTipos[Tipo])</f>
        <v>CUDA sin graph</v>
      </c>
      <c r="E673" s="15" t="str" cm="1">
        <f t="array" ref="E673">_xlfn.XLOOKUP(Total[[#This Row],[Tecnología]]&amp;Total[[#This Row],[Problema]],TbNombres[Tecnología]&amp;TbNombres[Problema],TbNombres[Nombre])</f>
        <v>Simple Advdiff</v>
      </c>
      <c r="F673" s="17">
        <v>1</v>
      </c>
      <c r="G673" s="17">
        <v>1</v>
      </c>
      <c r="H673" s="17">
        <v>256</v>
      </c>
      <c r="I673" s="17">
        <v>150000</v>
      </c>
      <c r="J673" s="17">
        <v>150000</v>
      </c>
      <c r="K673" s="17">
        <v>53.823599999999999</v>
      </c>
    </row>
    <row r="674" spans="2:11" x14ac:dyDescent="0.2">
      <c r="B674" s="26" t="str">
        <f>_xlfn.XLOOKUP(Total[[#This Row],[Metodo]],TbSolver[Metodo],TbSolver[Solver])</f>
        <v>Runge Kutta</v>
      </c>
      <c r="C674" s="26" t="str">
        <f>_xlfn.XLOOKUP(Total[[#This Row],[Hebras]],TbTecnologia[Hebras],TbTecnologia[Tecnología])</f>
        <v>CUDA</v>
      </c>
      <c r="D674" s="15" t="str" cm="1">
        <f t="array" ref="D674">_xlfn.XLOOKUP(Total[[#This Row],[Tecnología]]&amp;Total[[#This Row],[Metodo]],TbTipos[Tecnología]&amp;TbTipos[Metodo],TbTipos[Tipo])</f>
        <v>CUDA sin graph</v>
      </c>
      <c r="E674" s="15" t="str" cm="1">
        <f t="array" ref="E674">_xlfn.XLOOKUP(Total[[#This Row],[Tecnología]]&amp;Total[[#This Row],[Problema]],TbNombres[Tecnología]&amp;TbNombres[Problema],TbNombres[Nombre])</f>
        <v>Simple Advdiff</v>
      </c>
      <c r="F674" s="17">
        <v>1</v>
      </c>
      <c r="G674" s="17">
        <v>1</v>
      </c>
      <c r="H674" s="17">
        <v>256</v>
      </c>
      <c r="I674" s="17">
        <v>250000</v>
      </c>
      <c r="J674" s="17">
        <v>250000</v>
      </c>
      <c r="K674" s="17">
        <v>94.997200000000007</v>
      </c>
    </row>
    <row r="675" spans="2:11" x14ac:dyDescent="0.2">
      <c r="B675" s="26" t="str">
        <f>_xlfn.XLOOKUP(Total[[#This Row],[Metodo]],TbSolver[Metodo],TbSolver[Solver])</f>
        <v>Runge Kutta</v>
      </c>
      <c r="C675" s="26" t="str">
        <f>_xlfn.XLOOKUP(Total[[#This Row],[Hebras]],TbTecnologia[Hebras],TbTecnologia[Tecnología])</f>
        <v>CUDA</v>
      </c>
      <c r="D675" s="15" t="str" cm="1">
        <f t="array" ref="D675">_xlfn.XLOOKUP(Total[[#This Row],[Tecnología]]&amp;Total[[#This Row],[Metodo]],TbTipos[Tecnología]&amp;TbTipos[Metodo],TbTipos[Tipo])</f>
        <v>CUDA sin graph</v>
      </c>
      <c r="E675" s="15" t="str" cm="1">
        <f t="array" ref="E675">_xlfn.XLOOKUP(Total[[#This Row],[Tecnología]]&amp;Total[[#This Row],[Problema]],TbNombres[Tecnología]&amp;TbNombres[Problema],TbNombres[Nombre])</f>
        <v>Simple Advdiff</v>
      </c>
      <c r="F675" s="17">
        <v>1</v>
      </c>
      <c r="G675" s="17">
        <v>1</v>
      </c>
      <c r="H675" s="17">
        <v>256</v>
      </c>
      <c r="I675" s="17">
        <v>300000</v>
      </c>
      <c r="J675" s="17">
        <v>300000</v>
      </c>
      <c r="K675" s="17">
        <v>113.41</v>
      </c>
    </row>
    <row r="676" spans="2:11" x14ac:dyDescent="0.2">
      <c r="B676" s="26" t="str">
        <f>_xlfn.XLOOKUP(Total[[#This Row],[Metodo]],TbSolver[Metodo],TbSolver[Solver])</f>
        <v>Runge Kutta</v>
      </c>
      <c r="C676" s="26" t="str">
        <f>_xlfn.XLOOKUP(Total[[#This Row],[Hebras]],TbTecnologia[Hebras],TbTecnologia[Tecnología])</f>
        <v>CUDA</v>
      </c>
      <c r="D676" s="15" t="str" cm="1">
        <f t="array" ref="D676">_xlfn.XLOOKUP(Total[[#This Row],[Tecnología]]&amp;Total[[#This Row],[Metodo]],TbTipos[Tecnología]&amp;TbTipos[Metodo],TbTipos[Tipo])</f>
        <v>CUDA sin graph</v>
      </c>
      <c r="E676" s="15" t="str" cm="1">
        <f t="array" ref="E676">_xlfn.XLOOKUP(Total[[#This Row],[Tecnología]]&amp;Total[[#This Row],[Problema]],TbNombres[Tecnología]&amp;TbNombres[Problema],TbNombres[Nombre])</f>
        <v>Simple Advdiff</v>
      </c>
      <c r="F676" s="17">
        <v>1</v>
      </c>
      <c r="G676" s="17">
        <v>1</v>
      </c>
      <c r="H676" s="17">
        <v>256</v>
      </c>
      <c r="I676" s="17">
        <v>350000</v>
      </c>
      <c r="J676" s="17">
        <v>350000</v>
      </c>
      <c r="K676" s="17">
        <v>136.81</v>
      </c>
    </row>
    <row r="677" spans="2:11" x14ac:dyDescent="0.2">
      <c r="B677" s="26" t="str">
        <f>_xlfn.XLOOKUP(Total[[#This Row],[Metodo]],TbSolver[Metodo],TbSolver[Solver])</f>
        <v>Runge Kutta</v>
      </c>
      <c r="C677" s="26" t="str">
        <f>_xlfn.XLOOKUP(Total[[#This Row],[Hebras]],TbTecnologia[Hebras],TbTecnologia[Tecnología])</f>
        <v>CUDA</v>
      </c>
      <c r="D677" s="15" t="str" cm="1">
        <f t="array" ref="D677">_xlfn.XLOOKUP(Total[[#This Row],[Tecnología]]&amp;Total[[#This Row],[Metodo]],TbTipos[Tecnología]&amp;TbTipos[Metodo],TbTipos[Tipo])</f>
        <v>CUDA sin graph</v>
      </c>
      <c r="E677" s="15" t="str" cm="1">
        <f t="array" ref="E677">_xlfn.XLOOKUP(Total[[#This Row],[Tecnología]]&amp;Total[[#This Row],[Problema]],TbNombres[Tecnología]&amp;TbNombres[Problema],TbNombres[Nombre])</f>
        <v>Simple Advdiff</v>
      </c>
      <c r="F677" s="17">
        <v>1</v>
      </c>
      <c r="G677" s="17">
        <v>1</v>
      </c>
      <c r="H677" s="17">
        <v>256</v>
      </c>
      <c r="I677" s="17">
        <v>400000</v>
      </c>
      <c r="J677" s="17">
        <v>400000</v>
      </c>
      <c r="K677" s="17">
        <v>159.56</v>
      </c>
    </row>
    <row r="678" spans="2:11" x14ac:dyDescent="0.2">
      <c r="B678" s="26" t="str">
        <f>_xlfn.XLOOKUP(Total[[#This Row],[Metodo]],TbSolver[Metodo],TbSolver[Solver])</f>
        <v>Runge Kutta</v>
      </c>
      <c r="C678" s="26" t="str">
        <f>_xlfn.XLOOKUP(Total[[#This Row],[Hebras]],TbTecnologia[Hebras],TbTecnologia[Tecnología])</f>
        <v>CUDA</v>
      </c>
      <c r="D678" s="15" t="str" cm="1">
        <f t="array" ref="D678">_xlfn.XLOOKUP(Total[[#This Row],[Tecnología]]&amp;Total[[#This Row],[Metodo]],TbTipos[Tecnología]&amp;TbTipos[Metodo],TbTipos[Tipo])</f>
        <v>CUDA sin graph</v>
      </c>
      <c r="E678" s="15" t="str" cm="1">
        <f t="array" ref="E678">_xlfn.XLOOKUP(Total[[#This Row],[Tecnología]]&amp;Total[[#This Row],[Problema]],TbNombres[Tecnología]&amp;TbNombres[Problema],TbNombres[Nombre])</f>
        <v>Simple Advdiff</v>
      </c>
      <c r="F678" s="17">
        <v>1</v>
      </c>
      <c r="G678" s="17">
        <v>1</v>
      </c>
      <c r="H678" s="17">
        <v>256</v>
      </c>
      <c r="I678" s="17">
        <v>450000</v>
      </c>
      <c r="J678" s="17">
        <v>450000</v>
      </c>
      <c r="K678" s="17">
        <v>185.614</v>
      </c>
    </row>
    <row r="679" spans="2:11" x14ac:dyDescent="0.2">
      <c r="B679" s="26" t="str">
        <f>_xlfn.XLOOKUP(Total[[#This Row],[Metodo]],TbSolver[Metodo],TbSolver[Solver])</f>
        <v>Runge Kutta</v>
      </c>
      <c r="C679" s="26" t="str">
        <f>_xlfn.XLOOKUP(Total[[#This Row],[Hebras]],TbTecnologia[Hebras],TbTecnologia[Tecnología])</f>
        <v>CUDA</v>
      </c>
      <c r="D679" s="15" t="str" cm="1">
        <f t="array" ref="D679">_xlfn.XLOOKUP(Total[[#This Row],[Tecnología]]&amp;Total[[#This Row],[Metodo]],TbTipos[Tecnología]&amp;TbTipos[Metodo],TbTipos[Tipo])</f>
        <v>CUDA sin graph</v>
      </c>
      <c r="E679" s="15" t="str" cm="1">
        <f t="array" ref="E679">_xlfn.XLOOKUP(Total[[#This Row],[Tecnología]]&amp;Total[[#This Row],[Problema]],TbNombres[Tecnología]&amp;TbNombres[Problema],TbNombres[Nombre])</f>
        <v>Simple Advdiff</v>
      </c>
      <c r="F679" s="17">
        <v>1</v>
      </c>
      <c r="G679" s="17">
        <v>1</v>
      </c>
      <c r="H679" s="17">
        <v>256</v>
      </c>
      <c r="I679" s="17">
        <v>500000</v>
      </c>
      <c r="J679" s="17">
        <v>500000</v>
      </c>
      <c r="K679" s="17">
        <v>214.54400000000001</v>
      </c>
    </row>
    <row r="680" spans="2:11" x14ac:dyDescent="0.2">
      <c r="B680" s="26" t="str">
        <f>_xlfn.XLOOKUP(Total[[#This Row],[Metodo]],TbSolver[Metodo],TbSolver[Solver])</f>
        <v>Runge Kutta</v>
      </c>
      <c r="C680" s="26" t="str">
        <f>_xlfn.XLOOKUP(Total[[#This Row],[Hebras]],TbTecnologia[Hebras],TbTecnologia[Tecnología])</f>
        <v>CUDA</v>
      </c>
      <c r="D680" s="15" t="str" cm="1">
        <f t="array" ref="D680">_xlfn.XLOOKUP(Total[[#This Row],[Tecnología]]&amp;Total[[#This Row],[Metodo]],TbTipos[Tecnología]&amp;TbTipos[Metodo],TbTipos[Tipo])</f>
        <v>CUDA sin graph</v>
      </c>
      <c r="E680" s="15" t="str" cm="1">
        <f t="array" ref="E680">_xlfn.XLOOKUP(Total[[#This Row],[Tecnología]]&amp;Total[[#This Row],[Problema]],TbNombres[Tecnología]&amp;TbNombres[Problema],TbNombres[Nombre])</f>
        <v>Advdiff1d</v>
      </c>
      <c r="F680" s="17">
        <v>1</v>
      </c>
      <c r="G680" s="17">
        <v>3</v>
      </c>
      <c r="H680" s="17">
        <v>256</v>
      </c>
      <c r="I680" s="17">
        <v>75000</v>
      </c>
      <c r="J680" s="17">
        <v>75000</v>
      </c>
      <c r="K680" s="17">
        <v>113.012</v>
      </c>
    </row>
    <row r="681" spans="2:11" x14ac:dyDescent="0.2">
      <c r="B681" s="26" t="str">
        <f>_xlfn.XLOOKUP(Total[[#This Row],[Metodo]],TbSolver[Metodo],TbSolver[Solver])</f>
        <v>Runge Kutta</v>
      </c>
      <c r="C681" s="26" t="str">
        <f>_xlfn.XLOOKUP(Total[[#This Row],[Hebras]],TbTecnologia[Hebras],TbTecnologia[Tecnología])</f>
        <v>CUDA</v>
      </c>
      <c r="D681" s="15" t="str" cm="1">
        <f t="array" ref="D681">_xlfn.XLOOKUP(Total[[#This Row],[Tecnología]]&amp;Total[[#This Row],[Metodo]],TbTipos[Tecnología]&amp;TbTipos[Metodo],TbTipos[Tipo])</f>
        <v>CUDA sin graph</v>
      </c>
      <c r="E681" s="15" t="str" cm="1">
        <f t="array" ref="E681">_xlfn.XLOOKUP(Total[[#This Row],[Tecnología]]&amp;Total[[#This Row],[Problema]],TbNombres[Tecnología]&amp;TbNombres[Problema],TbNombres[Nombre])</f>
        <v>Advdiff1d</v>
      </c>
      <c r="F681" s="17">
        <v>1</v>
      </c>
      <c r="G681" s="17">
        <v>3</v>
      </c>
      <c r="H681" s="17">
        <v>256</v>
      </c>
      <c r="I681" s="17">
        <v>150000</v>
      </c>
      <c r="J681" s="17">
        <v>150000</v>
      </c>
      <c r="K681" s="17">
        <v>202.547</v>
      </c>
    </row>
    <row r="682" spans="2:11" x14ac:dyDescent="0.2">
      <c r="B682" s="26" t="str">
        <f>_xlfn.XLOOKUP(Total[[#This Row],[Metodo]],TbSolver[Metodo],TbSolver[Solver])</f>
        <v>Runge Kutta</v>
      </c>
      <c r="C682" s="26" t="str">
        <f>_xlfn.XLOOKUP(Total[[#This Row],[Hebras]],TbTecnologia[Hebras],TbTecnologia[Tecnología])</f>
        <v>CUDA</v>
      </c>
      <c r="D682" s="15" t="str" cm="1">
        <f t="array" ref="D682">_xlfn.XLOOKUP(Total[[#This Row],[Tecnología]]&amp;Total[[#This Row],[Metodo]],TbTipos[Tecnología]&amp;TbTipos[Metodo],TbTipos[Tipo])</f>
        <v>CUDA sin graph</v>
      </c>
      <c r="E682" s="15" t="str" cm="1">
        <f t="array" ref="E682">_xlfn.XLOOKUP(Total[[#This Row],[Tecnología]]&amp;Total[[#This Row],[Problema]],TbNombres[Tecnología]&amp;TbNombres[Problema],TbNombres[Nombre])</f>
        <v>Advdiff1d</v>
      </c>
      <c r="F682" s="17">
        <v>1</v>
      </c>
      <c r="G682" s="17">
        <v>3</v>
      </c>
      <c r="H682" s="17">
        <v>256</v>
      </c>
      <c r="I682" s="17">
        <v>250000</v>
      </c>
      <c r="J682" s="17">
        <v>250000</v>
      </c>
      <c r="K682" s="17">
        <v>340.20699999999999</v>
      </c>
    </row>
    <row r="683" spans="2:11" x14ac:dyDescent="0.2">
      <c r="B683" s="26" t="str">
        <f>_xlfn.XLOOKUP(Total[[#This Row],[Metodo]],TbSolver[Metodo],TbSolver[Solver])</f>
        <v>Runge Kutta</v>
      </c>
      <c r="C683" s="26" t="str">
        <f>_xlfn.XLOOKUP(Total[[#This Row],[Hebras]],TbTecnologia[Hebras],TbTecnologia[Tecnología])</f>
        <v>CUDA</v>
      </c>
      <c r="D683" s="15" t="str" cm="1">
        <f t="array" ref="D683">_xlfn.XLOOKUP(Total[[#This Row],[Tecnología]]&amp;Total[[#This Row],[Metodo]],TbTipos[Tecnología]&amp;TbTipos[Metodo],TbTipos[Tipo])</f>
        <v>CUDA sin graph</v>
      </c>
      <c r="E683" s="15" t="str" cm="1">
        <f t="array" ref="E683">_xlfn.XLOOKUP(Total[[#This Row],[Tecnología]]&amp;Total[[#This Row],[Problema]],TbNombres[Tecnología]&amp;TbNombres[Problema],TbNombres[Nombre])</f>
        <v>Advdiff1d</v>
      </c>
      <c r="F683" s="17">
        <v>1</v>
      </c>
      <c r="G683" s="17">
        <v>3</v>
      </c>
      <c r="H683" s="17">
        <v>256</v>
      </c>
      <c r="I683" s="17">
        <v>300000</v>
      </c>
      <c r="J683" s="17">
        <v>300000</v>
      </c>
      <c r="K683" s="17">
        <v>411.625</v>
      </c>
    </row>
    <row r="684" spans="2:11" x14ac:dyDescent="0.2">
      <c r="B684" s="26" t="str">
        <f>_xlfn.XLOOKUP(Total[[#This Row],[Metodo]],TbSolver[Metodo],TbSolver[Solver])</f>
        <v>Runge Kutta</v>
      </c>
      <c r="C684" s="26" t="str">
        <f>_xlfn.XLOOKUP(Total[[#This Row],[Hebras]],TbTecnologia[Hebras],TbTecnologia[Tecnología])</f>
        <v>CUDA</v>
      </c>
      <c r="D684" s="15" t="str" cm="1">
        <f t="array" ref="D684">_xlfn.XLOOKUP(Total[[#This Row],[Tecnología]]&amp;Total[[#This Row],[Metodo]],TbTipos[Tecnología]&amp;TbTipos[Metodo],TbTipos[Tipo])</f>
        <v>CUDA sin graph</v>
      </c>
      <c r="E684" s="15" t="str" cm="1">
        <f t="array" ref="E684">_xlfn.XLOOKUP(Total[[#This Row],[Tecnología]]&amp;Total[[#This Row],[Problema]],TbNombres[Tecnología]&amp;TbNombres[Problema],TbNombres[Nombre])</f>
        <v>Advdiff1d</v>
      </c>
      <c r="F684" s="17">
        <v>1</v>
      </c>
      <c r="G684" s="17">
        <v>3</v>
      </c>
      <c r="H684" s="17">
        <v>256</v>
      </c>
      <c r="I684" s="17">
        <v>350000</v>
      </c>
      <c r="J684" s="17">
        <v>350000</v>
      </c>
      <c r="K684" s="17">
        <v>484.81400000000002</v>
      </c>
    </row>
    <row r="685" spans="2:11" x14ac:dyDescent="0.2">
      <c r="B685" s="26" t="str">
        <f>_xlfn.XLOOKUP(Total[[#This Row],[Metodo]],TbSolver[Metodo],TbSolver[Solver])</f>
        <v>Runge Kutta</v>
      </c>
      <c r="C685" s="26" t="str">
        <f>_xlfn.XLOOKUP(Total[[#This Row],[Hebras]],TbTecnologia[Hebras],TbTecnologia[Tecnología])</f>
        <v>CUDA</v>
      </c>
      <c r="D685" s="15" t="str" cm="1">
        <f t="array" ref="D685">_xlfn.XLOOKUP(Total[[#This Row],[Tecnología]]&amp;Total[[#This Row],[Metodo]],TbTipos[Tecnología]&amp;TbTipos[Metodo],TbTipos[Tipo])</f>
        <v>CUDA sin graph</v>
      </c>
      <c r="E685" s="15" t="str" cm="1">
        <f t="array" ref="E685">_xlfn.XLOOKUP(Total[[#This Row],[Tecnología]]&amp;Total[[#This Row],[Problema]],TbNombres[Tecnología]&amp;TbNombres[Problema],TbNombres[Nombre])</f>
        <v>Advdiff1d</v>
      </c>
      <c r="F685" s="17">
        <v>1</v>
      </c>
      <c r="G685" s="17">
        <v>3</v>
      </c>
      <c r="H685" s="17">
        <v>256</v>
      </c>
      <c r="I685" s="17">
        <v>400000</v>
      </c>
      <c r="J685" s="17">
        <v>400000</v>
      </c>
      <c r="K685" s="17">
        <v>542.48699999999997</v>
      </c>
    </row>
    <row r="686" spans="2:11" x14ac:dyDescent="0.2">
      <c r="B686" s="26" t="str">
        <f>_xlfn.XLOOKUP(Total[[#This Row],[Metodo]],TbSolver[Metodo],TbSolver[Solver])</f>
        <v>Runge Kutta</v>
      </c>
      <c r="C686" s="26" t="str">
        <f>_xlfn.XLOOKUP(Total[[#This Row],[Hebras]],TbTecnologia[Hebras],TbTecnologia[Tecnología])</f>
        <v>CUDA</v>
      </c>
      <c r="D686" s="15" t="str" cm="1">
        <f t="array" ref="D686">_xlfn.XLOOKUP(Total[[#This Row],[Tecnología]]&amp;Total[[#This Row],[Metodo]],TbTipos[Tecnología]&amp;TbTipos[Metodo],TbTipos[Tipo])</f>
        <v>CUDA sin graph</v>
      </c>
      <c r="E686" s="15" t="str" cm="1">
        <f t="array" ref="E686">_xlfn.XLOOKUP(Total[[#This Row],[Tecnología]]&amp;Total[[#This Row],[Problema]],TbNombres[Tecnología]&amp;TbNombres[Problema],TbNombres[Nombre])</f>
        <v>Advdiff1d</v>
      </c>
      <c r="F686" s="17">
        <v>1</v>
      </c>
      <c r="G686" s="17">
        <v>3</v>
      </c>
      <c r="H686" s="17">
        <v>256</v>
      </c>
      <c r="I686" s="17">
        <v>450000</v>
      </c>
      <c r="J686" s="17">
        <v>450000</v>
      </c>
      <c r="K686" s="17">
        <v>615.779</v>
      </c>
    </row>
    <row r="687" spans="2:11" x14ac:dyDescent="0.2">
      <c r="B687" s="26" t="str">
        <f>_xlfn.XLOOKUP(Total[[#This Row],[Metodo]],TbSolver[Metodo],TbSolver[Solver])</f>
        <v>Runge Kutta</v>
      </c>
      <c r="C687" s="26" t="str">
        <f>_xlfn.XLOOKUP(Total[[#This Row],[Hebras]],TbTecnologia[Hebras],TbTecnologia[Tecnología])</f>
        <v>CUDA</v>
      </c>
      <c r="D687" s="15" t="str" cm="1">
        <f t="array" ref="D687">_xlfn.XLOOKUP(Total[[#This Row],[Tecnología]]&amp;Total[[#This Row],[Metodo]],TbTipos[Tecnología]&amp;TbTipos[Metodo],TbTipos[Tipo])</f>
        <v>CUDA sin graph</v>
      </c>
      <c r="E687" s="15" t="str" cm="1">
        <f t="array" ref="E687">_xlfn.XLOOKUP(Total[[#This Row],[Tecnología]]&amp;Total[[#This Row],[Problema]],TbNombres[Tecnología]&amp;TbNombres[Problema],TbNombres[Nombre])</f>
        <v>Advdiff1d</v>
      </c>
      <c r="F687" s="17">
        <v>1</v>
      </c>
      <c r="G687" s="17">
        <v>3</v>
      </c>
      <c r="H687" s="17">
        <v>256</v>
      </c>
      <c r="I687" s="17">
        <v>500000</v>
      </c>
      <c r="J687" s="17">
        <v>500000</v>
      </c>
      <c r="K687" s="17">
        <v>687.30799999999999</v>
      </c>
    </row>
    <row r="688" spans="2:11" x14ac:dyDescent="0.2">
      <c r="B688" s="26" t="str">
        <f>_xlfn.XLOOKUP(Total[[#This Row],[Metodo]],TbSolver[Metodo],TbSolver[Solver])</f>
        <v>Runge Kutta</v>
      </c>
      <c r="C688" s="26" t="str">
        <f>_xlfn.XLOOKUP(Total[[#This Row],[Hebras]],TbTecnologia[Hebras],TbTecnologia[Tecnología])</f>
        <v>CUDA</v>
      </c>
      <c r="D688" s="15" t="str" cm="1">
        <f t="array" ref="D688">_xlfn.XLOOKUP(Total[[#This Row],[Tecnología]]&amp;Total[[#This Row],[Metodo]],TbTipos[Tecnología]&amp;TbTipos[Metodo],TbTipos[Tipo])</f>
        <v>CUDA sin graph</v>
      </c>
      <c r="E688" s="15" t="str" cm="1">
        <f t="array" ref="E688">_xlfn.XLOOKUP(Total[[#This Row],[Tecnología]]&amp;Total[[#This Row],[Problema]],TbNombres[Tecnología]&amp;TbNombres[Problema],TbNombres[Nombre])</f>
        <v>Brusselator1d</v>
      </c>
      <c r="F688" s="17">
        <v>1</v>
      </c>
      <c r="G688" s="17">
        <v>5</v>
      </c>
      <c r="H688" s="17">
        <v>256</v>
      </c>
      <c r="I688" s="17">
        <v>75000</v>
      </c>
      <c r="J688" s="17">
        <v>150000</v>
      </c>
      <c r="K688" s="17">
        <v>66.495599999999996</v>
      </c>
    </row>
    <row r="689" spans="2:11" x14ac:dyDescent="0.2">
      <c r="B689" s="26" t="str">
        <f>_xlfn.XLOOKUP(Total[[#This Row],[Metodo]],TbSolver[Metodo],TbSolver[Solver])</f>
        <v>Runge Kutta</v>
      </c>
      <c r="C689" s="26" t="str">
        <f>_xlfn.XLOOKUP(Total[[#This Row],[Hebras]],TbTecnologia[Hebras],TbTecnologia[Tecnología])</f>
        <v>CUDA</v>
      </c>
      <c r="D689" s="15" t="str" cm="1">
        <f t="array" ref="D689">_xlfn.XLOOKUP(Total[[#This Row],[Tecnología]]&amp;Total[[#This Row],[Metodo]],TbTipos[Tecnología]&amp;TbTipos[Metodo],TbTipos[Tipo])</f>
        <v>CUDA sin graph</v>
      </c>
      <c r="E689" s="15" t="str" cm="1">
        <f t="array" ref="E689">_xlfn.XLOOKUP(Total[[#This Row],[Tecnología]]&amp;Total[[#This Row],[Problema]],TbNombres[Tecnología]&amp;TbNombres[Problema],TbNombres[Nombre])</f>
        <v>Brusselator1d</v>
      </c>
      <c r="F689" s="17">
        <v>1</v>
      </c>
      <c r="G689" s="17">
        <v>5</v>
      </c>
      <c r="H689" s="17">
        <v>256</v>
      </c>
      <c r="I689" s="17">
        <v>150000</v>
      </c>
      <c r="J689" s="17">
        <v>300000</v>
      </c>
      <c r="K689" s="17">
        <v>141.374</v>
      </c>
    </row>
    <row r="690" spans="2:11" x14ac:dyDescent="0.2">
      <c r="B690" s="26" t="str">
        <f>_xlfn.XLOOKUP(Total[[#This Row],[Metodo]],TbSolver[Metodo],TbSolver[Solver])</f>
        <v>Runge Kutta</v>
      </c>
      <c r="C690" s="26" t="str">
        <f>_xlfn.XLOOKUP(Total[[#This Row],[Hebras]],TbTecnologia[Hebras],TbTecnologia[Tecnología])</f>
        <v>CUDA</v>
      </c>
      <c r="D690" s="15" t="str" cm="1">
        <f t="array" ref="D690">_xlfn.XLOOKUP(Total[[#This Row],[Tecnología]]&amp;Total[[#This Row],[Metodo]],TbTipos[Tecnología]&amp;TbTipos[Metodo],TbTipos[Tipo])</f>
        <v>CUDA sin graph</v>
      </c>
      <c r="E690" s="15" t="str" cm="1">
        <f t="array" ref="E690">_xlfn.XLOOKUP(Total[[#This Row],[Tecnología]]&amp;Total[[#This Row],[Problema]],TbNombres[Tecnología]&amp;TbNombres[Problema],TbNombres[Nombre])</f>
        <v>Brusselator1d</v>
      </c>
      <c r="F690" s="17">
        <v>1</v>
      </c>
      <c r="G690" s="17">
        <v>5</v>
      </c>
      <c r="H690" s="17">
        <v>256</v>
      </c>
      <c r="I690" s="17">
        <v>250000</v>
      </c>
      <c r="J690" s="17">
        <v>500000</v>
      </c>
      <c r="K690" s="17">
        <v>246.38900000000001</v>
      </c>
    </row>
    <row r="691" spans="2:11" x14ac:dyDescent="0.2">
      <c r="B691" s="26" t="str">
        <f>_xlfn.XLOOKUP(Total[[#This Row],[Metodo]],TbSolver[Metodo],TbSolver[Solver])</f>
        <v>Runge Kutta</v>
      </c>
      <c r="C691" s="26" t="str">
        <f>_xlfn.XLOOKUP(Total[[#This Row],[Hebras]],TbTecnologia[Hebras],TbTecnologia[Tecnología])</f>
        <v>CUDA</v>
      </c>
      <c r="D691" s="15" t="str" cm="1">
        <f t="array" ref="D691">_xlfn.XLOOKUP(Total[[#This Row],[Tecnología]]&amp;Total[[#This Row],[Metodo]],TbTipos[Tecnología]&amp;TbTipos[Metodo],TbTipos[Tipo])</f>
        <v>CUDA sin graph</v>
      </c>
      <c r="E691" s="15" t="str" cm="1">
        <f t="array" ref="E691">_xlfn.XLOOKUP(Total[[#This Row],[Tecnología]]&amp;Total[[#This Row],[Problema]],TbNombres[Tecnología]&amp;TbNombres[Problema],TbNombres[Nombre])</f>
        <v>Brusselator1d</v>
      </c>
      <c r="F691" s="17">
        <v>1</v>
      </c>
      <c r="G691" s="17">
        <v>5</v>
      </c>
      <c r="H691" s="17">
        <v>256</v>
      </c>
      <c r="I691" s="17">
        <v>300000</v>
      </c>
      <c r="J691" s="17">
        <v>600000</v>
      </c>
      <c r="K691" s="17">
        <v>291.95100000000002</v>
      </c>
    </row>
    <row r="692" spans="2:11" x14ac:dyDescent="0.2">
      <c r="B692" s="26" t="str">
        <f>_xlfn.XLOOKUP(Total[[#This Row],[Metodo]],TbSolver[Metodo],TbSolver[Solver])</f>
        <v>Runge Kutta</v>
      </c>
      <c r="C692" s="26" t="str">
        <f>_xlfn.XLOOKUP(Total[[#This Row],[Hebras]],TbTecnologia[Hebras],TbTecnologia[Tecnología])</f>
        <v>CUDA</v>
      </c>
      <c r="D692" s="15" t="str" cm="1">
        <f t="array" ref="D692">_xlfn.XLOOKUP(Total[[#This Row],[Tecnología]]&amp;Total[[#This Row],[Metodo]],TbTipos[Tecnología]&amp;TbTipos[Metodo],TbTipos[Tipo])</f>
        <v>CUDA sin graph</v>
      </c>
      <c r="E692" s="15" t="str" cm="1">
        <f t="array" ref="E692">_xlfn.XLOOKUP(Total[[#This Row],[Tecnología]]&amp;Total[[#This Row],[Problema]],TbNombres[Tecnología]&amp;TbNombres[Problema],TbNombres[Nombre])</f>
        <v>Brusselator1d</v>
      </c>
      <c r="F692" s="17">
        <v>1</v>
      </c>
      <c r="G692" s="17">
        <v>5</v>
      </c>
      <c r="H692" s="17">
        <v>256</v>
      </c>
      <c r="I692" s="17">
        <v>350000</v>
      </c>
      <c r="J692" s="17">
        <v>700000</v>
      </c>
      <c r="K692" s="17">
        <v>335.23500000000001</v>
      </c>
    </row>
    <row r="693" spans="2:11" x14ac:dyDescent="0.2">
      <c r="B693" s="26" t="str">
        <f>_xlfn.XLOOKUP(Total[[#This Row],[Metodo]],TbSolver[Metodo],TbSolver[Solver])</f>
        <v>Runge Kutta</v>
      </c>
      <c r="C693" s="26" t="str">
        <f>_xlfn.XLOOKUP(Total[[#This Row],[Hebras]],TbTecnologia[Hebras],TbTecnologia[Tecnología])</f>
        <v>CUDA</v>
      </c>
      <c r="D693" s="15" t="str" cm="1">
        <f t="array" ref="D693">_xlfn.XLOOKUP(Total[[#This Row],[Tecnología]]&amp;Total[[#This Row],[Metodo]],TbTipos[Tecnología]&amp;TbTipos[Metodo],TbTipos[Tipo])</f>
        <v>CUDA sin graph</v>
      </c>
      <c r="E693" s="15" t="str" cm="1">
        <f t="array" ref="E693">_xlfn.XLOOKUP(Total[[#This Row],[Tecnología]]&amp;Total[[#This Row],[Problema]],TbNombres[Tecnología]&amp;TbNombres[Problema],TbNombres[Nombre])</f>
        <v>Brusselator1d</v>
      </c>
      <c r="F693" s="17">
        <v>1</v>
      </c>
      <c r="G693" s="17">
        <v>5</v>
      </c>
      <c r="H693" s="17">
        <v>256</v>
      </c>
      <c r="I693" s="17">
        <v>400000</v>
      </c>
      <c r="J693" s="17">
        <v>800000</v>
      </c>
      <c r="K693" s="17">
        <v>379.27300000000002</v>
      </c>
    </row>
    <row r="694" spans="2:11" x14ac:dyDescent="0.2">
      <c r="B694" s="26" t="str">
        <f>_xlfn.XLOOKUP(Total[[#This Row],[Metodo]],TbSolver[Metodo],TbSolver[Solver])</f>
        <v>Runge Kutta</v>
      </c>
      <c r="C694" s="26" t="str">
        <f>_xlfn.XLOOKUP(Total[[#This Row],[Hebras]],TbTecnologia[Hebras],TbTecnologia[Tecnología])</f>
        <v>CUDA</v>
      </c>
      <c r="D694" s="15" t="str" cm="1">
        <f t="array" ref="D694">_xlfn.XLOOKUP(Total[[#This Row],[Tecnología]]&amp;Total[[#This Row],[Metodo]],TbTipos[Tecnología]&amp;TbTipos[Metodo],TbTipos[Tipo])</f>
        <v>CUDA sin graph</v>
      </c>
      <c r="E694" s="15" t="str" cm="1">
        <f t="array" ref="E694">_xlfn.XLOOKUP(Total[[#This Row],[Tecnología]]&amp;Total[[#This Row],[Problema]],TbNombres[Tecnología]&amp;TbNombres[Problema],TbNombres[Nombre])</f>
        <v>Brusselator1d</v>
      </c>
      <c r="F694" s="17">
        <v>1</v>
      </c>
      <c r="G694" s="17">
        <v>5</v>
      </c>
      <c r="H694" s="17">
        <v>256</v>
      </c>
      <c r="I694" s="17">
        <v>450000</v>
      </c>
      <c r="J694" s="17">
        <v>900000</v>
      </c>
      <c r="K694" s="17">
        <v>423.52100000000002</v>
      </c>
    </row>
    <row r="695" spans="2:11" x14ac:dyDescent="0.2">
      <c r="B695" s="26" t="str">
        <f>_xlfn.XLOOKUP(Total[[#This Row],[Metodo]],TbSolver[Metodo],TbSolver[Solver])</f>
        <v>Runge Kutta</v>
      </c>
      <c r="C695" s="26" t="str">
        <f>_xlfn.XLOOKUP(Total[[#This Row],[Hebras]],TbTecnologia[Hebras],TbTecnologia[Tecnología])</f>
        <v>CUDA</v>
      </c>
      <c r="D695" s="15" t="str" cm="1">
        <f t="array" ref="D695">_xlfn.XLOOKUP(Total[[#This Row],[Tecnología]]&amp;Total[[#This Row],[Metodo]],TbTipos[Tecnología]&amp;TbTipos[Metodo],TbTipos[Tipo])</f>
        <v>CUDA sin graph</v>
      </c>
      <c r="E695" s="15" t="str" cm="1">
        <f t="array" ref="E695">_xlfn.XLOOKUP(Total[[#This Row],[Tecnología]]&amp;Total[[#This Row],[Problema]],TbNombres[Tecnología]&amp;TbNombres[Problema],TbNombres[Nombre])</f>
        <v>Brusselator1d</v>
      </c>
      <c r="F695" s="17">
        <v>1</v>
      </c>
      <c r="G695" s="17">
        <v>5</v>
      </c>
      <c r="H695" s="17">
        <v>256</v>
      </c>
      <c r="I695" s="17">
        <v>500000</v>
      </c>
      <c r="J695" s="17">
        <v>1000000</v>
      </c>
      <c r="K695" s="17">
        <v>469.07100000000003</v>
      </c>
    </row>
    <row r="696" spans="2:11" x14ac:dyDescent="0.2">
      <c r="B696" s="26" t="str">
        <f>_xlfn.XLOOKUP(Total[[#This Row],[Metodo]],TbSolver[Metodo],TbSolver[Solver])</f>
        <v>Runge Kutta</v>
      </c>
      <c r="C696" s="26" t="str">
        <f>_xlfn.XLOOKUP(Total[[#This Row],[Hebras]],TbTecnologia[Hebras],TbTecnologia[Tecnología])</f>
        <v>CUDA</v>
      </c>
      <c r="D696" s="15" t="str" cm="1">
        <f t="array" ref="D696">_xlfn.XLOOKUP(Total[[#This Row],[Tecnología]]&amp;Total[[#This Row],[Metodo]],TbTipos[Tecnología]&amp;TbTipos[Metodo],TbTipos[Tipo])</f>
        <v>CUDA sin graph</v>
      </c>
      <c r="E696" s="15" t="str" cm="1">
        <f t="array" ref="E696">_xlfn.XLOOKUP(Total[[#This Row],[Tecnología]]&amp;Total[[#This Row],[Problema]],TbNombres[Tecnología]&amp;TbNombres[Problema],TbNombres[Nombre])</f>
        <v>Brusselator1d grid</v>
      </c>
      <c r="F696" s="17">
        <v>1</v>
      </c>
      <c r="G696" s="17">
        <v>7</v>
      </c>
      <c r="H696" s="17">
        <v>256</v>
      </c>
      <c r="I696" s="17">
        <v>300</v>
      </c>
      <c r="J696" s="17">
        <v>600</v>
      </c>
      <c r="K696" s="17">
        <v>17.123699999999999</v>
      </c>
    </row>
    <row r="697" spans="2:11" x14ac:dyDescent="0.2">
      <c r="B697" s="26" t="str">
        <f>_xlfn.XLOOKUP(Total[[#This Row],[Metodo]],TbSolver[Metodo],TbSolver[Solver])</f>
        <v>Runge Kutta</v>
      </c>
      <c r="C697" s="26" t="str">
        <f>_xlfn.XLOOKUP(Total[[#This Row],[Hebras]],TbTecnologia[Hebras],TbTecnologia[Tecnología])</f>
        <v>CUDA</v>
      </c>
      <c r="D697" s="15" t="str" cm="1">
        <f t="array" ref="D697">_xlfn.XLOOKUP(Total[[#This Row],[Tecnología]]&amp;Total[[#This Row],[Metodo]],TbTipos[Tecnología]&amp;TbTipos[Metodo],TbTipos[Tipo])</f>
        <v>CUDA sin graph</v>
      </c>
      <c r="E697" s="15" t="str" cm="1">
        <f t="array" ref="E697">_xlfn.XLOOKUP(Total[[#This Row],[Tecnología]]&amp;Total[[#This Row],[Problema]],TbNombres[Tecnología]&amp;TbNombres[Problema],TbNombres[Nombre])</f>
        <v>Brusselator1d grid</v>
      </c>
      <c r="F697" s="17">
        <v>1</v>
      </c>
      <c r="G697" s="17">
        <v>7</v>
      </c>
      <c r="H697" s="17">
        <v>256</v>
      </c>
      <c r="I697" s="17">
        <v>350</v>
      </c>
      <c r="J697" s="17">
        <v>700</v>
      </c>
      <c r="K697" s="17">
        <v>17.1724</v>
      </c>
    </row>
    <row r="698" spans="2:11" x14ac:dyDescent="0.2">
      <c r="B698" s="26" t="str">
        <f>_xlfn.XLOOKUP(Total[[#This Row],[Metodo]],TbSolver[Metodo],TbSolver[Solver])</f>
        <v>Runge Kutta</v>
      </c>
      <c r="C698" s="26" t="str">
        <f>_xlfn.XLOOKUP(Total[[#This Row],[Hebras]],TbTecnologia[Hebras],TbTecnologia[Tecnología])</f>
        <v>CUDA</v>
      </c>
      <c r="D698" s="15" t="str" cm="1">
        <f t="array" ref="D698">_xlfn.XLOOKUP(Total[[#This Row],[Tecnología]]&amp;Total[[#This Row],[Metodo]],TbTipos[Tecnología]&amp;TbTipos[Metodo],TbTipos[Tipo])</f>
        <v>CUDA sin graph</v>
      </c>
      <c r="E698" s="15" t="str" cm="1">
        <f t="array" ref="E698">_xlfn.XLOOKUP(Total[[#This Row],[Tecnología]]&amp;Total[[#This Row],[Problema]],TbNombres[Tecnología]&amp;TbNombres[Problema],TbNombres[Nombre])</f>
        <v>Brusselator1d grid</v>
      </c>
      <c r="F698" s="17">
        <v>1</v>
      </c>
      <c r="G698" s="17">
        <v>7</v>
      </c>
      <c r="H698" s="17">
        <v>256</v>
      </c>
      <c r="I698" s="17">
        <v>400</v>
      </c>
      <c r="J698" s="17">
        <v>800</v>
      </c>
      <c r="K698" s="17">
        <v>17.241</v>
      </c>
    </row>
    <row r="699" spans="2:11" x14ac:dyDescent="0.2">
      <c r="B699" s="26" t="str">
        <f>_xlfn.XLOOKUP(Total[[#This Row],[Metodo]],TbSolver[Metodo],TbSolver[Solver])</f>
        <v>Runge Kutta</v>
      </c>
      <c r="C699" s="26" t="str">
        <f>_xlfn.XLOOKUP(Total[[#This Row],[Hebras]],TbTecnologia[Hebras],TbTecnologia[Tecnología])</f>
        <v>CUDA</v>
      </c>
      <c r="D699" s="15" t="str" cm="1">
        <f t="array" ref="D699">_xlfn.XLOOKUP(Total[[#This Row],[Tecnología]]&amp;Total[[#This Row],[Metodo]],TbTipos[Tecnología]&amp;TbTipos[Metodo],TbTipos[Tipo])</f>
        <v>CUDA sin graph</v>
      </c>
      <c r="E699" s="15" t="str" cm="1">
        <f t="array" ref="E699">_xlfn.XLOOKUP(Total[[#This Row],[Tecnología]]&amp;Total[[#This Row],[Problema]],TbNombres[Tecnología]&amp;TbNombres[Problema],TbNombres[Nombre])</f>
        <v>Brusselator1d grid</v>
      </c>
      <c r="F699" s="17">
        <v>1</v>
      </c>
      <c r="G699" s="17">
        <v>7</v>
      </c>
      <c r="H699" s="17">
        <v>256</v>
      </c>
      <c r="I699" s="17">
        <v>450</v>
      </c>
      <c r="J699" s="17">
        <v>900</v>
      </c>
      <c r="K699" s="17">
        <v>17.2881</v>
      </c>
    </row>
    <row r="700" spans="2:11" x14ac:dyDescent="0.2">
      <c r="B700" s="26" t="str">
        <f>_xlfn.XLOOKUP(Total[[#This Row],[Metodo]],TbSolver[Metodo],TbSolver[Solver])</f>
        <v>Runge Kutta</v>
      </c>
      <c r="C700" s="26" t="str">
        <f>_xlfn.XLOOKUP(Total[[#This Row],[Hebras]],TbTecnologia[Hebras],TbTecnologia[Tecnología])</f>
        <v>CUDA</v>
      </c>
      <c r="D700" s="15" t="str" cm="1">
        <f t="array" ref="D700">_xlfn.XLOOKUP(Total[[#This Row],[Tecnología]]&amp;Total[[#This Row],[Metodo]],TbTipos[Tecnología]&amp;TbTipos[Metodo],TbTipos[Tipo])</f>
        <v>CUDA sin graph</v>
      </c>
      <c r="E700" s="15" t="str" cm="1">
        <f t="array" ref="E700">_xlfn.XLOOKUP(Total[[#This Row],[Tecnología]]&amp;Total[[#This Row],[Problema]],TbNombres[Tecnología]&amp;TbNombres[Problema],TbNombres[Nombre])</f>
        <v>Brusselator1d grid</v>
      </c>
      <c r="F700" s="17">
        <v>1</v>
      </c>
      <c r="G700" s="17">
        <v>7</v>
      </c>
      <c r="H700" s="17">
        <v>256</v>
      </c>
      <c r="I700" s="17">
        <v>150</v>
      </c>
      <c r="J700" s="17">
        <v>300</v>
      </c>
      <c r="K700" s="17">
        <v>17.3857</v>
      </c>
    </row>
    <row r="701" spans="2:11" x14ac:dyDescent="0.2">
      <c r="B701" s="26" t="str">
        <f>_xlfn.XLOOKUP(Total[[#This Row],[Metodo]],TbSolver[Metodo],TbSolver[Solver])</f>
        <v>Runge Kutta</v>
      </c>
      <c r="C701" s="26" t="str">
        <f>_xlfn.XLOOKUP(Total[[#This Row],[Hebras]],TbTecnologia[Hebras],TbTecnologia[Tecnología])</f>
        <v>CUDA</v>
      </c>
      <c r="D701" s="15" t="str" cm="1">
        <f t="array" ref="D701">_xlfn.XLOOKUP(Total[[#This Row],[Tecnología]]&amp;Total[[#This Row],[Metodo]],TbTipos[Tecnología]&amp;TbTipos[Metodo],TbTipos[Tipo])</f>
        <v>CUDA sin graph</v>
      </c>
      <c r="E701" s="15" t="str" cm="1">
        <f t="array" ref="E701">_xlfn.XLOOKUP(Total[[#This Row],[Tecnología]]&amp;Total[[#This Row],[Problema]],TbNombres[Tecnología]&amp;TbNombres[Problema],TbNombres[Nombre])</f>
        <v>Brusselator1d grid</v>
      </c>
      <c r="F701" s="17">
        <v>1</v>
      </c>
      <c r="G701" s="17">
        <v>7</v>
      </c>
      <c r="H701" s="17">
        <v>256</v>
      </c>
      <c r="I701" s="17">
        <v>250</v>
      </c>
      <c r="J701" s="17">
        <v>500</v>
      </c>
      <c r="K701" s="17">
        <v>17.446200000000001</v>
      </c>
    </row>
    <row r="702" spans="2:11" x14ac:dyDescent="0.2">
      <c r="B702" s="26" t="str">
        <f>_xlfn.XLOOKUP(Total[[#This Row],[Metodo]],TbSolver[Metodo],TbSolver[Solver])</f>
        <v>Runge Kutta</v>
      </c>
      <c r="C702" s="26" t="str">
        <f>_xlfn.XLOOKUP(Total[[#This Row],[Hebras]],TbTecnologia[Hebras],TbTecnologia[Tecnología])</f>
        <v>CUDA</v>
      </c>
      <c r="D702" s="15" t="str" cm="1">
        <f t="array" ref="D702">_xlfn.XLOOKUP(Total[[#This Row],[Tecnología]]&amp;Total[[#This Row],[Metodo]],TbTipos[Tecnología]&amp;TbTipos[Metodo],TbTipos[Tipo])</f>
        <v>CUDA con graph</v>
      </c>
      <c r="E702" s="15" t="str" cm="1">
        <f t="array" ref="E702">_xlfn.XLOOKUP(Total[[#This Row],[Tecnología]]&amp;Total[[#This Row],[Problema]],TbNombres[Tecnología]&amp;TbNombres[Problema],TbNombres[Nombre])</f>
        <v>Simple Advdiff</v>
      </c>
      <c r="F702" s="17">
        <v>2</v>
      </c>
      <c r="G702" s="17">
        <v>1</v>
      </c>
      <c r="H702" s="17">
        <v>256</v>
      </c>
      <c r="I702" s="17">
        <v>10000</v>
      </c>
      <c r="J702" s="17">
        <v>10000</v>
      </c>
      <c r="K702" s="17">
        <v>12.9445</v>
      </c>
    </row>
    <row r="703" spans="2:11" x14ac:dyDescent="0.2">
      <c r="B703" s="26" t="str">
        <f>_xlfn.XLOOKUP(Total[[#This Row],[Metodo]],TbSolver[Metodo],TbSolver[Solver])</f>
        <v>Runge Kutta</v>
      </c>
      <c r="C703" s="26" t="str">
        <f>_xlfn.XLOOKUP(Total[[#This Row],[Hebras]],TbTecnologia[Hebras],TbTecnologia[Tecnología])</f>
        <v>CUDA</v>
      </c>
      <c r="D703" s="15" t="str" cm="1">
        <f t="array" ref="D703">_xlfn.XLOOKUP(Total[[#This Row],[Tecnología]]&amp;Total[[#This Row],[Metodo]],TbTipos[Tecnología]&amp;TbTipos[Metodo],TbTipos[Tipo])</f>
        <v>CUDA con graph</v>
      </c>
      <c r="E703" s="15" t="str" cm="1">
        <f t="array" ref="E703">_xlfn.XLOOKUP(Total[[#This Row],[Tecnología]]&amp;Total[[#This Row],[Problema]],TbNombres[Tecnología]&amp;TbNombres[Problema],TbNombres[Nombre])</f>
        <v>Simple Advdiff</v>
      </c>
      <c r="F703" s="17">
        <v>2</v>
      </c>
      <c r="G703" s="17">
        <v>1</v>
      </c>
      <c r="H703" s="17">
        <v>256</v>
      </c>
      <c r="I703" s="17">
        <v>20000</v>
      </c>
      <c r="J703" s="17">
        <v>20000</v>
      </c>
      <c r="K703" s="17">
        <v>16.968599999999999</v>
      </c>
    </row>
    <row r="704" spans="2:11" x14ac:dyDescent="0.2">
      <c r="B704" s="26" t="str">
        <f>_xlfn.XLOOKUP(Total[[#This Row],[Metodo]],TbSolver[Metodo],TbSolver[Solver])</f>
        <v>Runge Kutta</v>
      </c>
      <c r="C704" s="26" t="str">
        <f>_xlfn.XLOOKUP(Total[[#This Row],[Hebras]],TbTecnologia[Hebras],TbTecnologia[Tecnología])</f>
        <v>CUDA</v>
      </c>
      <c r="D704" s="15" t="str" cm="1">
        <f t="array" ref="D704">_xlfn.XLOOKUP(Total[[#This Row],[Tecnología]]&amp;Total[[#This Row],[Metodo]],TbTipos[Tecnología]&amp;TbTipos[Metodo],TbTipos[Tipo])</f>
        <v>CUDA con graph</v>
      </c>
      <c r="E704" s="15" t="str" cm="1">
        <f t="array" ref="E704">_xlfn.XLOOKUP(Total[[#This Row],[Tecnología]]&amp;Total[[#This Row],[Problema]],TbNombres[Tecnología]&amp;TbNombres[Problema],TbNombres[Nombre])</f>
        <v>Simple Advdiff</v>
      </c>
      <c r="F704" s="17">
        <v>2</v>
      </c>
      <c r="G704" s="17">
        <v>1</v>
      </c>
      <c r="H704" s="17">
        <v>256</v>
      </c>
      <c r="I704" s="17">
        <v>50000</v>
      </c>
      <c r="J704" s="17">
        <v>50000</v>
      </c>
      <c r="K704" s="17">
        <v>21.761800000000001</v>
      </c>
    </row>
    <row r="705" spans="2:11" x14ac:dyDescent="0.2">
      <c r="B705" s="26" t="str">
        <f>_xlfn.XLOOKUP(Total[[#This Row],[Metodo]],TbSolver[Metodo],TbSolver[Solver])</f>
        <v>Runge Kutta</v>
      </c>
      <c r="C705" s="26" t="str">
        <f>_xlfn.XLOOKUP(Total[[#This Row],[Hebras]],TbTecnologia[Hebras],TbTecnologia[Tecnología])</f>
        <v>CUDA</v>
      </c>
      <c r="D705" s="15" t="str" cm="1">
        <f t="array" ref="D705">_xlfn.XLOOKUP(Total[[#This Row],[Tecnología]]&amp;Total[[#This Row],[Metodo]],TbTipos[Tecnología]&amp;TbTipos[Metodo],TbTipos[Tipo])</f>
        <v>CUDA con graph</v>
      </c>
      <c r="E705" s="15" t="str" cm="1">
        <f t="array" ref="E705">_xlfn.XLOOKUP(Total[[#This Row],[Tecnología]]&amp;Total[[#This Row],[Problema]],TbNombres[Tecnología]&amp;TbNombres[Problema],TbNombres[Nombre])</f>
        <v>Simple Advdiff</v>
      </c>
      <c r="F705" s="17">
        <v>2</v>
      </c>
      <c r="G705" s="17">
        <v>1</v>
      </c>
      <c r="H705" s="17">
        <v>256</v>
      </c>
      <c r="I705" s="17">
        <v>75000</v>
      </c>
      <c r="J705" s="17">
        <v>75000</v>
      </c>
      <c r="K705" s="17">
        <v>28.4298</v>
      </c>
    </row>
    <row r="706" spans="2:11" x14ac:dyDescent="0.2">
      <c r="B706" s="26" t="str">
        <f>_xlfn.XLOOKUP(Total[[#This Row],[Metodo]],TbSolver[Metodo],TbSolver[Solver])</f>
        <v>Runge Kutta</v>
      </c>
      <c r="C706" s="26" t="str">
        <f>_xlfn.XLOOKUP(Total[[#This Row],[Hebras]],TbTecnologia[Hebras],TbTecnologia[Tecnología])</f>
        <v>CUDA</v>
      </c>
      <c r="D706" s="15" t="str" cm="1">
        <f t="array" ref="D706">_xlfn.XLOOKUP(Total[[#This Row],[Tecnología]]&amp;Total[[#This Row],[Metodo]],TbTipos[Tecnología]&amp;TbTipos[Metodo],TbTipos[Tipo])</f>
        <v>CUDA con graph</v>
      </c>
      <c r="E706" s="15" t="str" cm="1">
        <f t="array" ref="E706">_xlfn.XLOOKUP(Total[[#This Row],[Tecnología]]&amp;Total[[#This Row],[Problema]],TbNombres[Tecnología]&amp;TbNombres[Problema],TbNombres[Nombre])</f>
        <v>Simple Advdiff</v>
      </c>
      <c r="F706" s="17">
        <v>2</v>
      </c>
      <c r="G706" s="17">
        <v>1</v>
      </c>
      <c r="H706" s="17">
        <v>256</v>
      </c>
      <c r="I706" s="17">
        <v>100000</v>
      </c>
      <c r="J706" s="17">
        <v>100000</v>
      </c>
      <c r="K706" s="17">
        <v>32.409700000000001</v>
      </c>
    </row>
    <row r="707" spans="2:11" x14ac:dyDescent="0.2">
      <c r="B707" s="26" t="str">
        <f>_xlfn.XLOOKUP(Total[[#This Row],[Metodo]],TbSolver[Metodo],TbSolver[Solver])</f>
        <v>Runge Kutta</v>
      </c>
      <c r="C707" s="26" t="str">
        <f>_xlfn.XLOOKUP(Total[[#This Row],[Hebras]],TbTecnologia[Hebras],TbTecnologia[Tecnología])</f>
        <v>CUDA</v>
      </c>
      <c r="D707" s="15" t="str" cm="1">
        <f t="array" ref="D707">_xlfn.XLOOKUP(Total[[#This Row],[Tecnología]]&amp;Total[[#This Row],[Metodo]],TbTipos[Tecnología]&amp;TbTipos[Metodo],TbTipos[Tipo])</f>
        <v>CUDA con graph</v>
      </c>
      <c r="E707" s="15" t="str" cm="1">
        <f t="array" ref="E707">_xlfn.XLOOKUP(Total[[#This Row],[Tecnología]]&amp;Total[[#This Row],[Problema]],TbNombres[Tecnología]&amp;TbNombres[Problema],TbNombres[Nombre])</f>
        <v>Simple Advdiff</v>
      </c>
      <c r="F707" s="17">
        <v>2</v>
      </c>
      <c r="G707" s="17">
        <v>1</v>
      </c>
      <c r="H707" s="17">
        <v>256</v>
      </c>
      <c r="I707" s="17">
        <v>150000</v>
      </c>
      <c r="J707" s="17">
        <v>150000</v>
      </c>
      <c r="K707" s="17">
        <v>50.311100000000003</v>
      </c>
    </row>
    <row r="708" spans="2:11" x14ac:dyDescent="0.2">
      <c r="B708" s="26" t="str">
        <f>_xlfn.XLOOKUP(Total[[#This Row],[Metodo]],TbSolver[Metodo],TbSolver[Solver])</f>
        <v>Runge Kutta</v>
      </c>
      <c r="C708" s="26" t="str">
        <f>_xlfn.XLOOKUP(Total[[#This Row],[Hebras]],TbTecnologia[Hebras],TbTecnologia[Tecnología])</f>
        <v>CUDA</v>
      </c>
      <c r="D708" s="15" t="str" cm="1">
        <f t="array" ref="D708">_xlfn.XLOOKUP(Total[[#This Row],[Tecnología]]&amp;Total[[#This Row],[Metodo]],TbTipos[Tecnología]&amp;TbTipos[Metodo],TbTipos[Tipo])</f>
        <v>CUDA con graph</v>
      </c>
      <c r="E708" s="15" t="str" cm="1">
        <f t="array" ref="E708">_xlfn.XLOOKUP(Total[[#This Row],[Tecnología]]&amp;Total[[#This Row],[Problema]],TbNombres[Tecnología]&amp;TbNombres[Problema],TbNombres[Nombre])</f>
        <v>Simple Advdiff</v>
      </c>
      <c r="F708" s="17">
        <v>2</v>
      </c>
      <c r="G708" s="17">
        <v>1</v>
      </c>
      <c r="H708" s="17">
        <v>256</v>
      </c>
      <c r="I708" s="17">
        <v>200000</v>
      </c>
      <c r="J708" s="17">
        <v>200000</v>
      </c>
      <c r="K708" s="17">
        <v>68.772999999999996</v>
      </c>
    </row>
    <row r="709" spans="2:11" x14ac:dyDescent="0.2">
      <c r="B709" s="26" t="str">
        <f>_xlfn.XLOOKUP(Total[[#This Row],[Metodo]],TbSolver[Metodo],TbSolver[Solver])</f>
        <v>Runge Kutta</v>
      </c>
      <c r="C709" s="26" t="str">
        <f>_xlfn.XLOOKUP(Total[[#This Row],[Hebras]],TbTecnologia[Hebras],TbTecnologia[Tecnología])</f>
        <v>CUDA</v>
      </c>
      <c r="D709" s="15" t="str" cm="1">
        <f t="array" ref="D709">_xlfn.XLOOKUP(Total[[#This Row],[Tecnología]]&amp;Total[[#This Row],[Metodo]],TbTipos[Tecnología]&amp;TbTipos[Metodo],TbTipos[Tipo])</f>
        <v>CUDA con graph</v>
      </c>
      <c r="E709" s="15" t="str" cm="1">
        <f t="array" ref="E709">_xlfn.XLOOKUP(Total[[#This Row],[Tecnología]]&amp;Total[[#This Row],[Problema]],TbNombres[Tecnología]&amp;TbNombres[Problema],TbNombres[Nombre])</f>
        <v>Simple Advdiff</v>
      </c>
      <c r="F709" s="17">
        <v>2</v>
      </c>
      <c r="G709" s="17">
        <v>1</v>
      </c>
      <c r="H709" s="17">
        <v>256</v>
      </c>
      <c r="I709" s="17">
        <v>250000</v>
      </c>
      <c r="J709" s="17">
        <v>250000</v>
      </c>
      <c r="K709" s="17">
        <v>90.616900000000001</v>
      </c>
    </row>
    <row r="710" spans="2:11" x14ac:dyDescent="0.2">
      <c r="B710" s="26" t="str">
        <f>_xlfn.XLOOKUP(Total[[#This Row],[Metodo]],TbSolver[Metodo],TbSolver[Solver])</f>
        <v>Runge Kutta</v>
      </c>
      <c r="C710" s="26" t="str">
        <f>_xlfn.XLOOKUP(Total[[#This Row],[Hebras]],TbTecnologia[Hebras],TbTecnologia[Tecnología])</f>
        <v>CUDA</v>
      </c>
      <c r="D710" s="15" t="str" cm="1">
        <f t="array" ref="D710">_xlfn.XLOOKUP(Total[[#This Row],[Tecnología]]&amp;Total[[#This Row],[Metodo]],TbTipos[Tecnología]&amp;TbTipos[Metodo],TbTipos[Tipo])</f>
        <v>CUDA con graph</v>
      </c>
      <c r="E710" s="15" t="str" cm="1">
        <f t="array" ref="E710">_xlfn.XLOOKUP(Total[[#This Row],[Tecnología]]&amp;Total[[#This Row],[Problema]],TbNombres[Tecnología]&amp;TbNombres[Problema],TbNombres[Nombre])</f>
        <v>Simple Advdiff</v>
      </c>
      <c r="F710" s="17">
        <v>2</v>
      </c>
      <c r="G710" s="17">
        <v>1</v>
      </c>
      <c r="H710" s="17">
        <v>256</v>
      </c>
      <c r="I710" s="17">
        <v>300000</v>
      </c>
      <c r="J710" s="17">
        <v>300000</v>
      </c>
      <c r="K710" s="17">
        <v>109.379</v>
      </c>
    </row>
    <row r="711" spans="2:11" x14ac:dyDescent="0.2">
      <c r="B711" s="26" t="str">
        <f>_xlfn.XLOOKUP(Total[[#This Row],[Metodo]],TbSolver[Metodo],TbSolver[Solver])</f>
        <v>Runge Kutta</v>
      </c>
      <c r="C711" s="26" t="str">
        <f>_xlfn.XLOOKUP(Total[[#This Row],[Hebras]],TbTecnologia[Hebras],TbTecnologia[Tecnología])</f>
        <v>CUDA</v>
      </c>
      <c r="D711" s="15" t="str" cm="1">
        <f t="array" ref="D711">_xlfn.XLOOKUP(Total[[#This Row],[Tecnología]]&amp;Total[[#This Row],[Metodo]],TbTipos[Tecnología]&amp;TbTipos[Metodo],TbTipos[Tipo])</f>
        <v>CUDA con graph</v>
      </c>
      <c r="E711" s="15" t="str" cm="1">
        <f t="array" ref="E711">_xlfn.XLOOKUP(Total[[#This Row],[Tecnología]]&amp;Total[[#This Row],[Problema]],TbNombres[Tecnología]&amp;TbNombres[Problema],TbNombres[Nombre])</f>
        <v>Simple Advdiff</v>
      </c>
      <c r="F711" s="17">
        <v>2</v>
      </c>
      <c r="G711" s="17">
        <v>1</v>
      </c>
      <c r="H711" s="17">
        <v>256</v>
      </c>
      <c r="I711" s="17">
        <v>350000</v>
      </c>
      <c r="J711" s="17">
        <v>350000</v>
      </c>
      <c r="K711" s="17">
        <v>132.48500000000001</v>
      </c>
    </row>
    <row r="712" spans="2:11" x14ac:dyDescent="0.2">
      <c r="B712" s="26" t="str">
        <f>_xlfn.XLOOKUP(Total[[#This Row],[Metodo]],TbSolver[Metodo],TbSolver[Solver])</f>
        <v>Runge Kutta</v>
      </c>
      <c r="C712" s="26" t="str">
        <f>_xlfn.XLOOKUP(Total[[#This Row],[Hebras]],TbTecnologia[Hebras],TbTecnologia[Tecnología])</f>
        <v>CUDA</v>
      </c>
      <c r="D712" s="15" t="str" cm="1">
        <f t="array" ref="D712">_xlfn.XLOOKUP(Total[[#This Row],[Tecnología]]&amp;Total[[#This Row],[Metodo]],TbTipos[Tecnología]&amp;TbTipos[Metodo],TbTipos[Tipo])</f>
        <v>CUDA con graph</v>
      </c>
      <c r="E712" s="15" t="str" cm="1">
        <f t="array" ref="E712">_xlfn.XLOOKUP(Total[[#This Row],[Tecnología]]&amp;Total[[#This Row],[Problema]],TbNombres[Tecnología]&amp;TbNombres[Problema],TbNombres[Nombre])</f>
        <v>Simple Advdiff</v>
      </c>
      <c r="F712" s="17">
        <v>2</v>
      </c>
      <c r="G712" s="17">
        <v>1</v>
      </c>
      <c r="H712" s="17">
        <v>256</v>
      </c>
      <c r="I712" s="17">
        <v>400000</v>
      </c>
      <c r="J712" s="17">
        <v>400000</v>
      </c>
      <c r="K712" s="17">
        <v>154.892</v>
      </c>
    </row>
    <row r="713" spans="2:11" x14ac:dyDescent="0.2">
      <c r="B713" s="26" t="str">
        <f>_xlfn.XLOOKUP(Total[[#This Row],[Metodo]],TbSolver[Metodo],TbSolver[Solver])</f>
        <v>Runge Kutta</v>
      </c>
      <c r="C713" s="26" t="str">
        <f>_xlfn.XLOOKUP(Total[[#This Row],[Hebras]],TbTecnologia[Hebras],TbTecnologia[Tecnología])</f>
        <v>CUDA</v>
      </c>
      <c r="D713" s="15" t="str" cm="1">
        <f t="array" ref="D713">_xlfn.XLOOKUP(Total[[#This Row],[Tecnología]]&amp;Total[[#This Row],[Metodo]],TbTipos[Tecnología]&amp;TbTipos[Metodo],TbTipos[Tipo])</f>
        <v>CUDA con graph</v>
      </c>
      <c r="E713" s="15" t="str" cm="1">
        <f t="array" ref="E713">_xlfn.XLOOKUP(Total[[#This Row],[Tecnología]]&amp;Total[[#This Row],[Problema]],TbNombres[Tecnología]&amp;TbNombres[Problema],TbNombres[Nombre])</f>
        <v>Simple Advdiff</v>
      </c>
      <c r="F713" s="17">
        <v>2</v>
      </c>
      <c r="G713" s="17">
        <v>1</v>
      </c>
      <c r="H713" s="17">
        <v>256</v>
      </c>
      <c r="I713" s="17">
        <v>450000</v>
      </c>
      <c r="J713" s="17">
        <v>450000</v>
      </c>
      <c r="K713" s="17">
        <v>180.83099999999999</v>
      </c>
    </row>
    <row r="714" spans="2:11" x14ac:dyDescent="0.2">
      <c r="B714" s="26" t="str">
        <f>_xlfn.XLOOKUP(Total[[#This Row],[Metodo]],TbSolver[Metodo],TbSolver[Solver])</f>
        <v>Runge Kutta</v>
      </c>
      <c r="C714" s="26" t="str">
        <f>_xlfn.XLOOKUP(Total[[#This Row],[Hebras]],TbTecnologia[Hebras],TbTecnologia[Tecnología])</f>
        <v>CUDA</v>
      </c>
      <c r="D714" s="15" t="str" cm="1">
        <f t="array" ref="D714">_xlfn.XLOOKUP(Total[[#This Row],[Tecnología]]&amp;Total[[#This Row],[Metodo]],TbTipos[Tecnología]&amp;TbTipos[Metodo],TbTipos[Tipo])</f>
        <v>CUDA con graph</v>
      </c>
      <c r="E714" s="15" t="str" cm="1">
        <f t="array" ref="E714">_xlfn.XLOOKUP(Total[[#This Row],[Tecnología]]&amp;Total[[#This Row],[Problema]],TbNombres[Tecnología]&amp;TbNombres[Problema],TbNombres[Nombre])</f>
        <v>Simple Advdiff</v>
      </c>
      <c r="F714" s="17">
        <v>2</v>
      </c>
      <c r="G714" s="17">
        <v>1</v>
      </c>
      <c r="H714" s="17">
        <v>256</v>
      </c>
      <c r="I714" s="17">
        <v>500000</v>
      </c>
      <c r="J714" s="17">
        <v>500000</v>
      </c>
      <c r="K714" s="17">
        <v>209.68299999999999</v>
      </c>
    </row>
    <row r="715" spans="2:11" x14ac:dyDescent="0.2">
      <c r="B715" s="26" t="str">
        <f>_xlfn.XLOOKUP(Total[[#This Row],[Metodo]],TbSolver[Metodo],TbSolver[Solver])</f>
        <v>Runge Kutta</v>
      </c>
      <c r="C715" s="26" t="str">
        <f>_xlfn.XLOOKUP(Total[[#This Row],[Hebras]],TbTecnologia[Hebras],TbTecnologia[Tecnología])</f>
        <v>CUDA</v>
      </c>
      <c r="D715" s="15" t="str" cm="1">
        <f t="array" ref="D715">_xlfn.XLOOKUP(Total[[#This Row],[Tecnología]]&amp;Total[[#This Row],[Metodo]],TbTipos[Tecnología]&amp;TbTipos[Metodo],TbTipos[Tipo])</f>
        <v>CUDA con graph</v>
      </c>
      <c r="E715" s="15" t="str" cm="1">
        <f t="array" ref="E715">_xlfn.XLOOKUP(Total[[#This Row],[Tecnología]]&amp;Total[[#This Row],[Problema]],TbNombres[Tecnología]&amp;TbNombres[Problema],TbNombres[Nombre])</f>
        <v>Advdiff1d</v>
      </c>
      <c r="F715" s="17">
        <v>2</v>
      </c>
      <c r="G715" s="17">
        <v>3</v>
      </c>
      <c r="H715" s="17">
        <v>256</v>
      </c>
      <c r="I715" s="17">
        <v>10000</v>
      </c>
      <c r="J715" s="17">
        <v>10000</v>
      </c>
      <c r="K715" s="17">
        <v>28.323499999999999</v>
      </c>
    </row>
    <row r="716" spans="2:11" x14ac:dyDescent="0.2">
      <c r="B716" s="26" t="str">
        <f>_xlfn.XLOOKUP(Total[[#This Row],[Metodo]],TbSolver[Metodo],TbSolver[Solver])</f>
        <v>Runge Kutta</v>
      </c>
      <c r="C716" s="26" t="str">
        <f>_xlfn.XLOOKUP(Total[[#This Row],[Hebras]],TbTecnologia[Hebras],TbTecnologia[Tecnología])</f>
        <v>CUDA</v>
      </c>
      <c r="D716" s="15" t="str" cm="1">
        <f t="array" ref="D716">_xlfn.XLOOKUP(Total[[#This Row],[Tecnología]]&amp;Total[[#This Row],[Metodo]],TbTipos[Tecnología]&amp;TbTipos[Metodo],TbTipos[Tipo])</f>
        <v>CUDA con graph</v>
      </c>
      <c r="E716" s="15" t="str" cm="1">
        <f t="array" ref="E716">_xlfn.XLOOKUP(Total[[#This Row],[Tecnología]]&amp;Total[[#This Row],[Problema]],TbNombres[Tecnología]&amp;TbNombres[Problema],TbNombres[Nombre])</f>
        <v>Advdiff1d</v>
      </c>
      <c r="F716" s="17">
        <v>2</v>
      </c>
      <c r="G716" s="17">
        <v>3</v>
      </c>
      <c r="H716" s="17">
        <v>256</v>
      </c>
      <c r="I716" s="17">
        <v>20000</v>
      </c>
      <c r="J716" s="17">
        <v>20000</v>
      </c>
      <c r="K716" s="17">
        <v>48.682600000000001</v>
      </c>
    </row>
    <row r="717" spans="2:11" x14ac:dyDescent="0.2">
      <c r="B717" s="26" t="str">
        <f>_xlfn.XLOOKUP(Total[[#This Row],[Metodo]],TbSolver[Metodo],TbSolver[Solver])</f>
        <v>Runge Kutta</v>
      </c>
      <c r="C717" s="26" t="str">
        <f>_xlfn.XLOOKUP(Total[[#This Row],[Hebras]],TbTecnologia[Hebras],TbTecnologia[Tecnología])</f>
        <v>CUDA</v>
      </c>
      <c r="D717" s="15" t="str" cm="1">
        <f t="array" ref="D717">_xlfn.XLOOKUP(Total[[#This Row],[Tecnología]]&amp;Total[[#This Row],[Metodo]],TbTipos[Tecnología]&amp;TbTipos[Metodo],TbTipos[Tipo])</f>
        <v>CUDA con graph</v>
      </c>
      <c r="E717" s="15" t="str" cm="1">
        <f t="array" ref="E717">_xlfn.XLOOKUP(Total[[#This Row],[Tecnología]]&amp;Total[[#This Row],[Problema]],TbNombres[Tecnología]&amp;TbNombres[Problema],TbNombres[Nombre])</f>
        <v>Advdiff1d</v>
      </c>
      <c r="F717" s="17">
        <v>2</v>
      </c>
      <c r="G717" s="17">
        <v>3</v>
      </c>
      <c r="H717" s="17">
        <v>256</v>
      </c>
      <c r="I717" s="17">
        <v>50000</v>
      </c>
      <c r="J717" s="17">
        <v>50000</v>
      </c>
      <c r="K717" s="17">
        <v>70.976600000000005</v>
      </c>
    </row>
    <row r="718" spans="2:11" x14ac:dyDescent="0.2">
      <c r="B718" s="26" t="str">
        <f>_xlfn.XLOOKUP(Total[[#This Row],[Metodo]],TbSolver[Metodo],TbSolver[Solver])</f>
        <v>Runge Kutta</v>
      </c>
      <c r="C718" s="26" t="str">
        <f>_xlfn.XLOOKUP(Total[[#This Row],[Hebras]],TbTecnologia[Hebras],TbTecnologia[Tecnología])</f>
        <v>CUDA</v>
      </c>
      <c r="D718" s="15" t="str" cm="1">
        <f t="array" ref="D718">_xlfn.XLOOKUP(Total[[#This Row],[Tecnología]]&amp;Total[[#This Row],[Metodo]],TbTipos[Tecnología]&amp;TbTipos[Metodo],TbTipos[Tipo])</f>
        <v>CUDA con graph</v>
      </c>
      <c r="E718" s="15" t="str" cm="1">
        <f t="array" ref="E718">_xlfn.XLOOKUP(Total[[#This Row],[Tecnología]]&amp;Total[[#This Row],[Problema]],TbNombres[Tecnología]&amp;TbNombres[Problema],TbNombres[Nombre])</f>
        <v>Advdiff1d</v>
      </c>
      <c r="F718" s="17">
        <v>2</v>
      </c>
      <c r="G718" s="17">
        <v>3</v>
      </c>
      <c r="H718" s="17">
        <v>256</v>
      </c>
      <c r="I718" s="17">
        <v>75000</v>
      </c>
      <c r="J718" s="17">
        <v>75000</v>
      </c>
      <c r="K718" s="17">
        <v>111.44499999999999</v>
      </c>
    </row>
    <row r="719" spans="2:11" x14ac:dyDescent="0.2">
      <c r="B719" s="26" t="str">
        <f>_xlfn.XLOOKUP(Total[[#This Row],[Metodo]],TbSolver[Metodo],TbSolver[Solver])</f>
        <v>Runge Kutta</v>
      </c>
      <c r="C719" s="26" t="str">
        <f>_xlfn.XLOOKUP(Total[[#This Row],[Hebras]],TbTecnologia[Hebras],TbTecnologia[Tecnología])</f>
        <v>CUDA</v>
      </c>
      <c r="D719" s="15" t="str" cm="1">
        <f t="array" ref="D719">_xlfn.XLOOKUP(Total[[#This Row],[Tecnología]]&amp;Total[[#This Row],[Metodo]],TbTipos[Tecnología]&amp;TbTipos[Metodo],TbTipos[Tipo])</f>
        <v>CUDA con graph</v>
      </c>
      <c r="E719" s="15" t="str" cm="1">
        <f t="array" ref="E719">_xlfn.XLOOKUP(Total[[#This Row],[Tecnología]]&amp;Total[[#This Row],[Problema]],TbNombres[Tecnología]&amp;TbNombres[Problema],TbNombres[Nombre])</f>
        <v>Advdiff1d</v>
      </c>
      <c r="F719" s="17">
        <v>2</v>
      </c>
      <c r="G719" s="17">
        <v>3</v>
      </c>
      <c r="H719" s="17">
        <v>256</v>
      </c>
      <c r="I719" s="17">
        <v>100000</v>
      </c>
      <c r="J719" s="17">
        <v>100000</v>
      </c>
      <c r="K719" s="17">
        <v>132.828</v>
      </c>
    </row>
    <row r="720" spans="2:11" x14ac:dyDescent="0.2">
      <c r="B720" s="26" t="str">
        <f>_xlfn.XLOOKUP(Total[[#This Row],[Metodo]],TbSolver[Metodo],TbSolver[Solver])</f>
        <v>Runge Kutta</v>
      </c>
      <c r="C720" s="26" t="str">
        <f>_xlfn.XLOOKUP(Total[[#This Row],[Hebras]],TbTecnologia[Hebras],TbTecnologia[Tecnología])</f>
        <v>CUDA</v>
      </c>
      <c r="D720" s="15" t="str" cm="1">
        <f t="array" ref="D720">_xlfn.XLOOKUP(Total[[#This Row],[Tecnología]]&amp;Total[[#This Row],[Metodo]],TbTipos[Tecnología]&amp;TbTipos[Metodo],TbTipos[Tipo])</f>
        <v>CUDA con graph</v>
      </c>
      <c r="E720" s="15" t="str" cm="1">
        <f t="array" ref="E720">_xlfn.XLOOKUP(Total[[#This Row],[Tecnología]]&amp;Total[[#This Row],[Problema]],TbNombres[Tecnología]&amp;TbNombres[Problema],TbNombres[Nombre])</f>
        <v>Advdiff1d</v>
      </c>
      <c r="F720" s="17">
        <v>2</v>
      </c>
      <c r="G720" s="17">
        <v>3</v>
      </c>
      <c r="H720" s="17">
        <v>256</v>
      </c>
      <c r="I720" s="17">
        <v>150000</v>
      </c>
      <c r="J720" s="17">
        <v>150000</v>
      </c>
      <c r="K720" s="17">
        <v>201.69</v>
      </c>
    </row>
    <row r="721" spans="2:11" x14ac:dyDescent="0.2">
      <c r="B721" s="26" t="str">
        <f>_xlfn.XLOOKUP(Total[[#This Row],[Metodo]],TbSolver[Metodo],TbSolver[Solver])</f>
        <v>Runge Kutta</v>
      </c>
      <c r="C721" s="26" t="str">
        <f>_xlfn.XLOOKUP(Total[[#This Row],[Hebras]],TbTecnologia[Hebras],TbTecnologia[Tecnología])</f>
        <v>CUDA</v>
      </c>
      <c r="D721" s="15" t="str" cm="1">
        <f t="array" ref="D721">_xlfn.XLOOKUP(Total[[#This Row],[Tecnología]]&amp;Total[[#This Row],[Metodo]],TbTipos[Tecnología]&amp;TbTipos[Metodo],TbTipos[Tipo])</f>
        <v>CUDA con graph</v>
      </c>
      <c r="E721" s="15" t="str" cm="1">
        <f t="array" ref="E721">_xlfn.XLOOKUP(Total[[#This Row],[Tecnología]]&amp;Total[[#This Row],[Problema]],TbNombres[Tecnología]&amp;TbNombres[Problema],TbNombres[Nombre])</f>
        <v>Advdiff1d</v>
      </c>
      <c r="F721" s="17">
        <v>2</v>
      </c>
      <c r="G721" s="17">
        <v>3</v>
      </c>
      <c r="H721" s="17">
        <v>256</v>
      </c>
      <c r="I721" s="17">
        <v>200000</v>
      </c>
      <c r="J721" s="17">
        <v>200000</v>
      </c>
      <c r="K721" s="17">
        <v>269.69499999999999</v>
      </c>
    </row>
    <row r="722" spans="2:11" x14ac:dyDescent="0.2">
      <c r="B722" s="26" t="str">
        <f>_xlfn.XLOOKUP(Total[[#This Row],[Metodo]],TbSolver[Metodo],TbSolver[Solver])</f>
        <v>Runge Kutta</v>
      </c>
      <c r="C722" s="26" t="str">
        <f>_xlfn.XLOOKUP(Total[[#This Row],[Hebras]],TbTecnologia[Hebras],TbTecnologia[Tecnología])</f>
        <v>CUDA</v>
      </c>
      <c r="D722" s="15" t="str" cm="1">
        <f t="array" ref="D722">_xlfn.XLOOKUP(Total[[#This Row],[Tecnología]]&amp;Total[[#This Row],[Metodo]],TbTipos[Tecnología]&amp;TbTipos[Metodo],TbTipos[Tipo])</f>
        <v>CUDA con graph</v>
      </c>
      <c r="E722" s="15" t="str" cm="1">
        <f t="array" ref="E722">_xlfn.XLOOKUP(Total[[#This Row],[Tecnología]]&amp;Total[[#This Row],[Problema]],TbNombres[Tecnología]&amp;TbNombres[Problema],TbNombres[Nombre])</f>
        <v>Advdiff1d</v>
      </c>
      <c r="F722" s="17">
        <v>2</v>
      </c>
      <c r="G722" s="17">
        <v>3</v>
      </c>
      <c r="H722" s="17">
        <v>256</v>
      </c>
      <c r="I722" s="17">
        <v>250000</v>
      </c>
      <c r="J722" s="17">
        <v>250000</v>
      </c>
      <c r="K722" s="17">
        <v>340.43</v>
      </c>
    </row>
    <row r="723" spans="2:11" x14ac:dyDescent="0.2">
      <c r="B723" s="26" t="str">
        <f>_xlfn.XLOOKUP(Total[[#This Row],[Metodo]],TbSolver[Metodo],TbSolver[Solver])</f>
        <v>Runge Kutta</v>
      </c>
      <c r="C723" s="26" t="str">
        <f>_xlfn.XLOOKUP(Total[[#This Row],[Hebras]],TbTecnologia[Hebras],TbTecnologia[Tecnología])</f>
        <v>CUDA</v>
      </c>
      <c r="D723" s="15" t="str" cm="1">
        <f t="array" ref="D723">_xlfn.XLOOKUP(Total[[#This Row],[Tecnología]]&amp;Total[[#This Row],[Metodo]],TbTipos[Tecnología]&amp;TbTipos[Metodo],TbTipos[Tipo])</f>
        <v>CUDA con graph</v>
      </c>
      <c r="E723" s="15" t="str" cm="1">
        <f t="array" ref="E723">_xlfn.XLOOKUP(Total[[#This Row],[Tecnología]]&amp;Total[[#This Row],[Problema]],TbNombres[Tecnología]&amp;TbNombres[Problema],TbNombres[Nombre])</f>
        <v>Advdiff1d</v>
      </c>
      <c r="F723" s="17">
        <v>2</v>
      </c>
      <c r="G723" s="17">
        <v>3</v>
      </c>
      <c r="H723" s="17">
        <v>256</v>
      </c>
      <c r="I723" s="17">
        <v>300000</v>
      </c>
      <c r="J723" s="17">
        <v>300000</v>
      </c>
      <c r="K723" s="17">
        <v>412.34100000000001</v>
      </c>
    </row>
    <row r="724" spans="2:11" x14ac:dyDescent="0.2">
      <c r="B724" s="26" t="str">
        <f>_xlfn.XLOOKUP(Total[[#This Row],[Metodo]],TbSolver[Metodo],TbSolver[Solver])</f>
        <v>Runge Kutta</v>
      </c>
      <c r="C724" s="26" t="str">
        <f>_xlfn.XLOOKUP(Total[[#This Row],[Hebras]],TbTecnologia[Hebras],TbTecnologia[Tecnología])</f>
        <v>CUDA</v>
      </c>
      <c r="D724" s="15" t="str" cm="1">
        <f t="array" ref="D724">_xlfn.XLOOKUP(Total[[#This Row],[Tecnología]]&amp;Total[[#This Row],[Metodo]],TbTipos[Tecnología]&amp;TbTipos[Metodo],TbTipos[Tipo])</f>
        <v>CUDA con graph</v>
      </c>
      <c r="E724" s="15" t="str" cm="1">
        <f t="array" ref="E724">_xlfn.XLOOKUP(Total[[#This Row],[Tecnología]]&amp;Total[[#This Row],[Problema]],TbNombres[Tecnología]&amp;TbNombres[Problema],TbNombres[Nombre])</f>
        <v>Advdiff1d</v>
      </c>
      <c r="F724" s="17">
        <v>2</v>
      </c>
      <c r="G724" s="17">
        <v>3</v>
      </c>
      <c r="H724" s="17">
        <v>256</v>
      </c>
      <c r="I724" s="17">
        <v>350000</v>
      </c>
      <c r="J724" s="17">
        <v>350000</v>
      </c>
      <c r="K724" s="17">
        <v>485.90699999999998</v>
      </c>
    </row>
    <row r="725" spans="2:11" x14ac:dyDescent="0.2">
      <c r="B725" s="26" t="str">
        <f>_xlfn.XLOOKUP(Total[[#This Row],[Metodo]],TbSolver[Metodo],TbSolver[Solver])</f>
        <v>Runge Kutta</v>
      </c>
      <c r="C725" s="26" t="str">
        <f>_xlfn.XLOOKUP(Total[[#This Row],[Hebras]],TbTecnologia[Hebras],TbTecnologia[Tecnología])</f>
        <v>CUDA</v>
      </c>
      <c r="D725" s="15" t="str" cm="1">
        <f t="array" ref="D725">_xlfn.XLOOKUP(Total[[#This Row],[Tecnología]]&amp;Total[[#This Row],[Metodo]],TbTipos[Tecnología]&amp;TbTipos[Metodo],TbTipos[Tipo])</f>
        <v>CUDA con graph</v>
      </c>
      <c r="E725" s="15" t="str" cm="1">
        <f t="array" ref="E725">_xlfn.XLOOKUP(Total[[#This Row],[Tecnología]]&amp;Total[[#This Row],[Problema]],TbNombres[Tecnología]&amp;TbNombres[Problema],TbNombres[Nombre])</f>
        <v>Advdiff1d</v>
      </c>
      <c r="F725" s="17">
        <v>2</v>
      </c>
      <c r="G725" s="17">
        <v>3</v>
      </c>
      <c r="H725" s="17">
        <v>256</v>
      </c>
      <c r="I725" s="17">
        <v>400000</v>
      </c>
      <c r="J725" s="17">
        <v>400000</v>
      </c>
      <c r="K725" s="17">
        <v>544.51099999999997</v>
      </c>
    </row>
    <row r="726" spans="2:11" x14ac:dyDescent="0.2">
      <c r="B726" s="26" t="str">
        <f>_xlfn.XLOOKUP(Total[[#This Row],[Metodo]],TbSolver[Metodo],TbSolver[Solver])</f>
        <v>Runge Kutta</v>
      </c>
      <c r="C726" s="26" t="str">
        <f>_xlfn.XLOOKUP(Total[[#This Row],[Hebras]],TbTecnologia[Hebras],TbTecnologia[Tecnología])</f>
        <v>CUDA</v>
      </c>
      <c r="D726" s="15" t="str" cm="1">
        <f t="array" ref="D726">_xlfn.XLOOKUP(Total[[#This Row],[Tecnología]]&amp;Total[[#This Row],[Metodo]],TbTipos[Tecnología]&amp;TbTipos[Metodo],TbTipos[Tipo])</f>
        <v>CUDA con graph</v>
      </c>
      <c r="E726" s="15" t="str" cm="1">
        <f t="array" ref="E726">_xlfn.XLOOKUP(Total[[#This Row],[Tecnología]]&amp;Total[[#This Row],[Problema]],TbNombres[Tecnología]&amp;TbNombres[Problema],TbNombres[Nombre])</f>
        <v>Advdiff1d</v>
      </c>
      <c r="F726" s="17">
        <v>2</v>
      </c>
      <c r="G726" s="17">
        <v>3</v>
      </c>
      <c r="H726" s="17">
        <v>256</v>
      </c>
      <c r="I726" s="17">
        <v>450000</v>
      </c>
      <c r="J726" s="17">
        <v>450000</v>
      </c>
      <c r="K726" s="17">
        <v>618.33900000000006</v>
      </c>
    </row>
    <row r="727" spans="2:11" x14ac:dyDescent="0.2">
      <c r="B727" s="26" t="str">
        <f>_xlfn.XLOOKUP(Total[[#This Row],[Metodo]],TbSolver[Metodo],TbSolver[Solver])</f>
        <v>Runge Kutta</v>
      </c>
      <c r="C727" s="26" t="str">
        <f>_xlfn.XLOOKUP(Total[[#This Row],[Hebras]],TbTecnologia[Hebras],TbTecnologia[Tecnología])</f>
        <v>CUDA</v>
      </c>
      <c r="D727" s="15" t="str" cm="1">
        <f t="array" ref="D727">_xlfn.XLOOKUP(Total[[#This Row],[Tecnología]]&amp;Total[[#This Row],[Metodo]],TbTipos[Tecnología]&amp;TbTipos[Metodo],TbTipos[Tipo])</f>
        <v>CUDA con graph</v>
      </c>
      <c r="E727" s="15" t="str" cm="1">
        <f t="array" ref="E727">_xlfn.XLOOKUP(Total[[#This Row],[Tecnología]]&amp;Total[[#This Row],[Problema]],TbNombres[Tecnología]&amp;TbNombres[Problema],TbNombres[Nombre])</f>
        <v>Advdiff1d</v>
      </c>
      <c r="F727" s="17">
        <v>2</v>
      </c>
      <c r="G727" s="17">
        <v>3</v>
      </c>
      <c r="H727" s="17">
        <v>256</v>
      </c>
      <c r="I727" s="17">
        <v>500000</v>
      </c>
      <c r="J727" s="17">
        <v>500000</v>
      </c>
      <c r="K727" s="17">
        <v>690.38900000000001</v>
      </c>
    </row>
    <row r="728" spans="2:11" x14ac:dyDescent="0.2">
      <c r="B728" s="26" t="str">
        <f>_xlfn.XLOOKUP(Total[[#This Row],[Metodo]],TbSolver[Metodo],TbSolver[Solver])</f>
        <v>Runge Kutta</v>
      </c>
      <c r="C728" s="26" t="str">
        <f>_xlfn.XLOOKUP(Total[[#This Row],[Hebras]],TbTecnologia[Hebras],TbTecnologia[Tecnología])</f>
        <v>CUDA</v>
      </c>
      <c r="D728" s="15" t="str" cm="1">
        <f t="array" ref="D728">_xlfn.XLOOKUP(Total[[#This Row],[Tecnología]]&amp;Total[[#This Row],[Metodo]],TbTipos[Tecnología]&amp;TbTipos[Metodo],TbTipos[Tipo])</f>
        <v>CUDA con graph</v>
      </c>
      <c r="E728" s="15" t="str" cm="1">
        <f t="array" ref="E728">_xlfn.XLOOKUP(Total[[#This Row],[Tecnología]]&amp;Total[[#This Row],[Problema]],TbNombres[Tecnología]&amp;TbNombres[Problema],TbNombres[Nombre])</f>
        <v>Brusselator1d</v>
      </c>
      <c r="F728" s="17">
        <v>2</v>
      </c>
      <c r="G728" s="17">
        <v>5</v>
      </c>
      <c r="H728" s="17">
        <v>256</v>
      </c>
      <c r="I728" s="17">
        <v>10000</v>
      </c>
      <c r="J728" s="17">
        <v>20000</v>
      </c>
      <c r="K728" s="17">
        <v>18.899000000000001</v>
      </c>
    </row>
    <row r="729" spans="2:11" x14ac:dyDescent="0.2">
      <c r="B729" s="26" t="str">
        <f>_xlfn.XLOOKUP(Total[[#This Row],[Metodo]],TbSolver[Metodo],TbSolver[Solver])</f>
        <v>Runge Kutta</v>
      </c>
      <c r="C729" s="26" t="str">
        <f>_xlfn.XLOOKUP(Total[[#This Row],[Hebras]],TbTecnologia[Hebras],TbTecnologia[Tecnología])</f>
        <v>CUDA</v>
      </c>
      <c r="D729" s="15" t="str" cm="1">
        <f t="array" ref="D729">_xlfn.XLOOKUP(Total[[#This Row],[Tecnología]]&amp;Total[[#This Row],[Metodo]],TbTipos[Tecnología]&amp;TbTipos[Metodo],TbTipos[Tipo])</f>
        <v>CUDA con graph</v>
      </c>
      <c r="E729" s="15" t="str" cm="1">
        <f t="array" ref="E729">_xlfn.XLOOKUP(Total[[#This Row],[Tecnología]]&amp;Total[[#This Row],[Problema]],TbNombres[Tecnología]&amp;TbNombres[Problema],TbNombres[Nombre])</f>
        <v>Brusselator1d</v>
      </c>
      <c r="F729" s="17">
        <v>2</v>
      </c>
      <c r="G729" s="17">
        <v>5</v>
      </c>
      <c r="H729" s="17">
        <v>256</v>
      </c>
      <c r="I729" s="17">
        <v>20000</v>
      </c>
      <c r="J729" s="17">
        <v>40000</v>
      </c>
      <c r="K729" s="17">
        <v>24.3675</v>
      </c>
    </row>
    <row r="730" spans="2:11" x14ac:dyDescent="0.2">
      <c r="B730" s="26" t="str">
        <f>_xlfn.XLOOKUP(Total[[#This Row],[Metodo]],TbSolver[Metodo],TbSolver[Solver])</f>
        <v>Runge Kutta</v>
      </c>
      <c r="C730" s="26" t="str">
        <f>_xlfn.XLOOKUP(Total[[#This Row],[Hebras]],TbTecnologia[Hebras],TbTecnologia[Tecnología])</f>
        <v>CUDA</v>
      </c>
      <c r="D730" s="15" t="str" cm="1">
        <f t="array" ref="D730">_xlfn.XLOOKUP(Total[[#This Row],[Tecnología]]&amp;Total[[#This Row],[Metodo]],TbTipos[Tecnología]&amp;TbTipos[Metodo],TbTipos[Tipo])</f>
        <v>CUDA con graph</v>
      </c>
      <c r="E730" s="15" t="str" cm="1">
        <f t="array" ref="E730">_xlfn.XLOOKUP(Total[[#This Row],[Tecnología]]&amp;Total[[#This Row],[Problema]],TbNombres[Tecnología]&amp;TbNombres[Problema],TbNombres[Nombre])</f>
        <v>Brusselator1d</v>
      </c>
      <c r="F730" s="17">
        <v>2</v>
      </c>
      <c r="G730" s="17">
        <v>5</v>
      </c>
      <c r="H730" s="17">
        <v>256</v>
      </c>
      <c r="I730" s="17">
        <v>50000</v>
      </c>
      <c r="J730" s="17">
        <v>100000</v>
      </c>
      <c r="K730" s="17">
        <v>39.9285</v>
      </c>
    </row>
    <row r="731" spans="2:11" x14ac:dyDescent="0.2">
      <c r="B731" s="26" t="str">
        <f>_xlfn.XLOOKUP(Total[[#This Row],[Metodo]],TbSolver[Metodo],TbSolver[Solver])</f>
        <v>Runge Kutta</v>
      </c>
      <c r="C731" s="26" t="str">
        <f>_xlfn.XLOOKUP(Total[[#This Row],[Hebras]],TbTecnologia[Hebras],TbTecnologia[Tecnología])</f>
        <v>CUDA</v>
      </c>
      <c r="D731" s="15" t="str" cm="1">
        <f t="array" ref="D731">_xlfn.XLOOKUP(Total[[#This Row],[Tecnología]]&amp;Total[[#This Row],[Metodo]],TbTipos[Tecnología]&amp;TbTipos[Metodo],TbTipos[Tipo])</f>
        <v>CUDA con graph</v>
      </c>
      <c r="E731" s="15" t="str" cm="1">
        <f t="array" ref="E731">_xlfn.XLOOKUP(Total[[#This Row],[Tecnología]]&amp;Total[[#This Row],[Problema]],TbNombres[Tecnología]&amp;TbNombres[Problema],TbNombres[Nombre])</f>
        <v>Brusselator1d</v>
      </c>
      <c r="F731" s="17">
        <v>2</v>
      </c>
      <c r="G731" s="17">
        <v>5</v>
      </c>
      <c r="H731" s="17">
        <v>256</v>
      </c>
      <c r="I731" s="17">
        <v>75000</v>
      </c>
      <c r="J731" s="17">
        <v>150000</v>
      </c>
      <c r="K731" s="17">
        <v>62.948599999999999</v>
      </c>
    </row>
    <row r="732" spans="2:11" x14ac:dyDescent="0.2">
      <c r="B732" s="26" t="str">
        <f>_xlfn.XLOOKUP(Total[[#This Row],[Metodo]],TbSolver[Metodo],TbSolver[Solver])</f>
        <v>Runge Kutta</v>
      </c>
      <c r="C732" s="26" t="str">
        <f>_xlfn.XLOOKUP(Total[[#This Row],[Hebras]],TbTecnologia[Hebras],TbTecnologia[Tecnología])</f>
        <v>CUDA</v>
      </c>
      <c r="D732" s="15" t="str" cm="1">
        <f t="array" ref="D732">_xlfn.XLOOKUP(Total[[#This Row],[Tecnología]]&amp;Total[[#This Row],[Metodo]],TbTipos[Tecnología]&amp;TbTipos[Metodo],TbTipos[Tipo])</f>
        <v>CUDA con graph</v>
      </c>
      <c r="E732" s="15" t="str" cm="1">
        <f t="array" ref="E732">_xlfn.XLOOKUP(Total[[#This Row],[Tecnología]]&amp;Total[[#This Row],[Problema]],TbNombres[Tecnología]&amp;TbNombres[Problema],TbNombres[Nombre])</f>
        <v>Brusselator1d</v>
      </c>
      <c r="F732" s="17">
        <v>2</v>
      </c>
      <c r="G732" s="17">
        <v>5</v>
      </c>
      <c r="H732" s="17">
        <v>256</v>
      </c>
      <c r="I732" s="17">
        <v>100000</v>
      </c>
      <c r="J732" s="17">
        <v>200000</v>
      </c>
      <c r="K732" s="17">
        <v>85.591800000000006</v>
      </c>
    </row>
    <row r="733" spans="2:11" x14ac:dyDescent="0.2">
      <c r="B733" s="26" t="str">
        <f>_xlfn.XLOOKUP(Total[[#This Row],[Metodo]],TbSolver[Metodo],TbSolver[Solver])</f>
        <v>Runge Kutta</v>
      </c>
      <c r="C733" s="26" t="str">
        <f>_xlfn.XLOOKUP(Total[[#This Row],[Hebras]],TbTecnologia[Hebras],TbTecnologia[Tecnología])</f>
        <v>CUDA</v>
      </c>
      <c r="D733" s="15" t="str" cm="1">
        <f t="array" ref="D733">_xlfn.XLOOKUP(Total[[#This Row],[Tecnología]]&amp;Total[[#This Row],[Metodo]],TbTipos[Tecnología]&amp;TbTipos[Metodo],TbTipos[Tipo])</f>
        <v>CUDA con graph</v>
      </c>
      <c r="E733" s="15" t="str" cm="1">
        <f t="array" ref="E733">_xlfn.XLOOKUP(Total[[#This Row],[Tecnología]]&amp;Total[[#This Row],[Problema]],TbNombres[Tecnología]&amp;TbNombres[Problema],TbNombres[Nombre])</f>
        <v>Brusselator1d</v>
      </c>
      <c r="F733" s="17">
        <v>2</v>
      </c>
      <c r="G733" s="17">
        <v>5</v>
      </c>
      <c r="H733" s="17">
        <v>256</v>
      </c>
      <c r="I733" s="17">
        <v>150000</v>
      </c>
      <c r="J733" s="17">
        <v>300000</v>
      </c>
      <c r="K733" s="17">
        <v>136.15</v>
      </c>
    </row>
    <row r="734" spans="2:11" x14ac:dyDescent="0.2">
      <c r="B734" s="26" t="str">
        <f>_xlfn.XLOOKUP(Total[[#This Row],[Metodo]],TbSolver[Metodo],TbSolver[Solver])</f>
        <v>Runge Kutta</v>
      </c>
      <c r="C734" s="26" t="str">
        <f>_xlfn.XLOOKUP(Total[[#This Row],[Hebras]],TbTecnologia[Hebras],TbTecnologia[Tecnología])</f>
        <v>CUDA</v>
      </c>
      <c r="D734" s="15" t="str" cm="1">
        <f t="array" ref="D734">_xlfn.XLOOKUP(Total[[#This Row],[Tecnología]]&amp;Total[[#This Row],[Metodo]],TbTipos[Tecnología]&amp;TbTipos[Metodo],TbTipos[Tipo])</f>
        <v>CUDA con graph</v>
      </c>
      <c r="E734" s="15" t="str" cm="1">
        <f t="array" ref="E734">_xlfn.XLOOKUP(Total[[#This Row],[Tecnología]]&amp;Total[[#This Row],[Problema]],TbNombres[Tecnología]&amp;TbNombres[Problema],TbNombres[Nombre])</f>
        <v>Brusselator1d</v>
      </c>
      <c r="F734" s="17">
        <v>2</v>
      </c>
      <c r="G734" s="17">
        <v>5</v>
      </c>
      <c r="H734" s="17">
        <v>256</v>
      </c>
      <c r="I734" s="17">
        <v>200000</v>
      </c>
      <c r="J734" s="17">
        <v>400000</v>
      </c>
      <c r="K734" s="17">
        <v>190.59800000000001</v>
      </c>
    </row>
    <row r="735" spans="2:11" x14ac:dyDescent="0.2">
      <c r="B735" s="26" t="str">
        <f>_xlfn.XLOOKUP(Total[[#This Row],[Metodo]],TbSolver[Metodo],TbSolver[Solver])</f>
        <v>Runge Kutta</v>
      </c>
      <c r="C735" s="26" t="str">
        <f>_xlfn.XLOOKUP(Total[[#This Row],[Hebras]],TbTecnologia[Hebras],TbTecnologia[Tecnología])</f>
        <v>CUDA</v>
      </c>
      <c r="D735" s="15" t="str" cm="1">
        <f t="array" ref="D735">_xlfn.XLOOKUP(Total[[#This Row],[Tecnología]]&amp;Total[[#This Row],[Metodo]],TbTipos[Tecnología]&amp;TbTipos[Metodo],TbTipos[Tipo])</f>
        <v>CUDA con graph</v>
      </c>
      <c r="E735" s="15" t="str" cm="1">
        <f t="array" ref="E735">_xlfn.XLOOKUP(Total[[#This Row],[Tecnología]]&amp;Total[[#This Row],[Problema]],TbNombres[Tecnología]&amp;TbNombres[Problema],TbNombres[Nombre])</f>
        <v>Brusselator1d</v>
      </c>
      <c r="F735" s="17">
        <v>2</v>
      </c>
      <c r="G735" s="17">
        <v>5</v>
      </c>
      <c r="H735" s="17">
        <v>256</v>
      </c>
      <c r="I735" s="17">
        <v>250000</v>
      </c>
      <c r="J735" s="17">
        <v>500000</v>
      </c>
      <c r="K735" s="17">
        <v>241.274</v>
      </c>
    </row>
    <row r="736" spans="2:11" x14ac:dyDescent="0.2">
      <c r="B736" s="26" t="str">
        <f>_xlfn.XLOOKUP(Total[[#This Row],[Metodo]],TbSolver[Metodo],TbSolver[Solver])</f>
        <v>Runge Kutta</v>
      </c>
      <c r="C736" s="26" t="str">
        <f>_xlfn.XLOOKUP(Total[[#This Row],[Hebras]],TbTecnologia[Hebras],TbTecnologia[Tecnología])</f>
        <v>CUDA</v>
      </c>
      <c r="D736" s="15" t="str" cm="1">
        <f t="array" ref="D736">_xlfn.XLOOKUP(Total[[#This Row],[Tecnología]]&amp;Total[[#This Row],[Metodo]],TbTipos[Tecnología]&amp;TbTipos[Metodo],TbTipos[Tipo])</f>
        <v>CUDA con graph</v>
      </c>
      <c r="E736" s="15" t="str" cm="1">
        <f t="array" ref="E736">_xlfn.XLOOKUP(Total[[#This Row],[Tecnología]]&amp;Total[[#This Row],[Problema]],TbNombres[Tecnología]&amp;TbNombres[Problema],TbNombres[Nombre])</f>
        <v>Brusselator1d</v>
      </c>
      <c r="F736" s="17">
        <v>2</v>
      </c>
      <c r="G736" s="17">
        <v>5</v>
      </c>
      <c r="H736" s="17">
        <v>256</v>
      </c>
      <c r="I736" s="17">
        <v>300000</v>
      </c>
      <c r="J736" s="17">
        <v>600000</v>
      </c>
      <c r="K736" s="17">
        <v>286.33699999999999</v>
      </c>
    </row>
    <row r="737" spans="2:11" x14ac:dyDescent="0.2">
      <c r="B737" s="26" t="str">
        <f>_xlfn.XLOOKUP(Total[[#This Row],[Metodo]],TbSolver[Metodo],TbSolver[Solver])</f>
        <v>Runge Kutta</v>
      </c>
      <c r="C737" s="26" t="str">
        <f>_xlfn.XLOOKUP(Total[[#This Row],[Hebras]],TbTecnologia[Hebras],TbTecnologia[Tecnología])</f>
        <v>CUDA</v>
      </c>
      <c r="D737" s="15" t="str" cm="1">
        <f t="array" ref="D737">_xlfn.XLOOKUP(Total[[#This Row],[Tecnología]]&amp;Total[[#This Row],[Metodo]],TbTipos[Tecnología]&amp;TbTipos[Metodo],TbTipos[Tipo])</f>
        <v>CUDA con graph</v>
      </c>
      <c r="E737" s="15" t="str" cm="1">
        <f t="array" ref="E737">_xlfn.XLOOKUP(Total[[#This Row],[Tecnología]]&amp;Total[[#This Row],[Problema]],TbNombres[Tecnología]&amp;TbNombres[Problema],TbNombres[Nombre])</f>
        <v>Brusselator1d</v>
      </c>
      <c r="F737" s="17">
        <v>2</v>
      </c>
      <c r="G737" s="17">
        <v>5</v>
      </c>
      <c r="H737" s="17">
        <v>256</v>
      </c>
      <c r="I737" s="17">
        <v>350000</v>
      </c>
      <c r="J737" s="17">
        <v>700000</v>
      </c>
      <c r="K737" s="17">
        <v>330.11399999999998</v>
      </c>
    </row>
    <row r="738" spans="2:11" x14ac:dyDescent="0.2">
      <c r="B738" s="26" t="str">
        <f>_xlfn.XLOOKUP(Total[[#This Row],[Metodo]],TbSolver[Metodo],TbSolver[Solver])</f>
        <v>Runge Kutta</v>
      </c>
      <c r="C738" s="26" t="str">
        <f>_xlfn.XLOOKUP(Total[[#This Row],[Hebras]],TbTecnologia[Hebras],TbTecnologia[Tecnología])</f>
        <v>CUDA</v>
      </c>
      <c r="D738" s="15" t="str" cm="1">
        <f t="array" ref="D738">_xlfn.XLOOKUP(Total[[#This Row],[Tecnología]]&amp;Total[[#This Row],[Metodo]],TbTipos[Tecnología]&amp;TbTipos[Metodo],TbTipos[Tipo])</f>
        <v>CUDA con graph</v>
      </c>
      <c r="E738" s="15" t="str" cm="1">
        <f t="array" ref="E738">_xlfn.XLOOKUP(Total[[#This Row],[Tecnología]]&amp;Total[[#This Row],[Problema]],TbNombres[Tecnología]&amp;TbNombres[Problema],TbNombres[Nombre])</f>
        <v>Brusselator1d</v>
      </c>
      <c r="F738" s="17">
        <v>2</v>
      </c>
      <c r="G738" s="17">
        <v>5</v>
      </c>
      <c r="H738" s="17">
        <v>256</v>
      </c>
      <c r="I738" s="17">
        <v>400000</v>
      </c>
      <c r="J738" s="17">
        <v>800000</v>
      </c>
      <c r="K738" s="17">
        <v>373.81</v>
      </c>
    </row>
    <row r="739" spans="2:11" x14ac:dyDescent="0.2">
      <c r="B739" s="26" t="str">
        <f>_xlfn.XLOOKUP(Total[[#This Row],[Metodo]],TbSolver[Metodo],TbSolver[Solver])</f>
        <v>Runge Kutta</v>
      </c>
      <c r="C739" s="26" t="str">
        <f>_xlfn.XLOOKUP(Total[[#This Row],[Hebras]],TbTecnologia[Hebras],TbTecnologia[Tecnología])</f>
        <v>CUDA</v>
      </c>
      <c r="D739" s="15" t="str" cm="1">
        <f t="array" ref="D739">_xlfn.XLOOKUP(Total[[#This Row],[Tecnología]]&amp;Total[[#This Row],[Metodo]],TbTipos[Tecnología]&amp;TbTipos[Metodo],TbTipos[Tipo])</f>
        <v>CUDA con graph</v>
      </c>
      <c r="E739" s="15" t="str" cm="1">
        <f t="array" ref="E739">_xlfn.XLOOKUP(Total[[#This Row],[Tecnología]]&amp;Total[[#This Row],[Problema]],TbNombres[Tecnología]&amp;TbNombres[Problema],TbNombres[Nombre])</f>
        <v>Brusselator1d</v>
      </c>
      <c r="F739" s="17">
        <v>2</v>
      </c>
      <c r="G739" s="17">
        <v>5</v>
      </c>
      <c r="H739" s="17">
        <v>256</v>
      </c>
      <c r="I739" s="17">
        <v>450000</v>
      </c>
      <c r="J739" s="17">
        <v>900000</v>
      </c>
      <c r="K739" s="17">
        <v>418.26100000000002</v>
      </c>
    </row>
    <row r="740" spans="2:11" x14ac:dyDescent="0.2">
      <c r="B740" s="26" t="str">
        <f>_xlfn.XLOOKUP(Total[[#This Row],[Metodo]],TbSolver[Metodo],TbSolver[Solver])</f>
        <v>Runge Kutta</v>
      </c>
      <c r="C740" s="26" t="str">
        <f>_xlfn.XLOOKUP(Total[[#This Row],[Hebras]],TbTecnologia[Hebras],TbTecnologia[Tecnología])</f>
        <v>CUDA</v>
      </c>
      <c r="D740" s="15" t="str" cm="1">
        <f t="array" ref="D740">_xlfn.XLOOKUP(Total[[#This Row],[Tecnología]]&amp;Total[[#This Row],[Metodo]],TbTipos[Tecnología]&amp;TbTipos[Metodo],TbTipos[Tipo])</f>
        <v>CUDA con graph</v>
      </c>
      <c r="E740" s="15" t="str" cm="1">
        <f t="array" ref="E740">_xlfn.XLOOKUP(Total[[#This Row],[Tecnología]]&amp;Total[[#This Row],[Problema]],TbNombres[Tecnología]&amp;TbNombres[Problema],TbNombres[Nombre])</f>
        <v>Brusselator1d</v>
      </c>
      <c r="F740" s="17">
        <v>2</v>
      </c>
      <c r="G740" s="17">
        <v>5</v>
      </c>
      <c r="H740" s="17">
        <v>256</v>
      </c>
      <c r="I740" s="17">
        <v>500000</v>
      </c>
      <c r="J740" s="17">
        <v>1000000</v>
      </c>
      <c r="K740" s="17">
        <v>463.78100000000001</v>
      </c>
    </row>
    <row r="741" spans="2:11" x14ac:dyDescent="0.2">
      <c r="B741" s="26" t="str">
        <f>_xlfn.XLOOKUP(Total[[#This Row],[Metodo]],TbSolver[Metodo],TbSolver[Solver])</f>
        <v>Runge Kutta</v>
      </c>
      <c r="C741" s="26" t="str">
        <f>_xlfn.XLOOKUP(Total[[#This Row],[Hebras]],TbTecnologia[Hebras],TbTecnologia[Tecnología])</f>
        <v>CUDA</v>
      </c>
      <c r="D741" s="15" t="str" cm="1">
        <f t="array" ref="D741">_xlfn.XLOOKUP(Total[[#This Row],[Tecnología]]&amp;Total[[#This Row],[Metodo]],TbTipos[Tecnología]&amp;TbTipos[Metodo],TbTipos[Tipo])</f>
        <v>CUDA con graph</v>
      </c>
      <c r="E741" s="15" t="str" cm="1">
        <f t="array" ref="E741">_xlfn.XLOOKUP(Total[[#This Row],[Tecnología]]&amp;Total[[#This Row],[Problema]],TbNombres[Tecnología]&amp;TbNombres[Problema],TbNombres[Nombre])</f>
        <v>Brusselator1d grid</v>
      </c>
      <c r="F741" s="17">
        <v>2</v>
      </c>
      <c r="G741" s="17">
        <v>7</v>
      </c>
      <c r="H741" s="17">
        <v>256</v>
      </c>
      <c r="I741" s="17">
        <v>250</v>
      </c>
      <c r="J741" s="17">
        <v>500</v>
      </c>
      <c r="K741" s="17">
        <v>13.885</v>
      </c>
    </row>
    <row r="742" spans="2:11" x14ac:dyDescent="0.2">
      <c r="B742" s="26" t="str">
        <f>_xlfn.XLOOKUP(Total[[#This Row],[Metodo]],TbSolver[Metodo],TbSolver[Solver])</f>
        <v>Runge Kutta</v>
      </c>
      <c r="C742" s="26" t="str">
        <f>_xlfn.XLOOKUP(Total[[#This Row],[Hebras]],TbTecnologia[Hebras],TbTecnologia[Tecnología])</f>
        <v>CUDA</v>
      </c>
      <c r="D742" s="15" t="str" cm="1">
        <f t="array" ref="D742">_xlfn.XLOOKUP(Total[[#This Row],[Tecnología]]&amp;Total[[#This Row],[Metodo]],TbTipos[Tecnología]&amp;TbTipos[Metodo],TbTipos[Tipo])</f>
        <v>CUDA con graph</v>
      </c>
      <c r="E742" s="15" t="str" cm="1">
        <f t="array" ref="E742">_xlfn.XLOOKUP(Total[[#This Row],[Tecnología]]&amp;Total[[#This Row],[Problema]],TbNombres[Tecnología]&amp;TbNombres[Problema],TbNombres[Nombre])</f>
        <v>Brusselator1d grid</v>
      </c>
      <c r="F742" s="17">
        <v>2</v>
      </c>
      <c r="G742" s="17">
        <v>7</v>
      </c>
      <c r="H742" s="17">
        <v>256</v>
      </c>
      <c r="I742" s="17">
        <v>300</v>
      </c>
      <c r="J742" s="17">
        <v>600</v>
      </c>
      <c r="K742" s="17">
        <v>13.9244</v>
      </c>
    </row>
    <row r="743" spans="2:11" x14ac:dyDescent="0.2">
      <c r="B743" s="26" t="str">
        <f>_xlfn.XLOOKUP(Total[[#This Row],[Metodo]],TbSolver[Metodo],TbSolver[Solver])</f>
        <v>Runge Kutta</v>
      </c>
      <c r="C743" s="26" t="str">
        <f>_xlfn.XLOOKUP(Total[[#This Row],[Hebras]],TbTecnologia[Hebras],TbTecnologia[Tecnología])</f>
        <v>CUDA</v>
      </c>
      <c r="D743" s="15" t="str" cm="1">
        <f t="array" ref="D743">_xlfn.XLOOKUP(Total[[#This Row],[Tecnología]]&amp;Total[[#This Row],[Metodo]],TbTipos[Tecnología]&amp;TbTipos[Metodo],TbTipos[Tipo])</f>
        <v>CUDA con graph</v>
      </c>
      <c r="E743" s="15" t="str" cm="1">
        <f t="array" ref="E743">_xlfn.XLOOKUP(Total[[#This Row],[Tecnología]]&amp;Total[[#This Row],[Problema]],TbNombres[Tecnología]&amp;TbNombres[Problema],TbNombres[Nombre])</f>
        <v>Brusselator1d grid</v>
      </c>
      <c r="F743" s="17">
        <v>2</v>
      </c>
      <c r="G743" s="17">
        <v>7</v>
      </c>
      <c r="H743" s="17">
        <v>256</v>
      </c>
      <c r="I743" s="17">
        <v>150</v>
      </c>
      <c r="J743" s="17">
        <v>300</v>
      </c>
      <c r="K743" s="17">
        <v>13.928699999999999</v>
      </c>
    </row>
    <row r="744" spans="2:11" x14ac:dyDescent="0.2">
      <c r="B744" s="26" t="str">
        <f>_xlfn.XLOOKUP(Total[[#This Row],[Metodo]],TbSolver[Metodo],TbSolver[Solver])</f>
        <v>Runge Kutta</v>
      </c>
      <c r="C744" s="26" t="str">
        <f>_xlfn.XLOOKUP(Total[[#This Row],[Hebras]],TbTecnologia[Hebras],TbTecnologia[Tecnología])</f>
        <v>CUDA</v>
      </c>
      <c r="D744" s="15" t="str" cm="1">
        <f t="array" ref="D744">_xlfn.XLOOKUP(Total[[#This Row],[Tecnología]]&amp;Total[[#This Row],[Metodo]],TbTipos[Tecnología]&amp;TbTipos[Metodo],TbTipos[Tipo])</f>
        <v>CUDA con graph</v>
      </c>
      <c r="E744" s="15" t="str" cm="1">
        <f t="array" ref="E744">_xlfn.XLOOKUP(Total[[#This Row],[Tecnología]]&amp;Total[[#This Row],[Problema]],TbNombres[Tecnología]&amp;TbNombres[Problema],TbNombres[Nombre])</f>
        <v>Brusselator1d grid</v>
      </c>
      <c r="F744" s="17">
        <v>2</v>
      </c>
      <c r="G744" s="17">
        <v>7</v>
      </c>
      <c r="H744" s="17">
        <v>256</v>
      </c>
      <c r="I744" s="17">
        <v>350</v>
      </c>
      <c r="J744" s="17">
        <v>700</v>
      </c>
      <c r="K744" s="17">
        <v>13.954800000000001</v>
      </c>
    </row>
    <row r="745" spans="2:11" x14ac:dyDescent="0.2">
      <c r="B745" s="26" t="str">
        <f>_xlfn.XLOOKUP(Total[[#This Row],[Metodo]],TbSolver[Metodo],TbSolver[Solver])</f>
        <v>Runge Kutta</v>
      </c>
      <c r="C745" s="26" t="str">
        <f>_xlfn.XLOOKUP(Total[[#This Row],[Hebras]],TbTecnologia[Hebras],TbTecnologia[Tecnología])</f>
        <v>CUDA</v>
      </c>
      <c r="D745" s="15" t="str" cm="1">
        <f t="array" ref="D745">_xlfn.XLOOKUP(Total[[#This Row],[Tecnología]]&amp;Total[[#This Row],[Metodo]],TbTipos[Tecnología]&amp;TbTipos[Metodo],TbTipos[Tipo])</f>
        <v>CUDA con graph</v>
      </c>
      <c r="E745" s="15" t="str" cm="1">
        <f t="array" ref="E745">_xlfn.XLOOKUP(Total[[#This Row],[Tecnología]]&amp;Total[[#This Row],[Problema]],TbNombres[Tecnología]&amp;TbNombres[Problema],TbNombres[Nombre])</f>
        <v>Brusselator1d grid</v>
      </c>
      <c r="F745" s="17">
        <v>2</v>
      </c>
      <c r="G745" s="17">
        <v>7</v>
      </c>
      <c r="H745" s="17">
        <v>256</v>
      </c>
      <c r="I745" s="17">
        <v>400</v>
      </c>
      <c r="J745" s="17">
        <v>800</v>
      </c>
      <c r="K745" s="17">
        <v>14.0098</v>
      </c>
    </row>
    <row r="746" spans="2:11" x14ac:dyDescent="0.2">
      <c r="B746" s="26" t="str">
        <f>_xlfn.XLOOKUP(Total[[#This Row],[Metodo]],TbSolver[Metodo],TbSolver[Solver])</f>
        <v>Runge Kutta</v>
      </c>
      <c r="C746" s="26" t="str">
        <f>_xlfn.XLOOKUP(Total[[#This Row],[Hebras]],TbTecnologia[Hebras],TbTecnologia[Tecnología])</f>
        <v>CUDA</v>
      </c>
      <c r="D746" s="15" t="str" cm="1">
        <f t="array" ref="D746">_xlfn.XLOOKUP(Total[[#This Row],[Tecnología]]&amp;Total[[#This Row],[Metodo]],TbTipos[Tecnología]&amp;TbTipos[Metodo],TbTipos[Tipo])</f>
        <v>CUDA con graph</v>
      </c>
      <c r="E746" s="15" t="str" cm="1">
        <f t="array" ref="E746">_xlfn.XLOOKUP(Total[[#This Row],[Tecnología]]&amp;Total[[#This Row],[Problema]],TbNombres[Tecnología]&amp;TbNombres[Problema],TbNombres[Nombre])</f>
        <v>Brusselator1d grid</v>
      </c>
      <c r="F746" s="17">
        <v>2</v>
      </c>
      <c r="G746" s="17">
        <v>7</v>
      </c>
      <c r="H746" s="17">
        <v>256</v>
      </c>
      <c r="I746" s="17">
        <v>450</v>
      </c>
      <c r="J746" s="17">
        <v>900</v>
      </c>
      <c r="K746" s="17">
        <v>14.026</v>
      </c>
    </row>
    <row r="747" spans="2:11" x14ac:dyDescent="0.2">
      <c r="B747" s="26" t="str">
        <f>_xlfn.XLOOKUP(Total[[#This Row],[Metodo]],TbSolver[Metodo],TbSolver[Solver])</f>
        <v>Runge Kutta</v>
      </c>
      <c r="C747" s="26" t="str">
        <f>_xlfn.XLOOKUP(Total[[#This Row],[Hebras]],TbTecnologia[Hebras],TbTecnologia[Tecnología])</f>
        <v>OMP</v>
      </c>
      <c r="D747" s="15" t="str" cm="1">
        <f t="array" ref="D747">_xlfn.XLOOKUP(Total[[#This Row],[Tecnología]]&amp;Total[[#This Row],[Metodo]],TbTipos[Tecnología]&amp;TbTipos[Metodo],TbTipos[Tipo])</f>
        <v>OMP Operaciones</v>
      </c>
      <c r="E747" s="15" t="str" cm="1">
        <f t="array" ref="E747">_xlfn.XLOOKUP(Total[[#This Row],[Tecnología]]&amp;Total[[#This Row],[Problema]],TbNombres[Tecnología]&amp;TbNombres[Problema],TbNombres[Nombre])</f>
        <v>Simple Advdiff</v>
      </c>
      <c r="F747" s="1">
        <v>1</v>
      </c>
      <c r="G747" s="1">
        <v>1</v>
      </c>
      <c r="H747" s="1">
        <v>1</v>
      </c>
      <c r="I747" s="1">
        <v>2000</v>
      </c>
      <c r="J747" s="1">
        <v>2000</v>
      </c>
      <c r="K747" s="1">
        <v>12.5032</v>
      </c>
    </row>
    <row r="748" spans="2:11" x14ac:dyDescent="0.2">
      <c r="B748" s="26" t="str">
        <f>_xlfn.XLOOKUP(Total[[#This Row],[Metodo]],TbSolver[Metodo],TbSolver[Solver])</f>
        <v>Runge Kutta</v>
      </c>
      <c r="C748" s="26" t="str">
        <f>_xlfn.XLOOKUP(Total[[#This Row],[Hebras]],TbTecnologia[Hebras],TbTecnologia[Tecnología])</f>
        <v>OMP</v>
      </c>
      <c r="D748" s="15" t="str" cm="1">
        <f t="array" ref="D748">_xlfn.XLOOKUP(Total[[#This Row],[Tecnología]]&amp;Total[[#This Row],[Metodo]],TbTipos[Tecnología]&amp;TbTipos[Metodo],TbTipos[Tipo])</f>
        <v>OMP Operaciones</v>
      </c>
      <c r="E748" s="15" t="str" cm="1">
        <f t="array" ref="E748">_xlfn.XLOOKUP(Total[[#This Row],[Tecnología]]&amp;Total[[#This Row],[Problema]],TbNombres[Tecnología]&amp;TbNombres[Problema],TbNombres[Nombre])</f>
        <v>Simple Advdiff</v>
      </c>
      <c r="F748" s="1">
        <v>1</v>
      </c>
      <c r="G748" s="1">
        <v>1</v>
      </c>
      <c r="H748" s="1">
        <v>4</v>
      </c>
      <c r="I748" s="1">
        <v>2000</v>
      </c>
      <c r="J748" s="1">
        <v>2000</v>
      </c>
      <c r="K748" s="1">
        <v>26.4908</v>
      </c>
    </row>
    <row r="749" spans="2:11" x14ac:dyDescent="0.2">
      <c r="B749" s="26" t="str">
        <f>_xlfn.XLOOKUP(Total[[#This Row],[Metodo]],TbSolver[Metodo],TbSolver[Solver])</f>
        <v>Runge Kutta</v>
      </c>
      <c r="C749" s="26" t="str">
        <f>_xlfn.XLOOKUP(Total[[#This Row],[Hebras]],TbTecnologia[Hebras],TbTecnologia[Tecnología])</f>
        <v>OMP</v>
      </c>
      <c r="D749" s="15" t="str" cm="1">
        <f t="array" ref="D749">_xlfn.XLOOKUP(Total[[#This Row],[Tecnología]]&amp;Total[[#This Row],[Metodo]],TbTipos[Tecnología]&amp;TbTipos[Metodo],TbTipos[Tipo])</f>
        <v>OMP Operaciones</v>
      </c>
      <c r="E749" s="15" t="str" cm="1">
        <f t="array" ref="E749">_xlfn.XLOOKUP(Total[[#This Row],[Tecnología]]&amp;Total[[#This Row],[Problema]],TbNombres[Tecnología]&amp;TbNombres[Problema],TbNombres[Nombre])</f>
        <v>Simple Advdiff</v>
      </c>
      <c r="F749" s="1">
        <v>1</v>
      </c>
      <c r="G749" s="1">
        <v>1</v>
      </c>
      <c r="H749" s="1">
        <v>16</v>
      </c>
      <c r="I749" s="1">
        <v>2000</v>
      </c>
      <c r="J749" s="1">
        <v>2000</v>
      </c>
      <c r="K749" s="1">
        <v>59.838799999999999</v>
      </c>
    </row>
    <row r="750" spans="2:11" x14ac:dyDescent="0.2">
      <c r="B750" s="26" t="str">
        <f>_xlfn.XLOOKUP(Total[[#This Row],[Metodo]],TbSolver[Metodo],TbSolver[Solver])</f>
        <v>Runge Kutta</v>
      </c>
      <c r="C750" s="26" t="str">
        <f>_xlfn.XLOOKUP(Total[[#This Row],[Hebras]],TbTecnologia[Hebras],TbTecnologia[Tecnología])</f>
        <v>OMP</v>
      </c>
      <c r="D750" s="15" t="str" cm="1">
        <f t="array" ref="D750">_xlfn.XLOOKUP(Total[[#This Row],[Tecnología]]&amp;Total[[#This Row],[Metodo]],TbTipos[Tecnología]&amp;TbTipos[Metodo],TbTipos[Tipo])</f>
        <v>OMP Operaciones</v>
      </c>
      <c r="E750" s="15" t="str" cm="1">
        <f t="array" ref="E750">_xlfn.XLOOKUP(Total[[#This Row],[Tecnología]]&amp;Total[[#This Row],[Problema]],TbNombres[Tecnología]&amp;TbNombres[Problema],TbNombres[Nombre])</f>
        <v>Advdiff1d</v>
      </c>
      <c r="F750" s="1">
        <v>1</v>
      </c>
      <c r="G750" s="1">
        <v>2</v>
      </c>
      <c r="H750" s="1">
        <v>1</v>
      </c>
      <c r="I750" s="1">
        <v>2000</v>
      </c>
      <c r="J750" s="1">
        <v>2000</v>
      </c>
      <c r="K750" s="1">
        <v>178.887</v>
      </c>
    </row>
    <row r="751" spans="2:11" x14ac:dyDescent="0.2">
      <c r="B751" s="26" t="str">
        <f>_xlfn.XLOOKUP(Total[[#This Row],[Metodo]],TbSolver[Metodo],TbSolver[Solver])</f>
        <v>Runge Kutta</v>
      </c>
      <c r="C751" s="26" t="str">
        <f>_xlfn.XLOOKUP(Total[[#This Row],[Hebras]],TbTecnologia[Hebras],TbTecnologia[Tecnología])</f>
        <v>OMP</v>
      </c>
      <c r="D751" s="15" t="str" cm="1">
        <f t="array" ref="D751">_xlfn.XLOOKUP(Total[[#This Row],[Tecnología]]&amp;Total[[#This Row],[Metodo]],TbTipos[Tecnología]&amp;TbTipos[Metodo],TbTipos[Tipo])</f>
        <v>OMP Operaciones</v>
      </c>
      <c r="E751" s="15" t="str" cm="1">
        <f t="array" ref="E751">_xlfn.XLOOKUP(Total[[#This Row],[Tecnología]]&amp;Total[[#This Row],[Problema]],TbNombres[Tecnología]&amp;TbNombres[Problema],TbNombres[Nombre])</f>
        <v>Advdiff1d</v>
      </c>
      <c r="F751" s="1">
        <v>1</v>
      </c>
      <c r="G751" s="1">
        <v>2</v>
      </c>
      <c r="H751" s="1">
        <v>4</v>
      </c>
      <c r="I751" s="1">
        <v>2000</v>
      </c>
      <c r="J751" s="1">
        <v>2000</v>
      </c>
      <c r="K751" s="1">
        <v>85.378799999999998</v>
      </c>
    </row>
    <row r="752" spans="2:11" x14ac:dyDescent="0.2">
      <c r="B752" s="26" t="str">
        <f>_xlfn.XLOOKUP(Total[[#This Row],[Metodo]],TbSolver[Metodo],TbSolver[Solver])</f>
        <v>Runge Kutta</v>
      </c>
      <c r="C752" s="26" t="str">
        <f>_xlfn.XLOOKUP(Total[[#This Row],[Hebras]],TbTecnologia[Hebras],TbTecnologia[Tecnología])</f>
        <v>OMP</v>
      </c>
      <c r="D752" s="15" t="str" cm="1">
        <f t="array" ref="D752">_xlfn.XLOOKUP(Total[[#This Row],[Tecnología]]&amp;Total[[#This Row],[Metodo]],TbTipos[Tecnología]&amp;TbTipos[Metodo],TbTipos[Tipo])</f>
        <v>OMP Operaciones</v>
      </c>
      <c r="E752" s="15" t="str" cm="1">
        <f t="array" ref="E752">_xlfn.XLOOKUP(Total[[#This Row],[Tecnología]]&amp;Total[[#This Row],[Problema]],TbNombres[Tecnología]&amp;TbNombres[Problema],TbNombres[Nombre])</f>
        <v>Advdiff1d</v>
      </c>
      <c r="F752" s="1">
        <v>1</v>
      </c>
      <c r="G752" s="1">
        <v>2</v>
      </c>
      <c r="H752" s="1">
        <v>16</v>
      </c>
      <c r="I752" s="1">
        <v>2000</v>
      </c>
      <c r="J752" s="1">
        <v>2000</v>
      </c>
      <c r="K752" s="1">
        <v>98.411199999999994</v>
      </c>
    </row>
    <row r="753" spans="2:11" x14ac:dyDescent="0.2">
      <c r="B753" s="26" t="str">
        <f>_xlfn.XLOOKUP(Total[[#This Row],[Metodo]],TbSolver[Metodo],TbSolver[Solver])</f>
        <v>Runge Kutta</v>
      </c>
      <c r="C753" s="26" t="str">
        <f>_xlfn.XLOOKUP(Total[[#This Row],[Hebras]],TbTecnologia[Hebras],TbTecnologia[Tecnología])</f>
        <v>OMP</v>
      </c>
      <c r="D753" s="15" t="str" cm="1">
        <f t="array" ref="D753">_xlfn.XLOOKUP(Total[[#This Row],[Tecnología]]&amp;Total[[#This Row],[Metodo]],TbTipos[Tecnología]&amp;TbTipos[Metodo],TbTipos[Tipo])</f>
        <v>OMP Operaciones</v>
      </c>
      <c r="E753" s="15" t="str" cm="1">
        <f t="array" ref="E753">_xlfn.XLOOKUP(Total[[#This Row],[Tecnología]]&amp;Total[[#This Row],[Problema]],TbNombres[Tecnología]&amp;TbNombres[Problema],TbNombres[Nombre])</f>
        <v>Brusselator1d</v>
      </c>
      <c r="F753" s="1">
        <v>1</v>
      </c>
      <c r="G753" s="1">
        <v>3</v>
      </c>
      <c r="H753" s="1">
        <v>1</v>
      </c>
      <c r="I753" s="1">
        <v>2000</v>
      </c>
      <c r="J753" s="1">
        <v>4000</v>
      </c>
      <c r="K753" s="1">
        <v>41.281500000000001</v>
      </c>
    </row>
    <row r="754" spans="2:11" x14ac:dyDescent="0.2">
      <c r="B754" s="26" t="str">
        <f>_xlfn.XLOOKUP(Total[[#This Row],[Metodo]],TbSolver[Metodo],TbSolver[Solver])</f>
        <v>Runge Kutta</v>
      </c>
      <c r="C754" s="26" t="str">
        <f>_xlfn.XLOOKUP(Total[[#This Row],[Hebras]],TbTecnologia[Hebras],TbTecnologia[Tecnología])</f>
        <v>OMP</v>
      </c>
      <c r="D754" s="15" t="str" cm="1">
        <f t="array" ref="D754">_xlfn.XLOOKUP(Total[[#This Row],[Tecnología]]&amp;Total[[#This Row],[Metodo]],TbTipos[Tecnología]&amp;TbTipos[Metodo],TbTipos[Tipo])</f>
        <v>OMP Operaciones</v>
      </c>
      <c r="E754" s="15" t="str" cm="1">
        <f t="array" ref="E754">_xlfn.XLOOKUP(Total[[#This Row],[Tecnología]]&amp;Total[[#This Row],[Problema]],TbNombres[Tecnología]&amp;TbNombres[Problema],TbNombres[Nombre])</f>
        <v>Brusselator1d</v>
      </c>
      <c r="F754" s="1">
        <v>1</v>
      </c>
      <c r="G754" s="1">
        <v>3</v>
      </c>
      <c r="H754" s="1">
        <v>4</v>
      </c>
      <c r="I754" s="1">
        <v>2000</v>
      </c>
      <c r="J754" s="1">
        <v>4000</v>
      </c>
      <c r="K754" s="1">
        <v>42.180300000000003</v>
      </c>
    </row>
    <row r="755" spans="2:11" x14ac:dyDescent="0.2">
      <c r="B755" s="26" t="str">
        <f>_xlfn.XLOOKUP(Total[[#This Row],[Metodo]],TbSolver[Metodo],TbSolver[Solver])</f>
        <v>Runge Kutta</v>
      </c>
      <c r="C755" s="26" t="str">
        <f>_xlfn.XLOOKUP(Total[[#This Row],[Hebras]],TbTecnologia[Hebras],TbTecnologia[Tecnología])</f>
        <v>OMP</v>
      </c>
      <c r="D755" s="15" t="str" cm="1">
        <f t="array" ref="D755">_xlfn.XLOOKUP(Total[[#This Row],[Tecnología]]&amp;Total[[#This Row],[Metodo]],TbTipos[Tecnología]&amp;TbTipos[Metodo],TbTipos[Tipo])</f>
        <v>OMP Operaciones</v>
      </c>
      <c r="E755" s="15" t="str" cm="1">
        <f t="array" ref="E755">_xlfn.XLOOKUP(Total[[#This Row],[Tecnología]]&amp;Total[[#This Row],[Problema]],TbNombres[Tecnología]&amp;TbNombres[Problema],TbNombres[Nombre])</f>
        <v>Brusselator1d</v>
      </c>
      <c r="F755" s="1">
        <v>1</v>
      </c>
      <c r="G755" s="1">
        <v>3</v>
      </c>
      <c r="H755" s="1">
        <v>16</v>
      </c>
      <c r="I755" s="1">
        <v>2000</v>
      </c>
      <c r="J755" s="1">
        <v>4000</v>
      </c>
      <c r="K755" s="1">
        <v>84.235600000000005</v>
      </c>
    </row>
    <row r="756" spans="2:11" x14ac:dyDescent="0.2">
      <c r="B756" s="26" t="str">
        <f>_xlfn.XLOOKUP(Total[[#This Row],[Metodo]],TbSolver[Metodo],TbSolver[Solver])</f>
        <v>Runge Kutta</v>
      </c>
      <c r="C756" s="26" t="str">
        <f>_xlfn.XLOOKUP(Total[[#This Row],[Hebras]],TbTecnologia[Hebras],TbTecnologia[Tecnología])</f>
        <v>OMP</v>
      </c>
      <c r="D756" s="15" t="str" cm="1">
        <f t="array" ref="D756">_xlfn.XLOOKUP(Total[[#This Row],[Tecnología]]&amp;Total[[#This Row],[Metodo]],TbTipos[Tecnología]&amp;TbTipos[Metodo],TbTipos[Tipo])</f>
        <v>OMP Elementos</v>
      </c>
      <c r="E756" s="15" t="str" cm="1">
        <f t="array" ref="E756">_xlfn.XLOOKUP(Total[[#This Row],[Tecnología]]&amp;Total[[#This Row],[Problema]],TbNombres[Tecnología]&amp;TbNombres[Problema],TbNombres[Nombre])</f>
        <v>Simple Advdiff</v>
      </c>
      <c r="F756" s="1">
        <v>2</v>
      </c>
      <c r="G756" s="1">
        <v>1</v>
      </c>
      <c r="H756" s="1">
        <v>1</v>
      </c>
      <c r="I756" s="1">
        <v>2000</v>
      </c>
      <c r="J756" s="1">
        <v>2000</v>
      </c>
      <c r="K756" s="1">
        <v>61.594099999999997</v>
      </c>
    </row>
    <row r="757" spans="2:11" x14ac:dyDescent="0.2">
      <c r="B757" s="26" t="str">
        <f>_xlfn.XLOOKUP(Total[[#This Row],[Metodo]],TbSolver[Metodo],TbSolver[Solver])</f>
        <v>Runge Kutta</v>
      </c>
      <c r="C757" s="26" t="str">
        <f>_xlfn.XLOOKUP(Total[[#This Row],[Hebras]],TbTecnologia[Hebras],TbTecnologia[Tecnología])</f>
        <v>OMP</v>
      </c>
      <c r="D757" s="15" t="str" cm="1">
        <f t="array" ref="D757">_xlfn.XLOOKUP(Total[[#This Row],[Tecnología]]&amp;Total[[#This Row],[Metodo]],TbTipos[Tecnología]&amp;TbTipos[Metodo],TbTipos[Tipo])</f>
        <v>OMP Elementos</v>
      </c>
      <c r="E757" s="15" t="str" cm="1">
        <f t="array" ref="E757">_xlfn.XLOOKUP(Total[[#This Row],[Tecnología]]&amp;Total[[#This Row],[Problema]],TbNombres[Tecnología]&amp;TbNombres[Problema],TbNombres[Nombre])</f>
        <v>Simple Advdiff</v>
      </c>
      <c r="F757" s="1">
        <v>2</v>
      </c>
      <c r="G757" s="1">
        <v>1</v>
      </c>
      <c r="H757" s="1">
        <v>4</v>
      </c>
      <c r="I757" s="1">
        <v>2000</v>
      </c>
      <c r="J757" s="1">
        <v>2000</v>
      </c>
      <c r="K757" s="1">
        <v>21.409400000000002</v>
      </c>
    </row>
    <row r="758" spans="2:11" x14ac:dyDescent="0.2">
      <c r="B758" s="26" t="str">
        <f>_xlfn.XLOOKUP(Total[[#This Row],[Metodo]],TbSolver[Metodo],TbSolver[Solver])</f>
        <v>Runge Kutta</v>
      </c>
      <c r="C758" s="26" t="str">
        <f>_xlfn.XLOOKUP(Total[[#This Row],[Hebras]],TbTecnologia[Hebras],TbTecnologia[Tecnología])</f>
        <v>OMP</v>
      </c>
      <c r="D758" s="15" t="str" cm="1">
        <f t="array" ref="D758">_xlfn.XLOOKUP(Total[[#This Row],[Tecnología]]&amp;Total[[#This Row],[Metodo]],TbTipos[Tecnología]&amp;TbTipos[Metodo],TbTipos[Tipo])</f>
        <v>OMP Elementos</v>
      </c>
      <c r="E758" s="15" t="str" cm="1">
        <f t="array" ref="E758">_xlfn.XLOOKUP(Total[[#This Row],[Tecnología]]&amp;Total[[#This Row],[Problema]],TbNombres[Tecnología]&amp;TbNombres[Problema],TbNombres[Nombre])</f>
        <v>Simple Advdiff</v>
      </c>
      <c r="F758" s="1">
        <v>2</v>
      </c>
      <c r="G758" s="1">
        <v>1</v>
      </c>
      <c r="H758" s="1">
        <v>16</v>
      </c>
      <c r="I758" s="1">
        <v>2000</v>
      </c>
      <c r="J758" s="1">
        <v>2000</v>
      </c>
      <c r="K758" s="1">
        <v>18.5932</v>
      </c>
    </row>
    <row r="759" spans="2:11" x14ac:dyDescent="0.2">
      <c r="B759" s="26" t="str">
        <f>_xlfn.XLOOKUP(Total[[#This Row],[Metodo]],TbSolver[Metodo],TbSolver[Solver])</f>
        <v>Runge Kutta</v>
      </c>
      <c r="C759" s="26" t="str">
        <f>_xlfn.XLOOKUP(Total[[#This Row],[Hebras]],TbTecnologia[Hebras],TbTecnologia[Tecnología])</f>
        <v>OMP</v>
      </c>
      <c r="D759" s="15" t="str" cm="1">
        <f t="array" ref="D759">_xlfn.XLOOKUP(Total[[#This Row],[Tecnología]]&amp;Total[[#This Row],[Metodo]],TbTipos[Tecnología]&amp;TbTipos[Metodo],TbTipos[Tipo])</f>
        <v>OMP Elementos</v>
      </c>
      <c r="E759" s="15" t="str" cm="1">
        <f t="array" ref="E759">_xlfn.XLOOKUP(Total[[#This Row],[Tecnología]]&amp;Total[[#This Row],[Problema]],TbNombres[Tecnología]&amp;TbNombres[Problema],TbNombres[Nombre])</f>
        <v>Advdiff1d</v>
      </c>
      <c r="F759" s="1">
        <v>2</v>
      </c>
      <c r="G759" s="1">
        <v>2</v>
      </c>
      <c r="H759" s="1">
        <v>1</v>
      </c>
      <c r="I759" s="1">
        <v>2000</v>
      </c>
      <c r="J759" s="1">
        <v>2000</v>
      </c>
      <c r="K759" s="1">
        <v>231.09399999999999</v>
      </c>
    </row>
    <row r="760" spans="2:11" x14ac:dyDescent="0.2">
      <c r="B760" s="26" t="str">
        <f>_xlfn.XLOOKUP(Total[[#This Row],[Metodo]],TbSolver[Metodo],TbSolver[Solver])</f>
        <v>Runge Kutta</v>
      </c>
      <c r="C760" s="26" t="str">
        <f>_xlfn.XLOOKUP(Total[[#This Row],[Hebras]],TbTecnologia[Hebras],TbTecnologia[Tecnología])</f>
        <v>OMP</v>
      </c>
      <c r="D760" s="15" t="str" cm="1">
        <f t="array" ref="D760">_xlfn.XLOOKUP(Total[[#This Row],[Tecnología]]&amp;Total[[#This Row],[Metodo]],TbTipos[Tecnología]&amp;TbTipos[Metodo],TbTipos[Tipo])</f>
        <v>OMP Elementos</v>
      </c>
      <c r="E760" s="15" t="str" cm="1">
        <f t="array" ref="E760">_xlfn.XLOOKUP(Total[[#This Row],[Tecnología]]&amp;Total[[#This Row],[Problema]],TbNombres[Tecnología]&amp;TbNombres[Problema],TbNombres[Nombre])</f>
        <v>Advdiff1d</v>
      </c>
      <c r="F760" s="1">
        <v>2</v>
      </c>
      <c r="G760" s="1">
        <v>2</v>
      </c>
      <c r="H760" s="1">
        <v>4</v>
      </c>
      <c r="I760" s="1">
        <v>2000</v>
      </c>
      <c r="J760" s="1">
        <v>2000</v>
      </c>
      <c r="K760" s="1">
        <v>68.4422</v>
      </c>
    </row>
    <row r="761" spans="2:11" x14ac:dyDescent="0.2">
      <c r="B761" s="26" t="str">
        <f>_xlfn.XLOOKUP(Total[[#This Row],[Metodo]],TbSolver[Metodo],TbSolver[Solver])</f>
        <v>Runge Kutta</v>
      </c>
      <c r="C761" s="26" t="str">
        <f>_xlfn.XLOOKUP(Total[[#This Row],[Hebras]],TbTecnologia[Hebras],TbTecnologia[Tecnología])</f>
        <v>OMP</v>
      </c>
      <c r="D761" s="15" t="str" cm="1">
        <f t="array" ref="D761">_xlfn.XLOOKUP(Total[[#This Row],[Tecnología]]&amp;Total[[#This Row],[Metodo]],TbTipos[Tecnología]&amp;TbTipos[Metodo],TbTipos[Tipo])</f>
        <v>OMP Elementos</v>
      </c>
      <c r="E761" s="15" t="str" cm="1">
        <f t="array" ref="E761">_xlfn.XLOOKUP(Total[[#This Row],[Tecnología]]&amp;Total[[#This Row],[Problema]],TbNombres[Tecnología]&amp;TbNombres[Problema],TbNombres[Nombre])</f>
        <v>Advdiff1d</v>
      </c>
      <c r="F761" s="1">
        <v>2</v>
      </c>
      <c r="G761" s="1">
        <v>2</v>
      </c>
      <c r="H761" s="1">
        <v>16</v>
      </c>
      <c r="I761" s="1">
        <v>2000</v>
      </c>
      <c r="J761" s="1">
        <v>2000</v>
      </c>
      <c r="K761" s="1">
        <v>28.653700000000001</v>
      </c>
    </row>
    <row r="762" spans="2:11" x14ac:dyDescent="0.2">
      <c r="B762" s="26" t="str">
        <f>_xlfn.XLOOKUP(Total[[#This Row],[Metodo]],TbSolver[Metodo],TbSolver[Solver])</f>
        <v>Runge Kutta</v>
      </c>
      <c r="C762" s="26" t="str">
        <f>_xlfn.XLOOKUP(Total[[#This Row],[Hebras]],TbTecnologia[Hebras],TbTecnologia[Tecnología])</f>
        <v>OMP</v>
      </c>
      <c r="D762" s="15" t="str" cm="1">
        <f t="array" ref="D762">_xlfn.XLOOKUP(Total[[#This Row],[Tecnología]]&amp;Total[[#This Row],[Metodo]],TbTipos[Tecnología]&amp;TbTipos[Metodo],TbTipos[Tipo])</f>
        <v>OMP Elementos</v>
      </c>
      <c r="E762" s="15" t="str" cm="1">
        <f t="array" ref="E762">_xlfn.XLOOKUP(Total[[#This Row],[Tecnología]]&amp;Total[[#This Row],[Problema]],TbNombres[Tecnología]&amp;TbNombres[Problema],TbNombres[Nombre])</f>
        <v>Brusselator1d</v>
      </c>
      <c r="F762" s="1">
        <v>2</v>
      </c>
      <c r="G762" s="1">
        <v>3</v>
      </c>
      <c r="H762" s="1">
        <v>1</v>
      </c>
      <c r="I762" s="1">
        <v>2000</v>
      </c>
      <c r="J762" s="1">
        <v>4000</v>
      </c>
      <c r="K762" s="1">
        <v>95.204899999999995</v>
      </c>
    </row>
    <row r="763" spans="2:11" x14ac:dyDescent="0.2">
      <c r="B763" s="26" t="str">
        <f>_xlfn.XLOOKUP(Total[[#This Row],[Metodo]],TbSolver[Metodo],TbSolver[Solver])</f>
        <v>Runge Kutta</v>
      </c>
      <c r="C763" s="26" t="str">
        <f>_xlfn.XLOOKUP(Total[[#This Row],[Hebras]],TbTecnologia[Hebras],TbTecnologia[Tecnología])</f>
        <v>OMP</v>
      </c>
      <c r="D763" s="15" t="str" cm="1">
        <f t="array" ref="D763">_xlfn.XLOOKUP(Total[[#This Row],[Tecnología]]&amp;Total[[#This Row],[Metodo]],TbTipos[Tecnología]&amp;TbTipos[Metodo],TbTipos[Tipo])</f>
        <v>OMP Elementos</v>
      </c>
      <c r="E763" s="15" t="str" cm="1">
        <f t="array" ref="E763">_xlfn.XLOOKUP(Total[[#This Row],[Tecnología]]&amp;Total[[#This Row],[Problema]],TbNombres[Tecnología]&amp;TbNombres[Problema],TbNombres[Nombre])</f>
        <v>Brusselator1d</v>
      </c>
      <c r="F763" s="1">
        <v>2</v>
      </c>
      <c r="G763" s="1">
        <v>3</v>
      </c>
      <c r="H763" s="1">
        <v>4</v>
      </c>
      <c r="I763" s="1">
        <v>2000</v>
      </c>
      <c r="J763" s="1">
        <v>4000</v>
      </c>
      <c r="K763" s="1">
        <v>29.727900000000002</v>
      </c>
    </row>
    <row r="764" spans="2:11" x14ac:dyDescent="0.2">
      <c r="B764" s="26" t="str">
        <f>_xlfn.XLOOKUP(Total[[#This Row],[Metodo]],TbSolver[Metodo],TbSolver[Solver])</f>
        <v>Runge Kutta</v>
      </c>
      <c r="C764" s="26" t="str">
        <f>_xlfn.XLOOKUP(Total[[#This Row],[Hebras]],TbTecnologia[Hebras],TbTecnologia[Tecnología])</f>
        <v>OMP</v>
      </c>
      <c r="D764" s="15" t="str" cm="1">
        <f t="array" ref="D764">_xlfn.XLOOKUP(Total[[#This Row],[Tecnología]]&amp;Total[[#This Row],[Metodo]],TbTipos[Tecnología]&amp;TbTipos[Metodo],TbTipos[Tipo])</f>
        <v>OMP Elementos</v>
      </c>
      <c r="E764" s="15" t="str" cm="1">
        <f t="array" ref="E764">_xlfn.XLOOKUP(Total[[#This Row],[Tecnología]]&amp;Total[[#This Row],[Problema]],TbNombres[Tecnología]&amp;TbNombres[Problema],TbNombres[Nombre])</f>
        <v>Brusselator1d</v>
      </c>
      <c r="F764" s="1">
        <v>2</v>
      </c>
      <c r="G764" s="1">
        <v>3</v>
      </c>
      <c r="H764" s="1">
        <v>16</v>
      </c>
      <c r="I764" s="1">
        <v>2000</v>
      </c>
      <c r="J764" s="1">
        <v>4000</v>
      </c>
      <c r="K764" s="1">
        <v>19.2804</v>
      </c>
    </row>
    <row r="765" spans="2:11" x14ac:dyDescent="0.2">
      <c r="B765" s="26" t="str">
        <f>_xlfn.XLOOKUP(Total[[#This Row],[Metodo]],TbSolver[Metodo],TbSolver[Solver])</f>
        <v>Adams Bashford</v>
      </c>
      <c r="C765" s="26" t="str">
        <f>_xlfn.XLOOKUP(Total[[#This Row],[Hebras]],TbTecnologia[Hebras],TbTecnologia[Tecnología])</f>
        <v>OMP</v>
      </c>
      <c r="D765" s="15" t="str" cm="1">
        <f t="array" ref="D765">_xlfn.XLOOKUP(Total[[#This Row],[Tecnología]]&amp;Total[[#This Row],[Metodo]],TbTipos[Tecnología]&amp;TbTipos[Metodo],TbTipos[Tipo])</f>
        <v>OMP Operaciones</v>
      </c>
      <c r="E765" s="15" t="str" cm="1">
        <f t="array" ref="E765">_xlfn.XLOOKUP(Total[[#This Row],[Tecnología]]&amp;Total[[#This Row],[Problema]],TbNombres[Tecnología]&amp;TbNombres[Problema],TbNombres[Nombre])</f>
        <v>Simple Advdiff</v>
      </c>
      <c r="F765" s="1">
        <v>3</v>
      </c>
      <c r="G765" s="1">
        <v>1</v>
      </c>
      <c r="H765" s="1">
        <v>1</v>
      </c>
      <c r="I765" s="1">
        <v>2000</v>
      </c>
      <c r="J765" s="1">
        <v>2000</v>
      </c>
      <c r="K765" s="1">
        <v>5.1554000000000002</v>
      </c>
    </row>
    <row r="766" spans="2:11" x14ac:dyDescent="0.2">
      <c r="B766" s="26" t="str">
        <f>_xlfn.XLOOKUP(Total[[#This Row],[Metodo]],TbSolver[Metodo],TbSolver[Solver])</f>
        <v>Adams Bashford</v>
      </c>
      <c r="C766" s="26" t="str">
        <f>_xlfn.XLOOKUP(Total[[#This Row],[Hebras]],TbTecnologia[Hebras],TbTecnologia[Tecnología])</f>
        <v>OMP</v>
      </c>
      <c r="D766" s="15" t="str" cm="1">
        <f t="array" ref="D766">_xlfn.XLOOKUP(Total[[#This Row],[Tecnología]]&amp;Total[[#This Row],[Metodo]],TbTipos[Tecnología]&amp;TbTipos[Metodo],TbTipos[Tipo])</f>
        <v>OMP Operaciones</v>
      </c>
      <c r="E766" s="15" t="str" cm="1">
        <f t="array" ref="E766">_xlfn.XLOOKUP(Total[[#This Row],[Tecnología]]&amp;Total[[#This Row],[Problema]],TbNombres[Tecnología]&amp;TbNombres[Problema],TbNombres[Nombre])</f>
        <v>Simple Advdiff</v>
      </c>
      <c r="F766" s="1">
        <v>3</v>
      </c>
      <c r="G766" s="1">
        <v>1</v>
      </c>
      <c r="H766" s="1">
        <v>4</v>
      </c>
      <c r="I766" s="1">
        <v>2000</v>
      </c>
      <c r="J766" s="1">
        <v>2000</v>
      </c>
      <c r="K766" s="1">
        <v>12.6073</v>
      </c>
    </row>
    <row r="767" spans="2:11" x14ac:dyDescent="0.2">
      <c r="B767" s="26" t="str">
        <f>_xlfn.XLOOKUP(Total[[#This Row],[Metodo]],TbSolver[Metodo],TbSolver[Solver])</f>
        <v>Adams Bashford</v>
      </c>
      <c r="C767" s="26" t="str">
        <f>_xlfn.XLOOKUP(Total[[#This Row],[Hebras]],TbTecnologia[Hebras],TbTecnologia[Tecnología])</f>
        <v>OMP</v>
      </c>
      <c r="D767" s="15" t="str" cm="1">
        <f t="array" ref="D767">_xlfn.XLOOKUP(Total[[#This Row],[Tecnología]]&amp;Total[[#This Row],[Metodo]],TbTipos[Tecnología]&amp;TbTipos[Metodo],TbTipos[Tipo])</f>
        <v>OMP Operaciones</v>
      </c>
      <c r="E767" s="15" t="str" cm="1">
        <f t="array" ref="E767">_xlfn.XLOOKUP(Total[[#This Row],[Tecnología]]&amp;Total[[#This Row],[Problema]],TbNombres[Tecnología]&amp;TbNombres[Problema],TbNombres[Nombre])</f>
        <v>Simple Advdiff</v>
      </c>
      <c r="F767" s="1">
        <v>3</v>
      </c>
      <c r="G767" s="1">
        <v>1</v>
      </c>
      <c r="H767" s="1">
        <v>16</v>
      </c>
      <c r="I767" s="1">
        <v>2000</v>
      </c>
      <c r="J767" s="1">
        <v>2000</v>
      </c>
      <c r="K767" s="1">
        <v>26.570699999999999</v>
      </c>
    </row>
    <row r="768" spans="2:11" x14ac:dyDescent="0.2">
      <c r="B768" s="26" t="str">
        <f>_xlfn.XLOOKUP(Total[[#This Row],[Metodo]],TbSolver[Metodo],TbSolver[Solver])</f>
        <v>Adams Bashford</v>
      </c>
      <c r="C768" s="26" t="str">
        <f>_xlfn.XLOOKUP(Total[[#This Row],[Hebras]],TbTecnologia[Hebras],TbTecnologia[Tecnología])</f>
        <v>OMP</v>
      </c>
      <c r="D768" s="15" t="str" cm="1">
        <f t="array" ref="D768">_xlfn.XLOOKUP(Total[[#This Row],[Tecnología]]&amp;Total[[#This Row],[Metodo]],TbTipos[Tecnología]&amp;TbTipos[Metodo],TbTipos[Tipo])</f>
        <v>OMP Operaciones</v>
      </c>
      <c r="E768" s="15" t="str" cm="1">
        <f t="array" ref="E768">_xlfn.XLOOKUP(Total[[#This Row],[Tecnología]]&amp;Total[[#This Row],[Problema]],TbNombres[Tecnología]&amp;TbNombres[Problema],TbNombres[Nombre])</f>
        <v>Advdiff1d</v>
      </c>
      <c r="F768" s="1">
        <v>3</v>
      </c>
      <c r="G768" s="1">
        <v>2</v>
      </c>
      <c r="H768" s="1">
        <v>1</v>
      </c>
      <c r="I768" s="1">
        <v>2000</v>
      </c>
      <c r="J768" s="1">
        <v>2000</v>
      </c>
      <c r="K768" s="1">
        <v>46.719000000000001</v>
      </c>
    </row>
    <row r="769" spans="2:11" x14ac:dyDescent="0.2">
      <c r="B769" s="26" t="str">
        <f>_xlfn.XLOOKUP(Total[[#This Row],[Metodo]],TbSolver[Metodo],TbSolver[Solver])</f>
        <v>Adams Bashford</v>
      </c>
      <c r="C769" s="26" t="str">
        <f>_xlfn.XLOOKUP(Total[[#This Row],[Hebras]],TbTecnologia[Hebras],TbTecnologia[Tecnología])</f>
        <v>OMP</v>
      </c>
      <c r="D769" s="15" t="str" cm="1">
        <f t="array" ref="D769">_xlfn.XLOOKUP(Total[[#This Row],[Tecnología]]&amp;Total[[#This Row],[Metodo]],TbTipos[Tecnología]&amp;TbTipos[Metodo],TbTipos[Tipo])</f>
        <v>OMP Operaciones</v>
      </c>
      <c r="E769" s="15" t="str" cm="1">
        <f t="array" ref="E769">_xlfn.XLOOKUP(Total[[#This Row],[Tecnología]]&amp;Total[[#This Row],[Problema]],TbNombres[Tecnología]&amp;TbNombres[Problema],TbNombres[Nombre])</f>
        <v>Advdiff1d</v>
      </c>
      <c r="F769" s="1">
        <v>3</v>
      </c>
      <c r="G769" s="1">
        <v>2</v>
      </c>
      <c r="H769" s="1">
        <v>4</v>
      </c>
      <c r="I769" s="1">
        <v>2000</v>
      </c>
      <c r="J769" s="1">
        <v>2000</v>
      </c>
      <c r="K769" s="1">
        <v>27.303599999999999</v>
      </c>
    </row>
    <row r="770" spans="2:11" x14ac:dyDescent="0.2">
      <c r="B770" s="26" t="str">
        <f>_xlfn.XLOOKUP(Total[[#This Row],[Metodo]],TbSolver[Metodo],TbSolver[Solver])</f>
        <v>Adams Bashford</v>
      </c>
      <c r="C770" s="26" t="str">
        <f>_xlfn.XLOOKUP(Total[[#This Row],[Hebras]],TbTecnologia[Hebras],TbTecnologia[Tecnología])</f>
        <v>OMP</v>
      </c>
      <c r="D770" s="15" t="str" cm="1">
        <f t="array" ref="D770">_xlfn.XLOOKUP(Total[[#This Row],[Tecnología]]&amp;Total[[#This Row],[Metodo]],TbTipos[Tecnología]&amp;TbTipos[Metodo],TbTipos[Tipo])</f>
        <v>OMP Operaciones</v>
      </c>
      <c r="E770" s="15" t="str" cm="1">
        <f t="array" ref="E770">_xlfn.XLOOKUP(Total[[#This Row],[Tecnología]]&amp;Total[[#This Row],[Problema]],TbNombres[Tecnología]&amp;TbNombres[Problema],TbNombres[Nombre])</f>
        <v>Advdiff1d</v>
      </c>
      <c r="F770" s="1">
        <v>3</v>
      </c>
      <c r="G770" s="1">
        <v>2</v>
      </c>
      <c r="H770" s="1">
        <v>16</v>
      </c>
      <c r="I770" s="1">
        <v>2000</v>
      </c>
      <c r="J770" s="1">
        <v>2000</v>
      </c>
      <c r="K770" s="1">
        <v>35.413400000000003</v>
      </c>
    </row>
    <row r="771" spans="2:11" x14ac:dyDescent="0.2">
      <c r="B771" s="26" t="str">
        <f>_xlfn.XLOOKUP(Total[[#This Row],[Metodo]],TbSolver[Metodo],TbSolver[Solver])</f>
        <v>Adams Bashford</v>
      </c>
      <c r="C771" s="26" t="str">
        <f>_xlfn.XLOOKUP(Total[[#This Row],[Hebras]],TbTecnologia[Hebras],TbTecnologia[Tecnología])</f>
        <v>OMP</v>
      </c>
      <c r="D771" s="15" t="str" cm="1">
        <f t="array" ref="D771">_xlfn.XLOOKUP(Total[[#This Row],[Tecnología]]&amp;Total[[#This Row],[Metodo]],TbTipos[Tecnología]&amp;TbTipos[Metodo],TbTipos[Tipo])</f>
        <v>OMP Operaciones</v>
      </c>
      <c r="E771" s="15" t="str" cm="1">
        <f t="array" ref="E771">_xlfn.XLOOKUP(Total[[#This Row],[Tecnología]]&amp;Total[[#This Row],[Problema]],TbNombres[Tecnología]&amp;TbNombres[Problema],TbNombres[Nombre])</f>
        <v>Brusselator1d</v>
      </c>
      <c r="F771" s="1">
        <v>3</v>
      </c>
      <c r="G771" s="1">
        <v>3</v>
      </c>
      <c r="H771" s="1">
        <v>1</v>
      </c>
      <c r="I771" s="1">
        <v>2000</v>
      </c>
      <c r="J771" s="1">
        <v>4000</v>
      </c>
      <c r="K771" s="1">
        <v>13.679</v>
      </c>
    </row>
    <row r="772" spans="2:11" x14ac:dyDescent="0.2">
      <c r="B772" s="26" t="str">
        <f>_xlfn.XLOOKUP(Total[[#This Row],[Metodo]],TbSolver[Metodo],TbSolver[Solver])</f>
        <v>Adams Bashford</v>
      </c>
      <c r="C772" s="26" t="str">
        <f>_xlfn.XLOOKUP(Total[[#This Row],[Hebras]],TbTecnologia[Hebras],TbTecnologia[Tecnología])</f>
        <v>OMP</v>
      </c>
      <c r="D772" s="15" t="str" cm="1">
        <f t="array" ref="D772">_xlfn.XLOOKUP(Total[[#This Row],[Tecnología]]&amp;Total[[#This Row],[Metodo]],TbTipos[Tecnología]&amp;TbTipos[Metodo],TbTipos[Tipo])</f>
        <v>OMP Operaciones</v>
      </c>
      <c r="E772" s="15" t="str" cm="1">
        <f t="array" ref="E772">_xlfn.XLOOKUP(Total[[#This Row],[Tecnología]]&amp;Total[[#This Row],[Problema]],TbNombres[Tecnología]&amp;TbNombres[Problema],TbNombres[Nombre])</f>
        <v>Brusselator1d</v>
      </c>
      <c r="F772" s="1">
        <v>3</v>
      </c>
      <c r="G772" s="1">
        <v>3</v>
      </c>
      <c r="H772" s="1">
        <v>4</v>
      </c>
      <c r="I772" s="1">
        <v>2000</v>
      </c>
      <c r="J772" s="1">
        <v>4000</v>
      </c>
      <c r="K772" s="1">
        <v>17.4968</v>
      </c>
    </row>
    <row r="773" spans="2:11" x14ac:dyDescent="0.2">
      <c r="B773" s="26" t="str">
        <f>_xlfn.XLOOKUP(Total[[#This Row],[Metodo]],TbSolver[Metodo],TbSolver[Solver])</f>
        <v>Adams Bashford</v>
      </c>
      <c r="C773" s="26" t="str">
        <f>_xlfn.XLOOKUP(Total[[#This Row],[Hebras]],TbTecnologia[Hebras],TbTecnologia[Tecnología])</f>
        <v>OMP</v>
      </c>
      <c r="D773" s="15" t="str" cm="1">
        <f t="array" ref="D773">_xlfn.XLOOKUP(Total[[#This Row],[Tecnología]]&amp;Total[[#This Row],[Metodo]],TbTipos[Tecnología]&amp;TbTipos[Metodo],TbTipos[Tipo])</f>
        <v>OMP Operaciones</v>
      </c>
      <c r="E773" s="15" t="str" cm="1">
        <f t="array" ref="E773">_xlfn.XLOOKUP(Total[[#This Row],[Tecnología]]&amp;Total[[#This Row],[Problema]],TbNombres[Tecnología]&amp;TbNombres[Problema],TbNombres[Nombre])</f>
        <v>Brusselator1d</v>
      </c>
      <c r="F773" s="1">
        <v>3</v>
      </c>
      <c r="G773" s="1">
        <v>3</v>
      </c>
      <c r="H773" s="1">
        <v>16</v>
      </c>
      <c r="I773" s="1">
        <v>2000</v>
      </c>
      <c r="J773" s="1">
        <v>4000</v>
      </c>
      <c r="K773" s="1">
        <v>30.224</v>
      </c>
    </row>
    <row r="774" spans="2:11" x14ac:dyDescent="0.2">
      <c r="B774" s="26" t="str">
        <f>_xlfn.XLOOKUP(Total[[#This Row],[Metodo]],TbSolver[Metodo],TbSolver[Solver])</f>
        <v>Adams Bashford</v>
      </c>
      <c r="C774" s="26" t="str">
        <f>_xlfn.XLOOKUP(Total[[#This Row],[Hebras]],TbTecnologia[Hebras],TbTecnologia[Tecnología])</f>
        <v>OMP</v>
      </c>
      <c r="D774" s="15" t="str" cm="1">
        <f t="array" ref="D774">_xlfn.XLOOKUP(Total[[#This Row],[Tecnología]]&amp;Total[[#This Row],[Metodo]],TbTipos[Tecnología]&amp;TbTipos[Metodo],TbTipos[Tipo])</f>
        <v>OMP Elementos</v>
      </c>
      <c r="E774" s="15" t="str" cm="1">
        <f t="array" ref="E774">_xlfn.XLOOKUP(Total[[#This Row],[Tecnología]]&amp;Total[[#This Row],[Problema]],TbNombres[Tecnología]&amp;TbNombres[Problema],TbNombres[Nombre])</f>
        <v>Simple Advdiff</v>
      </c>
      <c r="F774" s="1">
        <v>4</v>
      </c>
      <c r="G774" s="1">
        <v>1</v>
      </c>
      <c r="H774" s="1">
        <v>1</v>
      </c>
      <c r="I774" s="1">
        <v>2000</v>
      </c>
      <c r="J774" s="1">
        <v>2000</v>
      </c>
      <c r="K774" s="1">
        <v>10.3408</v>
      </c>
    </row>
    <row r="775" spans="2:11" x14ac:dyDescent="0.2">
      <c r="B775" s="26" t="str">
        <f>_xlfn.XLOOKUP(Total[[#This Row],[Metodo]],TbSolver[Metodo],TbSolver[Solver])</f>
        <v>Adams Bashford</v>
      </c>
      <c r="C775" s="26" t="str">
        <f>_xlfn.XLOOKUP(Total[[#This Row],[Hebras]],TbTecnologia[Hebras],TbTecnologia[Tecnología])</f>
        <v>OMP</v>
      </c>
      <c r="D775" s="15" t="str" cm="1">
        <f t="array" ref="D775">_xlfn.XLOOKUP(Total[[#This Row],[Tecnología]]&amp;Total[[#This Row],[Metodo]],TbTipos[Tecnología]&amp;TbTipos[Metodo],TbTipos[Tipo])</f>
        <v>OMP Elementos</v>
      </c>
      <c r="E775" s="15" t="str" cm="1">
        <f t="array" ref="E775">_xlfn.XLOOKUP(Total[[#This Row],[Tecnología]]&amp;Total[[#This Row],[Problema]],TbNombres[Tecnología]&amp;TbNombres[Problema],TbNombres[Nombre])</f>
        <v>Simple Advdiff</v>
      </c>
      <c r="F775" s="1">
        <v>4</v>
      </c>
      <c r="G775" s="1">
        <v>1</v>
      </c>
      <c r="H775" s="1">
        <v>4</v>
      </c>
      <c r="I775" s="1">
        <v>2000</v>
      </c>
      <c r="J775" s="1">
        <v>2000</v>
      </c>
      <c r="K775" s="1">
        <v>7.3882399999999997</v>
      </c>
    </row>
    <row r="776" spans="2:11" x14ac:dyDescent="0.2">
      <c r="B776" s="26" t="str">
        <f>_xlfn.XLOOKUP(Total[[#This Row],[Metodo]],TbSolver[Metodo],TbSolver[Solver])</f>
        <v>Adams Bashford</v>
      </c>
      <c r="C776" s="26" t="str">
        <f>_xlfn.XLOOKUP(Total[[#This Row],[Hebras]],TbTecnologia[Hebras],TbTecnologia[Tecnología])</f>
        <v>OMP</v>
      </c>
      <c r="D776" s="15" t="str" cm="1">
        <f t="array" ref="D776">_xlfn.XLOOKUP(Total[[#This Row],[Tecnología]]&amp;Total[[#This Row],[Metodo]],TbTipos[Tecnología]&amp;TbTipos[Metodo],TbTipos[Tipo])</f>
        <v>OMP Elementos</v>
      </c>
      <c r="E776" s="15" t="str" cm="1">
        <f t="array" ref="E776">_xlfn.XLOOKUP(Total[[#This Row],[Tecnología]]&amp;Total[[#This Row],[Problema]],TbNombres[Tecnología]&amp;TbNombres[Problema],TbNombres[Nombre])</f>
        <v>Simple Advdiff</v>
      </c>
      <c r="F776" s="1">
        <v>4</v>
      </c>
      <c r="G776" s="1">
        <v>1</v>
      </c>
      <c r="H776" s="1">
        <v>16</v>
      </c>
      <c r="I776" s="1">
        <v>2000</v>
      </c>
      <c r="J776" s="1">
        <v>2000</v>
      </c>
      <c r="K776" s="1">
        <v>33.106900000000003</v>
      </c>
    </row>
    <row r="777" spans="2:11" x14ac:dyDescent="0.2">
      <c r="B777" s="26" t="str">
        <f>_xlfn.XLOOKUP(Total[[#This Row],[Metodo]],TbSolver[Metodo],TbSolver[Solver])</f>
        <v>Adams Bashford</v>
      </c>
      <c r="C777" s="26" t="str">
        <f>_xlfn.XLOOKUP(Total[[#This Row],[Hebras]],TbTecnologia[Hebras],TbTecnologia[Tecnología])</f>
        <v>OMP</v>
      </c>
      <c r="D777" s="15" t="str" cm="1">
        <f t="array" ref="D777">_xlfn.XLOOKUP(Total[[#This Row],[Tecnología]]&amp;Total[[#This Row],[Metodo]],TbTipos[Tecnología]&amp;TbTipos[Metodo],TbTipos[Tipo])</f>
        <v>OMP Elementos</v>
      </c>
      <c r="E777" s="15" t="str" cm="1">
        <f t="array" ref="E777">_xlfn.XLOOKUP(Total[[#This Row],[Tecnología]]&amp;Total[[#This Row],[Problema]],TbNombres[Tecnología]&amp;TbNombres[Problema],TbNombres[Nombre])</f>
        <v>Advdiff1d</v>
      </c>
      <c r="F777" s="1">
        <v>4</v>
      </c>
      <c r="G777" s="1">
        <v>2</v>
      </c>
      <c r="H777" s="1">
        <v>1</v>
      </c>
      <c r="I777" s="1">
        <v>2000</v>
      </c>
      <c r="J777" s="1">
        <v>2000</v>
      </c>
      <c r="K777" s="1">
        <v>53.302</v>
      </c>
    </row>
    <row r="778" spans="2:11" x14ac:dyDescent="0.2">
      <c r="B778" s="26" t="str">
        <f>_xlfn.XLOOKUP(Total[[#This Row],[Metodo]],TbSolver[Metodo],TbSolver[Solver])</f>
        <v>Adams Bashford</v>
      </c>
      <c r="C778" s="26" t="str">
        <f>_xlfn.XLOOKUP(Total[[#This Row],[Hebras]],TbTecnologia[Hebras],TbTecnologia[Tecnología])</f>
        <v>OMP</v>
      </c>
      <c r="D778" s="15" t="str" cm="1">
        <f t="array" ref="D778">_xlfn.XLOOKUP(Total[[#This Row],[Tecnología]]&amp;Total[[#This Row],[Metodo]],TbTipos[Tecnología]&amp;TbTipos[Metodo],TbTipos[Tipo])</f>
        <v>OMP Elementos</v>
      </c>
      <c r="E778" s="15" t="str" cm="1">
        <f t="array" ref="E778">_xlfn.XLOOKUP(Total[[#This Row],[Tecnología]]&amp;Total[[#This Row],[Problema]],TbNombres[Tecnología]&amp;TbNombres[Problema],TbNombres[Nombre])</f>
        <v>Advdiff1d</v>
      </c>
      <c r="F778" s="1">
        <v>4</v>
      </c>
      <c r="G778" s="1">
        <v>2</v>
      </c>
      <c r="H778" s="1">
        <v>4</v>
      </c>
      <c r="I778" s="1">
        <v>2000</v>
      </c>
      <c r="J778" s="1">
        <v>2000</v>
      </c>
      <c r="K778" s="1">
        <v>18.937799999999999</v>
      </c>
    </row>
    <row r="779" spans="2:11" x14ac:dyDescent="0.2">
      <c r="B779" s="26" t="str">
        <f>_xlfn.XLOOKUP(Total[[#This Row],[Metodo]],TbSolver[Metodo],TbSolver[Solver])</f>
        <v>Adams Bashford</v>
      </c>
      <c r="C779" s="26" t="str">
        <f>_xlfn.XLOOKUP(Total[[#This Row],[Hebras]],TbTecnologia[Hebras],TbTecnologia[Tecnología])</f>
        <v>OMP</v>
      </c>
      <c r="D779" s="15" t="str" cm="1">
        <f t="array" ref="D779">_xlfn.XLOOKUP(Total[[#This Row],[Tecnología]]&amp;Total[[#This Row],[Metodo]],TbTipos[Tecnología]&amp;TbTipos[Metodo],TbTipos[Tipo])</f>
        <v>OMP Elementos</v>
      </c>
      <c r="E779" s="15" t="str" cm="1">
        <f t="array" ref="E779">_xlfn.XLOOKUP(Total[[#This Row],[Tecnología]]&amp;Total[[#This Row],[Problema]],TbNombres[Tecnología]&amp;TbNombres[Problema],TbNombres[Nombre])</f>
        <v>Advdiff1d</v>
      </c>
      <c r="F779" s="1">
        <v>4</v>
      </c>
      <c r="G779" s="1">
        <v>2</v>
      </c>
      <c r="H779" s="1">
        <v>16</v>
      </c>
      <c r="I779" s="1">
        <v>2000</v>
      </c>
      <c r="J779" s="1">
        <v>2000</v>
      </c>
      <c r="K779" s="1">
        <v>13.8903</v>
      </c>
    </row>
    <row r="780" spans="2:11" x14ac:dyDescent="0.2">
      <c r="B780" s="26" t="str">
        <f>_xlfn.XLOOKUP(Total[[#This Row],[Metodo]],TbSolver[Metodo],TbSolver[Solver])</f>
        <v>Adams Bashford</v>
      </c>
      <c r="C780" s="26" t="str">
        <f>_xlfn.XLOOKUP(Total[[#This Row],[Hebras]],TbTecnologia[Hebras],TbTecnologia[Tecnología])</f>
        <v>OMP</v>
      </c>
      <c r="D780" s="15" t="str" cm="1">
        <f t="array" ref="D780">_xlfn.XLOOKUP(Total[[#This Row],[Tecnología]]&amp;Total[[#This Row],[Metodo]],TbTipos[Tecnología]&amp;TbTipos[Metodo],TbTipos[Tipo])</f>
        <v>OMP Elementos</v>
      </c>
      <c r="E780" s="15" t="str" cm="1">
        <f t="array" ref="E780">_xlfn.XLOOKUP(Total[[#This Row],[Tecnología]]&amp;Total[[#This Row],[Problema]],TbNombres[Tecnología]&amp;TbNombres[Problema],TbNombres[Nombre])</f>
        <v>Brusselator1d</v>
      </c>
      <c r="F780" s="1">
        <v>4</v>
      </c>
      <c r="G780" s="1">
        <v>3</v>
      </c>
      <c r="H780" s="1">
        <v>1</v>
      </c>
      <c r="I780" s="1">
        <v>2000</v>
      </c>
      <c r="J780" s="1">
        <v>4000</v>
      </c>
      <c r="K780" s="1">
        <v>24.721399999999999</v>
      </c>
    </row>
    <row r="781" spans="2:11" x14ac:dyDescent="0.2">
      <c r="B781" s="26" t="str">
        <f>_xlfn.XLOOKUP(Total[[#This Row],[Metodo]],TbSolver[Metodo],TbSolver[Solver])</f>
        <v>Adams Bashford</v>
      </c>
      <c r="C781" s="26" t="str">
        <f>_xlfn.XLOOKUP(Total[[#This Row],[Hebras]],TbTecnologia[Hebras],TbTecnologia[Tecnología])</f>
        <v>OMP</v>
      </c>
      <c r="D781" s="15" t="str" cm="1">
        <f t="array" ref="D781">_xlfn.XLOOKUP(Total[[#This Row],[Tecnología]]&amp;Total[[#This Row],[Metodo]],TbTipos[Tecnología]&amp;TbTipos[Metodo],TbTipos[Tipo])</f>
        <v>OMP Elementos</v>
      </c>
      <c r="E781" s="15" t="str" cm="1">
        <f t="array" ref="E781">_xlfn.XLOOKUP(Total[[#This Row],[Tecnología]]&amp;Total[[#This Row],[Problema]],TbNombres[Tecnología]&amp;TbNombres[Problema],TbNombres[Nombre])</f>
        <v>Brusselator1d</v>
      </c>
      <c r="F781" s="1">
        <v>4</v>
      </c>
      <c r="G781" s="1">
        <v>3</v>
      </c>
      <c r="H781" s="1">
        <v>4</v>
      </c>
      <c r="I781" s="1">
        <v>2000</v>
      </c>
      <c r="J781" s="1">
        <v>4000</v>
      </c>
      <c r="K781" s="1">
        <v>11.337300000000001</v>
      </c>
    </row>
    <row r="782" spans="2:11" x14ac:dyDescent="0.2">
      <c r="B782" s="26" t="str">
        <f>_xlfn.XLOOKUP(Total[[#This Row],[Metodo]],TbSolver[Metodo],TbSolver[Solver])</f>
        <v>Adams Bashford</v>
      </c>
      <c r="C782" s="26" t="str">
        <f>_xlfn.XLOOKUP(Total[[#This Row],[Hebras]],TbTecnologia[Hebras],TbTecnologia[Tecnología])</f>
        <v>OMP</v>
      </c>
      <c r="D782" s="15" t="str" cm="1">
        <f t="array" ref="D782">_xlfn.XLOOKUP(Total[[#This Row],[Tecnología]]&amp;Total[[#This Row],[Metodo]],TbTipos[Tecnología]&amp;TbTipos[Metodo],TbTipos[Tipo])</f>
        <v>OMP Elementos</v>
      </c>
      <c r="E782" s="15" t="str" cm="1">
        <f t="array" ref="E782">_xlfn.XLOOKUP(Total[[#This Row],[Tecnología]]&amp;Total[[#This Row],[Problema]],TbNombres[Tecnología]&amp;TbNombres[Problema],TbNombres[Nombre])</f>
        <v>Brusselator1d</v>
      </c>
      <c r="F782" s="1">
        <v>4</v>
      </c>
      <c r="G782" s="1">
        <v>3</v>
      </c>
      <c r="H782" s="1">
        <v>16</v>
      </c>
      <c r="I782" s="1">
        <v>2000</v>
      </c>
      <c r="J782" s="1">
        <v>4000</v>
      </c>
      <c r="K782" s="1">
        <v>11.338800000000001</v>
      </c>
    </row>
    <row r="783" spans="2:11" x14ac:dyDescent="0.2">
      <c r="B783" s="26" t="str">
        <f>_xlfn.XLOOKUP(Total[[#This Row],[Metodo]],TbSolver[Metodo],TbSolver[Solver])</f>
        <v>Adams Bashford Moulton</v>
      </c>
      <c r="C783" s="26" t="str">
        <f>_xlfn.XLOOKUP(Total[[#This Row],[Hebras]],TbTecnologia[Hebras],TbTecnologia[Tecnología])</f>
        <v>OMP</v>
      </c>
      <c r="D783" s="15" t="str" cm="1">
        <f t="array" ref="D783">_xlfn.XLOOKUP(Total[[#This Row],[Tecnología]]&amp;Total[[#This Row],[Metodo]],TbTipos[Tecnología]&amp;TbTipos[Metodo],TbTipos[Tipo])</f>
        <v>OMP Operaciones</v>
      </c>
      <c r="E783" s="15" t="str" cm="1">
        <f t="array" ref="E783">_xlfn.XLOOKUP(Total[[#This Row],[Tecnología]]&amp;Total[[#This Row],[Problema]],TbNombres[Tecnología]&amp;TbNombres[Problema],TbNombres[Nombre])</f>
        <v>Simple Advdiff</v>
      </c>
      <c r="F783" s="1">
        <v>5</v>
      </c>
      <c r="G783" s="1">
        <v>1</v>
      </c>
      <c r="H783" s="1">
        <v>1</v>
      </c>
      <c r="I783" s="1">
        <v>2000</v>
      </c>
      <c r="J783" s="1">
        <v>2000</v>
      </c>
      <c r="K783" s="1">
        <v>17.319400000000002</v>
      </c>
    </row>
    <row r="784" spans="2:11" x14ac:dyDescent="0.2">
      <c r="B784" s="26" t="str">
        <f>_xlfn.XLOOKUP(Total[[#This Row],[Metodo]],TbSolver[Metodo],TbSolver[Solver])</f>
        <v>Adams Bashford Moulton</v>
      </c>
      <c r="C784" s="26" t="str">
        <f>_xlfn.XLOOKUP(Total[[#This Row],[Hebras]],TbTecnologia[Hebras],TbTecnologia[Tecnología])</f>
        <v>OMP</v>
      </c>
      <c r="D784" s="15" t="str" cm="1">
        <f t="array" ref="D784">_xlfn.XLOOKUP(Total[[#This Row],[Tecnología]]&amp;Total[[#This Row],[Metodo]],TbTipos[Tecnología]&amp;TbTipos[Metodo],TbTipos[Tipo])</f>
        <v>OMP Operaciones</v>
      </c>
      <c r="E784" s="15" t="str" cm="1">
        <f t="array" ref="E784">_xlfn.XLOOKUP(Total[[#This Row],[Tecnología]]&amp;Total[[#This Row],[Problema]],TbNombres[Tecnología]&amp;TbNombres[Problema],TbNombres[Nombre])</f>
        <v>Simple Advdiff</v>
      </c>
      <c r="F784" s="1">
        <v>5</v>
      </c>
      <c r="G784" s="1">
        <v>1</v>
      </c>
      <c r="H784" s="1">
        <v>4</v>
      </c>
      <c r="I784" s="1">
        <v>2000</v>
      </c>
      <c r="J784" s="1">
        <v>2000</v>
      </c>
      <c r="K784" s="1">
        <v>46.957299999999996</v>
      </c>
    </row>
    <row r="785" spans="2:11" x14ac:dyDescent="0.2">
      <c r="B785" s="26" t="str">
        <f>_xlfn.XLOOKUP(Total[[#This Row],[Metodo]],TbSolver[Metodo],TbSolver[Solver])</f>
        <v>Adams Bashford Moulton</v>
      </c>
      <c r="C785" s="26" t="str">
        <f>_xlfn.XLOOKUP(Total[[#This Row],[Hebras]],TbTecnologia[Hebras],TbTecnologia[Tecnología])</f>
        <v>OMP</v>
      </c>
      <c r="D785" s="15" t="str" cm="1">
        <f t="array" ref="D785">_xlfn.XLOOKUP(Total[[#This Row],[Tecnología]]&amp;Total[[#This Row],[Metodo]],TbTipos[Tecnología]&amp;TbTipos[Metodo],TbTipos[Tipo])</f>
        <v>OMP Operaciones</v>
      </c>
      <c r="E785" s="15" t="str" cm="1">
        <f t="array" ref="E785">_xlfn.XLOOKUP(Total[[#This Row],[Tecnología]]&amp;Total[[#This Row],[Problema]],TbNombres[Tecnología]&amp;TbNombres[Problema],TbNombres[Nombre])</f>
        <v>Simple Advdiff</v>
      </c>
      <c r="F785" s="1">
        <v>5</v>
      </c>
      <c r="G785" s="1">
        <v>1</v>
      </c>
      <c r="H785" s="1">
        <v>16</v>
      </c>
      <c r="I785" s="1">
        <v>2000</v>
      </c>
      <c r="J785" s="1">
        <v>2000</v>
      </c>
      <c r="K785" s="1">
        <v>105.08499999999999</v>
      </c>
    </row>
    <row r="786" spans="2:11" x14ac:dyDescent="0.2">
      <c r="B786" s="26" t="str">
        <f>_xlfn.XLOOKUP(Total[[#This Row],[Metodo]],TbSolver[Metodo],TbSolver[Solver])</f>
        <v>Adams Bashford Moulton</v>
      </c>
      <c r="C786" s="26" t="str">
        <f>_xlfn.XLOOKUP(Total[[#This Row],[Hebras]],TbTecnologia[Hebras],TbTecnologia[Tecnología])</f>
        <v>OMP</v>
      </c>
      <c r="D786" s="15" t="str" cm="1">
        <f t="array" ref="D786">_xlfn.XLOOKUP(Total[[#This Row],[Tecnología]]&amp;Total[[#This Row],[Metodo]],TbTipos[Tecnología]&amp;TbTipos[Metodo],TbTipos[Tipo])</f>
        <v>OMP Operaciones</v>
      </c>
      <c r="E786" s="15" t="str" cm="1">
        <f t="array" ref="E786">_xlfn.XLOOKUP(Total[[#This Row],[Tecnología]]&amp;Total[[#This Row],[Problema]],TbNombres[Tecnología]&amp;TbNombres[Problema],TbNombres[Nombre])</f>
        <v>Advdiff1d</v>
      </c>
      <c r="F786" s="1">
        <v>5</v>
      </c>
      <c r="G786" s="1">
        <v>2</v>
      </c>
      <c r="H786" s="1">
        <v>1</v>
      </c>
      <c r="I786" s="1">
        <v>2000</v>
      </c>
      <c r="J786" s="1">
        <v>2000</v>
      </c>
      <c r="K786" s="1">
        <v>141.97900000000001</v>
      </c>
    </row>
    <row r="787" spans="2:11" x14ac:dyDescent="0.2">
      <c r="B787" s="26" t="str">
        <f>_xlfn.XLOOKUP(Total[[#This Row],[Metodo]],TbSolver[Metodo],TbSolver[Solver])</f>
        <v>Adams Bashford Moulton</v>
      </c>
      <c r="C787" s="26" t="str">
        <f>_xlfn.XLOOKUP(Total[[#This Row],[Hebras]],TbTecnologia[Hebras],TbTecnologia[Tecnología])</f>
        <v>OMP</v>
      </c>
      <c r="D787" s="15" t="str" cm="1">
        <f t="array" ref="D787">_xlfn.XLOOKUP(Total[[#This Row],[Tecnología]]&amp;Total[[#This Row],[Metodo]],TbTipos[Tecnología]&amp;TbTipos[Metodo],TbTipos[Tipo])</f>
        <v>OMP Operaciones</v>
      </c>
      <c r="E787" s="15" t="str" cm="1">
        <f t="array" ref="E787">_xlfn.XLOOKUP(Total[[#This Row],[Tecnología]]&amp;Total[[#This Row],[Problema]],TbNombres[Tecnología]&amp;TbNombres[Problema],TbNombres[Nombre])</f>
        <v>Advdiff1d</v>
      </c>
      <c r="F787" s="1">
        <v>5</v>
      </c>
      <c r="G787" s="1">
        <v>2</v>
      </c>
      <c r="H787" s="1">
        <v>4</v>
      </c>
      <c r="I787" s="1">
        <v>2000</v>
      </c>
      <c r="J787" s="1">
        <v>2000</v>
      </c>
      <c r="K787" s="1">
        <v>90.623999999999995</v>
      </c>
    </row>
    <row r="788" spans="2:11" x14ac:dyDescent="0.2">
      <c r="B788" s="26" t="str">
        <f>_xlfn.XLOOKUP(Total[[#This Row],[Metodo]],TbSolver[Metodo],TbSolver[Solver])</f>
        <v>Adams Bashford Moulton</v>
      </c>
      <c r="C788" s="26" t="str">
        <f>_xlfn.XLOOKUP(Total[[#This Row],[Hebras]],TbTecnologia[Hebras],TbTecnologia[Tecnología])</f>
        <v>OMP</v>
      </c>
      <c r="D788" s="15" t="str" cm="1">
        <f t="array" ref="D788">_xlfn.XLOOKUP(Total[[#This Row],[Tecnología]]&amp;Total[[#This Row],[Metodo]],TbTipos[Tecnología]&amp;TbTipos[Metodo],TbTipos[Tipo])</f>
        <v>OMP Operaciones</v>
      </c>
      <c r="E788" s="15" t="str" cm="1">
        <f t="array" ref="E788">_xlfn.XLOOKUP(Total[[#This Row],[Tecnología]]&amp;Total[[#This Row],[Problema]],TbNombres[Tecnología]&amp;TbNombres[Problema],TbNombres[Nombre])</f>
        <v>Advdiff1d</v>
      </c>
      <c r="F788" s="1">
        <v>5</v>
      </c>
      <c r="G788" s="1">
        <v>2</v>
      </c>
      <c r="H788" s="1">
        <v>16</v>
      </c>
      <c r="I788" s="1">
        <v>2000</v>
      </c>
      <c r="J788" s="1">
        <v>2000</v>
      </c>
      <c r="K788" s="1">
        <v>128.11199999999999</v>
      </c>
    </row>
    <row r="789" spans="2:11" x14ac:dyDescent="0.2">
      <c r="B789" s="26" t="str">
        <f>_xlfn.XLOOKUP(Total[[#This Row],[Metodo]],TbSolver[Metodo],TbSolver[Solver])</f>
        <v>Adams Bashford Moulton</v>
      </c>
      <c r="C789" s="26" t="str">
        <f>_xlfn.XLOOKUP(Total[[#This Row],[Hebras]],TbTecnologia[Hebras],TbTecnologia[Tecnología])</f>
        <v>OMP</v>
      </c>
      <c r="D789" s="15" t="str" cm="1">
        <f t="array" ref="D789">_xlfn.XLOOKUP(Total[[#This Row],[Tecnología]]&amp;Total[[#This Row],[Metodo]],TbTipos[Tecnología]&amp;TbTipos[Metodo],TbTipos[Tipo])</f>
        <v>OMP Operaciones</v>
      </c>
      <c r="E789" s="15" t="str" cm="1">
        <f t="array" ref="E789">_xlfn.XLOOKUP(Total[[#This Row],[Tecnología]]&amp;Total[[#This Row],[Problema]],TbNombres[Tecnología]&amp;TbNombres[Problema],TbNombres[Nombre])</f>
        <v>Brusselator1d</v>
      </c>
      <c r="F789" s="1">
        <v>5</v>
      </c>
      <c r="G789" s="1">
        <v>3</v>
      </c>
      <c r="H789" s="1">
        <v>1</v>
      </c>
      <c r="I789" s="1">
        <v>2000</v>
      </c>
      <c r="J789" s="1">
        <v>4000</v>
      </c>
      <c r="K789" s="1">
        <v>44.459200000000003</v>
      </c>
    </row>
    <row r="790" spans="2:11" x14ac:dyDescent="0.2">
      <c r="B790" s="26" t="str">
        <f>_xlfn.XLOOKUP(Total[[#This Row],[Metodo]],TbSolver[Metodo],TbSolver[Solver])</f>
        <v>Adams Bashford Moulton</v>
      </c>
      <c r="C790" s="26" t="str">
        <f>_xlfn.XLOOKUP(Total[[#This Row],[Hebras]],TbTecnologia[Hebras],TbTecnologia[Tecnología])</f>
        <v>OMP</v>
      </c>
      <c r="D790" s="15" t="str" cm="1">
        <f t="array" ref="D790">_xlfn.XLOOKUP(Total[[#This Row],[Tecnología]]&amp;Total[[#This Row],[Metodo]],TbTipos[Tecnología]&amp;TbTipos[Metodo],TbTipos[Tipo])</f>
        <v>OMP Operaciones</v>
      </c>
      <c r="E790" s="15" t="str" cm="1">
        <f t="array" ref="E790">_xlfn.XLOOKUP(Total[[#This Row],[Tecnología]]&amp;Total[[#This Row],[Problema]],TbNombres[Tecnología]&amp;TbNombres[Problema],TbNombres[Nombre])</f>
        <v>Brusselator1d</v>
      </c>
      <c r="F790" s="1">
        <v>5</v>
      </c>
      <c r="G790" s="1">
        <v>3</v>
      </c>
      <c r="H790" s="1">
        <v>4</v>
      </c>
      <c r="I790" s="1">
        <v>2000</v>
      </c>
      <c r="J790" s="1">
        <v>4000</v>
      </c>
      <c r="K790" s="1">
        <v>64.505200000000002</v>
      </c>
    </row>
    <row r="791" spans="2:11" x14ac:dyDescent="0.2">
      <c r="B791" s="26" t="str">
        <f>_xlfn.XLOOKUP(Total[[#This Row],[Metodo]],TbSolver[Metodo],TbSolver[Solver])</f>
        <v>Adams Bashford Moulton</v>
      </c>
      <c r="C791" s="26" t="str">
        <f>_xlfn.XLOOKUP(Total[[#This Row],[Hebras]],TbTecnologia[Hebras],TbTecnologia[Tecnología])</f>
        <v>OMP</v>
      </c>
      <c r="D791" s="15" t="str" cm="1">
        <f t="array" ref="D791">_xlfn.XLOOKUP(Total[[#This Row],[Tecnología]]&amp;Total[[#This Row],[Metodo]],TbTipos[Tecnología]&amp;TbTipos[Metodo],TbTipos[Tipo])</f>
        <v>OMP Operaciones</v>
      </c>
      <c r="E791" s="15" t="str" cm="1">
        <f t="array" ref="E791">_xlfn.XLOOKUP(Total[[#This Row],[Tecnología]]&amp;Total[[#This Row],[Problema]],TbNombres[Tecnología]&amp;TbNombres[Problema],TbNombres[Nombre])</f>
        <v>Brusselator1d</v>
      </c>
      <c r="F791" s="1">
        <v>5</v>
      </c>
      <c r="G791" s="1">
        <v>3</v>
      </c>
      <c r="H791" s="1">
        <v>16</v>
      </c>
      <c r="I791" s="1">
        <v>2000</v>
      </c>
      <c r="J791" s="1">
        <v>4000</v>
      </c>
      <c r="K791" s="1">
        <v>131.185</v>
      </c>
    </row>
    <row r="792" spans="2:11" x14ac:dyDescent="0.2">
      <c r="B792" s="26" t="str">
        <f>_xlfn.XLOOKUP(Total[[#This Row],[Metodo]],TbSolver[Metodo],TbSolver[Solver])</f>
        <v>Adams Bashford Moulton</v>
      </c>
      <c r="C792" s="26" t="str">
        <f>_xlfn.XLOOKUP(Total[[#This Row],[Hebras]],TbTecnologia[Hebras],TbTecnologia[Tecnología])</f>
        <v>OMP</v>
      </c>
      <c r="D792" s="15" t="str" cm="1">
        <f t="array" ref="D792">_xlfn.XLOOKUP(Total[[#This Row],[Tecnología]]&amp;Total[[#This Row],[Metodo]],TbTipos[Tecnología]&amp;TbTipos[Metodo],TbTipos[Tipo])</f>
        <v>OMP Elementos</v>
      </c>
      <c r="E792" s="15" t="str" cm="1">
        <f t="array" ref="E792">_xlfn.XLOOKUP(Total[[#This Row],[Tecnología]]&amp;Total[[#This Row],[Problema]],TbNombres[Tecnología]&amp;TbNombres[Problema],TbNombres[Nombre])</f>
        <v>Simple Advdiff</v>
      </c>
      <c r="F792" s="1">
        <v>6</v>
      </c>
      <c r="G792" s="1">
        <v>1</v>
      </c>
      <c r="H792" s="1">
        <v>1</v>
      </c>
      <c r="I792" s="1">
        <v>2000</v>
      </c>
      <c r="J792" s="1">
        <v>2000</v>
      </c>
      <c r="K792" s="1">
        <v>48.326099999999997</v>
      </c>
    </row>
    <row r="793" spans="2:11" x14ac:dyDescent="0.2">
      <c r="B793" s="26" t="str">
        <f>_xlfn.XLOOKUP(Total[[#This Row],[Metodo]],TbSolver[Metodo],TbSolver[Solver])</f>
        <v>Adams Bashford Moulton</v>
      </c>
      <c r="C793" s="26" t="str">
        <f>_xlfn.XLOOKUP(Total[[#This Row],[Hebras]],TbTecnologia[Hebras],TbTecnologia[Tecnología])</f>
        <v>OMP</v>
      </c>
      <c r="D793" s="15" t="str" cm="1">
        <f t="array" ref="D793">_xlfn.XLOOKUP(Total[[#This Row],[Tecnología]]&amp;Total[[#This Row],[Metodo]],TbTipos[Tecnología]&amp;TbTipos[Metodo],TbTipos[Tipo])</f>
        <v>OMP Elementos</v>
      </c>
      <c r="E793" s="15" t="str" cm="1">
        <f t="array" ref="E793">_xlfn.XLOOKUP(Total[[#This Row],[Tecnología]]&amp;Total[[#This Row],[Problema]],TbNombres[Tecnología]&amp;TbNombres[Problema],TbNombres[Nombre])</f>
        <v>Simple Advdiff</v>
      </c>
      <c r="F793" s="1">
        <v>6</v>
      </c>
      <c r="G793" s="1">
        <v>1</v>
      </c>
      <c r="H793" s="1">
        <v>4</v>
      </c>
      <c r="I793" s="1">
        <v>2000</v>
      </c>
      <c r="J793" s="1">
        <v>2000</v>
      </c>
      <c r="K793" s="1">
        <v>20.138500000000001</v>
      </c>
    </row>
    <row r="794" spans="2:11" x14ac:dyDescent="0.2">
      <c r="B794" s="26" t="str">
        <f>_xlfn.XLOOKUP(Total[[#This Row],[Metodo]],TbSolver[Metodo],TbSolver[Solver])</f>
        <v>Adams Bashford Moulton</v>
      </c>
      <c r="C794" s="26" t="str">
        <f>_xlfn.XLOOKUP(Total[[#This Row],[Hebras]],TbTecnologia[Hebras],TbTecnologia[Tecnología])</f>
        <v>OMP</v>
      </c>
      <c r="D794" s="15" t="str" cm="1">
        <f t="array" ref="D794">_xlfn.XLOOKUP(Total[[#This Row],[Tecnología]]&amp;Total[[#This Row],[Metodo]],TbTipos[Tecnología]&amp;TbTipos[Metodo],TbTipos[Tipo])</f>
        <v>OMP Elementos</v>
      </c>
      <c r="E794" s="15" t="str" cm="1">
        <f t="array" ref="E794">_xlfn.XLOOKUP(Total[[#This Row],[Tecnología]]&amp;Total[[#This Row],[Problema]],TbNombres[Tecnología]&amp;TbNombres[Problema],TbNombres[Nombre])</f>
        <v>Simple Advdiff</v>
      </c>
      <c r="F794" s="1">
        <v>6</v>
      </c>
      <c r="G794" s="1">
        <v>1</v>
      </c>
      <c r="H794" s="1">
        <v>16</v>
      </c>
      <c r="I794" s="1">
        <v>2000</v>
      </c>
      <c r="J794" s="1">
        <v>2000</v>
      </c>
      <c r="K794" s="1">
        <v>27.1464</v>
      </c>
    </row>
    <row r="795" spans="2:11" x14ac:dyDescent="0.2">
      <c r="B795" s="26" t="str">
        <f>_xlfn.XLOOKUP(Total[[#This Row],[Metodo]],TbSolver[Metodo],TbSolver[Solver])</f>
        <v>Adams Bashford Moulton</v>
      </c>
      <c r="C795" s="26" t="str">
        <f>_xlfn.XLOOKUP(Total[[#This Row],[Hebras]],TbTecnologia[Hebras],TbTecnologia[Tecnología])</f>
        <v>OMP</v>
      </c>
      <c r="D795" s="15" t="str" cm="1">
        <f t="array" ref="D795">_xlfn.XLOOKUP(Total[[#This Row],[Tecnología]]&amp;Total[[#This Row],[Metodo]],TbTipos[Tecnología]&amp;TbTipos[Metodo],TbTipos[Tipo])</f>
        <v>OMP Elementos</v>
      </c>
      <c r="E795" s="15" t="str" cm="1">
        <f t="array" ref="E795">_xlfn.XLOOKUP(Total[[#This Row],[Tecnología]]&amp;Total[[#This Row],[Problema]],TbNombres[Tecnología]&amp;TbNombres[Problema],TbNombres[Nombre])</f>
        <v>Advdiff1d</v>
      </c>
      <c r="F795" s="1">
        <v>6</v>
      </c>
      <c r="G795" s="1">
        <v>2</v>
      </c>
      <c r="H795" s="1">
        <v>1</v>
      </c>
      <c r="I795" s="1">
        <v>2000</v>
      </c>
      <c r="J795" s="1">
        <v>2000</v>
      </c>
      <c r="K795" s="1">
        <v>182.28</v>
      </c>
    </row>
    <row r="796" spans="2:11" x14ac:dyDescent="0.2">
      <c r="B796" s="26" t="str">
        <f>_xlfn.XLOOKUP(Total[[#This Row],[Metodo]],TbSolver[Metodo],TbSolver[Solver])</f>
        <v>Adams Bashford Moulton</v>
      </c>
      <c r="C796" s="26" t="str">
        <f>_xlfn.XLOOKUP(Total[[#This Row],[Hebras]],TbTecnologia[Hebras],TbTecnologia[Tecnología])</f>
        <v>OMP</v>
      </c>
      <c r="D796" s="15" t="str" cm="1">
        <f t="array" ref="D796">_xlfn.XLOOKUP(Total[[#This Row],[Tecnología]]&amp;Total[[#This Row],[Metodo]],TbTipos[Tecnología]&amp;TbTipos[Metodo],TbTipos[Tipo])</f>
        <v>OMP Elementos</v>
      </c>
      <c r="E796" s="15" t="str" cm="1">
        <f t="array" ref="E796">_xlfn.XLOOKUP(Total[[#This Row],[Tecnología]]&amp;Total[[#This Row],[Problema]],TbNombres[Tecnología]&amp;TbNombres[Problema],TbNombres[Nombre])</f>
        <v>Advdiff1d</v>
      </c>
      <c r="F796" s="1">
        <v>6</v>
      </c>
      <c r="G796" s="1">
        <v>2</v>
      </c>
      <c r="H796" s="1">
        <v>4</v>
      </c>
      <c r="I796" s="1">
        <v>2000</v>
      </c>
      <c r="J796" s="1">
        <v>2000</v>
      </c>
      <c r="K796" s="1">
        <v>56.896299999999997</v>
      </c>
    </row>
    <row r="797" spans="2:11" x14ac:dyDescent="0.2">
      <c r="B797" s="26" t="str">
        <f>_xlfn.XLOOKUP(Total[[#This Row],[Metodo]],TbSolver[Metodo],TbSolver[Solver])</f>
        <v>Adams Bashford Moulton</v>
      </c>
      <c r="C797" s="26" t="str">
        <f>_xlfn.XLOOKUP(Total[[#This Row],[Hebras]],TbTecnologia[Hebras],TbTecnologia[Tecnología])</f>
        <v>OMP</v>
      </c>
      <c r="D797" s="15" t="str" cm="1">
        <f t="array" ref="D797">_xlfn.XLOOKUP(Total[[#This Row],[Tecnología]]&amp;Total[[#This Row],[Metodo]],TbTipos[Tecnología]&amp;TbTipos[Metodo],TbTipos[Tipo])</f>
        <v>OMP Elementos</v>
      </c>
      <c r="E797" s="15" t="str" cm="1">
        <f t="array" ref="E797">_xlfn.XLOOKUP(Total[[#This Row],[Tecnología]]&amp;Total[[#This Row],[Problema]],TbNombres[Tecnología]&amp;TbNombres[Problema],TbNombres[Nombre])</f>
        <v>Advdiff1d</v>
      </c>
      <c r="F797" s="1">
        <v>6</v>
      </c>
      <c r="G797" s="1">
        <v>2</v>
      </c>
      <c r="H797" s="1">
        <v>16</v>
      </c>
      <c r="I797" s="1">
        <v>2000</v>
      </c>
      <c r="J797" s="1">
        <v>2000</v>
      </c>
      <c r="K797" s="1">
        <v>47.0916</v>
      </c>
    </row>
    <row r="798" spans="2:11" x14ac:dyDescent="0.2">
      <c r="B798" s="26" t="str">
        <f>_xlfn.XLOOKUP(Total[[#This Row],[Metodo]],TbSolver[Metodo],TbSolver[Solver])</f>
        <v>Adams Bashford Moulton</v>
      </c>
      <c r="C798" s="26" t="str">
        <f>_xlfn.XLOOKUP(Total[[#This Row],[Hebras]],TbTecnologia[Hebras],TbTecnologia[Tecnología])</f>
        <v>OMP</v>
      </c>
      <c r="D798" s="15" t="str" cm="1">
        <f t="array" ref="D798">_xlfn.XLOOKUP(Total[[#This Row],[Tecnología]]&amp;Total[[#This Row],[Metodo]],TbTipos[Tecnología]&amp;TbTipos[Metodo],TbTipos[Tipo])</f>
        <v>OMP Elementos</v>
      </c>
      <c r="E798" s="15" t="str" cm="1">
        <f t="array" ref="E798">_xlfn.XLOOKUP(Total[[#This Row],[Tecnología]]&amp;Total[[#This Row],[Problema]],TbNombres[Tecnología]&amp;TbNombres[Problema],TbNombres[Nombre])</f>
        <v>Brusselator1d</v>
      </c>
      <c r="F798" s="1">
        <v>6</v>
      </c>
      <c r="G798" s="1">
        <v>3</v>
      </c>
      <c r="H798" s="1">
        <v>1</v>
      </c>
      <c r="I798" s="1">
        <v>2000</v>
      </c>
      <c r="J798" s="1">
        <v>4000</v>
      </c>
      <c r="K798" s="1">
        <v>102.721</v>
      </c>
    </row>
    <row r="799" spans="2:11" x14ac:dyDescent="0.2">
      <c r="B799" s="26" t="str">
        <f>_xlfn.XLOOKUP(Total[[#This Row],[Metodo]],TbSolver[Metodo],TbSolver[Solver])</f>
        <v>Adams Bashford Moulton</v>
      </c>
      <c r="C799" s="26" t="str">
        <f>_xlfn.XLOOKUP(Total[[#This Row],[Hebras]],TbTecnologia[Hebras],TbTecnologia[Tecnología])</f>
        <v>OMP</v>
      </c>
      <c r="D799" s="15" t="str" cm="1">
        <f t="array" ref="D799">_xlfn.XLOOKUP(Total[[#This Row],[Tecnología]]&amp;Total[[#This Row],[Metodo]],TbTipos[Tecnología]&amp;TbTipos[Metodo],TbTipos[Tipo])</f>
        <v>OMP Elementos</v>
      </c>
      <c r="E799" s="15" t="str" cm="1">
        <f t="array" ref="E799">_xlfn.XLOOKUP(Total[[#This Row],[Tecnología]]&amp;Total[[#This Row],[Problema]],TbNombres[Tecnología]&amp;TbNombres[Problema],TbNombres[Nombre])</f>
        <v>Brusselator1d</v>
      </c>
      <c r="F799" s="1">
        <v>6</v>
      </c>
      <c r="G799" s="1">
        <v>3</v>
      </c>
      <c r="H799" s="1">
        <v>4</v>
      </c>
      <c r="I799" s="1">
        <v>2000</v>
      </c>
      <c r="J799" s="1">
        <v>4000</v>
      </c>
      <c r="K799" s="1">
        <v>34.348999999999997</v>
      </c>
    </row>
    <row r="800" spans="2:11" x14ac:dyDescent="0.2">
      <c r="B800" s="26" t="str">
        <f>_xlfn.XLOOKUP(Total[[#This Row],[Metodo]],TbSolver[Metodo],TbSolver[Solver])</f>
        <v>Adams Bashford Moulton</v>
      </c>
      <c r="C800" s="26" t="str">
        <f>_xlfn.XLOOKUP(Total[[#This Row],[Hebras]],TbTecnologia[Hebras],TbTecnologia[Tecnología])</f>
        <v>OMP</v>
      </c>
      <c r="D800" s="15" t="str" cm="1">
        <f t="array" ref="D800">_xlfn.XLOOKUP(Total[[#This Row],[Tecnología]]&amp;Total[[#This Row],[Metodo]],TbTipos[Tecnología]&amp;TbTipos[Metodo],TbTipos[Tipo])</f>
        <v>OMP Elementos</v>
      </c>
      <c r="E800" s="15" t="str" cm="1">
        <f t="array" ref="E800">_xlfn.XLOOKUP(Total[[#This Row],[Tecnología]]&amp;Total[[#This Row],[Problema]],TbNombres[Tecnología]&amp;TbNombres[Problema],TbNombres[Nombre])</f>
        <v>Brusselator1d</v>
      </c>
      <c r="F800" s="1">
        <v>6</v>
      </c>
      <c r="G800" s="1">
        <v>3</v>
      </c>
      <c r="H800" s="1">
        <v>16</v>
      </c>
      <c r="I800" s="1">
        <v>2000</v>
      </c>
      <c r="J800" s="1">
        <v>4000</v>
      </c>
      <c r="K800" s="1">
        <v>28.5946</v>
      </c>
    </row>
    <row r="801" spans="2:11" x14ac:dyDescent="0.2">
      <c r="B801" s="26" t="str">
        <f>_xlfn.XLOOKUP(Total[[#This Row],[Metodo]],TbSolver[Metodo],TbSolver[Solver])</f>
        <v>Runge Kutta</v>
      </c>
      <c r="C801" s="26" t="str">
        <f>_xlfn.XLOOKUP(Total[[#This Row],[Hebras]],TbTecnologia[Hebras],TbTecnologia[Tecnología])</f>
        <v>OMP</v>
      </c>
      <c r="D801" s="15" t="str" cm="1">
        <f t="array" ref="D801">_xlfn.XLOOKUP(Total[[#This Row],[Tecnología]]&amp;Total[[#This Row],[Metodo]],TbTipos[Tecnología]&amp;TbTipos[Metodo],TbTipos[Tipo])</f>
        <v>OMP Operaciones</v>
      </c>
      <c r="E801" s="15" t="str" cm="1">
        <f t="array" ref="E801">_xlfn.XLOOKUP(Total[[#This Row],[Tecnología]]&amp;Total[[#This Row],[Problema]],TbNombres[Tecnología]&amp;TbNombres[Problema],TbNombres[Nombre])</f>
        <v>Simple Advdiff</v>
      </c>
      <c r="F801" s="1">
        <v>1</v>
      </c>
      <c r="G801" s="1">
        <v>1</v>
      </c>
      <c r="H801" s="1">
        <v>1</v>
      </c>
      <c r="I801" s="1">
        <v>5000</v>
      </c>
      <c r="J801" s="1">
        <v>5000</v>
      </c>
      <c r="K801" s="1">
        <v>27.7988</v>
      </c>
    </row>
    <row r="802" spans="2:11" x14ac:dyDescent="0.2">
      <c r="B802" s="26" t="str">
        <f>_xlfn.XLOOKUP(Total[[#This Row],[Metodo]],TbSolver[Metodo],TbSolver[Solver])</f>
        <v>Runge Kutta</v>
      </c>
      <c r="C802" s="26" t="str">
        <f>_xlfn.XLOOKUP(Total[[#This Row],[Hebras]],TbTecnologia[Hebras],TbTecnologia[Tecnología])</f>
        <v>OMP</v>
      </c>
      <c r="D802" s="15" t="str" cm="1">
        <f t="array" ref="D802">_xlfn.XLOOKUP(Total[[#This Row],[Tecnología]]&amp;Total[[#This Row],[Metodo]],TbTipos[Tecnología]&amp;TbTipos[Metodo],TbTipos[Tipo])</f>
        <v>OMP Operaciones</v>
      </c>
      <c r="E802" s="15" t="str" cm="1">
        <f t="array" ref="E802">_xlfn.XLOOKUP(Total[[#This Row],[Tecnología]]&amp;Total[[#This Row],[Problema]],TbNombres[Tecnología]&amp;TbNombres[Problema],TbNombres[Nombre])</f>
        <v>Simple Advdiff</v>
      </c>
      <c r="F802" s="1">
        <v>1</v>
      </c>
      <c r="G802" s="1">
        <v>1</v>
      </c>
      <c r="H802" s="1">
        <v>4</v>
      </c>
      <c r="I802" s="1">
        <v>5000</v>
      </c>
      <c r="J802" s="1">
        <v>5000</v>
      </c>
      <c r="K802" s="1">
        <v>30.970500000000001</v>
      </c>
    </row>
    <row r="803" spans="2:11" x14ac:dyDescent="0.2">
      <c r="B803" s="26" t="str">
        <f>_xlfn.XLOOKUP(Total[[#This Row],[Metodo]],TbSolver[Metodo],TbSolver[Solver])</f>
        <v>Runge Kutta</v>
      </c>
      <c r="C803" s="26" t="str">
        <f>_xlfn.XLOOKUP(Total[[#This Row],[Hebras]],TbTecnologia[Hebras],TbTecnologia[Tecnología])</f>
        <v>OMP</v>
      </c>
      <c r="D803" s="15" t="str" cm="1">
        <f t="array" ref="D803">_xlfn.XLOOKUP(Total[[#This Row],[Tecnología]]&amp;Total[[#This Row],[Metodo]],TbTipos[Tecnología]&amp;TbTipos[Metodo],TbTipos[Tipo])</f>
        <v>OMP Operaciones</v>
      </c>
      <c r="E803" s="15" t="str" cm="1">
        <f t="array" ref="E803">_xlfn.XLOOKUP(Total[[#This Row],[Tecnología]]&amp;Total[[#This Row],[Problema]],TbNombres[Tecnología]&amp;TbNombres[Problema],TbNombres[Nombre])</f>
        <v>Simple Advdiff</v>
      </c>
      <c r="F803" s="1">
        <v>1</v>
      </c>
      <c r="G803" s="1">
        <v>1</v>
      </c>
      <c r="H803" s="1">
        <v>16</v>
      </c>
      <c r="I803" s="1">
        <v>5000</v>
      </c>
      <c r="J803" s="1">
        <v>5000</v>
      </c>
      <c r="K803" s="1">
        <v>61.200400000000002</v>
      </c>
    </row>
    <row r="804" spans="2:11" x14ac:dyDescent="0.2">
      <c r="B804" s="26" t="str">
        <f>_xlfn.XLOOKUP(Total[[#This Row],[Metodo]],TbSolver[Metodo],TbSolver[Solver])</f>
        <v>Runge Kutta</v>
      </c>
      <c r="C804" s="26" t="str">
        <f>_xlfn.XLOOKUP(Total[[#This Row],[Hebras]],TbTecnologia[Hebras],TbTecnologia[Tecnología])</f>
        <v>OMP</v>
      </c>
      <c r="D804" s="15" t="str" cm="1">
        <f t="array" ref="D804">_xlfn.XLOOKUP(Total[[#This Row],[Tecnología]]&amp;Total[[#This Row],[Metodo]],TbTipos[Tecnología]&amp;TbTipos[Metodo],TbTipos[Tipo])</f>
        <v>OMP Operaciones</v>
      </c>
      <c r="E804" s="15" t="str" cm="1">
        <f t="array" ref="E804">_xlfn.XLOOKUP(Total[[#This Row],[Tecnología]]&amp;Total[[#This Row],[Problema]],TbNombres[Tecnología]&amp;TbNombres[Problema],TbNombres[Nombre])</f>
        <v>Advdiff1d</v>
      </c>
      <c r="F804" s="1">
        <v>1</v>
      </c>
      <c r="G804" s="1">
        <v>2</v>
      </c>
      <c r="H804" s="1">
        <v>1</v>
      </c>
      <c r="I804" s="1">
        <v>5000</v>
      </c>
      <c r="J804" s="1">
        <v>5000</v>
      </c>
      <c r="K804" s="1">
        <v>439.41300000000001</v>
      </c>
    </row>
    <row r="805" spans="2:11" x14ac:dyDescent="0.2">
      <c r="B805" s="26" t="str">
        <f>_xlfn.XLOOKUP(Total[[#This Row],[Metodo]],TbSolver[Metodo],TbSolver[Solver])</f>
        <v>Runge Kutta</v>
      </c>
      <c r="C805" s="26" t="str">
        <f>_xlfn.XLOOKUP(Total[[#This Row],[Hebras]],TbTecnologia[Hebras],TbTecnologia[Tecnología])</f>
        <v>OMP</v>
      </c>
      <c r="D805" s="15" t="str" cm="1">
        <f t="array" ref="D805">_xlfn.XLOOKUP(Total[[#This Row],[Tecnología]]&amp;Total[[#This Row],[Metodo]],TbTipos[Tecnología]&amp;TbTipos[Metodo],TbTipos[Tipo])</f>
        <v>OMP Operaciones</v>
      </c>
      <c r="E805" s="15" t="str" cm="1">
        <f t="array" ref="E805">_xlfn.XLOOKUP(Total[[#This Row],[Tecnología]]&amp;Total[[#This Row],[Problema]],TbNombres[Tecnología]&amp;TbNombres[Problema],TbNombres[Nombre])</f>
        <v>Advdiff1d</v>
      </c>
      <c r="F805" s="1">
        <v>1</v>
      </c>
      <c r="G805" s="1">
        <v>2</v>
      </c>
      <c r="H805" s="1">
        <v>4</v>
      </c>
      <c r="I805" s="1">
        <v>5000</v>
      </c>
      <c r="J805" s="1">
        <v>5000</v>
      </c>
      <c r="K805" s="1">
        <v>160.376</v>
      </c>
    </row>
    <row r="806" spans="2:11" x14ac:dyDescent="0.2">
      <c r="B806" s="26" t="str">
        <f>_xlfn.XLOOKUP(Total[[#This Row],[Metodo]],TbSolver[Metodo],TbSolver[Solver])</f>
        <v>Runge Kutta</v>
      </c>
      <c r="C806" s="26" t="str">
        <f>_xlfn.XLOOKUP(Total[[#This Row],[Hebras]],TbTecnologia[Hebras],TbTecnologia[Tecnología])</f>
        <v>OMP</v>
      </c>
      <c r="D806" s="15" t="str" cm="1">
        <f t="array" ref="D806">_xlfn.XLOOKUP(Total[[#This Row],[Tecnología]]&amp;Total[[#This Row],[Metodo]],TbTipos[Tecnología]&amp;TbTipos[Metodo],TbTipos[Tipo])</f>
        <v>OMP Operaciones</v>
      </c>
      <c r="E806" s="15" t="str" cm="1">
        <f t="array" ref="E806">_xlfn.XLOOKUP(Total[[#This Row],[Tecnología]]&amp;Total[[#This Row],[Problema]],TbNombres[Tecnología]&amp;TbNombres[Problema],TbNombres[Nombre])</f>
        <v>Advdiff1d</v>
      </c>
      <c r="F806" s="1">
        <v>1</v>
      </c>
      <c r="G806" s="1">
        <v>2</v>
      </c>
      <c r="H806" s="1">
        <v>16</v>
      </c>
      <c r="I806" s="1">
        <v>5000</v>
      </c>
      <c r="J806" s="1">
        <v>5000</v>
      </c>
      <c r="K806" s="1">
        <v>117.56100000000001</v>
      </c>
    </row>
    <row r="807" spans="2:11" x14ac:dyDescent="0.2">
      <c r="B807" s="26" t="str">
        <f>_xlfn.XLOOKUP(Total[[#This Row],[Metodo]],TbSolver[Metodo],TbSolver[Solver])</f>
        <v>Runge Kutta</v>
      </c>
      <c r="C807" s="26" t="str">
        <f>_xlfn.XLOOKUP(Total[[#This Row],[Hebras]],TbTecnologia[Hebras],TbTecnologia[Tecnología])</f>
        <v>OMP</v>
      </c>
      <c r="D807" s="15" t="str" cm="1">
        <f t="array" ref="D807">_xlfn.XLOOKUP(Total[[#This Row],[Tecnología]]&amp;Total[[#This Row],[Metodo]],TbTipos[Tecnología]&amp;TbTipos[Metodo],TbTipos[Tipo])</f>
        <v>OMP Operaciones</v>
      </c>
      <c r="E807" s="15" t="str" cm="1">
        <f t="array" ref="E807">_xlfn.XLOOKUP(Total[[#This Row],[Tecnología]]&amp;Total[[#This Row],[Problema]],TbNombres[Tecnología]&amp;TbNombres[Problema],TbNombres[Nombre])</f>
        <v>Brusselator1d</v>
      </c>
      <c r="F807" s="1">
        <v>1</v>
      </c>
      <c r="G807" s="1">
        <v>3</v>
      </c>
      <c r="H807" s="1">
        <v>1</v>
      </c>
      <c r="I807" s="1">
        <v>5000</v>
      </c>
      <c r="J807" s="1">
        <v>10000</v>
      </c>
      <c r="K807" s="1">
        <v>97.689599999999999</v>
      </c>
    </row>
    <row r="808" spans="2:11" x14ac:dyDescent="0.2">
      <c r="B808" s="26" t="str">
        <f>_xlfn.XLOOKUP(Total[[#This Row],[Metodo]],TbSolver[Metodo],TbSolver[Solver])</f>
        <v>Runge Kutta</v>
      </c>
      <c r="C808" s="26" t="str">
        <f>_xlfn.XLOOKUP(Total[[#This Row],[Hebras]],TbTecnologia[Hebras],TbTecnologia[Tecnología])</f>
        <v>OMP</v>
      </c>
      <c r="D808" s="15" t="str" cm="1">
        <f t="array" ref="D808">_xlfn.XLOOKUP(Total[[#This Row],[Tecnología]]&amp;Total[[#This Row],[Metodo]],TbTipos[Tecnología]&amp;TbTipos[Metodo],TbTipos[Tipo])</f>
        <v>OMP Operaciones</v>
      </c>
      <c r="E808" s="15" t="str" cm="1">
        <f t="array" ref="E808">_xlfn.XLOOKUP(Total[[#This Row],[Tecnología]]&amp;Total[[#This Row],[Problema]],TbNombres[Tecnología]&amp;TbNombres[Problema],TbNombres[Nombre])</f>
        <v>Brusselator1d</v>
      </c>
      <c r="F808" s="1">
        <v>1</v>
      </c>
      <c r="G808" s="1">
        <v>3</v>
      </c>
      <c r="H808" s="1">
        <v>4</v>
      </c>
      <c r="I808" s="1">
        <v>5000</v>
      </c>
      <c r="J808" s="1">
        <v>10000</v>
      </c>
      <c r="K808" s="1">
        <v>59.658799999999999</v>
      </c>
    </row>
    <row r="809" spans="2:11" x14ac:dyDescent="0.2">
      <c r="B809" s="26" t="str">
        <f>_xlfn.XLOOKUP(Total[[#This Row],[Metodo]],TbSolver[Metodo],TbSolver[Solver])</f>
        <v>Runge Kutta</v>
      </c>
      <c r="C809" s="26" t="str">
        <f>_xlfn.XLOOKUP(Total[[#This Row],[Hebras]],TbTecnologia[Hebras],TbTecnologia[Tecnología])</f>
        <v>OMP</v>
      </c>
      <c r="D809" s="15" t="str" cm="1">
        <f t="array" ref="D809">_xlfn.XLOOKUP(Total[[#This Row],[Tecnología]]&amp;Total[[#This Row],[Metodo]],TbTipos[Tecnología]&amp;TbTipos[Metodo],TbTipos[Tipo])</f>
        <v>OMP Operaciones</v>
      </c>
      <c r="E809" s="15" t="str" cm="1">
        <f t="array" ref="E809">_xlfn.XLOOKUP(Total[[#This Row],[Tecnología]]&amp;Total[[#This Row],[Problema]],TbNombres[Tecnología]&amp;TbNombres[Problema],TbNombres[Nombre])</f>
        <v>Brusselator1d</v>
      </c>
      <c r="F809" s="1">
        <v>1</v>
      </c>
      <c r="G809" s="1">
        <v>3</v>
      </c>
      <c r="H809" s="1">
        <v>16</v>
      </c>
      <c r="I809" s="1">
        <v>5000</v>
      </c>
      <c r="J809" s="1">
        <v>10000</v>
      </c>
      <c r="K809" s="1">
        <v>95.799800000000005</v>
      </c>
    </row>
    <row r="810" spans="2:11" x14ac:dyDescent="0.2">
      <c r="B810" s="26" t="str">
        <f>_xlfn.XLOOKUP(Total[[#This Row],[Metodo]],TbSolver[Metodo],TbSolver[Solver])</f>
        <v>Runge Kutta</v>
      </c>
      <c r="C810" s="26" t="str">
        <f>_xlfn.XLOOKUP(Total[[#This Row],[Hebras]],TbTecnologia[Hebras],TbTecnologia[Tecnología])</f>
        <v>OMP</v>
      </c>
      <c r="D810" s="15" t="str" cm="1">
        <f t="array" ref="D810">_xlfn.XLOOKUP(Total[[#This Row],[Tecnología]]&amp;Total[[#This Row],[Metodo]],TbTipos[Tecnología]&amp;TbTipos[Metodo],TbTipos[Tipo])</f>
        <v>OMP Elementos</v>
      </c>
      <c r="E810" s="15" t="str" cm="1">
        <f t="array" ref="E810">_xlfn.XLOOKUP(Total[[#This Row],[Tecnología]]&amp;Total[[#This Row],[Problema]],TbNombres[Tecnología]&amp;TbNombres[Problema],TbNombres[Nombre])</f>
        <v>Simple Advdiff</v>
      </c>
      <c r="F810" s="1">
        <v>2</v>
      </c>
      <c r="G810" s="1">
        <v>1</v>
      </c>
      <c r="H810" s="1">
        <v>1</v>
      </c>
      <c r="I810" s="1">
        <v>5000</v>
      </c>
      <c r="J810" s="1">
        <v>5000</v>
      </c>
      <c r="K810" s="1">
        <v>152.15</v>
      </c>
    </row>
    <row r="811" spans="2:11" x14ac:dyDescent="0.2">
      <c r="B811" s="26" t="str">
        <f>_xlfn.XLOOKUP(Total[[#This Row],[Metodo]],TbSolver[Metodo],TbSolver[Solver])</f>
        <v>Runge Kutta</v>
      </c>
      <c r="C811" s="26" t="str">
        <f>_xlfn.XLOOKUP(Total[[#This Row],[Hebras]],TbTecnologia[Hebras],TbTecnologia[Tecnología])</f>
        <v>OMP</v>
      </c>
      <c r="D811" s="15" t="str" cm="1">
        <f t="array" ref="D811">_xlfn.XLOOKUP(Total[[#This Row],[Tecnología]]&amp;Total[[#This Row],[Metodo]],TbTipos[Tecnología]&amp;TbTipos[Metodo],TbTipos[Tipo])</f>
        <v>OMP Elementos</v>
      </c>
      <c r="E811" s="15" t="str" cm="1">
        <f t="array" ref="E811">_xlfn.XLOOKUP(Total[[#This Row],[Tecnología]]&amp;Total[[#This Row],[Problema]],TbNombres[Tecnología]&amp;TbNombres[Problema],TbNombres[Nombre])</f>
        <v>Simple Advdiff</v>
      </c>
      <c r="F811" s="1">
        <v>2</v>
      </c>
      <c r="G811" s="1">
        <v>1</v>
      </c>
      <c r="H811" s="1">
        <v>4</v>
      </c>
      <c r="I811" s="1">
        <v>5000</v>
      </c>
      <c r="J811" s="1">
        <v>5000</v>
      </c>
      <c r="K811" s="1">
        <v>44.545099999999998</v>
      </c>
    </row>
    <row r="812" spans="2:11" x14ac:dyDescent="0.2">
      <c r="B812" s="26" t="str">
        <f>_xlfn.XLOOKUP(Total[[#This Row],[Metodo]],TbSolver[Metodo],TbSolver[Solver])</f>
        <v>Runge Kutta</v>
      </c>
      <c r="C812" s="26" t="str">
        <f>_xlfn.XLOOKUP(Total[[#This Row],[Hebras]],TbTecnologia[Hebras],TbTecnologia[Tecnología])</f>
        <v>OMP</v>
      </c>
      <c r="D812" s="15" t="str" cm="1">
        <f t="array" ref="D812">_xlfn.XLOOKUP(Total[[#This Row],[Tecnología]]&amp;Total[[#This Row],[Metodo]],TbTipos[Tecnología]&amp;TbTipos[Metodo],TbTipos[Tipo])</f>
        <v>OMP Elementos</v>
      </c>
      <c r="E812" s="15" t="str" cm="1">
        <f t="array" ref="E812">_xlfn.XLOOKUP(Total[[#This Row],[Tecnología]]&amp;Total[[#This Row],[Problema]],TbNombres[Tecnología]&amp;TbNombres[Problema],TbNombres[Nombre])</f>
        <v>Simple Advdiff</v>
      </c>
      <c r="F812" s="1">
        <v>2</v>
      </c>
      <c r="G812" s="1">
        <v>1</v>
      </c>
      <c r="H812" s="1">
        <v>16</v>
      </c>
      <c r="I812" s="1">
        <v>5000</v>
      </c>
      <c r="J812" s="1">
        <v>5000</v>
      </c>
      <c r="K812" s="1">
        <v>24.156700000000001</v>
      </c>
    </row>
    <row r="813" spans="2:11" x14ac:dyDescent="0.2">
      <c r="B813" s="26" t="str">
        <f>_xlfn.XLOOKUP(Total[[#This Row],[Metodo]],TbSolver[Metodo],TbSolver[Solver])</f>
        <v>Runge Kutta</v>
      </c>
      <c r="C813" s="26" t="str">
        <f>_xlfn.XLOOKUP(Total[[#This Row],[Hebras]],TbTecnologia[Hebras],TbTecnologia[Tecnología])</f>
        <v>OMP</v>
      </c>
      <c r="D813" s="15" t="str" cm="1">
        <f t="array" ref="D813">_xlfn.XLOOKUP(Total[[#This Row],[Tecnología]]&amp;Total[[#This Row],[Metodo]],TbTipos[Tecnología]&amp;TbTipos[Metodo],TbTipos[Tipo])</f>
        <v>OMP Elementos</v>
      </c>
      <c r="E813" s="15" t="str" cm="1">
        <f t="array" ref="E813">_xlfn.XLOOKUP(Total[[#This Row],[Tecnología]]&amp;Total[[#This Row],[Problema]],TbNombres[Tecnología]&amp;TbNombres[Problema],TbNombres[Nombre])</f>
        <v>Advdiff1d</v>
      </c>
      <c r="F813" s="1">
        <v>2</v>
      </c>
      <c r="G813" s="1">
        <v>2</v>
      </c>
      <c r="H813" s="1">
        <v>1</v>
      </c>
      <c r="I813" s="1">
        <v>5000</v>
      </c>
      <c r="J813" s="1">
        <v>5000</v>
      </c>
      <c r="K813" s="1">
        <v>575.30899999999997</v>
      </c>
    </row>
    <row r="814" spans="2:11" x14ac:dyDescent="0.2">
      <c r="B814" s="26" t="str">
        <f>_xlfn.XLOOKUP(Total[[#This Row],[Metodo]],TbSolver[Metodo],TbSolver[Solver])</f>
        <v>Runge Kutta</v>
      </c>
      <c r="C814" s="26" t="str">
        <f>_xlfn.XLOOKUP(Total[[#This Row],[Hebras]],TbTecnologia[Hebras],TbTecnologia[Tecnología])</f>
        <v>OMP</v>
      </c>
      <c r="D814" s="15" t="str" cm="1">
        <f t="array" ref="D814">_xlfn.XLOOKUP(Total[[#This Row],[Tecnología]]&amp;Total[[#This Row],[Metodo]],TbTipos[Tecnología]&amp;TbTipos[Metodo],TbTipos[Tipo])</f>
        <v>OMP Elementos</v>
      </c>
      <c r="E814" s="15" t="str" cm="1">
        <f t="array" ref="E814">_xlfn.XLOOKUP(Total[[#This Row],[Tecnología]]&amp;Total[[#This Row],[Problema]],TbNombres[Tecnología]&amp;TbNombres[Problema],TbNombres[Nombre])</f>
        <v>Advdiff1d</v>
      </c>
      <c r="F814" s="1">
        <v>2</v>
      </c>
      <c r="G814" s="1">
        <v>2</v>
      </c>
      <c r="H814" s="1">
        <v>4</v>
      </c>
      <c r="I814" s="1">
        <v>5000</v>
      </c>
      <c r="J814" s="1">
        <v>5000</v>
      </c>
      <c r="K814" s="1">
        <v>163.90700000000001</v>
      </c>
    </row>
    <row r="815" spans="2:11" x14ac:dyDescent="0.2">
      <c r="B815" s="26" t="str">
        <f>_xlfn.XLOOKUP(Total[[#This Row],[Metodo]],TbSolver[Metodo],TbSolver[Solver])</f>
        <v>Runge Kutta</v>
      </c>
      <c r="C815" s="26" t="str">
        <f>_xlfn.XLOOKUP(Total[[#This Row],[Hebras]],TbTecnologia[Hebras],TbTecnologia[Tecnología])</f>
        <v>OMP</v>
      </c>
      <c r="D815" s="15" t="str" cm="1">
        <f t="array" ref="D815">_xlfn.XLOOKUP(Total[[#This Row],[Tecnología]]&amp;Total[[#This Row],[Metodo]],TbTipos[Tecnología]&amp;TbTipos[Metodo],TbTipos[Tipo])</f>
        <v>OMP Elementos</v>
      </c>
      <c r="E815" s="15" t="str" cm="1">
        <f t="array" ref="E815">_xlfn.XLOOKUP(Total[[#This Row],[Tecnología]]&amp;Total[[#This Row],[Problema]],TbNombres[Tecnología]&amp;TbNombres[Problema],TbNombres[Nombre])</f>
        <v>Advdiff1d</v>
      </c>
      <c r="F815" s="1">
        <v>2</v>
      </c>
      <c r="G815" s="1">
        <v>2</v>
      </c>
      <c r="H815" s="1">
        <v>16</v>
      </c>
      <c r="I815" s="1">
        <v>5000</v>
      </c>
      <c r="J815" s="1">
        <v>5000</v>
      </c>
      <c r="K815" s="1">
        <v>51.324300000000001</v>
      </c>
    </row>
    <row r="816" spans="2:11" x14ac:dyDescent="0.2">
      <c r="B816" s="26" t="str">
        <f>_xlfn.XLOOKUP(Total[[#This Row],[Metodo]],TbSolver[Metodo],TbSolver[Solver])</f>
        <v>Runge Kutta</v>
      </c>
      <c r="C816" s="26" t="str">
        <f>_xlfn.XLOOKUP(Total[[#This Row],[Hebras]],TbTecnologia[Hebras],TbTecnologia[Tecnología])</f>
        <v>OMP</v>
      </c>
      <c r="D816" s="15" t="str" cm="1">
        <f t="array" ref="D816">_xlfn.XLOOKUP(Total[[#This Row],[Tecnología]]&amp;Total[[#This Row],[Metodo]],TbTipos[Tecnología]&amp;TbTipos[Metodo],TbTipos[Tipo])</f>
        <v>OMP Elementos</v>
      </c>
      <c r="E816" s="15" t="str" cm="1">
        <f t="array" ref="E816">_xlfn.XLOOKUP(Total[[#This Row],[Tecnología]]&amp;Total[[#This Row],[Problema]],TbNombres[Tecnología]&amp;TbNombres[Problema],TbNombres[Nombre])</f>
        <v>Brusselator1d</v>
      </c>
      <c r="F816" s="1">
        <v>2</v>
      </c>
      <c r="G816" s="1">
        <v>3</v>
      </c>
      <c r="H816" s="1">
        <v>1</v>
      </c>
      <c r="I816" s="1">
        <v>5000</v>
      </c>
      <c r="J816" s="1">
        <v>10000</v>
      </c>
      <c r="K816" s="1">
        <v>237.566</v>
      </c>
    </row>
    <row r="817" spans="2:11" x14ac:dyDescent="0.2">
      <c r="B817" s="26" t="str">
        <f>_xlfn.XLOOKUP(Total[[#This Row],[Metodo]],TbSolver[Metodo],TbSolver[Solver])</f>
        <v>Runge Kutta</v>
      </c>
      <c r="C817" s="26" t="str">
        <f>_xlfn.XLOOKUP(Total[[#This Row],[Hebras]],TbTecnologia[Hebras],TbTecnologia[Tecnología])</f>
        <v>OMP</v>
      </c>
      <c r="D817" s="15" t="str" cm="1">
        <f t="array" ref="D817">_xlfn.XLOOKUP(Total[[#This Row],[Tecnología]]&amp;Total[[#This Row],[Metodo]],TbTipos[Tecnología]&amp;TbTipos[Metodo],TbTipos[Tipo])</f>
        <v>OMP Elementos</v>
      </c>
      <c r="E817" s="15" t="str" cm="1">
        <f t="array" ref="E817">_xlfn.XLOOKUP(Total[[#This Row],[Tecnología]]&amp;Total[[#This Row],[Problema]],TbNombres[Tecnología]&amp;TbNombres[Problema],TbNombres[Nombre])</f>
        <v>Brusselator1d</v>
      </c>
      <c r="F817" s="1">
        <v>2</v>
      </c>
      <c r="G817" s="1">
        <v>3</v>
      </c>
      <c r="H817" s="1">
        <v>4</v>
      </c>
      <c r="I817" s="1">
        <v>5000</v>
      </c>
      <c r="J817" s="1">
        <v>10000</v>
      </c>
      <c r="K817" s="1">
        <v>66.589399999999998</v>
      </c>
    </row>
    <row r="818" spans="2:11" x14ac:dyDescent="0.2">
      <c r="B818" s="26" t="str">
        <f>_xlfn.XLOOKUP(Total[[#This Row],[Metodo]],TbSolver[Metodo],TbSolver[Solver])</f>
        <v>Runge Kutta</v>
      </c>
      <c r="C818" s="26" t="str">
        <f>_xlfn.XLOOKUP(Total[[#This Row],[Hebras]],TbTecnologia[Hebras],TbTecnologia[Tecnología])</f>
        <v>OMP</v>
      </c>
      <c r="D818" s="15" t="str" cm="1">
        <f t="array" ref="D818">_xlfn.XLOOKUP(Total[[#This Row],[Tecnología]]&amp;Total[[#This Row],[Metodo]],TbTipos[Tecnología]&amp;TbTipos[Metodo],TbTipos[Tipo])</f>
        <v>OMP Elementos</v>
      </c>
      <c r="E818" s="15" t="str" cm="1">
        <f t="array" ref="E818">_xlfn.XLOOKUP(Total[[#This Row],[Tecnología]]&amp;Total[[#This Row],[Problema]],TbNombres[Tecnología]&amp;TbNombres[Problema],TbNombres[Nombre])</f>
        <v>Brusselator1d</v>
      </c>
      <c r="F818" s="1">
        <v>2</v>
      </c>
      <c r="G818" s="1">
        <v>3</v>
      </c>
      <c r="H818" s="1">
        <v>16</v>
      </c>
      <c r="I818" s="1">
        <v>5000</v>
      </c>
      <c r="J818" s="1">
        <v>10000</v>
      </c>
      <c r="K818" s="1">
        <v>29.418800000000001</v>
      </c>
    </row>
    <row r="819" spans="2:11" x14ac:dyDescent="0.2">
      <c r="B819" s="26" t="str">
        <f>_xlfn.XLOOKUP(Total[[#This Row],[Metodo]],TbSolver[Metodo],TbSolver[Solver])</f>
        <v>Adams Bashford</v>
      </c>
      <c r="C819" s="26" t="str">
        <f>_xlfn.XLOOKUP(Total[[#This Row],[Hebras]],TbTecnologia[Hebras],TbTecnologia[Tecnología])</f>
        <v>OMP</v>
      </c>
      <c r="D819" s="15" t="str" cm="1">
        <f t="array" ref="D819">_xlfn.XLOOKUP(Total[[#This Row],[Tecnología]]&amp;Total[[#This Row],[Metodo]],TbTipos[Tecnología]&amp;TbTipos[Metodo],TbTipos[Tipo])</f>
        <v>OMP Operaciones</v>
      </c>
      <c r="E819" s="15" t="str" cm="1">
        <f t="array" ref="E819">_xlfn.XLOOKUP(Total[[#This Row],[Tecnología]]&amp;Total[[#This Row],[Problema]],TbNombres[Tecnología]&amp;TbNombres[Problema],TbNombres[Nombre])</f>
        <v>Simple Advdiff</v>
      </c>
      <c r="F819" s="1">
        <v>3</v>
      </c>
      <c r="G819" s="1">
        <v>1</v>
      </c>
      <c r="H819" s="1">
        <v>1</v>
      </c>
      <c r="I819" s="1">
        <v>5000</v>
      </c>
      <c r="J819" s="1">
        <v>5000</v>
      </c>
      <c r="K819" s="1">
        <v>11.027799999999999</v>
      </c>
    </row>
    <row r="820" spans="2:11" x14ac:dyDescent="0.2">
      <c r="B820" s="26" t="str">
        <f>_xlfn.XLOOKUP(Total[[#This Row],[Metodo]],TbSolver[Metodo],TbSolver[Solver])</f>
        <v>Adams Bashford</v>
      </c>
      <c r="C820" s="26" t="str">
        <f>_xlfn.XLOOKUP(Total[[#This Row],[Hebras]],TbTecnologia[Hebras],TbTecnologia[Tecnología])</f>
        <v>OMP</v>
      </c>
      <c r="D820" s="15" t="str" cm="1">
        <f t="array" ref="D820">_xlfn.XLOOKUP(Total[[#This Row],[Tecnología]]&amp;Total[[#This Row],[Metodo]],TbTipos[Tecnología]&amp;TbTipos[Metodo],TbTipos[Tipo])</f>
        <v>OMP Operaciones</v>
      </c>
      <c r="E820" s="15" t="str" cm="1">
        <f t="array" ref="E820">_xlfn.XLOOKUP(Total[[#This Row],[Tecnología]]&amp;Total[[#This Row],[Problema]],TbNombres[Tecnología]&amp;TbNombres[Problema],TbNombres[Nombre])</f>
        <v>Simple Advdiff</v>
      </c>
      <c r="F820" s="1">
        <v>3</v>
      </c>
      <c r="G820" s="1">
        <v>1</v>
      </c>
      <c r="H820" s="1">
        <v>4</v>
      </c>
      <c r="I820" s="1">
        <v>5000</v>
      </c>
      <c r="J820" s="1">
        <v>5000</v>
      </c>
      <c r="K820" s="1">
        <v>14.8263</v>
      </c>
    </row>
    <row r="821" spans="2:11" x14ac:dyDescent="0.2">
      <c r="B821" s="26" t="str">
        <f>_xlfn.XLOOKUP(Total[[#This Row],[Metodo]],TbSolver[Metodo],TbSolver[Solver])</f>
        <v>Adams Bashford</v>
      </c>
      <c r="C821" s="26" t="str">
        <f>_xlfn.XLOOKUP(Total[[#This Row],[Hebras]],TbTecnologia[Hebras],TbTecnologia[Tecnología])</f>
        <v>OMP</v>
      </c>
      <c r="D821" s="15" t="str" cm="1">
        <f t="array" ref="D821">_xlfn.XLOOKUP(Total[[#This Row],[Tecnología]]&amp;Total[[#This Row],[Metodo]],TbTipos[Tecnología]&amp;TbTipos[Metodo],TbTipos[Tipo])</f>
        <v>OMP Operaciones</v>
      </c>
      <c r="E821" s="15" t="str" cm="1">
        <f t="array" ref="E821">_xlfn.XLOOKUP(Total[[#This Row],[Tecnología]]&amp;Total[[#This Row],[Problema]],TbNombres[Tecnología]&amp;TbNombres[Problema],TbNombres[Nombre])</f>
        <v>Simple Advdiff</v>
      </c>
      <c r="F821" s="1">
        <v>3</v>
      </c>
      <c r="G821" s="1">
        <v>1</v>
      </c>
      <c r="H821" s="1">
        <v>16</v>
      </c>
      <c r="I821" s="1">
        <v>5000</v>
      </c>
      <c r="J821" s="1">
        <v>5000</v>
      </c>
      <c r="K821" s="1">
        <v>28.435400000000001</v>
      </c>
    </row>
    <row r="822" spans="2:11" x14ac:dyDescent="0.2">
      <c r="B822" s="26" t="str">
        <f>_xlfn.XLOOKUP(Total[[#This Row],[Metodo]],TbSolver[Metodo],TbSolver[Solver])</f>
        <v>Adams Bashford</v>
      </c>
      <c r="C822" s="26" t="str">
        <f>_xlfn.XLOOKUP(Total[[#This Row],[Hebras]],TbTecnologia[Hebras],TbTecnologia[Tecnología])</f>
        <v>OMP</v>
      </c>
      <c r="D822" s="15" t="str" cm="1">
        <f t="array" ref="D822">_xlfn.XLOOKUP(Total[[#This Row],[Tecnología]]&amp;Total[[#This Row],[Metodo]],TbTipos[Tecnología]&amp;TbTipos[Metodo],TbTipos[Tipo])</f>
        <v>OMP Operaciones</v>
      </c>
      <c r="E822" s="15" t="str" cm="1">
        <f t="array" ref="E822">_xlfn.XLOOKUP(Total[[#This Row],[Tecnología]]&amp;Total[[#This Row],[Problema]],TbNombres[Tecnología]&amp;TbNombres[Problema],TbNombres[Nombre])</f>
        <v>Advdiff1d</v>
      </c>
      <c r="F822" s="1">
        <v>3</v>
      </c>
      <c r="G822" s="1">
        <v>2</v>
      </c>
      <c r="H822" s="1">
        <v>1</v>
      </c>
      <c r="I822" s="1">
        <v>5000</v>
      </c>
      <c r="J822" s="1">
        <v>5000</v>
      </c>
      <c r="K822" s="1">
        <v>114.218</v>
      </c>
    </row>
    <row r="823" spans="2:11" x14ac:dyDescent="0.2">
      <c r="B823" s="26" t="str">
        <f>_xlfn.XLOOKUP(Total[[#This Row],[Metodo]],TbSolver[Metodo],TbSolver[Solver])</f>
        <v>Adams Bashford</v>
      </c>
      <c r="C823" s="26" t="str">
        <f>_xlfn.XLOOKUP(Total[[#This Row],[Hebras]],TbTecnologia[Hebras],TbTecnologia[Tecnología])</f>
        <v>OMP</v>
      </c>
      <c r="D823" s="15" t="str" cm="1">
        <f t="array" ref="D823">_xlfn.XLOOKUP(Total[[#This Row],[Tecnología]]&amp;Total[[#This Row],[Metodo]],TbTipos[Tecnología]&amp;TbTipos[Metodo],TbTipos[Tipo])</f>
        <v>OMP Operaciones</v>
      </c>
      <c r="E823" s="15" t="str" cm="1">
        <f t="array" ref="E823">_xlfn.XLOOKUP(Total[[#This Row],[Tecnología]]&amp;Total[[#This Row],[Problema]],TbNombres[Tecnología]&amp;TbNombres[Problema],TbNombres[Nombre])</f>
        <v>Advdiff1d</v>
      </c>
      <c r="F823" s="1">
        <v>3</v>
      </c>
      <c r="G823" s="1">
        <v>2</v>
      </c>
      <c r="H823" s="1">
        <v>4</v>
      </c>
      <c r="I823" s="1">
        <v>5000</v>
      </c>
      <c r="J823" s="1">
        <v>5000</v>
      </c>
      <c r="K823" s="1">
        <v>47.592599999999997</v>
      </c>
    </row>
    <row r="824" spans="2:11" x14ac:dyDescent="0.2">
      <c r="B824" s="26" t="str">
        <f>_xlfn.XLOOKUP(Total[[#This Row],[Metodo]],TbSolver[Metodo],TbSolver[Solver])</f>
        <v>Adams Bashford</v>
      </c>
      <c r="C824" s="26" t="str">
        <f>_xlfn.XLOOKUP(Total[[#This Row],[Hebras]],TbTecnologia[Hebras],TbTecnologia[Tecnología])</f>
        <v>OMP</v>
      </c>
      <c r="D824" s="15" t="str" cm="1">
        <f t="array" ref="D824">_xlfn.XLOOKUP(Total[[#This Row],[Tecnología]]&amp;Total[[#This Row],[Metodo]],TbTipos[Tecnología]&amp;TbTipos[Metodo],TbTipos[Tipo])</f>
        <v>OMP Operaciones</v>
      </c>
      <c r="E824" s="15" t="str" cm="1">
        <f t="array" ref="E824">_xlfn.XLOOKUP(Total[[#This Row],[Tecnología]]&amp;Total[[#This Row],[Problema]],TbNombres[Tecnología]&amp;TbNombres[Problema],TbNombres[Nombre])</f>
        <v>Advdiff1d</v>
      </c>
      <c r="F824" s="1">
        <v>3</v>
      </c>
      <c r="G824" s="1">
        <v>2</v>
      </c>
      <c r="H824" s="1">
        <v>16</v>
      </c>
      <c r="I824" s="1">
        <v>5000</v>
      </c>
      <c r="J824" s="1">
        <v>5000</v>
      </c>
      <c r="K824" s="1">
        <v>43.494</v>
      </c>
    </row>
    <row r="825" spans="2:11" x14ac:dyDescent="0.2">
      <c r="B825" s="26" t="str">
        <f>_xlfn.XLOOKUP(Total[[#This Row],[Metodo]],TbSolver[Metodo],TbSolver[Solver])</f>
        <v>Adams Bashford</v>
      </c>
      <c r="C825" s="26" t="str">
        <f>_xlfn.XLOOKUP(Total[[#This Row],[Hebras]],TbTecnologia[Hebras],TbTecnologia[Tecnología])</f>
        <v>OMP</v>
      </c>
      <c r="D825" s="15" t="str" cm="1">
        <f t="array" ref="D825">_xlfn.XLOOKUP(Total[[#This Row],[Tecnología]]&amp;Total[[#This Row],[Metodo]],TbTipos[Tecnología]&amp;TbTipos[Metodo],TbTipos[Tipo])</f>
        <v>OMP Operaciones</v>
      </c>
      <c r="E825" s="15" t="str" cm="1">
        <f t="array" ref="E825">_xlfn.XLOOKUP(Total[[#This Row],[Tecnología]]&amp;Total[[#This Row],[Problema]],TbNombres[Tecnología]&amp;TbNombres[Problema],TbNombres[Nombre])</f>
        <v>Brusselator1d</v>
      </c>
      <c r="F825" s="1">
        <v>3</v>
      </c>
      <c r="G825" s="1">
        <v>3</v>
      </c>
      <c r="H825" s="1">
        <v>1</v>
      </c>
      <c r="I825" s="1">
        <v>5000</v>
      </c>
      <c r="J825" s="1">
        <v>10000</v>
      </c>
      <c r="K825" s="1">
        <v>31.919899999999998</v>
      </c>
    </row>
    <row r="826" spans="2:11" x14ac:dyDescent="0.2">
      <c r="B826" s="26" t="str">
        <f>_xlfn.XLOOKUP(Total[[#This Row],[Metodo]],TbSolver[Metodo],TbSolver[Solver])</f>
        <v>Adams Bashford</v>
      </c>
      <c r="C826" s="26" t="str">
        <f>_xlfn.XLOOKUP(Total[[#This Row],[Hebras]],TbTecnologia[Hebras],TbTecnologia[Tecnología])</f>
        <v>OMP</v>
      </c>
      <c r="D826" s="15" t="str" cm="1">
        <f t="array" ref="D826">_xlfn.XLOOKUP(Total[[#This Row],[Tecnología]]&amp;Total[[#This Row],[Metodo]],TbTipos[Tecnología]&amp;TbTipos[Metodo],TbTipos[Tipo])</f>
        <v>OMP Operaciones</v>
      </c>
      <c r="E826" s="15" t="str" cm="1">
        <f t="array" ref="E826">_xlfn.XLOOKUP(Total[[#This Row],[Tecnología]]&amp;Total[[#This Row],[Problema]],TbNombres[Tecnología]&amp;TbNombres[Problema],TbNombres[Nombre])</f>
        <v>Brusselator1d</v>
      </c>
      <c r="F826" s="1">
        <v>3</v>
      </c>
      <c r="G826" s="1">
        <v>3</v>
      </c>
      <c r="H826" s="1">
        <v>4</v>
      </c>
      <c r="I826" s="1">
        <v>5000</v>
      </c>
      <c r="J826" s="1">
        <v>10000</v>
      </c>
      <c r="K826" s="1">
        <v>22.780799999999999</v>
      </c>
    </row>
    <row r="827" spans="2:11" x14ac:dyDescent="0.2">
      <c r="B827" s="26" t="str">
        <f>_xlfn.XLOOKUP(Total[[#This Row],[Metodo]],TbSolver[Metodo],TbSolver[Solver])</f>
        <v>Adams Bashford</v>
      </c>
      <c r="C827" s="26" t="str">
        <f>_xlfn.XLOOKUP(Total[[#This Row],[Hebras]],TbTecnologia[Hebras],TbTecnologia[Tecnología])</f>
        <v>OMP</v>
      </c>
      <c r="D827" s="15" t="str" cm="1">
        <f t="array" ref="D827">_xlfn.XLOOKUP(Total[[#This Row],[Tecnología]]&amp;Total[[#This Row],[Metodo]],TbTipos[Tecnología]&amp;TbTipos[Metodo],TbTipos[Tipo])</f>
        <v>OMP Operaciones</v>
      </c>
      <c r="E827" s="15" t="str" cm="1">
        <f t="array" ref="E827">_xlfn.XLOOKUP(Total[[#This Row],[Tecnología]]&amp;Total[[#This Row],[Problema]],TbNombres[Tecnología]&amp;TbNombres[Problema],TbNombres[Nombre])</f>
        <v>Brusselator1d</v>
      </c>
      <c r="F827" s="1">
        <v>3</v>
      </c>
      <c r="G827" s="1">
        <v>3</v>
      </c>
      <c r="H827" s="1">
        <v>16</v>
      </c>
      <c r="I827" s="1">
        <v>5000</v>
      </c>
      <c r="J827" s="1">
        <v>10000</v>
      </c>
      <c r="K827" s="1">
        <v>32.119999999999997</v>
      </c>
    </row>
    <row r="828" spans="2:11" x14ac:dyDescent="0.2">
      <c r="B828" s="26" t="str">
        <f>_xlfn.XLOOKUP(Total[[#This Row],[Metodo]],TbSolver[Metodo],TbSolver[Solver])</f>
        <v>Adams Bashford</v>
      </c>
      <c r="C828" s="26" t="str">
        <f>_xlfn.XLOOKUP(Total[[#This Row],[Hebras]],TbTecnologia[Hebras],TbTecnologia[Tecnología])</f>
        <v>OMP</v>
      </c>
      <c r="D828" s="15" t="str" cm="1">
        <f t="array" ref="D828">_xlfn.XLOOKUP(Total[[#This Row],[Tecnología]]&amp;Total[[#This Row],[Metodo]],TbTipos[Tecnología]&amp;TbTipos[Metodo],TbTipos[Tipo])</f>
        <v>OMP Elementos</v>
      </c>
      <c r="E828" s="15" t="str" cm="1">
        <f t="array" ref="E828">_xlfn.XLOOKUP(Total[[#This Row],[Tecnología]]&amp;Total[[#This Row],[Problema]],TbNombres[Tecnología]&amp;TbNombres[Problema],TbNombres[Nombre])</f>
        <v>Simple Advdiff</v>
      </c>
      <c r="F828" s="1">
        <v>4</v>
      </c>
      <c r="G828" s="1">
        <v>1</v>
      </c>
      <c r="H828" s="1">
        <v>1</v>
      </c>
      <c r="I828" s="1">
        <v>5000</v>
      </c>
      <c r="J828" s="1">
        <v>5000</v>
      </c>
      <c r="K828" s="1">
        <v>25.091699999999999</v>
      </c>
    </row>
    <row r="829" spans="2:11" x14ac:dyDescent="0.2">
      <c r="B829" s="26" t="str">
        <f>_xlfn.XLOOKUP(Total[[#This Row],[Metodo]],TbSolver[Metodo],TbSolver[Solver])</f>
        <v>Adams Bashford</v>
      </c>
      <c r="C829" s="26" t="str">
        <f>_xlfn.XLOOKUP(Total[[#This Row],[Hebras]],TbTecnologia[Hebras],TbTecnologia[Tecnología])</f>
        <v>OMP</v>
      </c>
      <c r="D829" s="15" t="str" cm="1">
        <f t="array" ref="D829">_xlfn.XLOOKUP(Total[[#This Row],[Tecnología]]&amp;Total[[#This Row],[Metodo]],TbTipos[Tecnología]&amp;TbTipos[Metodo],TbTipos[Tipo])</f>
        <v>OMP Elementos</v>
      </c>
      <c r="E829" s="15" t="str" cm="1">
        <f t="array" ref="E829">_xlfn.XLOOKUP(Total[[#This Row],[Tecnología]]&amp;Total[[#This Row],[Problema]],TbNombres[Tecnología]&amp;TbNombres[Problema],TbNombres[Nombre])</f>
        <v>Simple Advdiff</v>
      </c>
      <c r="F829" s="1">
        <v>4</v>
      </c>
      <c r="G829" s="1">
        <v>1</v>
      </c>
      <c r="H829" s="1">
        <v>4</v>
      </c>
      <c r="I829" s="1">
        <v>5000</v>
      </c>
      <c r="J829" s="1">
        <v>5000</v>
      </c>
      <c r="K829" s="1">
        <v>11.039199999999999</v>
      </c>
    </row>
    <row r="830" spans="2:11" x14ac:dyDescent="0.2">
      <c r="B830" s="26" t="str">
        <f>_xlfn.XLOOKUP(Total[[#This Row],[Metodo]],TbSolver[Metodo],TbSolver[Solver])</f>
        <v>Adams Bashford</v>
      </c>
      <c r="C830" s="26" t="str">
        <f>_xlfn.XLOOKUP(Total[[#This Row],[Hebras]],TbTecnologia[Hebras],TbTecnologia[Tecnología])</f>
        <v>OMP</v>
      </c>
      <c r="D830" s="15" t="str" cm="1">
        <f t="array" ref="D830">_xlfn.XLOOKUP(Total[[#This Row],[Tecnología]]&amp;Total[[#This Row],[Metodo]],TbTipos[Tecnología]&amp;TbTipos[Metodo],TbTipos[Tipo])</f>
        <v>OMP Elementos</v>
      </c>
      <c r="E830" s="15" t="str" cm="1">
        <f t="array" ref="E830">_xlfn.XLOOKUP(Total[[#This Row],[Tecnología]]&amp;Total[[#This Row],[Problema]],TbNombres[Tecnología]&amp;TbNombres[Problema],TbNombres[Nombre])</f>
        <v>Simple Advdiff</v>
      </c>
      <c r="F830" s="1">
        <v>4</v>
      </c>
      <c r="G830" s="1">
        <v>1</v>
      </c>
      <c r="H830" s="1">
        <v>16</v>
      </c>
      <c r="I830" s="1">
        <v>5000</v>
      </c>
      <c r="J830" s="1">
        <v>5000</v>
      </c>
      <c r="K830" s="1">
        <v>78.954599999999999</v>
      </c>
    </row>
    <row r="831" spans="2:11" x14ac:dyDescent="0.2">
      <c r="B831" s="26" t="str">
        <f>_xlfn.XLOOKUP(Total[[#This Row],[Metodo]],TbSolver[Metodo],TbSolver[Solver])</f>
        <v>Adams Bashford</v>
      </c>
      <c r="C831" s="26" t="str">
        <f>_xlfn.XLOOKUP(Total[[#This Row],[Hebras]],TbTecnologia[Hebras],TbTecnologia[Tecnología])</f>
        <v>OMP</v>
      </c>
      <c r="D831" s="15" t="str" cm="1">
        <f t="array" ref="D831">_xlfn.XLOOKUP(Total[[#This Row],[Tecnología]]&amp;Total[[#This Row],[Metodo]],TbTipos[Tecnología]&amp;TbTipos[Metodo],TbTipos[Tipo])</f>
        <v>OMP Elementos</v>
      </c>
      <c r="E831" s="15" t="str" cm="1">
        <f t="array" ref="E831">_xlfn.XLOOKUP(Total[[#This Row],[Tecnología]]&amp;Total[[#This Row],[Problema]],TbNombres[Tecnología]&amp;TbNombres[Problema],TbNombres[Nombre])</f>
        <v>Advdiff1d</v>
      </c>
      <c r="F831" s="1">
        <v>4</v>
      </c>
      <c r="G831" s="1">
        <v>2</v>
      </c>
      <c r="H831" s="1">
        <v>1</v>
      </c>
      <c r="I831" s="1">
        <v>5000</v>
      </c>
      <c r="J831" s="1">
        <v>5000</v>
      </c>
      <c r="K831" s="1">
        <v>133.65799999999999</v>
      </c>
    </row>
    <row r="832" spans="2:11" x14ac:dyDescent="0.2">
      <c r="B832" s="26" t="str">
        <f>_xlfn.XLOOKUP(Total[[#This Row],[Metodo]],TbSolver[Metodo],TbSolver[Solver])</f>
        <v>Adams Bashford</v>
      </c>
      <c r="C832" s="26" t="str">
        <f>_xlfn.XLOOKUP(Total[[#This Row],[Hebras]],TbTecnologia[Hebras],TbTecnologia[Tecnología])</f>
        <v>OMP</v>
      </c>
      <c r="D832" s="15" t="str" cm="1">
        <f t="array" ref="D832">_xlfn.XLOOKUP(Total[[#This Row],[Tecnología]]&amp;Total[[#This Row],[Metodo]],TbTipos[Tecnología]&amp;TbTipos[Metodo],TbTipos[Tipo])</f>
        <v>OMP Elementos</v>
      </c>
      <c r="E832" s="15" t="str" cm="1">
        <f t="array" ref="E832">_xlfn.XLOOKUP(Total[[#This Row],[Tecnología]]&amp;Total[[#This Row],[Problema]],TbNombres[Tecnología]&amp;TbNombres[Problema],TbNombres[Nombre])</f>
        <v>Advdiff1d</v>
      </c>
      <c r="F832" s="1">
        <v>4</v>
      </c>
      <c r="G832" s="1">
        <v>2</v>
      </c>
      <c r="H832" s="1">
        <v>4</v>
      </c>
      <c r="I832" s="1">
        <v>5000</v>
      </c>
      <c r="J832" s="1">
        <v>5000</v>
      </c>
      <c r="K832" s="1">
        <v>41.459099999999999</v>
      </c>
    </row>
    <row r="833" spans="2:11" x14ac:dyDescent="0.2">
      <c r="B833" s="26" t="str">
        <f>_xlfn.XLOOKUP(Total[[#This Row],[Metodo]],TbSolver[Metodo],TbSolver[Solver])</f>
        <v>Adams Bashford</v>
      </c>
      <c r="C833" s="26" t="str">
        <f>_xlfn.XLOOKUP(Total[[#This Row],[Hebras]],TbTecnologia[Hebras],TbTecnologia[Tecnología])</f>
        <v>OMP</v>
      </c>
      <c r="D833" s="15" t="str" cm="1">
        <f t="array" ref="D833">_xlfn.XLOOKUP(Total[[#This Row],[Tecnología]]&amp;Total[[#This Row],[Metodo]],TbTipos[Tecnología]&amp;TbTipos[Metodo],TbTipos[Tipo])</f>
        <v>OMP Elementos</v>
      </c>
      <c r="E833" s="15" t="str" cm="1">
        <f t="array" ref="E833">_xlfn.XLOOKUP(Total[[#This Row],[Tecnología]]&amp;Total[[#This Row],[Problema]],TbNombres[Tecnología]&amp;TbNombres[Problema],TbNombres[Nombre])</f>
        <v>Advdiff1d</v>
      </c>
      <c r="F833" s="1">
        <v>4</v>
      </c>
      <c r="G833" s="1">
        <v>2</v>
      </c>
      <c r="H833" s="1">
        <v>16</v>
      </c>
      <c r="I833" s="1">
        <v>5000</v>
      </c>
      <c r="J833" s="1">
        <v>5000</v>
      </c>
      <c r="K833" s="1">
        <v>18.995799999999999</v>
      </c>
    </row>
    <row r="834" spans="2:11" x14ac:dyDescent="0.2">
      <c r="B834" s="26" t="str">
        <f>_xlfn.XLOOKUP(Total[[#This Row],[Metodo]],TbSolver[Metodo],TbSolver[Solver])</f>
        <v>Adams Bashford</v>
      </c>
      <c r="C834" s="26" t="str">
        <f>_xlfn.XLOOKUP(Total[[#This Row],[Hebras]],TbTecnologia[Hebras],TbTecnologia[Tecnología])</f>
        <v>OMP</v>
      </c>
      <c r="D834" s="15" t="str" cm="1">
        <f t="array" ref="D834">_xlfn.XLOOKUP(Total[[#This Row],[Tecnología]]&amp;Total[[#This Row],[Metodo]],TbTipos[Tecnología]&amp;TbTipos[Metodo],TbTipos[Tipo])</f>
        <v>OMP Elementos</v>
      </c>
      <c r="E834" s="15" t="str" cm="1">
        <f t="array" ref="E834">_xlfn.XLOOKUP(Total[[#This Row],[Tecnología]]&amp;Total[[#This Row],[Problema]],TbNombres[Tecnología]&amp;TbNombres[Problema],TbNombres[Nombre])</f>
        <v>Brusselator1d</v>
      </c>
      <c r="F834" s="1">
        <v>4</v>
      </c>
      <c r="G834" s="1">
        <v>3</v>
      </c>
      <c r="H834" s="1">
        <v>1</v>
      </c>
      <c r="I834" s="1">
        <v>5000</v>
      </c>
      <c r="J834" s="1">
        <v>10000</v>
      </c>
      <c r="K834" s="1">
        <v>61.0533</v>
      </c>
    </row>
    <row r="835" spans="2:11" x14ac:dyDescent="0.2">
      <c r="B835" s="26" t="str">
        <f>_xlfn.XLOOKUP(Total[[#This Row],[Metodo]],TbSolver[Metodo],TbSolver[Solver])</f>
        <v>Adams Bashford</v>
      </c>
      <c r="C835" s="26" t="str">
        <f>_xlfn.XLOOKUP(Total[[#This Row],[Hebras]],TbTecnologia[Hebras],TbTecnologia[Tecnología])</f>
        <v>OMP</v>
      </c>
      <c r="D835" s="15" t="str" cm="1">
        <f t="array" ref="D835">_xlfn.XLOOKUP(Total[[#This Row],[Tecnología]]&amp;Total[[#This Row],[Metodo]],TbTipos[Tecnología]&amp;TbTipos[Metodo],TbTipos[Tipo])</f>
        <v>OMP Elementos</v>
      </c>
      <c r="E835" s="15" t="str" cm="1">
        <f t="array" ref="E835">_xlfn.XLOOKUP(Total[[#This Row],[Tecnología]]&amp;Total[[#This Row],[Problema]],TbNombres[Tecnología]&amp;TbNombres[Problema],TbNombres[Nombre])</f>
        <v>Brusselator1d</v>
      </c>
      <c r="F835" s="1">
        <v>4</v>
      </c>
      <c r="G835" s="1">
        <v>3</v>
      </c>
      <c r="H835" s="1">
        <v>4</v>
      </c>
      <c r="I835" s="1">
        <v>5000</v>
      </c>
      <c r="J835" s="1">
        <v>10000</v>
      </c>
      <c r="K835" s="1">
        <v>20.242799999999999</v>
      </c>
    </row>
    <row r="836" spans="2:11" x14ac:dyDescent="0.2">
      <c r="B836" s="26" t="str">
        <f>_xlfn.XLOOKUP(Total[[#This Row],[Metodo]],TbSolver[Metodo],TbSolver[Solver])</f>
        <v>Adams Bashford</v>
      </c>
      <c r="C836" s="26" t="str">
        <f>_xlfn.XLOOKUP(Total[[#This Row],[Hebras]],TbTecnologia[Hebras],TbTecnologia[Tecnología])</f>
        <v>OMP</v>
      </c>
      <c r="D836" s="15" t="str" cm="1">
        <f t="array" ref="D836">_xlfn.XLOOKUP(Total[[#This Row],[Tecnología]]&amp;Total[[#This Row],[Metodo]],TbTipos[Tecnología]&amp;TbTipos[Metodo],TbTipos[Tipo])</f>
        <v>OMP Elementos</v>
      </c>
      <c r="E836" s="15" t="str" cm="1">
        <f t="array" ref="E836">_xlfn.XLOOKUP(Total[[#This Row],[Tecnología]]&amp;Total[[#This Row],[Problema]],TbNombres[Tecnología]&amp;TbNombres[Problema],TbNombres[Nombre])</f>
        <v>Brusselator1d</v>
      </c>
      <c r="F836" s="1">
        <v>4</v>
      </c>
      <c r="G836" s="1">
        <v>3</v>
      </c>
      <c r="H836" s="1">
        <v>16</v>
      </c>
      <c r="I836" s="1">
        <v>5000</v>
      </c>
      <c r="J836" s="1">
        <v>10000</v>
      </c>
      <c r="K836" s="1">
        <v>33.120100000000001</v>
      </c>
    </row>
    <row r="837" spans="2:11" x14ac:dyDescent="0.2">
      <c r="B837" s="26" t="str">
        <f>_xlfn.XLOOKUP(Total[[#This Row],[Metodo]],TbSolver[Metodo],TbSolver[Solver])</f>
        <v>Adams Bashford Moulton</v>
      </c>
      <c r="C837" s="26" t="str">
        <f>_xlfn.XLOOKUP(Total[[#This Row],[Hebras]],TbTecnologia[Hebras],TbTecnologia[Tecnología])</f>
        <v>OMP</v>
      </c>
      <c r="D837" s="15" t="str" cm="1">
        <f t="array" ref="D837">_xlfn.XLOOKUP(Total[[#This Row],[Tecnología]]&amp;Total[[#This Row],[Metodo]],TbTipos[Tecnología]&amp;TbTipos[Metodo],TbTipos[Tipo])</f>
        <v>OMP Operaciones</v>
      </c>
      <c r="E837" s="15" t="str" cm="1">
        <f t="array" ref="E837">_xlfn.XLOOKUP(Total[[#This Row],[Tecnología]]&amp;Total[[#This Row],[Problema]],TbNombres[Tecnología]&amp;TbNombres[Problema],TbNombres[Nombre])</f>
        <v>Simple Advdiff</v>
      </c>
      <c r="F837" s="1">
        <v>5</v>
      </c>
      <c r="G837" s="1">
        <v>1</v>
      </c>
      <c r="H837" s="1">
        <v>1</v>
      </c>
      <c r="I837" s="1">
        <v>5000</v>
      </c>
      <c r="J837" s="1">
        <v>5000</v>
      </c>
      <c r="K837" s="1">
        <v>37.022100000000002</v>
      </c>
    </row>
    <row r="838" spans="2:11" x14ac:dyDescent="0.2">
      <c r="B838" s="26" t="str">
        <f>_xlfn.XLOOKUP(Total[[#This Row],[Metodo]],TbSolver[Metodo],TbSolver[Solver])</f>
        <v>Adams Bashford Moulton</v>
      </c>
      <c r="C838" s="26" t="str">
        <f>_xlfn.XLOOKUP(Total[[#This Row],[Hebras]],TbTecnologia[Hebras],TbTecnologia[Tecnología])</f>
        <v>OMP</v>
      </c>
      <c r="D838" s="15" t="str" cm="1">
        <f t="array" ref="D838">_xlfn.XLOOKUP(Total[[#This Row],[Tecnología]]&amp;Total[[#This Row],[Metodo]],TbTipos[Tecnología]&amp;TbTipos[Metodo],TbTipos[Tipo])</f>
        <v>OMP Operaciones</v>
      </c>
      <c r="E838" s="15" t="str" cm="1">
        <f t="array" ref="E838">_xlfn.XLOOKUP(Total[[#This Row],[Tecnología]]&amp;Total[[#This Row],[Problema]],TbNombres[Tecnología]&amp;TbNombres[Problema],TbNombres[Nombre])</f>
        <v>Simple Advdiff</v>
      </c>
      <c r="F838" s="1">
        <v>5</v>
      </c>
      <c r="G838" s="1">
        <v>1</v>
      </c>
      <c r="H838" s="1">
        <v>4</v>
      </c>
      <c r="I838" s="1">
        <v>5000</v>
      </c>
      <c r="J838" s="1">
        <v>5000</v>
      </c>
      <c r="K838" s="1">
        <v>49.292200000000001</v>
      </c>
    </row>
    <row r="839" spans="2:11" x14ac:dyDescent="0.2">
      <c r="B839" s="26" t="str">
        <f>_xlfn.XLOOKUP(Total[[#This Row],[Metodo]],TbSolver[Metodo],TbSolver[Solver])</f>
        <v>Adams Bashford Moulton</v>
      </c>
      <c r="C839" s="26" t="str">
        <f>_xlfn.XLOOKUP(Total[[#This Row],[Hebras]],TbTecnologia[Hebras],TbTecnologia[Tecnología])</f>
        <v>OMP</v>
      </c>
      <c r="D839" s="15" t="str" cm="1">
        <f t="array" ref="D839">_xlfn.XLOOKUP(Total[[#This Row],[Tecnología]]&amp;Total[[#This Row],[Metodo]],TbTipos[Tecnología]&amp;TbTipos[Metodo],TbTipos[Tipo])</f>
        <v>OMP Operaciones</v>
      </c>
      <c r="E839" s="15" t="str" cm="1">
        <f t="array" ref="E839">_xlfn.XLOOKUP(Total[[#This Row],[Tecnología]]&amp;Total[[#This Row],[Problema]],TbNombres[Tecnología]&amp;TbNombres[Problema],TbNombres[Nombre])</f>
        <v>Simple Advdiff</v>
      </c>
      <c r="F839" s="1">
        <v>5</v>
      </c>
      <c r="G839" s="1">
        <v>1</v>
      </c>
      <c r="H839" s="1">
        <v>16</v>
      </c>
      <c r="I839" s="1">
        <v>5000</v>
      </c>
      <c r="J839" s="1">
        <v>5000</v>
      </c>
      <c r="K839" s="1">
        <v>82.2042</v>
      </c>
    </row>
    <row r="840" spans="2:11" x14ac:dyDescent="0.2">
      <c r="B840" s="26" t="str">
        <f>_xlfn.XLOOKUP(Total[[#This Row],[Metodo]],TbSolver[Metodo],TbSolver[Solver])</f>
        <v>Adams Bashford Moulton</v>
      </c>
      <c r="C840" s="26" t="str">
        <f>_xlfn.XLOOKUP(Total[[#This Row],[Hebras]],TbTecnologia[Hebras],TbTecnologia[Tecnología])</f>
        <v>OMP</v>
      </c>
      <c r="D840" s="15" t="str" cm="1">
        <f t="array" ref="D840">_xlfn.XLOOKUP(Total[[#This Row],[Tecnología]]&amp;Total[[#This Row],[Metodo]],TbTipos[Tecnología]&amp;TbTipos[Metodo],TbTipos[Tipo])</f>
        <v>OMP Operaciones</v>
      </c>
      <c r="E840" s="15" t="str" cm="1">
        <f t="array" ref="E840">_xlfn.XLOOKUP(Total[[#This Row],[Tecnología]]&amp;Total[[#This Row],[Problema]],TbNombres[Tecnología]&amp;TbNombres[Problema],TbNombres[Nombre])</f>
        <v>Advdiff1d</v>
      </c>
      <c r="F840" s="1">
        <v>5</v>
      </c>
      <c r="G840" s="1">
        <v>2</v>
      </c>
      <c r="H840" s="1">
        <v>1</v>
      </c>
      <c r="I840" s="1">
        <v>5000</v>
      </c>
      <c r="J840" s="1">
        <v>5000</v>
      </c>
      <c r="K840" s="1">
        <v>345.71100000000001</v>
      </c>
    </row>
    <row r="841" spans="2:11" x14ac:dyDescent="0.2">
      <c r="B841" s="26" t="str">
        <f>_xlfn.XLOOKUP(Total[[#This Row],[Metodo]],TbSolver[Metodo],TbSolver[Solver])</f>
        <v>Adams Bashford Moulton</v>
      </c>
      <c r="C841" s="26" t="str">
        <f>_xlfn.XLOOKUP(Total[[#This Row],[Hebras]],TbTecnologia[Hebras],TbTecnologia[Tecnología])</f>
        <v>OMP</v>
      </c>
      <c r="D841" s="15" t="str" cm="1">
        <f t="array" ref="D841">_xlfn.XLOOKUP(Total[[#This Row],[Tecnología]]&amp;Total[[#This Row],[Metodo]],TbTipos[Tecnología]&amp;TbTipos[Metodo],TbTipos[Tipo])</f>
        <v>OMP Operaciones</v>
      </c>
      <c r="E841" s="15" t="str" cm="1">
        <f t="array" ref="E841">_xlfn.XLOOKUP(Total[[#This Row],[Tecnología]]&amp;Total[[#This Row],[Problema]],TbNombres[Tecnología]&amp;TbNombres[Problema],TbNombres[Nombre])</f>
        <v>Advdiff1d</v>
      </c>
      <c r="F841" s="1">
        <v>5</v>
      </c>
      <c r="G841" s="1">
        <v>2</v>
      </c>
      <c r="H841" s="1">
        <v>4</v>
      </c>
      <c r="I841" s="1">
        <v>5000</v>
      </c>
      <c r="J841" s="1">
        <v>5000</v>
      </c>
      <c r="K841" s="1">
        <v>145.875</v>
      </c>
    </row>
    <row r="842" spans="2:11" x14ac:dyDescent="0.2">
      <c r="B842" s="26" t="str">
        <f>_xlfn.XLOOKUP(Total[[#This Row],[Metodo]],TbSolver[Metodo],TbSolver[Solver])</f>
        <v>Adams Bashford Moulton</v>
      </c>
      <c r="C842" s="26" t="str">
        <f>_xlfn.XLOOKUP(Total[[#This Row],[Hebras]],TbTecnologia[Hebras],TbTecnologia[Tecnología])</f>
        <v>OMP</v>
      </c>
      <c r="D842" s="15" t="str" cm="1">
        <f t="array" ref="D842">_xlfn.XLOOKUP(Total[[#This Row],[Tecnología]]&amp;Total[[#This Row],[Metodo]],TbTipos[Tecnología]&amp;TbTipos[Metodo],TbTipos[Tipo])</f>
        <v>OMP Operaciones</v>
      </c>
      <c r="E842" s="15" t="str" cm="1">
        <f t="array" ref="E842">_xlfn.XLOOKUP(Total[[#This Row],[Tecnología]]&amp;Total[[#This Row],[Problema]],TbNombres[Tecnología]&amp;TbNombres[Problema],TbNombres[Nombre])</f>
        <v>Advdiff1d</v>
      </c>
      <c r="F842" s="1">
        <v>5</v>
      </c>
      <c r="G842" s="1">
        <v>2</v>
      </c>
      <c r="H842" s="1">
        <v>16</v>
      </c>
      <c r="I842" s="1">
        <v>5000</v>
      </c>
      <c r="J842" s="1">
        <v>5000</v>
      </c>
      <c r="K842" s="1">
        <v>116.92</v>
      </c>
    </row>
    <row r="843" spans="2:11" x14ac:dyDescent="0.2">
      <c r="B843" s="26" t="str">
        <f>_xlfn.XLOOKUP(Total[[#This Row],[Metodo]],TbSolver[Metodo],TbSolver[Solver])</f>
        <v>Adams Bashford Moulton</v>
      </c>
      <c r="C843" s="26" t="str">
        <f>_xlfn.XLOOKUP(Total[[#This Row],[Hebras]],TbTecnologia[Hebras],TbTecnologia[Tecnología])</f>
        <v>OMP</v>
      </c>
      <c r="D843" s="15" t="str" cm="1">
        <f t="array" ref="D843">_xlfn.XLOOKUP(Total[[#This Row],[Tecnología]]&amp;Total[[#This Row],[Metodo]],TbTipos[Tecnología]&amp;TbTipos[Metodo],TbTipos[Tipo])</f>
        <v>OMP Operaciones</v>
      </c>
      <c r="E843" s="15" t="str" cm="1">
        <f t="array" ref="E843">_xlfn.XLOOKUP(Total[[#This Row],[Tecnología]]&amp;Total[[#This Row],[Problema]],TbNombres[Tecnología]&amp;TbNombres[Problema],TbNombres[Nombre])</f>
        <v>Brusselator1d</v>
      </c>
      <c r="F843" s="1">
        <v>5</v>
      </c>
      <c r="G843" s="1">
        <v>3</v>
      </c>
      <c r="H843" s="1">
        <v>1</v>
      </c>
      <c r="I843" s="1">
        <v>5000</v>
      </c>
      <c r="J843" s="1">
        <v>10000</v>
      </c>
      <c r="K843" s="1">
        <v>103.361</v>
      </c>
    </row>
    <row r="844" spans="2:11" x14ac:dyDescent="0.2">
      <c r="B844" s="26" t="str">
        <f>_xlfn.XLOOKUP(Total[[#This Row],[Metodo]],TbSolver[Metodo],TbSolver[Solver])</f>
        <v>Adams Bashford Moulton</v>
      </c>
      <c r="C844" s="26" t="str">
        <f>_xlfn.XLOOKUP(Total[[#This Row],[Hebras]],TbTecnologia[Hebras],TbTecnologia[Tecnología])</f>
        <v>OMP</v>
      </c>
      <c r="D844" s="15" t="str" cm="1">
        <f t="array" ref="D844">_xlfn.XLOOKUP(Total[[#This Row],[Tecnología]]&amp;Total[[#This Row],[Metodo]],TbTipos[Tecnología]&amp;TbTipos[Metodo],TbTipos[Tipo])</f>
        <v>OMP Operaciones</v>
      </c>
      <c r="E844" s="15" t="str" cm="1">
        <f t="array" ref="E844">_xlfn.XLOOKUP(Total[[#This Row],[Tecnología]]&amp;Total[[#This Row],[Problema]],TbNombres[Tecnología]&amp;TbNombres[Problema],TbNombres[Nombre])</f>
        <v>Brusselator1d</v>
      </c>
      <c r="F844" s="1">
        <v>5</v>
      </c>
      <c r="G844" s="1">
        <v>3</v>
      </c>
      <c r="H844" s="1">
        <v>4</v>
      </c>
      <c r="I844" s="1">
        <v>5000</v>
      </c>
      <c r="J844" s="1">
        <v>10000</v>
      </c>
      <c r="K844" s="1">
        <v>76.502899999999997</v>
      </c>
    </row>
    <row r="845" spans="2:11" x14ac:dyDescent="0.2">
      <c r="B845" s="26" t="str">
        <f>_xlfn.XLOOKUP(Total[[#This Row],[Metodo]],TbSolver[Metodo],TbSolver[Solver])</f>
        <v>Adams Bashford Moulton</v>
      </c>
      <c r="C845" s="26" t="str">
        <f>_xlfn.XLOOKUP(Total[[#This Row],[Hebras]],TbTecnologia[Hebras],TbTecnologia[Tecnología])</f>
        <v>OMP</v>
      </c>
      <c r="D845" s="15" t="str" cm="1">
        <f t="array" ref="D845">_xlfn.XLOOKUP(Total[[#This Row],[Tecnología]]&amp;Total[[#This Row],[Metodo]],TbTipos[Tecnología]&amp;TbTipos[Metodo],TbTipos[Tipo])</f>
        <v>OMP Operaciones</v>
      </c>
      <c r="E845" s="15" t="str" cm="1">
        <f t="array" ref="E845">_xlfn.XLOOKUP(Total[[#This Row],[Tecnología]]&amp;Total[[#This Row],[Problema]],TbNombres[Tecnología]&amp;TbNombres[Problema],TbNombres[Nombre])</f>
        <v>Brusselator1d</v>
      </c>
      <c r="F845" s="1">
        <v>5</v>
      </c>
      <c r="G845" s="1">
        <v>3</v>
      </c>
      <c r="H845" s="1">
        <v>16</v>
      </c>
      <c r="I845" s="1">
        <v>5000</v>
      </c>
      <c r="J845" s="1">
        <v>10000</v>
      </c>
      <c r="K845" s="1">
        <v>133.191</v>
      </c>
    </row>
    <row r="846" spans="2:11" x14ac:dyDescent="0.2">
      <c r="B846" s="26" t="str">
        <f>_xlfn.XLOOKUP(Total[[#This Row],[Metodo]],TbSolver[Metodo],TbSolver[Solver])</f>
        <v>Adams Bashford Moulton</v>
      </c>
      <c r="C846" s="26" t="str">
        <f>_xlfn.XLOOKUP(Total[[#This Row],[Hebras]],TbTecnologia[Hebras],TbTecnologia[Tecnología])</f>
        <v>OMP</v>
      </c>
      <c r="D846" s="15" t="str" cm="1">
        <f t="array" ref="D846">_xlfn.XLOOKUP(Total[[#This Row],[Tecnología]]&amp;Total[[#This Row],[Metodo]],TbTipos[Tecnología]&amp;TbTipos[Metodo],TbTipos[Tipo])</f>
        <v>OMP Elementos</v>
      </c>
      <c r="E846" s="15" t="str" cm="1">
        <f t="array" ref="E846">_xlfn.XLOOKUP(Total[[#This Row],[Tecnología]]&amp;Total[[#This Row],[Problema]],TbNombres[Tecnología]&amp;TbNombres[Problema],TbNombres[Nombre])</f>
        <v>Simple Advdiff</v>
      </c>
      <c r="F846" s="1">
        <v>6</v>
      </c>
      <c r="G846" s="1">
        <v>1</v>
      </c>
      <c r="H846" s="1">
        <v>1</v>
      </c>
      <c r="I846" s="1">
        <v>5000</v>
      </c>
      <c r="J846" s="1">
        <v>5000</v>
      </c>
      <c r="K846" s="1">
        <v>119.446</v>
      </c>
    </row>
    <row r="847" spans="2:11" x14ac:dyDescent="0.2">
      <c r="B847" s="26" t="str">
        <f>_xlfn.XLOOKUP(Total[[#This Row],[Metodo]],TbSolver[Metodo],TbSolver[Solver])</f>
        <v>Adams Bashford Moulton</v>
      </c>
      <c r="C847" s="26" t="str">
        <f>_xlfn.XLOOKUP(Total[[#This Row],[Hebras]],TbTecnologia[Hebras],TbTecnologia[Tecnología])</f>
        <v>OMP</v>
      </c>
      <c r="D847" s="15" t="str" cm="1">
        <f t="array" ref="D847">_xlfn.XLOOKUP(Total[[#This Row],[Tecnología]]&amp;Total[[#This Row],[Metodo]],TbTipos[Tecnología]&amp;TbTipos[Metodo],TbTipos[Tipo])</f>
        <v>OMP Elementos</v>
      </c>
      <c r="E847" s="15" t="str" cm="1">
        <f t="array" ref="E847">_xlfn.XLOOKUP(Total[[#This Row],[Tecnología]]&amp;Total[[#This Row],[Problema]],TbNombres[Tecnología]&amp;TbNombres[Problema],TbNombres[Nombre])</f>
        <v>Simple Advdiff</v>
      </c>
      <c r="F847" s="1">
        <v>6</v>
      </c>
      <c r="G847" s="1">
        <v>1</v>
      </c>
      <c r="H847" s="1">
        <v>4</v>
      </c>
      <c r="I847" s="1">
        <v>5000</v>
      </c>
      <c r="J847" s="1">
        <v>5000</v>
      </c>
      <c r="K847" s="1">
        <v>38.357399999999998</v>
      </c>
    </row>
    <row r="848" spans="2:11" x14ac:dyDescent="0.2">
      <c r="B848" s="26" t="str">
        <f>_xlfn.XLOOKUP(Total[[#This Row],[Metodo]],TbSolver[Metodo],TbSolver[Solver])</f>
        <v>Adams Bashford Moulton</v>
      </c>
      <c r="C848" s="26" t="str">
        <f>_xlfn.XLOOKUP(Total[[#This Row],[Hebras]],TbTecnologia[Hebras],TbTecnologia[Tecnología])</f>
        <v>OMP</v>
      </c>
      <c r="D848" s="15" t="str" cm="1">
        <f t="array" ref="D848">_xlfn.XLOOKUP(Total[[#This Row],[Tecnología]]&amp;Total[[#This Row],[Metodo]],TbTipos[Tecnología]&amp;TbTipos[Metodo],TbTipos[Tipo])</f>
        <v>OMP Elementos</v>
      </c>
      <c r="E848" s="15" t="str" cm="1">
        <f t="array" ref="E848">_xlfn.XLOOKUP(Total[[#This Row],[Tecnología]]&amp;Total[[#This Row],[Problema]],TbNombres[Tecnología]&amp;TbNombres[Problema],TbNombres[Nombre])</f>
        <v>Simple Advdiff</v>
      </c>
      <c r="F848" s="1">
        <v>6</v>
      </c>
      <c r="G848" s="1">
        <v>1</v>
      </c>
      <c r="H848" s="1">
        <v>16</v>
      </c>
      <c r="I848" s="1">
        <v>5000</v>
      </c>
      <c r="J848" s="1">
        <v>5000</v>
      </c>
      <c r="K848" s="1">
        <v>27.941500000000001</v>
      </c>
    </row>
    <row r="849" spans="2:11" x14ac:dyDescent="0.2">
      <c r="B849" s="26" t="str">
        <f>_xlfn.XLOOKUP(Total[[#This Row],[Metodo]],TbSolver[Metodo],TbSolver[Solver])</f>
        <v>Adams Bashford Moulton</v>
      </c>
      <c r="C849" s="26" t="str">
        <f>_xlfn.XLOOKUP(Total[[#This Row],[Hebras]],TbTecnologia[Hebras],TbTecnologia[Tecnología])</f>
        <v>OMP</v>
      </c>
      <c r="D849" s="15" t="str" cm="1">
        <f t="array" ref="D849">_xlfn.XLOOKUP(Total[[#This Row],[Tecnología]]&amp;Total[[#This Row],[Metodo]],TbTipos[Tecnología]&amp;TbTipos[Metodo],TbTipos[Tipo])</f>
        <v>OMP Elementos</v>
      </c>
      <c r="E849" s="15" t="str" cm="1">
        <f t="array" ref="E849">_xlfn.XLOOKUP(Total[[#This Row],[Tecnología]]&amp;Total[[#This Row],[Problema]],TbNombres[Tecnología]&amp;TbNombres[Problema],TbNombres[Nombre])</f>
        <v>Advdiff1d</v>
      </c>
      <c r="F849" s="1">
        <v>6</v>
      </c>
      <c r="G849" s="1">
        <v>2</v>
      </c>
      <c r="H849" s="1">
        <v>1</v>
      </c>
      <c r="I849" s="1">
        <v>5000</v>
      </c>
      <c r="J849" s="1">
        <v>5000</v>
      </c>
      <c r="K849" s="1">
        <v>452.55</v>
      </c>
    </row>
    <row r="850" spans="2:11" x14ac:dyDescent="0.2">
      <c r="B850" s="26" t="str">
        <f>_xlfn.XLOOKUP(Total[[#This Row],[Metodo]],TbSolver[Metodo],TbSolver[Solver])</f>
        <v>Adams Bashford Moulton</v>
      </c>
      <c r="C850" s="26" t="str">
        <f>_xlfn.XLOOKUP(Total[[#This Row],[Hebras]],TbTecnologia[Hebras],TbTecnologia[Tecnología])</f>
        <v>OMP</v>
      </c>
      <c r="D850" s="15" t="str" cm="1">
        <f t="array" ref="D850">_xlfn.XLOOKUP(Total[[#This Row],[Tecnología]]&amp;Total[[#This Row],[Metodo]],TbTipos[Tecnología]&amp;TbTipos[Metodo],TbTipos[Tipo])</f>
        <v>OMP Elementos</v>
      </c>
      <c r="E850" s="15" t="str" cm="1">
        <f t="array" ref="E850">_xlfn.XLOOKUP(Total[[#This Row],[Tecnología]]&amp;Total[[#This Row],[Problema]],TbNombres[Tecnología]&amp;TbNombres[Problema],TbNombres[Nombre])</f>
        <v>Advdiff1d</v>
      </c>
      <c r="F850" s="1">
        <v>6</v>
      </c>
      <c r="G850" s="1">
        <v>2</v>
      </c>
      <c r="H850" s="1">
        <v>4</v>
      </c>
      <c r="I850" s="1">
        <v>5000</v>
      </c>
      <c r="J850" s="1">
        <v>5000</v>
      </c>
      <c r="K850" s="1">
        <v>131.976</v>
      </c>
    </row>
    <row r="851" spans="2:11" x14ac:dyDescent="0.2">
      <c r="B851" s="26" t="str">
        <f>_xlfn.XLOOKUP(Total[[#This Row],[Metodo]],TbSolver[Metodo],TbSolver[Solver])</f>
        <v>Adams Bashford Moulton</v>
      </c>
      <c r="C851" s="26" t="str">
        <f>_xlfn.XLOOKUP(Total[[#This Row],[Hebras]],TbTecnologia[Hebras],TbTecnologia[Tecnología])</f>
        <v>OMP</v>
      </c>
      <c r="D851" s="15" t="str" cm="1">
        <f t="array" ref="D851">_xlfn.XLOOKUP(Total[[#This Row],[Tecnología]]&amp;Total[[#This Row],[Metodo]],TbTipos[Tecnología]&amp;TbTipos[Metodo],TbTipos[Tipo])</f>
        <v>OMP Elementos</v>
      </c>
      <c r="E851" s="15" t="str" cm="1">
        <f t="array" ref="E851">_xlfn.XLOOKUP(Total[[#This Row],[Tecnología]]&amp;Total[[#This Row],[Problema]],TbNombres[Tecnología]&amp;TbNombres[Problema],TbNombres[Nombre])</f>
        <v>Advdiff1d</v>
      </c>
      <c r="F851" s="1">
        <v>6</v>
      </c>
      <c r="G851" s="1">
        <v>2</v>
      </c>
      <c r="H851" s="1">
        <v>16</v>
      </c>
      <c r="I851" s="1">
        <v>5000</v>
      </c>
      <c r="J851" s="1">
        <v>5000</v>
      </c>
      <c r="K851" s="1">
        <v>56.762999999999998</v>
      </c>
    </row>
    <row r="852" spans="2:11" x14ac:dyDescent="0.2">
      <c r="B852" s="26" t="str">
        <f>_xlfn.XLOOKUP(Total[[#This Row],[Metodo]],TbSolver[Metodo],TbSolver[Solver])</f>
        <v>Adams Bashford Moulton</v>
      </c>
      <c r="C852" s="26" t="str">
        <f>_xlfn.XLOOKUP(Total[[#This Row],[Hebras]],TbTecnologia[Hebras],TbTecnologia[Tecnología])</f>
        <v>OMP</v>
      </c>
      <c r="D852" s="15" t="str" cm="1">
        <f t="array" ref="D852">_xlfn.XLOOKUP(Total[[#This Row],[Tecnología]]&amp;Total[[#This Row],[Metodo]],TbTipos[Tecnología]&amp;TbTipos[Metodo],TbTipos[Tipo])</f>
        <v>OMP Elementos</v>
      </c>
      <c r="E852" s="15" t="str" cm="1">
        <f t="array" ref="E852">_xlfn.XLOOKUP(Total[[#This Row],[Tecnología]]&amp;Total[[#This Row],[Problema]],TbNombres[Tecnología]&amp;TbNombres[Problema],TbNombres[Nombre])</f>
        <v>Brusselator1d</v>
      </c>
      <c r="F852" s="1">
        <v>6</v>
      </c>
      <c r="G852" s="1">
        <v>3</v>
      </c>
      <c r="H852" s="1">
        <v>1</v>
      </c>
      <c r="I852" s="1">
        <v>5000</v>
      </c>
      <c r="J852" s="1">
        <v>10000</v>
      </c>
      <c r="K852" s="1">
        <v>254.815</v>
      </c>
    </row>
    <row r="853" spans="2:11" x14ac:dyDescent="0.2">
      <c r="B853" s="26" t="str">
        <f>_xlfn.XLOOKUP(Total[[#This Row],[Metodo]],TbSolver[Metodo],TbSolver[Solver])</f>
        <v>Adams Bashford Moulton</v>
      </c>
      <c r="C853" s="26" t="str">
        <f>_xlfn.XLOOKUP(Total[[#This Row],[Hebras]],TbTecnologia[Hebras],TbTecnologia[Tecnología])</f>
        <v>OMP</v>
      </c>
      <c r="D853" s="15" t="str" cm="1">
        <f t="array" ref="D853">_xlfn.XLOOKUP(Total[[#This Row],[Tecnología]]&amp;Total[[#This Row],[Metodo]],TbTipos[Tecnología]&amp;TbTipos[Metodo],TbTipos[Tipo])</f>
        <v>OMP Elementos</v>
      </c>
      <c r="E853" s="15" t="str" cm="1">
        <f t="array" ref="E853">_xlfn.XLOOKUP(Total[[#This Row],[Tecnología]]&amp;Total[[#This Row],[Problema]],TbNombres[Tecnología]&amp;TbNombres[Problema],TbNombres[Nombre])</f>
        <v>Brusselator1d</v>
      </c>
      <c r="F853" s="1">
        <v>6</v>
      </c>
      <c r="G853" s="1">
        <v>3</v>
      </c>
      <c r="H853" s="1">
        <v>4</v>
      </c>
      <c r="I853" s="1">
        <v>5000</v>
      </c>
      <c r="J853" s="1">
        <v>10000</v>
      </c>
      <c r="K853" s="1">
        <v>74.084900000000005</v>
      </c>
    </row>
    <row r="854" spans="2:11" x14ac:dyDescent="0.2">
      <c r="B854" s="26" t="str">
        <f>_xlfn.XLOOKUP(Total[[#This Row],[Metodo]],TbSolver[Metodo],TbSolver[Solver])</f>
        <v>Adams Bashford Moulton</v>
      </c>
      <c r="C854" s="26" t="str">
        <f>_xlfn.XLOOKUP(Total[[#This Row],[Hebras]],TbTecnologia[Hebras],TbTecnologia[Tecnología])</f>
        <v>OMP</v>
      </c>
      <c r="D854" s="15" t="str" cm="1">
        <f t="array" ref="D854">_xlfn.XLOOKUP(Total[[#This Row],[Tecnología]]&amp;Total[[#This Row],[Metodo]],TbTipos[Tecnología]&amp;TbTipos[Metodo],TbTipos[Tipo])</f>
        <v>OMP Elementos</v>
      </c>
      <c r="E854" s="15" t="str" cm="1">
        <f t="array" ref="E854">_xlfn.XLOOKUP(Total[[#This Row],[Tecnología]]&amp;Total[[#This Row],[Problema]],TbNombres[Tecnología]&amp;TbNombres[Problema],TbNombres[Nombre])</f>
        <v>Brusselator1d</v>
      </c>
      <c r="F854" s="1">
        <v>6</v>
      </c>
      <c r="G854" s="1">
        <v>3</v>
      </c>
      <c r="H854" s="1">
        <v>16</v>
      </c>
      <c r="I854" s="1">
        <v>5000</v>
      </c>
      <c r="J854" s="1">
        <v>10000</v>
      </c>
      <c r="K854" s="1">
        <v>42.736499999999999</v>
      </c>
    </row>
    <row r="855" spans="2:11" x14ac:dyDescent="0.2">
      <c r="B855" s="26" t="str">
        <f>_xlfn.XLOOKUP(Total[[#This Row],[Metodo]],TbSolver[Metodo],TbSolver[Solver])</f>
        <v>Runge Kutta</v>
      </c>
      <c r="C855" s="26" t="str">
        <f>_xlfn.XLOOKUP(Total[[#This Row],[Hebras]],TbTecnologia[Hebras],TbTecnologia[Tecnología])</f>
        <v>OMP</v>
      </c>
      <c r="D855" s="15" t="str" cm="1">
        <f t="array" ref="D855">_xlfn.XLOOKUP(Total[[#This Row],[Tecnología]]&amp;Total[[#This Row],[Metodo]],TbTipos[Tecnología]&amp;TbTipos[Metodo],TbTipos[Tipo])</f>
        <v>OMP Operaciones</v>
      </c>
      <c r="E855" s="15" t="str" cm="1">
        <f t="array" ref="E855">_xlfn.XLOOKUP(Total[[#This Row],[Tecnología]]&amp;Total[[#This Row],[Problema]],TbNombres[Tecnología]&amp;TbNombres[Problema],TbNombres[Nombre])</f>
        <v>Simple Advdiff</v>
      </c>
      <c r="F855" s="1">
        <v>1</v>
      </c>
      <c r="G855" s="1">
        <v>1</v>
      </c>
      <c r="H855" s="1">
        <v>1</v>
      </c>
      <c r="I855" s="1">
        <v>7500</v>
      </c>
      <c r="J855" s="1">
        <v>7500</v>
      </c>
      <c r="K855" s="1">
        <v>40.605899999999998</v>
      </c>
    </row>
    <row r="856" spans="2:11" x14ac:dyDescent="0.2">
      <c r="B856" s="26" t="str">
        <f>_xlfn.XLOOKUP(Total[[#This Row],[Metodo]],TbSolver[Metodo],TbSolver[Solver])</f>
        <v>Runge Kutta</v>
      </c>
      <c r="C856" s="26" t="str">
        <f>_xlfn.XLOOKUP(Total[[#This Row],[Hebras]],TbTecnologia[Hebras],TbTecnologia[Tecnología])</f>
        <v>OMP</v>
      </c>
      <c r="D856" s="15" t="str" cm="1">
        <f t="array" ref="D856">_xlfn.XLOOKUP(Total[[#This Row],[Tecnología]]&amp;Total[[#This Row],[Metodo]],TbTipos[Tecnología]&amp;TbTipos[Metodo],TbTipos[Tipo])</f>
        <v>OMP Operaciones</v>
      </c>
      <c r="E856" s="15" t="str" cm="1">
        <f t="array" ref="E856">_xlfn.XLOOKUP(Total[[#This Row],[Tecnología]]&amp;Total[[#This Row],[Problema]],TbNombres[Tecnología]&amp;TbNombres[Problema],TbNombres[Nombre])</f>
        <v>Simple Advdiff</v>
      </c>
      <c r="F856" s="1">
        <v>1</v>
      </c>
      <c r="G856" s="1">
        <v>1</v>
      </c>
      <c r="H856" s="1">
        <v>4</v>
      </c>
      <c r="I856" s="1">
        <v>7500</v>
      </c>
      <c r="J856" s="1">
        <v>7500</v>
      </c>
      <c r="K856" s="1">
        <v>35.200299999999999</v>
      </c>
    </row>
    <row r="857" spans="2:11" x14ac:dyDescent="0.2">
      <c r="B857" s="26" t="str">
        <f>_xlfn.XLOOKUP(Total[[#This Row],[Metodo]],TbSolver[Metodo],TbSolver[Solver])</f>
        <v>Runge Kutta</v>
      </c>
      <c r="C857" s="26" t="str">
        <f>_xlfn.XLOOKUP(Total[[#This Row],[Hebras]],TbTecnologia[Hebras],TbTecnologia[Tecnología])</f>
        <v>OMP</v>
      </c>
      <c r="D857" s="15" t="str" cm="1">
        <f t="array" ref="D857">_xlfn.XLOOKUP(Total[[#This Row],[Tecnología]]&amp;Total[[#This Row],[Metodo]],TbTipos[Tecnología]&amp;TbTipos[Metodo],TbTipos[Tipo])</f>
        <v>OMP Operaciones</v>
      </c>
      <c r="E857" s="15" t="str" cm="1">
        <f t="array" ref="E857">_xlfn.XLOOKUP(Total[[#This Row],[Tecnología]]&amp;Total[[#This Row],[Problema]],TbNombres[Tecnología]&amp;TbNombres[Problema],TbNombres[Nombre])</f>
        <v>Simple Advdiff</v>
      </c>
      <c r="F857" s="1">
        <v>1</v>
      </c>
      <c r="G857" s="1">
        <v>1</v>
      </c>
      <c r="H857" s="1">
        <v>16</v>
      </c>
      <c r="I857" s="1">
        <v>7500</v>
      </c>
      <c r="J857" s="1">
        <v>7500</v>
      </c>
      <c r="K857" s="1">
        <v>61.053100000000001</v>
      </c>
    </row>
    <row r="858" spans="2:11" x14ac:dyDescent="0.2">
      <c r="B858" s="26" t="str">
        <f>_xlfn.XLOOKUP(Total[[#This Row],[Metodo]],TbSolver[Metodo],TbSolver[Solver])</f>
        <v>Runge Kutta</v>
      </c>
      <c r="C858" s="26" t="str">
        <f>_xlfn.XLOOKUP(Total[[#This Row],[Hebras]],TbTecnologia[Hebras],TbTecnologia[Tecnología])</f>
        <v>OMP</v>
      </c>
      <c r="D858" s="15" t="str" cm="1">
        <f t="array" ref="D858">_xlfn.XLOOKUP(Total[[#This Row],[Tecnología]]&amp;Total[[#This Row],[Metodo]],TbTipos[Tecnología]&amp;TbTipos[Metodo],TbTipos[Tipo])</f>
        <v>OMP Operaciones</v>
      </c>
      <c r="E858" s="15" t="str" cm="1">
        <f t="array" ref="E858">_xlfn.XLOOKUP(Total[[#This Row],[Tecnología]]&amp;Total[[#This Row],[Problema]],TbNombres[Tecnología]&amp;TbNombres[Problema],TbNombres[Nombre])</f>
        <v>Advdiff1d</v>
      </c>
      <c r="F858" s="1">
        <v>1</v>
      </c>
      <c r="G858" s="1">
        <v>2</v>
      </c>
      <c r="H858" s="1">
        <v>1</v>
      </c>
      <c r="I858" s="1">
        <v>7500</v>
      </c>
      <c r="J858" s="1">
        <v>7500</v>
      </c>
      <c r="K858" s="1">
        <v>658.49</v>
      </c>
    </row>
    <row r="859" spans="2:11" x14ac:dyDescent="0.2">
      <c r="B859" s="26" t="str">
        <f>_xlfn.XLOOKUP(Total[[#This Row],[Metodo]],TbSolver[Metodo],TbSolver[Solver])</f>
        <v>Runge Kutta</v>
      </c>
      <c r="C859" s="26" t="str">
        <f>_xlfn.XLOOKUP(Total[[#This Row],[Hebras]],TbTecnologia[Hebras],TbTecnologia[Tecnología])</f>
        <v>OMP</v>
      </c>
      <c r="D859" s="15" t="str" cm="1">
        <f t="array" ref="D859">_xlfn.XLOOKUP(Total[[#This Row],[Tecnología]]&amp;Total[[#This Row],[Metodo]],TbTipos[Tecnología]&amp;TbTipos[Metodo],TbTipos[Tipo])</f>
        <v>OMP Operaciones</v>
      </c>
      <c r="E859" s="15" t="str" cm="1">
        <f t="array" ref="E859">_xlfn.XLOOKUP(Total[[#This Row],[Tecnología]]&amp;Total[[#This Row],[Problema]],TbNombres[Tecnología]&amp;TbNombres[Problema],TbNombres[Nombre])</f>
        <v>Advdiff1d</v>
      </c>
      <c r="F859" s="1">
        <v>1</v>
      </c>
      <c r="G859" s="1">
        <v>2</v>
      </c>
      <c r="H859" s="1">
        <v>4</v>
      </c>
      <c r="I859" s="1">
        <v>7500</v>
      </c>
      <c r="J859" s="1">
        <v>7500</v>
      </c>
      <c r="K859" s="1">
        <v>223.31299999999999</v>
      </c>
    </row>
    <row r="860" spans="2:11" x14ac:dyDescent="0.2">
      <c r="B860" s="26" t="str">
        <f>_xlfn.XLOOKUP(Total[[#This Row],[Metodo]],TbSolver[Metodo],TbSolver[Solver])</f>
        <v>Runge Kutta</v>
      </c>
      <c r="C860" s="26" t="str">
        <f>_xlfn.XLOOKUP(Total[[#This Row],[Hebras]],TbTecnologia[Hebras],TbTecnologia[Tecnología])</f>
        <v>OMP</v>
      </c>
      <c r="D860" s="15" t="str" cm="1">
        <f t="array" ref="D860">_xlfn.XLOOKUP(Total[[#This Row],[Tecnología]]&amp;Total[[#This Row],[Metodo]],TbTipos[Tecnología]&amp;TbTipos[Metodo],TbTipos[Tipo])</f>
        <v>OMP Operaciones</v>
      </c>
      <c r="E860" s="15" t="str" cm="1">
        <f t="array" ref="E860">_xlfn.XLOOKUP(Total[[#This Row],[Tecnología]]&amp;Total[[#This Row],[Problema]],TbNombres[Tecnología]&amp;TbNombres[Problema],TbNombres[Nombre])</f>
        <v>Advdiff1d</v>
      </c>
      <c r="F860" s="1">
        <v>1</v>
      </c>
      <c r="G860" s="1">
        <v>2</v>
      </c>
      <c r="H860" s="1">
        <v>16</v>
      </c>
      <c r="I860" s="1">
        <v>7500</v>
      </c>
      <c r="J860" s="1">
        <v>7500</v>
      </c>
      <c r="K860" s="1">
        <v>137.41800000000001</v>
      </c>
    </row>
    <row r="861" spans="2:11" x14ac:dyDescent="0.2">
      <c r="B861" s="26" t="str">
        <f>_xlfn.XLOOKUP(Total[[#This Row],[Metodo]],TbSolver[Metodo],TbSolver[Solver])</f>
        <v>Runge Kutta</v>
      </c>
      <c r="C861" s="26" t="str">
        <f>_xlfn.XLOOKUP(Total[[#This Row],[Hebras]],TbTecnologia[Hebras],TbTecnologia[Tecnología])</f>
        <v>OMP</v>
      </c>
      <c r="D861" s="15" t="str" cm="1">
        <f t="array" ref="D861">_xlfn.XLOOKUP(Total[[#This Row],[Tecnología]]&amp;Total[[#This Row],[Metodo]],TbTipos[Tecnología]&amp;TbTipos[Metodo],TbTipos[Tipo])</f>
        <v>OMP Operaciones</v>
      </c>
      <c r="E861" s="15" t="str" cm="1">
        <f t="array" ref="E861">_xlfn.XLOOKUP(Total[[#This Row],[Tecnología]]&amp;Total[[#This Row],[Problema]],TbNombres[Tecnología]&amp;TbNombres[Problema],TbNombres[Nombre])</f>
        <v>Brusselator1d</v>
      </c>
      <c r="F861" s="1">
        <v>1</v>
      </c>
      <c r="G861" s="1">
        <v>3</v>
      </c>
      <c r="H861" s="1">
        <v>1</v>
      </c>
      <c r="I861" s="1">
        <v>7500</v>
      </c>
      <c r="J861" s="1">
        <v>15000</v>
      </c>
      <c r="K861" s="1">
        <v>143.93700000000001</v>
      </c>
    </row>
    <row r="862" spans="2:11" x14ac:dyDescent="0.2">
      <c r="B862" s="26" t="str">
        <f>_xlfn.XLOOKUP(Total[[#This Row],[Metodo]],TbSolver[Metodo],TbSolver[Solver])</f>
        <v>Runge Kutta</v>
      </c>
      <c r="C862" s="26" t="str">
        <f>_xlfn.XLOOKUP(Total[[#This Row],[Hebras]],TbTecnologia[Hebras],TbTecnologia[Tecnología])</f>
        <v>OMP</v>
      </c>
      <c r="D862" s="15" t="str" cm="1">
        <f t="array" ref="D862">_xlfn.XLOOKUP(Total[[#This Row],[Tecnología]]&amp;Total[[#This Row],[Metodo]],TbTipos[Tecnología]&amp;TbTipos[Metodo],TbTipos[Tipo])</f>
        <v>OMP Operaciones</v>
      </c>
      <c r="E862" s="15" t="str" cm="1">
        <f t="array" ref="E862">_xlfn.XLOOKUP(Total[[#This Row],[Tecnología]]&amp;Total[[#This Row],[Problema]],TbNombres[Tecnología]&amp;TbNombres[Problema],TbNombres[Nombre])</f>
        <v>Brusselator1d</v>
      </c>
      <c r="F862" s="1">
        <v>1</v>
      </c>
      <c r="G862" s="1">
        <v>3</v>
      </c>
      <c r="H862" s="1">
        <v>4</v>
      </c>
      <c r="I862" s="1">
        <v>7500</v>
      </c>
      <c r="J862" s="1">
        <v>15000</v>
      </c>
      <c r="K862" s="1">
        <v>71.875900000000001</v>
      </c>
    </row>
    <row r="863" spans="2:11" x14ac:dyDescent="0.2">
      <c r="B863" s="26" t="str">
        <f>_xlfn.XLOOKUP(Total[[#This Row],[Metodo]],TbSolver[Metodo],TbSolver[Solver])</f>
        <v>Runge Kutta</v>
      </c>
      <c r="C863" s="26" t="str">
        <f>_xlfn.XLOOKUP(Total[[#This Row],[Hebras]],TbTecnologia[Hebras],TbTecnologia[Tecnología])</f>
        <v>OMP</v>
      </c>
      <c r="D863" s="15" t="str" cm="1">
        <f t="array" ref="D863">_xlfn.XLOOKUP(Total[[#This Row],[Tecnología]]&amp;Total[[#This Row],[Metodo]],TbTipos[Tecnología]&amp;TbTipos[Metodo],TbTipos[Tipo])</f>
        <v>OMP Operaciones</v>
      </c>
      <c r="E863" s="15" t="str" cm="1">
        <f t="array" ref="E863">_xlfn.XLOOKUP(Total[[#This Row],[Tecnología]]&amp;Total[[#This Row],[Problema]],TbNombres[Tecnología]&amp;TbNombres[Problema],TbNombres[Nombre])</f>
        <v>Brusselator1d</v>
      </c>
      <c r="F863" s="1">
        <v>1</v>
      </c>
      <c r="G863" s="1">
        <v>3</v>
      </c>
      <c r="H863" s="1">
        <v>16</v>
      </c>
      <c r="I863" s="1">
        <v>7500</v>
      </c>
      <c r="J863" s="1">
        <v>15000</v>
      </c>
      <c r="K863" s="1">
        <v>99.491699999999994</v>
      </c>
    </row>
    <row r="864" spans="2:11" x14ac:dyDescent="0.2">
      <c r="B864" s="26" t="str">
        <f>_xlfn.XLOOKUP(Total[[#This Row],[Metodo]],TbSolver[Metodo],TbSolver[Solver])</f>
        <v>Runge Kutta</v>
      </c>
      <c r="C864" s="26" t="str">
        <f>_xlfn.XLOOKUP(Total[[#This Row],[Hebras]],TbTecnologia[Hebras],TbTecnologia[Tecnología])</f>
        <v>OMP</v>
      </c>
      <c r="D864" s="15" t="str" cm="1">
        <f t="array" ref="D864">_xlfn.XLOOKUP(Total[[#This Row],[Tecnología]]&amp;Total[[#This Row],[Metodo]],TbTipos[Tecnología]&amp;TbTipos[Metodo],TbTipos[Tipo])</f>
        <v>OMP Elementos</v>
      </c>
      <c r="E864" s="15" t="str" cm="1">
        <f t="array" ref="E864">_xlfn.XLOOKUP(Total[[#This Row],[Tecnología]]&amp;Total[[#This Row],[Problema]],TbNombres[Tecnología]&amp;TbNombres[Problema],TbNombres[Nombre])</f>
        <v>Simple Advdiff</v>
      </c>
      <c r="F864" s="1">
        <v>2</v>
      </c>
      <c r="G864" s="1">
        <v>1</v>
      </c>
      <c r="H864" s="1">
        <v>1</v>
      </c>
      <c r="I864" s="1">
        <v>7500</v>
      </c>
      <c r="J864" s="1">
        <v>7500</v>
      </c>
      <c r="K864" s="1">
        <v>228.49299999999999</v>
      </c>
    </row>
    <row r="865" spans="2:11" x14ac:dyDescent="0.2">
      <c r="B865" s="26" t="str">
        <f>_xlfn.XLOOKUP(Total[[#This Row],[Metodo]],TbSolver[Metodo],TbSolver[Solver])</f>
        <v>Runge Kutta</v>
      </c>
      <c r="C865" s="26" t="str">
        <f>_xlfn.XLOOKUP(Total[[#This Row],[Hebras]],TbTecnologia[Hebras],TbTecnologia[Tecnología])</f>
        <v>OMP</v>
      </c>
      <c r="D865" s="15" t="str" cm="1">
        <f t="array" ref="D865">_xlfn.XLOOKUP(Total[[#This Row],[Tecnología]]&amp;Total[[#This Row],[Metodo]],TbTipos[Tecnología]&amp;TbTipos[Metodo],TbTipos[Tipo])</f>
        <v>OMP Elementos</v>
      </c>
      <c r="E865" s="15" t="str" cm="1">
        <f t="array" ref="E865">_xlfn.XLOOKUP(Total[[#This Row],[Tecnología]]&amp;Total[[#This Row],[Problema]],TbNombres[Tecnología]&amp;TbNombres[Problema],TbNombres[Nombre])</f>
        <v>Simple Advdiff</v>
      </c>
      <c r="F865" s="1">
        <v>2</v>
      </c>
      <c r="G865" s="1">
        <v>1</v>
      </c>
      <c r="H865" s="1">
        <v>4</v>
      </c>
      <c r="I865" s="1">
        <v>7500</v>
      </c>
      <c r="J865" s="1">
        <v>7500</v>
      </c>
      <c r="K865" s="1">
        <v>65.373199999999997</v>
      </c>
    </row>
    <row r="866" spans="2:11" x14ac:dyDescent="0.2">
      <c r="B866" s="26" t="str">
        <f>_xlfn.XLOOKUP(Total[[#This Row],[Metodo]],TbSolver[Metodo],TbSolver[Solver])</f>
        <v>Runge Kutta</v>
      </c>
      <c r="C866" s="26" t="str">
        <f>_xlfn.XLOOKUP(Total[[#This Row],[Hebras]],TbTecnologia[Hebras],TbTecnologia[Tecnología])</f>
        <v>OMP</v>
      </c>
      <c r="D866" s="15" t="str" cm="1">
        <f t="array" ref="D866">_xlfn.XLOOKUP(Total[[#This Row],[Tecnología]]&amp;Total[[#This Row],[Metodo]],TbTipos[Tecnología]&amp;TbTipos[Metodo],TbTipos[Tipo])</f>
        <v>OMP Elementos</v>
      </c>
      <c r="E866" s="15" t="str" cm="1">
        <f t="array" ref="E866">_xlfn.XLOOKUP(Total[[#This Row],[Tecnología]]&amp;Total[[#This Row],[Problema]],TbNombres[Tecnología]&amp;TbNombres[Problema],TbNombres[Nombre])</f>
        <v>Simple Advdiff</v>
      </c>
      <c r="F866" s="1">
        <v>2</v>
      </c>
      <c r="G866" s="1">
        <v>1</v>
      </c>
      <c r="H866" s="1">
        <v>16</v>
      </c>
      <c r="I866" s="1">
        <v>7500</v>
      </c>
      <c r="J866" s="1">
        <v>7500</v>
      </c>
      <c r="K866" s="1">
        <v>27.8492</v>
      </c>
    </row>
    <row r="867" spans="2:11" x14ac:dyDescent="0.2">
      <c r="B867" s="26" t="str">
        <f>_xlfn.XLOOKUP(Total[[#This Row],[Metodo]],TbSolver[Metodo],TbSolver[Solver])</f>
        <v>Runge Kutta</v>
      </c>
      <c r="C867" s="26" t="str">
        <f>_xlfn.XLOOKUP(Total[[#This Row],[Hebras]],TbTecnologia[Hebras],TbTecnologia[Tecnología])</f>
        <v>OMP</v>
      </c>
      <c r="D867" s="15" t="str" cm="1">
        <f t="array" ref="D867">_xlfn.XLOOKUP(Total[[#This Row],[Tecnología]]&amp;Total[[#This Row],[Metodo]],TbTipos[Tecnología]&amp;TbTipos[Metodo],TbTipos[Tipo])</f>
        <v>OMP Elementos</v>
      </c>
      <c r="E867" s="15" t="str" cm="1">
        <f t="array" ref="E867">_xlfn.XLOOKUP(Total[[#This Row],[Tecnología]]&amp;Total[[#This Row],[Problema]],TbNombres[Tecnología]&amp;TbNombres[Problema],TbNombres[Nombre])</f>
        <v>Advdiff1d</v>
      </c>
      <c r="F867" s="1">
        <v>2</v>
      </c>
      <c r="G867" s="1">
        <v>2</v>
      </c>
      <c r="H867" s="1">
        <v>1</v>
      </c>
      <c r="I867" s="1">
        <v>7500</v>
      </c>
      <c r="J867" s="1">
        <v>7500</v>
      </c>
      <c r="K867" s="1">
        <v>863.10400000000004</v>
      </c>
    </row>
    <row r="868" spans="2:11" x14ac:dyDescent="0.2">
      <c r="B868" s="26" t="str">
        <f>_xlfn.XLOOKUP(Total[[#This Row],[Metodo]],TbSolver[Metodo],TbSolver[Solver])</f>
        <v>Runge Kutta</v>
      </c>
      <c r="C868" s="26" t="str">
        <f>_xlfn.XLOOKUP(Total[[#This Row],[Hebras]],TbTecnologia[Hebras],TbTecnologia[Tecnología])</f>
        <v>OMP</v>
      </c>
      <c r="D868" s="15" t="str" cm="1">
        <f t="array" ref="D868">_xlfn.XLOOKUP(Total[[#This Row],[Tecnología]]&amp;Total[[#This Row],[Metodo]],TbTipos[Tecnología]&amp;TbTipos[Metodo],TbTipos[Tipo])</f>
        <v>OMP Elementos</v>
      </c>
      <c r="E868" s="15" t="str" cm="1">
        <f t="array" ref="E868">_xlfn.XLOOKUP(Total[[#This Row],[Tecnología]]&amp;Total[[#This Row],[Problema]],TbNombres[Tecnología]&amp;TbNombres[Problema],TbNombres[Nombre])</f>
        <v>Advdiff1d</v>
      </c>
      <c r="F868" s="1">
        <v>2</v>
      </c>
      <c r="G868" s="1">
        <v>2</v>
      </c>
      <c r="H868" s="1">
        <v>4</v>
      </c>
      <c r="I868" s="1">
        <v>7500</v>
      </c>
      <c r="J868" s="1">
        <v>7500</v>
      </c>
      <c r="K868" s="1">
        <v>245.40700000000001</v>
      </c>
    </row>
    <row r="869" spans="2:11" x14ac:dyDescent="0.2">
      <c r="B869" s="26" t="str">
        <f>_xlfn.XLOOKUP(Total[[#This Row],[Metodo]],TbSolver[Metodo],TbSolver[Solver])</f>
        <v>Runge Kutta</v>
      </c>
      <c r="C869" s="26" t="str">
        <f>_xlfn.XLOOKUP(Total[[#This Row],[Hebras]],TbTecnologia[Hebras],TbTecnologia[Tecnología])</f>
        <v>OMP</v>
      </c>
      <c r="D869" s="15" t="str" cm="1">
        <f t="array" ref="D869">_xlfn.XLOOKUP(Total[[#This Row],[Tecnología]]&amp;Total[[#This Row],[Metodo]],TbTipos[Tecnología]&amp;TbTipos[Metodo],TbTipos[Tipo])</f>
        <v>OMP Elementos</v>
      </c>
      <c r="E869" s="15" t="str" cm="1">
        <f t="array" ref="E869">_xlfn.XLOOKUP(Total[[#This Row],[Tecnología]]&amp;Total[[#This Row],[Problema]],TbNombres[Tecnología]&amp;TbNombres[Problema],TbNombres[Nombre])</f>
        <v>Advdiff1d</v>
      </c>
      <c r="F869" s="1">
        <v>2</v>
      </c>
      <c r="G869" s="1">
        <v>2</v>
      </c>
      <c r="H869" s="1">
        <v>16</v>
      </c>
      <c r="I869" s="1">
        <v>7500</v>
      </c>
      <c r="J869" s="1">
        <v>7500</v>
      </c>
      <c r="K869" s="1">
        <v>73.536000000000001</v>
      </c>
    </row>
    <row r="870" spans="2:11" x14ac:dyDescent="0.2">
      <c r="B870" s="26" t="str">
        <f>_xlfn.XLOOKUP(Total[[#This Row],[Metodo]],TbSolver[Metodo],TbSolver[Solver])</f>
        <v>Runge Kutta</v>
      </c>
      <c r="C870" s="26" t="str">
        <f>_xlfn.XLOOKUP(Total[[#This Row],[Hebras]],TbTecnologia[Hebras],TbTecnologia[Tecnología])</f>
        <v>OMP</v>
      </c>
      <c r="D870" s="15" t="str" cm="1">
        <f t="array" ref="D870">_xlfn.XLOOKUP(Total[[#This Row],[Tecnología]]&amp;Total[[#This Row],[Metodo]],TbTipos[Tecnología]&amp;TbTipos[Metodo],TbTipos[Tipo])</f>
        <v>OMP Elementos</v>
      </c>
      <c r="E870" s="15" t="str" cm="1">
        <f t="array" ref="E870">_xlfn.XLOOKUP(Total[[#This Row],[Tecnología]]&amp;Total[[#This Row],[Problema]],TbNombres[Tecnología]&amp;TbNombres[Problema],TbNombres[Nombre])</f>
        <v>Brusselator1d</v>
      </c>
      <c r="F870" s="1">
        <v>2</v>
      </c>
      <c r="G870" s="1">
        <v>3</v>
      </c>
      <c r="H870" s="1">
        <v>1</v>
      </c>
      <c r="I870" s="1">
        <v>7500</v>
      </c>
      <c r="J870" s="1">
        <v>15000</v>
      </c>
      <c r="K870" s="1">
        <v>351.70699999999999</v>
      </c>
    </row>
    <row r="871" spans="2:11" x14ac:dyDescent="0.2">
      <c r="B871" s="26" t="str">
        <f>_xlfn.XLOOKUP(Total[[#This Row],[Metodo]],TbSolver[Metodo],TbSolver[Solver])</f>
        <v>Runge Kutta</v>
      </c>
      <c r="C871" s="26" t="str">
        <f>_xlfn.XLOOKUP(Total[[#This Row],[Hebras]],TbTecnologia[Hebras],TbTecnologia[Tecnología])</f>
        <v>OMP</v>
      </c>
      <c r="D871" s="15" t="str" cm="1">
        <f t="array" ref="D871">_xlfn.XLOOKUP(Total[[#This Row],[Tecnología]]&amp;Total[[#This Row],[Metodo]],TbTipos[Tecnología]&amp;TbTipos[Metodo],TbTipos[Tipo])</f>
        <v>OMP Elementos</v>
      </c>
      <c r="E871" s="15" t="str" cm="1">
        <f t="array" ref="E871">_xlfn.XLOOKUP(Total[[#This Row],[Tecnología]]&amp;Total[[#This Row],[Problema]],TbNombres[Tecnología]&amp;TbNombres[Problema],TbNombres[Nombre])</f>
        <v>Brusselator1d</v>
      </c>
      <c r="F871" s="1">
        <v>2</v>
      </c>
      <c r="G871" s="1">
        <v>3</v>
      </c>
      <c r="H871" s="1">
        <v>4</v>
      </c>
      <c r="I871" s="1">
        <v>7500</v>
      </c>
      <c r="J871" s="1">
        <v>15000</v>
      </c>
      <c r="K871" s="1">
        <v>97.886399999999995</v>
      </c>
    </row>
    <row r="872" spans="2:11" x14ac:dyDescent="0.2">
      <c r="B872" s="26" t="str">
        <f>_xlfn.XLOOKUP(Total[[#This Row],[Metodo]],TbSolver[Metodo],TbSolver[Solver])</f>
        <v>Runge Kutta</v>
      </c>
      <c r="C872" s="26" t="str">
        <f>_xlfn.XLOOKUP(Total[[#This Row],[Hebras]],TbTecnologia[Hebras],TbTecnologia[Tecnología])</f>
        <v>OMP</v>
      </c>
      <c r="D872" s="15" t="str" cm="1">
        <f t="array" ref="D872">_xlfn.XLOOKUP(Total[[#This Row],[Tecnología]]&amp;Total[[#This Row],[Metodo]],TbTipos[Tecnología]&amp;TbTipos[Metodo],TbTipos[Tipo])</f>
        <v>OMP Elementos</v>
      </c>
      <c r="E872" s="15" t="str" cm="1">
        <f t="array" ref="E872">_xlfn.XLOOKUP(Total[[#This Row],[Tecnología]]&amp;Total[[#This Row],[Problema]],TbNombres[Tecnología]&amp;TbNombres[Problema],TbNombres[Nombre])</f>
        <v>Brusselator1d</v>
      </c>
      <c r="F872" s="1">
        <v>2</v>
      </c>
      <c r="G872" s="1">
        <v>3</v>
      </c>
      <c r="H872" s="1">
        <v>16</v>
      </c>
      <c r="I872" s="1">
        <v>7500</v>
      </c>
      <c r="J872" s="1">
        <v>15000</v>
      </c>
      <c r="K872" s="1">
        <v>37.206400000000002</v>
      </c>
    </row>
    <row r="873" spans="2:11" x14ac:dyDescent="0.2">
      <c r="B873" s="26" t="str">
        <f>_xlfn.XLOOKUP(Total[[#This Row],[Metodo]],TbSolver[Metodo],TbSolver[Solver])</f>
        <v>Adams Bashford</v>
      </c>
      <c r="C873" s="26" t="str">
        <f>_xlfn.XLOOKUP(Total[[#This Row],[Hebras]],TbTecnologia[Hebras],TbTecnologia[Tecnología])</f>
        <v>OMP</v>
      </c>
      <c r="D873" s="15" t="str" cm="1">
        <f t="array" ref="D873">_xlfn.XLOOKUP(Total[[#This Row],[Tecnología]]&amp;Total[[#This Row],[Metodo]],TbTipos[Tecnología]&amp;TbTipos[Metodo],TbTipos[Tipo])</f>
        <v>OMP Operaciones</v>
      </c>
      <c r="E873" s="15" t="str" cm="1">
        <f t="array" ref="E873">_xlfn.XLOOKUP(Total[[#This Row],[Tecnología]]&amp;Total[[#This Row],[Problema]],TbNombres[Tecnología]&amp;TbNombres[Problema],TbNombres[Nombre])</f>
        <v>Simple Advdiff</v>
      </c>
      <c r="F873" s="1">
        <v>3</v>
      </c>
      <c r="G873" s="1">
        <v>1</v>
      </c>
      <c r="H873" s="1">
        <v>1</v>
      </c>
      <c r="I873" s="1">
        <v>7500</v>
      </c>
      <c r="J873" s="1">
        <v>7500</v>
      </c>
      <c r="K873" s="1">
        <v>15.9071</v>
      </c>
    </row>
    <row r="874" spans="2:11" x14ac:dyDescent="0.2">
      <c r="B874" s="26" t="str">
        <f>_xlfn.XLOOKUP(Total[[#This Row],[Metodo]],TbSolver[Metodo],TbSolver[Solver])</f>
        <v>Adams Bashford</v>
      </c>
      <c r="C874" s="26" t="str">
        <f>_xlfn.XLOOKUP(Total[[#This Row],[Hebras]],TbTecnologia[Hebras],TbTecnologia[Tecnología])</f>
        <v>OMP</v>
      </c>
      <c r="D874" s="15" t="str" cm="1">
        <f t="array" ref="D874">_xlfn.XLOOKUP(Total[[#This Row],[Tecnología]]&amp;Total[[#This Row],[Metodo]],TbTipos[Tecnología]&amp;TbTipos[Metodo],TbTipos[Tipo])</f>
        <v>OMP Operaciones</v>
      </c>
      <c r="E874" s="15" t="str" cm="1">
        <f t="array" ref="E874">_xlfn.XLOOKUP(Total[[#This Row],[Tecnología]]&amp;Total[[#This Row],[Problema]],TbNombres[Tecnología]&amp;TbNombres[Problema],TbNombres[Nombre])</f>
        <v>Simple Advdiff</v>
      </c>
      <c r="F874" s="1">
        <v>3</v>
      </c>
      <c r="G874" s="1">
        <v>1</v>
      </c>
      <c r="H874" s="1">
        <v>4</v>
      </c>
      <c r="I874" s="1">
        <v>7500</v>
      </c>
      <c r="J874" s="1">
        <v>7500</v>
      </c>
      <c r="K874" s="1">
        <v>16.9971</v>
      </c>
    </row>
    <row r="875" spans="2:11" x14ac:dyDescent="0.2">
      <c r="B875" s="26" t="str">
        <f>_xlfn.XLOOKUP(Total[[#This Row],[Metodo]],TbSolver[Metodo],TbSolver[Solver])</f>
        <v>Adams Bashford</v>
      </c>
      <c r="C875" s="26" t="str">
        <f>_xlfn.XLOOKUP(Total[[#This Row],[Hebras]],TbTecnologia[Hebras],TbTecnologia[Tecnología])</f>
        <v>OMP</v>
      </c>
      <c r="D875" s="15" t="str" cm="1">
        <f t="array" ref="D875">_xlfn.XLOOKUP(Total[[#This Row],[Tecnología]]&amp;Total[[#This Row],[Metodo]],TbTipos[Tecnología]&amp;TbTipos[Metodo],TbTipos[Tipo])</f>
        <v>OMP Operaciones</v>
      </c>
      <c r="E875" s="15" t="str" cm="1">
        <f t="array" ref="E875">_xlfn.XLOOKUP(Total[[#This Row],[Tecnología]]&amp;Total[[#This Row],[Problema]],TbNombres[Tecnología]&amp;TbNombres[Problema],TbNombres[Nombre])</f>
        <v>Simple Advdiff</v>
      </c>
      <c r="F875" s="1">
        <v>3</v>
      </c>
      <c r="G875" s="1">
        <v>1</v>
      </c>
      <c r="H875" s="1">
        <v>16</v>
      </c>
      <c r="I875" s="1">
        <v>7500</v>
      </c>
      <c r="J875" s="1">
        <v>7500</v>
      </c>
      <c r="K875" s="1">
        <v>30.6571</v>
      </c>
    </row>
    <row r="876" spans="2:11" x14ac:dyDescent="0.2">
      <c r="B876" s="26" t="str">
        <f>_xlfn.XLOOKUP(Total[[#This Row],[Metodo]],TbSolver[Metodo],TbSolver[Solver])</f>
        <v>Adams Bashford</v>
      </c>
      <c r="C876" s="26" t="str">
        <f>_xlfn.XLOOKUP(Total[[#This Row],[Hebras]],TbTecnologia[Hebras],TbTecnologia[Tecnología])</f>
        <v>OMP</v>
      </c>
      <c r="D876" s="15" t="str" cm="1">
        <f t="array" ref="D876">_xlfn.XLOOKUP(Total[[#This Row],[Tecnología]]&amp;Total[[#This Row],[Metodo]],TbTipos[Tecnología]&amp;TbTipos[Metodo],TbTipos[Tipo])</f>
        <v>OMP Operaciones</v>
      </c>
      <c r="E876" s="15" t="str" cm="1">
        <f t="array" ref="E876">_xlfn.XLOOKUP(Total[[#This Row],[Tecnología]]&amp;Total[[#This Row],[Problema]],TbNombres[Tecnología]&amp;TbNombres[Problema],TbNombres[Nombre])</f>
        <v>Advdiff1d</v>
      </c>
      <c r="F876" s="1">
        <v>3</v>
      </c>
      <c r="G876" s="1">
        <v>2</v>
      </c>
      <c r="H876" s="1">
        <v>1</v>
      </c>
      <c r="I876" s="1">
        <v>7500</v>
      </c>
      <c r="J876" s="1">
        <v>7500</v>
      </c>
      <c r="K876" s="1">
        <v>170.4</v>
      </c>
    </row>
    <row r="877" spans="2:11" x14ac:dyDescent="0.2">
      <c r="B877" s="26" t="str">
        <f>_xlfn.XLOOKUP(Total[[#This Row],[Metodo]],TbSolver[Metodo],TbSolver[Solver])</f>
        <v>Adams Bashford</v>
      </c>
      <c r="C877" s="26" t="str">
        <f>_xlfn.XLOOKUP(Total[[#This Row],[Hebras]],TbTecnologia[Hebras],TbTecnologia[Tecnología])</f>
        <v>OMP</v>
      </c>
      <c r="D877" s="15" t="str" cm="1">
        <f t="array" ref="D877">_xlfn.XLOOKUP(Total[[#This Row],[Tecnología]]&amp;Total[[#This Row],[Metodo]],TbTipos[Tecnología]&amp;TbTipos[Metodo],TbTipos[Tipo])</f>
        <v>OMP Operaciones</v>
      </c>
      <c r="E877" s="15" t="str" cm="1">
        <f t="array" ref="E877">_xlfn.XLOOKUP(Total[[#This Row],[Tecnología]]&amp;Total[[#This Row],[Problema]],TbNombres[Tecnología]&amp;TbNombres[Problema],TbNombres[Nombre])</f>
        <v>Advdiff1d</v>
      </c>
      <c r="F877" s="1">
        <v>3</v>
      </c>
      <c r="G877" s="1">
        <v>2</v>
      </c>
      <c r="H877" s="1">
        <v>4</v>
      </c>
      <c r="I877" s="1">
        <v>7500</v>
      </c>
      <c r="J877" s="1">
        <v>7500</v>
      </c>
      <c r="K877" s="1">
        <v>64.175399999999996</v>
      </c>
    </row>
    <row r="878" spans="2:11" x14ac:dyDescent="0.2">
      <c r="B878" s="26" t="str">
        <f>_xlfn.XLOOKUP(Total[[#This Row],[Metodo]],TbSolver[Metodo],TbSolver[Solver])</f>
        <v>Adams Bashford</v>
      </c>
      <c r="C878" s="26" t="str">
        <f>_xlfn.XLOOKUP(Total[[#This Row],[Hebras]],TbTecnologia[Hebras],TbTecnologia[Tecnología])</f>
        <v>OMP</v>
      </c>
      <c r="D878" s="15" t="str" cm="1">
        <f t="array" ref="D878">_xlfn.XLOOKUP(Total[[#This Row],[Tecnología]]&amp;Total[[#This Row],[Metodo]],TbTipos[Tecnología]&amp;TbTipos[Metodo],TbTipos[Tipo])</f>
        <v>OMP Operaciones</v>
      </c>
      <c r="E878" s="15" t="str" cm="1">
        <f t="array" ref="E878">_xlfn.XLOOKUP(Total[[#This Row],[Tecnología]]&amp;Total[[#This Row],[Problema]],TbNombres[Tecnología]&amp;TbNombres[Problema],TbNombres[Nombre])</f>
        <v>Advdiff1d</v>
      </c>
      <c r="F878" s="1">
        <v>3</v>
      </c>
      <c r="G878" s="1">
        <v>2</v>
      </c>
      <c r="H878" s="1">
        <v>16</v>
      </c>
      <c r="I878" s="1">
        <v>7500</v>
      </c>
      <c r="J878" s="1">
        <v>7500</v>
      </c>
      <c r="K878" s="1">
        <v>46.950299999999999</v>
      </c>
    </row>
    <row r="879" spans="2:11" x14ac:dyDescent="0.2">
      <c r="B879" s="26" t="str">
        <f>_xlfn.XLOOKUP(Total[[#This Row],[Metodo]],TbSolver[Metodo],TbSolver[Solver])</f>
        <v>Adams Bashford</v>
      </c>
      <c r="C879" s="26" t="str">
        <f>_xlfn.XLOOKUP(Total[[#This Row],[Hebras]],TbTecnologia[Hebras],TbTecnologia[Tecnología])</f>
        <v>OMP</v>
      </c>
      <c r="D879" s="15" t="str" cm="1">
        <f t="array" ref="D879">_xlfn.XLOOKUP(Total[[#This Row],[Tecnología]]&amp;Total[[#This Row],[Metodo]],TbTipos[Tecnología]&amp;TbTipos[Metodo],TbTipos[Tipo])</f>
        <v>OMP Operaciones</v>
      </c>
      <c r="E879" s="15" t="str" cm="1">
        <f t="array" ref="E879">_xlfn.XLOOKUP(Total[[#This Row],[Tecnología]]&amp;Total[[#This Row],[Problema]],TbNombres[Tecnología]&amp;TbNombres[Problema],TbNombres[Nombre])</f>
        <v>Brusselator1d</v>
      </c>
      <c r="F879" s="1">
        <v>3</v>
      </c>
      <c r="G879" s="1">
        <v>3</v>
      </c>
      <c r="H879" s="1">
        <v>1</v>
      </c>
      <c r="I879" s="1">
        <v>7500</v>
      </c>
      <c r="J879" s="1">
        <v>15000</v>
      </c>
      <c r="K879" s="1">
        <v>48.344900000000003</v>
      </c>
    </row>
    <row r="880" spans="2:11" x14ac:dyDescent="0.2">
      <c r="B880" s="26" t="str">
        <f>_xlfn.XLOOKUP(Total[[#This Row],[Metodo]],TbSolver[Metodo],TbSolver[Solver])</f>
        <v>Adams Bashford</v>
      </c>
      <c r="C880" s="26" t="str">
        <f>_xlfn.XLOOKUP(Total[[#This Row],[Hebras]],TbTecnologia[Hebras],TbTecnologia[Tecnología])</f>
        <v>OMP</v>
      </c>
      <c r="D880" s="15" t="str" cm="1">
        <f t="array" ref="D880">_xlfn.XLOOKUP(Total[[#This Row],[Tecnología]]&amp;Total[[#This Row],[Metodo]],TbTipos[Tecnología]&amp;TbTipos[Metodo],TbTipos[Tipo])</f>
        <v>OMP Operaciones</v>
      </c>
      <c r="E880" s="15" t="str" cm="1">
        <f t="array" ref="E880">_xlfn.XLOOKUP(Total[[#This Row],[Tecnología]]&amp;Total[[#This Row],[Problema]],TbNombres[Tecnología]&amp;TbNombres[Problema],TbNombres[Nombre])</f>
        <v>Brusselator1d</v>
      </c>
      <c r="F880" s="1">
        <v>3</v>
      </c>
      <c r="G880" s="1">
        <v>3</v>
      </c>
      <c r="H880" s="1">
        <v>4</v>
      </c>
      <c r="I880" s="1">
        <v>7500</v>
      </c>
      <c r="J880" s="1">
        <v>15000</v>
      </c>
      <c r="K880" s="1">
        <v>27.054099999999998</v>
      </c>
    </row>
    <row r="881" spans="2:11" x14ac:dyDescent="0.2">
      <c r="B881" s="26" t="str">
        <f>_xlfn.XLOOKUP(Total[[#This Row],[Metodo]],TbSolver[Metodo],TbSolver[Solver])</f>
        <v>Adams Bashford</v>
      </c>
      <c r="C881" s="26" t="str">
        <f>_xlfn.XLOOKUP(Total[[#This Row],[Hebras]],TbTecnologia[Hebras],TbTecnologia[Tecnología])</f>
        <v>OMP</v>
      </c>
      <c r="D881" s="15" t="str" cm="1">
        <f t="array" ref="D881">_xlfn.XLOOKUP(Total[[#This Row],[Tecnología]]&amp;Total[[#This Row],[Metodo]],TbTipos[Tecnología]&amp;TbTipos[Metodo],TbTipos[Tipo])</f>
        <v>OMP Operaciones</v>
      </c>
      <c r="E881" s="15" t="str" cm="1">
        <f t="array" ref="E881">_xlfn.XLOOKUP(Total[[#This Row],[Tecnología]]&amp;Total[[#This Row],[Problema]],TbNombres[Tecnología]&amp;TbNombres[Problema],TbNombres[Nombre])</f>
        <v>Brusselator1d</v>
      </c>
      <c r="F881" s="1">
        <v>3</v>
      </c>
      <c r="G881" s="1">
        <v>3</v>
      </c>
      <c r="H881" s="1">
        <v>16</v>
      </c>
      <c r="I881" s="1">
        <v>7500</v>
      </c>
      <c r="J881" s="1">
        <v>15000</v>
      </c>
      <c r="K881" s="1">
        <v>44.495600000000003</v>
      </c>
    </row>
    <row r="882" spans="2:11" x14ac:dyDescent="0.2">
      <c r="B882" s="26" t="str">
        <f>_xlfn.XLOOKUP(Total[[#This Row],[Metodo]],TbSolver[Metodo],TbSolver[Solver])</f>
        <v>Adams Bashford</v>
      </c>
      <c r="C882" s="26" t="str">
        <f>_xlfn.XLOOKUP(Total[[#This Row],[Hebras]],TbTecnologia[Hebras],TbTecnologia[Tecnología])</f>
        <v>OMP</v>
      </c>
      <c r="D882" s="15" t="str" cm="1">
        <f t="array" ref="D882">_xlfn.XLOOKUP(Total[[#This Row],[Tecnología]]&amp;Total[[#This Row],[Metodo]],TbTipos[Tecnología]&amp;TbTipos[Metodo],TbTipos[Tipo])</f>
        <v>OMP Elementos</v>
      </c>
      <c r="E882" s="15" t="str" cm="1">
        <f t="array" ref="E882">_xlfn.XLOOKUP(Total[[#This Row],[Tecnología]]&amp;Total[[#This Row],[Problema]],TbNombres[Tecnología]&amp;TbNombres[Problema],TbNombres[Nombre])</f>
        <v>Simple Advdiff</v>
      </c>
      <c r="F882" s="1">
        <v>4</v>
      </c>
      <c r="G882" s="1">
        <v>1</v>
      </c>
      <c r="H882" s="1">
        <v>1</v>
      </c>
      <c r="I882" s="1">
        <v>7500</v>
      </c>
      <c r="J882" s="1">
        <v>7500</v>
      </c>
      <c r="K882" s="1">
        <v>37.374400000000001</v>
      </c>
    </row>
    <row r="883" spans="2:11" x14ac:dyDescent="0.2">
      <c r="B883" s="26" t="str">
        <f>_xlfn.XLOOKUP(Total[[#This Row],[Metodo]],TbSolver[Metodo],TbSolver[Solver])</f>
        <v>Adams Bashford</v>
      </c>
      <c r="C883" s="26" t="str">
        <f>_xlfn.XLOOKUP(Total[[#This Row],[Hebras]],TbTecnologia[Hebras],TbTecnologia[Tecnología])</f>
        <v>OMP</v>
      </c>
      <c r="D883" s="15" t="str" cm="1">
        <f t="array" ref="D883">_xlfn.XLOOKUP(Total[[#This Row],[Tecnología]]&amp;Total[[#This Row],[Metodo]],TbTipos[Tecnología]&amp;TbTipos[Metodo],TbTipos[Tipo])</f>
        <v>OMP Elementos</v>
      </c>
      <c r="E883" s="15" t="str" cm="1">
        <f t="array" ref="E883">_xlfn.XLOOKUP(Total[[#This Row],[Tecnología]]&amp;Total[[#This Row],[Problema]],TbNombres[Tecnología]&amp;TbNombres[Problema],TbNombres[Nombre])</f>
        <v>Simple Advdiff</v>
      </c>
      <c r="F883" s="1">
        <v>4</v>
      </c>
      <c r="G883" s="1">
        <v>1</v>
      </c>
      <c r="H883" s="1">
        <v>4</v>
      </c>
      <c r="I883" s="1">
        <v>7500</v>
      </c>
      <c r="J883" s="1">
        <v>7500</v>
      </c>
      <c r="K883" s="1">
        <v>14.3773</v>
      </c>
    </row>
    <row r="884" spans="2:11" x14ac:dyDescent="0.2">
      <c r="B884" s="26" t="str">
        <f>_xlfn.XLOOKUP(Total[[#This Row],[Metodo]],TbSolver[Metodo],TbSolver[Solver])</f>
        <v>Adams Bashford</v>
      </c>
      <c r="C884" s="26" t="str">
        <f>_xlfn.XLOOKUP(Total[[#This Row],[Hebras]],TbTecnologia[Hebras],TbTecnologia[Tecnología])</f>
        <v>OMP</v>
      </c>
      <c r="D884" s="15" t="str" cm="1">
        <f t="array" ref="D884">_xlfn.XLOOKUP(Total[[#This Row],[Tecnología]]&amp;Total[[#This Row],[Metodo]],TbTipos[Tecnología]&amp;TbTipos[Metodo],TbTipos[Tipo])</f>
        <v>OMP Elementos</v>
      </c>
      <c r="E884" s="15" t="str" cm="1">
        <f t="array" ref="E884">_xlfn.XLOOKUP(Total[[#This Row],[Tecnología]]&amp;Total[[#This Row],[Problema]],TbNombres[Tecnología]&amp;TbNombres[Problema],TbNombres[Nombre])</f>
        <v>Simple Advdiff</v>
      </c>
      <c r="F884" s="1">
        <v>4</v>
      </c>
      <c r="G884" s="1">
        <v>1</v>
      </c>
      <c r="H884" s="1">
        <v>16</v>
      </c>
      <c r="I884" s="1">
        <v>7500</v>
      </c>
      <c r="J884" s="1">
        <v>7500</v>
      </c>
      <c r="K884" s="1">
        <v>12.577299999999999</v>
      </c>
    </row>
    <row r="885" spans="2:11" x14ac:dyDescent="0.2">
      <c r="B885" s="26" t="str">
        <f>_xlfn.XLOOKUP(Total[[#This Row],[Metodo]],TbSolver[Metodo],TbSolver[Solver])</f>
        <v>Adams Bashford</v>
      </c>
      <c r="C885" s="26" t="str">
        <f>_xlfn.XLOOKUP(Total[[#This Row],[Hebras]],TbTecnologia[Hebras],TbTecnologia[Tecnología])</f>
        <v>OMP</v>
      </c>
      <c r="D885" s="15" t="str" cm="1">
        <f t="array" ref="D885">_xlfn.XLOOKUP(Total[[#This Row],[Tecnología]]&amp;Total[[#This Row],[Metodo]],TbTipos[Tecnología]&amp;TbTipos[Metodo],TbTipos[Tipo])</f>
        <v>OMP Elementos</v>
      </c>
      <c r="E885" s="15" t="str" cm="1">
        <f t="array" ref="E885">_xlfn.XLOOKUP(Total[[#This Row],[Tecnología]]&amp;Total[[#This Row],[Problema]],TbNombres[Tecnología]&amp;TbNombres[Problema],TbNombres[Nombre])</f>
        <v>Advdiff1d</v>
      </c>
      <c r="F885" s="1">
        <v>4</v>
      </c>
      <c r="G885" s="1">
        <v>2</v>
      </c>
      <c r="H885" s="1">
        <v>1</v>
      </c>
      <c r="I885" s="1">
        <v>7500</v>
      </c>
      <c r="J885" s="1">
        <v>7500</v>
      </c>
      <c r="K885" s="1">
        <v>198.01499999999999</v>
      </c>
    </row>
    <row r="886" spans="2:11" x14ac:dyDescent="0.2">
      <c r="B886" s="26" t="str">
        <f>_xlfn.XLOOKUP(Total[[#This Row],[Metodo]],TbSolver[Metodo],TbSolver[Solver])</f>
        <v>Adams Bashford</v>
      </c>
      <c r="C886" s="26" t="str">
        <f>_xlfn.XLOOKUP(Total[[#This Row],[Hebras]],TbTecnologia[Hebras],TbTecnologia[Tecnología])</f>
        <v>OMP</v>
      </c>
      <c r="D886" s="15" t="str" cm="1">
        <f t="array" ref="D886">_xlfn.XLOOKUP(Total[[#This Row],[Tecnología]]&amp;Total[[#This Row],[Metodo]],TbTipos[Tecnología]&amp;TbTipos[Metodo],TbTipos[Tipo])</f>
        <v>OMP Elementos</v>
      </c>
      <c r="E886" s="15" t="str" cm="1">
        <f t="array" ref="E886">_xlfn.XLOOKUP(Total[[#This Row],[Tecnología]]&amp;Total[[#This Row],[Problema]],TbNombres[Tecnología]&amp;TbNombres[Problema],TbNombres[Nombre])</f>
        <v>Advdiff1d</v>
      </c>
      <c r="F886" s="1">
        <v>4</v>
      </c>
      <c r="G886" s="1">
        <v>2</v>
      </c>
      <c r="H886" s="1">
        <v>4</v>
      </c>
      <c r="I886" s="1">
        <v>7500</v>
      </c>
      <c r="J886" s="1">
        <v>7500</v>
      </c>
      <c r="K886" s="1">
        <v>60.146700000000003</v>
      </c>
    </row>
    <row r="887" spans="2:11" x14ac:dyDescent="0.2">
      <c r="B887" s="26" t="str">
        <f>_xlfn.XLOOKUP(Total[[#This Row],[Metodo]],TbSolver[Metodo],TbSolver[Solver])</f>
        <v>Adams Bashford</v>
      </c>
      <c r="C887" s="26" t="str">
        <f>_xlfn.XLOOKUP(Total[[#This Row],[Hebras]],TbTecnologia[Hebras],TbTecnologia[Tecnología])</f>
        <v>OMP</v>
      </c>
      <c r="D887" s="15" t="str" cm="1">
        <f t="array" ref="D887">_xlfn.XLOOKUP(Total[[#This Row],[Tecnología]]&amp;Total[[#This Row],[Metodo]],TbTipos[Tecnología]&amp;TbTipos[Metodo],TbTipos[Tipo])</f>
        <v>OMP Elementos</v>
      </c>
      <c r="E887" s="15" t="str" cm="1">
        <f t="array" ref="E887">_xlfn.XLOOKUP(Total[[#This Row],[Tecnología]]&amp;Total[[#This Row],[Problema]],TbNombres[Tecnología]&amp;TbNombres[Problema],TbNombres[Nombre])</f>
        <v>Advdiff1d</v>
      </c>
      <c r="F887" s="1">
        <v>4</v>
      </c>
      <c r="G887" s="1">
        <v>2</v>
      </c>
      <c r="H887" s="1">
        <v>16</v>
      </c>
      <c r="I887" s="1">
        <v>7500</v>
      </c>
      <c r="J887" s="1">
        <v>7500</v>
      </c>
      <c r="K887" s="1">
        <v>45.283499999999997</v>
      </c>
    </row>
    <row r="888" spans="2:11" x14ac:dyDescent="0.2">
      <c r="B888" s="26" t="str">
        <f>_xlfn.XLOOKUP(Total[[#This Row],[Metodo]],TbSolver[Metodo],TbSolver[Solver])</f>
        <v>Adams Bashford</v>
      </c>
      <c r="C888" s="26" t="str">
        <f>_xlfn.XLOOKUP(Total[[#This Row],[Hebras]],TbTecnologia[Hebras],TbTecnologia[Tecnología])</f>
        <v>OMP</v>
      </c>
      <c r="D888" s="15" t="str" cm="1">
        <f t="array" ref="D888">_xlfn.XLOOKUP(Total[[#This Row],[Tecnología]]&amp;Total[[#This Row],[Metodo]],TbTipos[Tecnología]&amp;TbTipos[Metodo],TbTipos[Tipo])</f>
        <v>OMP Elementos</v>
      </c>
      <c r="E888" s="15" t="str" cm="1">
        <f t="array" ref="E888">_xlfn.XLOOKUP(Total[[#This Row],[Tecnología]]&amp;Total[[#This Row],[Problema]],TbNombres[Tecnología]&amp;TbNombres[Problema],TbNombres[Nombre])</f>
        <v>Brusselator1d</v>
      </c>
      <c r="F888" s="1">
        <v>4</v>
      </c>
      <c r="G888" s="1">
        <v>3</v>
      </c>
      <c r="H888" s="1">
        <v>1</v>
      </c>
      <c r="I888" s="1">
        <v>7500</v>
      </c>
      <c r="J888" s="1">
        <v>15000</v>
      </c>
      <c r="K888" s="1">
        <v>91.340599999999995</v>
      </c>
    </row>
    <row r="889" spans="2:11" x14ac:dyDescent="0.2">
      <c r="B889" s="26" t="str">
        <f>_xlfn.XLOOKUP(Total[[#This Row],[Metodo]],TbSolver[Metodo],TbSolver[Solver])</f>
        <v>Adams Bashford</v>
      </c>
      <c r="C889" s="26" t="str">
        <f>_xlfn.XLOOKUP(Total[[#This Row],[Hebras]],TbTecnologia[Hebras],TbTecnologia[Tecnología])</f>
        <v>OMP</v>
      </c>
      <c r="D889" s="15" t="str" cm="1">
        <f t="array" ref="D889">_xlfn.XLOOKUP(Total[[#This Row],[Tecnología]]&amp;Total[[#This Row],[Metodo]],TbTipos[Tecnología]&amp;TbTipos[Metodo],TbTipos[Tipo])</f>
        <v>OMP Elementos</v>
      </c>
      <c r="E889" s="15" t="str" cm="1">
        <f t="array" ref="E889">_xlfn.XLOOKUP(Total[[#This Row],[Tecnología]]&amp;Total[[#This Row],[Problema]],TbNombres[Tecnología]&amp;TbNombres[Problema],TbNombres[Nombre])</f>
        <v>Brusselator1d</v>
      </c>
      <c r="F889" s="1">
        <v>4</v>
      </c>
      <c r="G889" s="1">
        <v>3</v>
      </c>
      <c r="H889" s="1">
        <v>4</v>
      </c>
      <c r="I889" s="1">
        <v>7500</v>
      </c>
      <c r="J889" s="1">
        <v>15000</v>
      </c>
      <c r="K889" s="1">
        <v>28.482900000000001</v>
      </c>
    </row>
    <row r="890" spans="2:11" x14ac:dyDescent="0.2">
      <c r="B890" s="26" t="str">
        <f>_xlfn.XLOOKUP(Total[[#This Row],[Metodo]],TbSolver[Metodo],TbSolver[Solver])</f>
        <v>Adams Bashford</v>
      </c>
      <c r="C890" s="26" t="str">
        <f>_xlfn.XLOOKUP(Total[[#This Row],[Hebras]],TbTecnologia[Hebras],TbTecnologia[Tecnología])</f>
        <v>OMP</v>
      </c>
      <c r="D890" s="15" t="str" cm="1">
        <f t="array" ref="D890">_xlfn.XLOOKUP(Total[[#This Row],[Tecnología]]&amp;Total[[#This Row],[Metodo]],TbTipos[Tecnología]&amp;TbTipos[Metodo],TbTipos[Tipo])</f>
        <v>OMP Elementos</v>
      </c>
      <c r="E890" s="15" t="str" cm="1">
        <f t="array" ref="E890">_xlfn.XLOOKUP(Total[[#This Row],[Tecnología]]&amp;Total[[#This Row],[Problema]],TbNombres[Tecnología]&amp;TbNombres[Problema],TbNombres[Nombre])</f>
        <v>Brusselator1d</v>
      </c>
      <c r="F890" s="1">
        <v>4</v>
      </c>
      <c r="G890" s="1">
        <v>3</v>
      </c>
      <c r="H890" s="1">
        <v>16</v>
      </c>
      <c r="I890" s="1">
        <v>7500</v>
      </c>
      <c r="J890" s="1">
        <v>15000</v>
      </c>
      <c r="K890" s="1">
        <v>29.480599999999999</v>
      </c>
    </row>
    <row r="891" spans="2:11" x14ac:dyDescent="0.2">
      <c r="B891" s="26" t="str">
        <f>_xlfn.XLOOKUP(Total[[#This Row],[Metodo]],TbSolver[Metodo],TbSolver[Solver])</f>
        <v>Adams Bashford Moulton</v>
      </c>
      <c r="C891" s="26" t="str">
        <f>_xlfn.XLOOKUP(Total[[#This Row],[Hebras]],TbTecnologia[Hebras],TbTecnologia[Tecnología])</f>
        <v>OMP</v>
      </c>
      <c r="D891" s="15" t="str" cm="1">
        <f t="array" ref="D891">_xlfn.XLOOKUP(Total[[#This Row],[Tecnología]]&amp;Total[[#This Row],[Metodo]],TbTipos[Tecnología]&amp;TbTipos[Metodo],TbTipos[Tipo])</f>
        <v>OMP Operaciones</v>
      </c>
      <c r="E891" s="15" t="str" cm="1">
        <f t="array" ref="E891">_xlfn.XLOOKUP(Total[[#This Row],[Tecnología]]&amp;Total[[#This Row],[Problema]],TbNombres[Tecnología]&amp;TbNombres[Problema],TbNombres[Nombre])</f>
        <v>Simple Advdiff</v>
      </c>
      <c r="F891" s="1">
        <v>5</v>
      </c>
      <c r="G891" s="1">
        <v>1</v>
      </c>
      <c r="H891" s="1">
        <v>1</v>
      </c>
      <c r="I891" s="1">
        <v>7500</v>
      </c>
      <c r="J891" s="1">
        <v>7500</v>
      </c>
      <c r="K891" s="1">
        <v>53.327599999999997</v>
      </c>
    </row>
    <row r="892" spans="2:11" x14ac:dyDescent="0.2">
      <c r="B892" s="26" t="str">
        <f>_xlfn.XLOOKUP(Total[[#This Row],[Metodo]],TbSolver[Metodo],TbSolver[Solver])</f>
        <v>Adams Bashford Moulton</v>
      </c>
      <c r="C892" s="26" t="str">
        <f>_xlfn.XLOOKUP(Total[[#This Row],[Hebras]],TbTecnologia[Hebras],TbTecnologia[Tecnología])</f>
        <v>OMP</v>
      </c>
      <c r="D892" s="15" t="str" cm="1">
        <f t="array" ref="D892">_xlfn.XLOOKUP(Total[[#This Row],[Tecnología]]&amp;Total[[#This Row],[Metodo]],TbTipos[Tecnología]&amp;TbTipos[Metodo],TbTipos[Tipo])</f>
        <v>OMP Operaciones</v>
      </c>
      <c r="E892" s="15" t="str" cm="1">
        <f t="array" ref="E892">_xlfn.XLOOKUP(Total[[#This Row],[Tecnología]]&amp;Total[[#This Row],[Problema]],TbNombres[Tecnología]&amp;TbNombres[Problema],TbNombres[Nombre])</f>
        <v>Simple Advdiff</v>
      </c>
      <c r="F892" s="1">
        <v>5</v>
      </c>
      <c r="G892" s="1">
        <v>1</v>
      </c>
      <c r="H892" s="1">
        <v>4</v>
      </c>
      <c r="I892" s="1">
        <v>7500</v>
      </c>
      <c r="J892" s="1">
        <v>7500</v>
      </c>
      <c r="K892" s="1">
        <v>63.918300000000002</v>
      </c>
    </row>
    <row r="893" spans="2:11" x14ac:dyDescent="0.2">
      <c r="B893" s="26" t="str">
        <f>_xlfn.XLOOKUP(Total[[#This Row],[Metodo]],TbSolver[Metodo],TbSolver[Solver])</f>
        <v>Adams Bashford Moulton</v>
      </c>
      <c r="C893" s="26" t="str">
        <f>_xlfn.XLOOKUP(Total[[#This Row],[Hebras]],TbTecnologia[Hebras],TbTecnologia[Tecnología])</f>
        <v>OMP</v>
      </c>
      <c r="D893" s="15" t="str" cm="1">
        <f t="array" ref="D893">_xlfn.XLOOKUP(Total[[#This Row],[Tecnología]]&amp;Total[[#This Row],[Metodo]],TbTipos[Tecnología]&amp;TbTipos[Metodo],TbTipos[Tipo])</f>
        <v>OMP Operaciones</v>
      </c>
      <c r="E893" s="15" t="str" cm="1">
        <f t="array" ref="E893">_xlfn.XLOOKUP(Total[[#This Row],[Tecnología]]&amp;Total[[#This Row],[Problema]],TbNombres[Tecnología]&amp;TbNombres[Problema],TbNombres[Nombre])</f>
        <v>Simple Advdiff</v>
      </c>
      <c r="F893" s="1">
        <v>5</v>
      </c>
      <c r="G893" s="1">
        <v>1</v>
      </c>
      <c r="H893" s="1">
        <v>16</v>
      </c>
      <c r="I893" s="1">
        <v>7500</v>
      </c>
      <c r="J893" s="1">
        <v>7500</v>
      </c>
      <c r="K893" s="1">
        <v>101.057</v>
      </c>
    </row>
    <row r="894" spans="2:11" x14ac:dyDescent="0.2">
      <c r="B894" s="26" t="str">
        <f>_xlfn.XLOOKUP(Total[[#This Row],[Metodo]],TbSolver[Metodo],TbSolver[Solver])</f>
        <v>Adams Bashford Moulton</v>
      </c>
      <c r="C894" s="26" t="str">
        <f>_xlfn.XLOOKUP(Total[[#This Row],[Hebras]],TbTecnologia[Hebras],TbTecnologia[Tecnología])</f>
        <v>OMP</v>
      </c>
      <c r="D894" s="15" t="str" cm="1">
        <f t="array" ref="D894">_xlfn.XLOOKUP(Total[[#This Row],[Tecnología]]&amp;Total[[#This Row],[Metodo]],TbTipos[Tecnología]&amp;TbTipos[Metodo],TbTipos[Tipo])</f>
        <v>OMP Operaciones</v>
      </c>
      <c r="E894" s="15" t="str" cm="1">
        <f t="array" ref="E894">_xlfn.XLOOKUP(Total[[#This Row],[Tecnología]]&amp;Total[[#This Row],[Problema]],TbNombres[Tecnología]&amp;TbNombres[Problema],TbNombres[Nombre])</f>
        <v>Advdiff1d</v>
      </c>
      <c r="F894" s="1">
        <v>5</v>
      </c>
      <c r="G894" s="1">
        <v>2</v>
      </c>
      <c r="H894" s="1">
        <v>1</v>
      </c>
      <c r="I894" s="1">
        <v>7500</v>
      </c>
      <c r="J894" s="1">
        <v>7500</v>
      </c>
      <c r="K894" s="1">
        <v>516.40499999999997</v>
      </c>
    </row>
    <row r="895" spans="2:11" x14ac:dyDescent="0.2">
      <c r="B895" s="26" t="str">
        <f>_xlfn.XLOOKUP(Total[[#This Row],[Metodo]],TbSolver[Metodo],TbSolver[Solver])</f>
        <v>Adams Bashford Moulton</v>
      </c>
      <c r="C895" s="26" t="str">
        <f>_xlfn.XLOOKUP(Total[[#This Row],[Hebras]],TbTecnologia[Hebras],TbTecnologia[Tecnología])</f>
        <v>OMP</v>
      </c>
      <c r="D895" s="15" t="str" cm="1">
        <f t="array" ref="D895">_xlfn.XLOOKUP(Total[[#This Row],[Tecnología]]&amp;Total[[#This Row],[Metodo]],TbTipos[Tecnología]&amp;TbTipos[Metodo],TbTipos[Tipo])</f>
        <v>OMP Operaciones</v>
      </c>
      <c r="E895" s="15" t="str" cm="1">
        <f t="array" ref="E895">_xlfn.XLOOKUP(Total[[#This Row],[Tecnología]]&amp;Total[[#This Row],[Problema]],TbNombres[Tecnología]&amp;TbNombres[Problema],TbNombres[Nombre])</f>
        <v>Advdiff1d</v>
      </c>
      <c r="F895" s="1">
        <v>5</v>
      </c>
      <c r="G895" s="1">
        <v>2</v>
      </c>
      <c r="H895" s="1">
        <v>4</v>
      </c>
      <c r="I895" s="1">
        <v>7500</v>
      </c>
      <c r="J895" s="1">
        <v>7500</v>
      </c>
      <c r="K895" s="1">
        <v>200.34299999999999</v>
      </c>
    </row>
    <row r="896" spans="2:11" x14ac:dyDescent="0.2">
      <c r="B896" s="26" t="str">
        <f>_xlfn.XLOOKUP(Total[[#This Row],[Metodo]],TbSolver[Metodo],TbSolver[Solver])</f>
        <v>Adams Bashford Moulton</v>
      </c>
      <c r="C896" s="26" t="str">
        <f>_xlfn.XLOOKUP(Total[[#This Row],[Hebras]],TbTecnologia[Hebras],TbTecnologia[Tecnología])</f>
        <v>OMP</v>
      </c>
      <c r="D896" s="15" t="str" cm="1">
        <f t="array" ref="D896">_xlfn.XLOOKUP(Total[[#This Row],[Tecnología]]&amp;Total[[#This Row],[Metodo]],TbTipos[Tecnología]&amp;TbTipos[Metodo],TbTipos[Tipo])</f>
        <v>OMP Operaciones</v>
      </c>
      <c r="E896" s="15" t="str" cm="1">
        <f t="array" ref="E896">_xlfn.XLOOKUP(Total[[#This Row],[Tecnología]]&amp;Total[[#This Row],[Problema]],TbNombres[Tecnología]&amp;TbNombres[Problema],TbNombres[Nombre])</f>
        <v>Advdiff1d</v>
      </c>
      <c r="F896" s="1">
        <v>5</v>
      </c>
      <c r="G896" s="1">
        <v>2</v>
      </c>
      <c r="H896" s="1">
        <v>16</v>
      </c>
      <c r="I896" s="1">
        <v>7500</v>
      </c>
      <c r="J896" s="1">
        <v>7500</v>
      </c>
      <c r="K896" s="1">
        <v>155.02000000000001</v>
      </c>
    </row>
    <row r="897" spans="2:11" x14ac:dyDescent="0.2">
      <c r="B897" s="26" t="str">
        <f>_xlfn.XLOOKUP(Total[[#This Row],[Metodo]],TbSolver[Metodo],TbSolver[Solver])</f>
        <v>Adams Bashford Moulton</v>
      </c>
      <c r="C897" s="26" t="str">
        <f>_xlfn.XLOOKUP(Total[[#This Row],[Hebras]],TbTecnologia[Hebras],TbTecnologia[Tecnología])</f>
        <v>OMP</v>
      </c>
      <c r="D897" s="15" t="str" cm="1">
        <f t="array" ref="D897">_xlfn.XLOOKUP(Total[[#This Row],[Tecnología]]&amp;Total[[#This Row],[Metodo]],TbTipos[Tecnología]&amp;TbTipos[Metodo],TbTipos[Tipo])</f>
        <v>OMP Operaciones</v>
      </c>
      <c r="E897" s="15" t="str" cm="1">
        <f t="array" ref="E897">_xlfn.XLOOKUP(Total[[#This Row],[Tecnología]]&amp;Total[[#This Row],[Problema]],TbNombres[Tecnología]&amp;TbNombres[Problema],TbNombres[Nombre])</f>
        <v>Brusselator1d</v>
      </c>
      <c r="F897" s="1">
        <v>5</v>
      </c>
      <c r="G897" s="1">
        <v>3</v>
      </c>
      <c r="H897" s="1">
        <v>1</v>
      </c>
      <c r="I897" s="1">
        <v>7500</v>
      </c>
      <c r="J897" s="1">
        <v>15000</v>
      </c>
      <c r="K897" s="1">
        <v>160.45400000000001</v>
      </c>
    </row>
    <row r="898" spans="2:11" x14ac:dyDescent="0.2">
      <c r="B898" s="26" t="str">
        <f>_xlfn.XLOOKUP(Total[[#This Row],[Metodo]],TbSolver[Metodo],TbSolver[Solver])</f>
        <v>Adams Bashford Moulton</v>
      </c>
      <c r="C898" s="26" t="str">
        <f>_xlfn.XLOOKUP(Total[[#This Row],[Hebras]],TbTecnologia[Hebras],TbTecnologia[Tecnología])</f>
        <v>OMP</v>
      </c>
      <c r="D898" s="15" t="str" cm="1">
        <f t="array" ref="D898">_xlfn.XLOOKUP(Total[[#This Row],[Tecnología]]&amp;Total[[#This Row],[Metodo]],TbTipos[Tecnología]&amp;TbTipos[Metodo],TbTipos[Tipo])</f>
        <v>OMP Operaciones</v>
      </c>
      <c r="E898" s="15" t="str" cm="1">
        <f t="array" ref="E898">_xlfn.XLOOKUP(Total[[#This Row],[Tecnología]]&amp;Total[[#This Row],[Problema]],TbNombres[Tecnología]&amp;TbNombres[Problema],TbNombres[Nombre])</f>
        <v>Brusselator1d</v>
      </c>
      <c r="F898" s="1">
        <v>5</v>
      </c>
      <c r="G898" s="1">
        <v>3</v>
      </c>
      <c r="H898" s="1">
        <v>4</v>
      </c>
      <c r="I898" s="1">
        <v>7500</v>
      </c>
      <c r="J898" s="1">
        <v>15000</v>
      </c>
      <c r="K898" s="1">
        <v>86.768199999999993</v>
      </c>
    </row>
    <row r="899" spans="2:11" x14ac:dyDescent="0.2">
      <c r="B899" s="26" t="str">
        <f>_xlfn.XLOOKUP(Total[[#This Row],[Metodo]],TbSolver[Metodo],TbSolver[Solver])</f>
        <v>Adams Bashford Moulton</v>
      </c>
      <c r="C899" s="26" t="str">
        <f>_xlfn.XLOOKUP(Total[[#This Row],[Hebras]],TbTecnologia[Hebras],TbTecnologia[Tecnología])</f>
        <v>OMP</v>
      </c>
      <c r="D899" s="15" t="str" cm="1">
        <f t="array" ref="D899">_xlfn.XLOOKUP(Total[[#This Row],[Tecnología]]&amp;Total[[#This Row],[Metodo]],TbTipos[Tecnología]&amp;TbTipos[Metodo],TbTipos[Tipo])</f>
        <v>OMP Operaciones</v>
      </c>
      <c r="E899" s="15" t="str" cm="1">
        <f t="array" ref="E899">_xlfn.XLOOKUP(Total[[#This Row],[Tecnología]]&amp;Total[[#This Row],[Problema]],TbNombres[Tecnología]&amp;TbNombres[Problema],TbNombres[Nombre])</f>
        <v>Brusselator1d</v>
      </c>
      <c r="F899" s="1">
        <v>5</v>
      </c>
      <c r="G899" s="1">
        <v>3</v>
      </c>
      <c r="H899" s="1">
        <v>16</v>
      </c>
      <c r="I899" s="1">
        <v>7500</v>
      </c>
      <c r="J899" s="1">
        <v>15000</v>
      </c>
      <c r="K899" s="1">
        <v>105.91800000000001</v>
      </c>
    </row>
    <row r="900" spans="2:11" x14ac:dyDescent="0.2">
      <c r="B900" s="26" t="str">
        <f>_xlfn.XLOOKUP(Total[[#This Row],[Metodo]],TbSolver[Metodo],TbSolver[Solver])</f>
        <v>Adams Bashford Moulton</v>
      </c>
      <c r="C900" s="26" t="str">
        <f>_xlfn.XLOOKUP(Total[[#This Row],[Hebras]],TbTecnologia[Hebras],TbTecnologia[Tecnología])</f>
        <v>OMP</v>
      </c>
      <c r="D900" s="15" t="str" cm="1">
        <f t="array" ref="D900">_xlfn.XLOOKUP(Total[[#This Row],[Tecnología]]&amp;Total[[#This Row],[Metodo]],TbTipos[Tecnología]&amp;TbTipos[Metodo],TbTipos[Tipo])</f>
        <v>OMP Elementos</v>
      </c>
      <c r="E900" s="15" t="str" cm="1">
        <f t="array" ref="E900">_xlfn.XLOOKUP(Total[[#This Row],[Tecnología]]&amp;Total[[#This Row],[Problema]],TbNombres[Tecnología]&amp;TbNombres[Problema],TbNombres[Nombre])</f>
        <v>Simple Advdiff</v>
      </c>
      <c r="F900" s="1">
        <v>6</v>
      </c>
      <c r="G900" s="1">
        <v>1</v>
      </c>
      <c r="H900" s="1">
        <v>1</v>
      </c>
      <c r="I900" s="1">
        <v>7500</v>
      </c>
      <c r="J900" s="1">
        <v>7500</v>
      </c>
      <c r="K900" s="1">
        <v>178.857</v>
      </c>
    </row>
    <row r="901" spans="2:11" x14ac:dyDescent="0.2">
      <c r="B901" s="26" t="str">
        <f>_xlfn.XLOOKUP(Total[[#This Row],[Metodo]],TbSolver[Metodo],TbSolver[Solver])</f>
        <v>Adams Bashford Moulton</v>
      </c>
      <c r="C901" s="26" t="str">
        <f>_xlfn.XLOOKUP(Total[[#This Row],[Hebras]],TbTecnologia[Hebras],TbTecnologia[Tecnología])</f>
        <v>OMP</v>
      </c>
      <c r="D901" s="15" t="str" cm="1">
        <f t="array" ref="D901">_xlfn.XLOOKUP(Total[[#This Row],[Tecnología]]&amp;Total[[#This Row],[Metodo]],TbTipos[Tecnología]&amp;TbTipos[Metodo],TbTipos[Tipo])</f>
        <v>OMP Elementos</v>
      </c>
      <c r="E901" s="15" t="str" cm="1">
        <f t="array" ref="E901">_xlfn.XLOOKUP(Total[[#This Row],[Tecnología]]&amp;Total[[#This Row],[Problema]],TbNombres[Tecnología]&amp;TbNombres[Problema],TbNombres[Nombre])</f>
        <v>Simple Advdiff</v>
      </c>
      <c r="F901" s="1">
        <v>6</v>
      </c>
      <c r="G901" s="1">
        <v>1</v>
      </c>
      <c r="H901" s="1">
        <v>4</v>
      </c>
      <c r="I901" s="1">
        <v>7500</v>
      </c>
      <c r="J901" s="1">
        <v>7500</v>
      </c>
      <c r="K901" s="1">
        <v>54.6081</v>
      </c>
    </row>
    <row r="902" spans="2:11" x14ac:dyDescent="0.2">
      <c r="B902" s="26" t="str">
        <f>_xlfn.XLOOKUP(Total[[#This Row],[Metodo]],TbSolver[Metodo],TbSolver[Solver])</f>
        <v>Adams Bashford Moulton</v>
      </c>
      <c r="C902" s="26" t="str">
        <f>_xlfn.XLOOKUP(Total[[#This Row],[Hebras]],TbTecnologia[Hebras],TbTecnologia[Tecnología])</f>
        <v>OMP</v>
      </c>
      <c r="D902" s="15" t="str" cm="1">
        <f t="array" ref="D902">_xlfn.XLOOKUP(Total[[#This Row],[Tecnología]]&amp;Total[[#This Row],[Metodo]],TbTipos[Tecnología]&amp;TbTipos[Metodo],TbTipos[Tipo])</f>
        <v>OMP Elementos</v>
      </c>
      <c r="E902" s="15" t="str" cm="1">
        <f t="array" ref="E902">_xlfn.XLOOKUP(Total[[#This Row],[Tecnología]]&amp;Total[[#This Row],[Problema]],TbNombres[Tecnología]&amp;TbNombres[Problema],TbNombres[Nombre])</f>
        <v>Simple Advdiff</v>
      </c>
      <c r="F902" s="1">
        <v>6</v>
      </c>
      <c r="G902" s="1">
        <v>1</v>
      </c>
      <c r="H902" s="1">
        <v>16</v>
      </c>
      <c r="I902" s="1">
        <v>7500</v>
      </c>
      <c r="J902" s="1">
        <v>7500</v>
      </c>
      <c r="K902" s="1">
        <v>42.184800000000003</v>
      </c>
    </row>
    <row r="903" spans="2:11" x14ac:dyDescent="0.2">
      <c r="B903" s="26" t="str">
        <f>_xlfn.XLOOKUP(Total[[#This Row],[Metodo]],TbSolver[Metodo],TbSolver[Solver])</f>
        <v>Adams Bashford Moulton</v>
      </c>
      <c r="C903" s="26" t="str">
        <f>_xlfn.XLOOKUP(Total[[#This Row],[Hebras]],TbTecnologia[Hebras],TbTecnologia[Tecnología])</f>
        <v>OMP</v>
      </c>
      <c r="D903" s="15" t="str" cm="1">
        <f t="array" ref="D903">_xlfn.XLOOKUP(Total[[#This Row],[Tecnología]]&amp;Total[[#This Row],[Metodo]],TbTipos[Tecnología]&amp;TbTipos[Metodo],TbTipos[Tipo])</f>
        <v>OMP Elementos</v>
      </c>
      <c r="E903" s="15" t="str" cm="1">
        <f t="array" ref="E903">_xlfn.XLOOKUP(Total[[#This Row],[Tecnología]]&amp;Total[[#This Row],[Problema]],TbNombres[Tecnología]&amp;TbNombres[Problema],TbNombres[Nombre])</f>
        <v>Advdiff1d</v>
      </c>
      <c r="F903" s="1">
        <v>6</v>
      </c>
      <c r="G903" s="1">
        <v>2</v>
      </c>
      <c r="H903" s="1">
        <v>1</v>
      </c>
      <c r="I903" s="1">
        <v>7500</v>
      </c>
      <c r="J903" s="1">
        <v>7500</v>
      </c>
      <c r="K903" s="1">
        <v>680.06500000000005</v>
      </c>
    </row>
    <row r="904" spans="2:11" x14ac:dyDescent="0.2">
      <c r="B904" s="26" t="str">
        <f>_xlfn.XLOOKUP(Total[[#This Row],[Metodo]],TbSolver[Metodo],TbSolver[Solver])</f>
        <v>Adams Bashford Moulton</v>
      </c>
      <c r="C904" s="26" t="str">
        <f>_xlfn.XLOOKUP(Total[[#This Row],[Hebras]],TbTecnologia[Hebras],TbTecnologia[Tecnología])</f>
        <v>OMP</v>
      </c>
      <c r="D904" s="15" t="str" cm="1">
        <f t="array" ref="D904">_xlfn.XLOOKUP(Total[[#This Row],[Tecnología]]&amp;Total[[#This Row],[Metodo]],TbTipos[Tecnología]&amp;TbTipos[Metodo],TbTipos[Tipo])</f>
        <v>OMP Elementos</v>
      </c>
      <c r="E904" s="15" t="str" cm="1">
        <f t="array" ref="E904">_xlfn.XLOOKUP(Total[[#This Row],[Tecnología]]&amp;Total[[#This Row],[Problema]],TbNombres[Tecnología]&amp;TbNombres[Problema],TbNombres[Nombre])</f>
        <v>Advdiff1d</v>
      </c>
      <c r="F904" s="1">
        <v>6</v>
      </c>
      <c r="G904" s="1">
        <v>2</v>
      </c>
      <c r="H904" s="1">
        <v>4</v>
      </c>
      <c r="I904" s="1">
        <v>7500</v>
      </c>
      <c r="J904" s="1">
        <v>7500</v>
      </c>
      <c r="K904" s="1">
        <v>195.511</v>
      </c>
    </row>
    <row r="905" spans="2:11" x14ac:dyDescent="0.2">
      <c r="B905" s="26" t="str">
        <f>_xlfn.XLOOKUP(Total[[#This Row],[Metodo]],TbSolver[Metodo],TbSolver[Solver])</f>
        <v>Adams Bashford Moulton</v>
      </c>
      <c r="C905" s="26" t="str">
        <f>_xlfn.XLOOKUP(Total[[#This Row],[Hebras]],TbTecnologia[Hebras],TbTecnologia[Tecnología])</f>
        <v>OMP</v>
      </c>
      <c r="D905" s="15" t="str" cm="1">
        <f t="array" ref="D905">_xlfn.XLOOKUP(Total[[#This Row],[Tecnología]]&amp;Total[[#This Row],[Metodo]],TbTipos[Tecnología]&amp;TbTipos[Metodo],TbTipos[Tipo])</f>
        <v>OMP Elementos</v>
      </c>
      <c r="E905" s="15" t="str" cm="1">
        <f t="array" ref="E905">_xlfn.XLOOKUP(Total[[#This Row],[Tecnología]]&amp;Total[[#This Row],[Problema]],TbNombres[Tecnología]&amp;TbNombres[Problema],TbNombres[Nombre])</f>
        <v>Advdiff1d</v>
      </c>
      <c r="F905" s="1">
        <v>6</v>
      </c>
      <c r="G905" s="1">
        <v>2</v>
      </c>
      <c r="H905" s="1">
        <v>16</v>
      </c>
      <c r="I905" s="1">
        <v>7500</v>
      </c>
      <c r="J905" s="1">
        <v>7500</v>
      </c>
      <c r="K905" s="1">
        <v>70.910399999999996</v>
      </c>
    </row>
    <row r="906" spans="2:11" x14ac:dyDescent="0.2">
      <c r="B906" s="26" t="str">
        <f>_xlfn.XLOOKUP(Total[[#This Row],[Metodo]],TbSolver[Metodo],TbSolver[Solver])</f>
        <v>Adams Bashford Moulton</v>
      </c>
      <c r="C906" s="26" t="str">
        <f>_xlfn.XLOOKUP(Total[[#This Row],[Hebras]],TbTecnologia[Hebras],TbTecnologia[Tecnología])</f>
        <v>OMP</v>
      </c>
      <c r="D906" s="15" t="str" cm="1">
        <f t="array" ref="D906">_xlfn.XLOOKUP(Total[[#This Row],[Tecnología]]&amp;Total[[#This Row],[Metodo]],TbTipos[Tecnología]&amp;TbTipos[Metodo],TbTipos[Tipo])</f>
        <v>OMP Elementos</v>
      </c>
      <c r="E906" s="15" t="str" cm="1">
        <f t="array" ref="E906">_xlfn.XLOOKUP(Total[[#This Row],[Tecnología]]&amp;Total[[#This Row],[Problema]],TbNombres[Tecnología]&amp;TbNombres[Problema],TbNombres[Nombre])</f>
        <v>Brusselator1d</v>
      </c>
      <c r="F906" s="1">
        <v>6</v>
      </c>
      <c r="G906" s="1">
        <v>3</v>
      </c>
      <c r="H906" s="1">
        <v>1</v>
      </c>
      <c r="I906" s="1">
        <v>7500</v>
      </c>
      <c r="J906" s="1">
        <v>15000</v>
      </c>
      <c r="K906" s="1">
        <v>380.88799999999998</v>
      </c>
    </row>
    <row r="907" spans="2:11" x14ac:dyDescent="0.2">
      <c r="B907" s="26" t="str">
        <f>_xlfn.XLOOKUP(Total[[#This Row],[Metodo]],TbSolver[Metodo],TbSolver[Solver])</f>
        <v>Adams Bashford Moulton</v>
      </c>
      <c r="C907" s="26" t="str">
        <f>_xlfn.XLOOKUP(Total[[#This Row],[Hebras]],TbTecnologia[Hebras],TbTecnologia[Tecnología])</f>
        <v>OMP</v>
      </c>
      <c r="D907" s="15" t="str" cm="1">
        <f t="array" ref="D907">_xlfn.XLOOKUP(Total[[#This Row],[Tecnología]]&amp;Total[[#This Row],[Metodo]],TbTipos[Tecnología]&amp;TbTipos[Metodo],TbTipos[Tipo])</f>
        <v>OMP Elementos</v>
      </c>
      <c r="E907" s="15" t="str" cm="1">
        <f t="array" ref="E907">_xlfn.XLOOKUP(Total[[#This Row],[Tecnología]]&amp;Total[[#This Row],[Problema]],TbNombres[Tecnología]&amp;TbNombres[Problema],TbNombres[Nombre])</f>
        <v>Brusselator1d</v>
      </c>
      <c r="F907" s="1">
        <v>6</v>
      </c>
      <c r="G907" s="1">
        <v>3</v>
      </c>
      <c r="H907" s="1">
        <v>4</v>
      </c>
      <c r="I907" s="1">
        <v>7500</v>
      </c>
      <c r="J907" s="1">
        <v>15000</v>
      </c>
      <c r="K907" s="1">
        <v>107.26300000000001</v>
      </c>
    </row>
    <row r="908" spans="2:11" x14ac:dyDescent="0.2">
      <c r="B908" s="26" t="str">
        <f>_xlfn.XLOOKUP(Total[[#This Row],[Metodo]],TbSolver[Metodo],TbSolver[Solver])</f>
        <v>Adams Bashford Moulton</v>
      </c>
      <c r="C908" s="26" t="str">
        <f>_xlfn.XLOOKUP(Total[[#This Row],[Hebras]],TbTecnologia[Hebras],TbTecnologia[Tecnología])</f>
        <v>OMP</v>
      </c>
      <c r="D908" s="15" t="str" cm="1">
        <f t="array" ref="D908">_xlfn.XLOOKUP(Total[[#This Row],[Tecnología]]&amp;Total[[#This Row],[Metodo]],TbTipos[Tecnología]&amp;TbTipos[Metodo],TbTipos[Tipo])</f>
        <v>OMP Elementos</v>
      </c>
      <c r="E908" s="15" t="str" cm="1">
        <f t="array" ref="E908">_xlfn.XLOOKUP(Total[[#This Row],[Tecnología]]&amp;Total[[#This Row],[Problema]],TbNombres[Tecnología]&amp;TbNombres[Problema],TbNombres[Nombre])</f>
        <v>Brusselator1d</v>
      </c>
      <c r="F908" s="1">
        <v>6</v>
      </c>
      <c r="G908" s="1">
        <v>3</v>
      </c>
      <c r="H908" s="1">
        <v>16</v>
      </c>
      <c r="I908" s="1">
        <v>7500</v>
      </c>
      <c r="J908" s="1">
        <v>15000</v>
      </c>
      <c r="K908" s="1">
        <v>53.369</v>
      </c>
    </row>
    <row r="909" spans="2:11" x14ac:dyDescent="0.2">
      <c r="B909" s="26" t="str">
        <f>_xlfn.XLOOKUP(Total[[#This Row],[Metodo]],TbSolver[Metodo],TbSolver[Solver])</f>
        <v>Runge Kutta</v>
      </c>
      <c r="C909" s="26" t="str">
        <f>_xlfn.XLOOKUP(Total[[#This Row],[Hebras]],TbTecnologia[Hebras],TbTecnologia[Tecnología])</f>
        <v>OMP</v>
      </c>
      <c r="D909" s="15" t="str" cm="1">
        <f t="array" ref="D909">_xlfn.XLOOKUP(Total[[#This Row],[Tecnología]]&amp;Total[[#This Row],[Metodo]],TbTipos[Tecnología]&amp;TbTipos[Metodo],TbTipos[Tipo])</f>
        <v>OMP Operaciones</v>
      </c>
      <c r="E909" s="15" t="str" cm="1">
        <f t="array" ref="E909">_xlfn.XLOOKUP(Total[[#This Row],[Tecnología]]&amp;Total[[#This Row],[Problema]],TbNombres[Tecnología]&amp;TbNombres[Problema],TbNombres[Nombre])</f>
        <v>Simple Advdiff</v>
      </c>
      <c r="F909" s="1">
        <v>1</v>
      </c>
      <c r="G909" s="1">
        <v>1</v>
      </c>
      <c r="H909" s="1">
        <v>1</v>
      </c>
      <c r="I909" s="1">
        <v>10000</v>
      </c>
      <c r="J909" s="1">
        <v>10000</v>
      </c>
      <c r="K909" s="1">
        <v>53.5259</v>
      </c>
    </row>
    <row r="910" spans="2:11" x14ac:dyDescent="0.2">
      <c r="B910" s="26" t="str">
        <f>_xlfn.XLOOKUP(Total[[#This Row],[Metodo]],TbSolver[Metodo],TbSolver[Solver])</f>
        <v>Runge Kutta</v>
      </c>
      <c r="C910" s="26" t="str">
        <f>_xlfn.XLOOKUP(Total[[#This Row],[Hebras]],TbTecnologia[Hebras],TbTecnologia[Tecnología])</f>
        <v>OMP</v>
      </c>
      <c r="D910" s="15" t="str" cm="1">
        <f t="array" ref="D910">_xlfn.XLOOKUP(Total[[#This Row],[Tecnología]]&amp;Total[[#This Row],[Metodo]],TbTipos[Tecnología]&amp;TbTipos[Metodo],TbTipos[Tipo])</f>
        <v>OMP Operaciones</v>
      </c>
      <c r="E910" s="15" t="str" cm="1">
        <f t="array" ref="E910">_xlfn.XLOOKUP(Total[[#This Row],[Tecnología]]&amp;Total[[#This Row],[Problema]],TbNombres[Tecnología]&amp;TbNombres[Problema],TbNombres[Nombre])</f>
        <v>Simple Advdiff</v>
      </c>
      <c r="F910" s="1">
        <v>1</v>
      </c>
      <c r="G910" s="1">
        <v>1</v>
      </c>
      <c r="H910" s="1">
        <v>4</v>
      </c>
      <c r="I910" s="1">
        <v>10000</v>
      </c>
      <c r="J910" s="1">
        <v>10000</v>
      </c>
      <c r="K910" s="1">
        <v>38.475299999999997</v>
      </c>
    </row>
    <row r="911" spans="2:11" x14ac:dyDescent="0.2">
      <c r="B911" s="26" t="str">
        <f>_xlfn.XLOOKUP(Total[[#This Row],[Metodo]],TbSolver[Metodo],TbSolver[Solver])</f>
        <v>Runge Kutta</v>
      </c>
      <c r="C911" s="26" t="str">
        <f>_xlfn.XLOOKUP(Total[[#This Row],[Hebras]],TbTecnologia[Hebras],TbTecnologia[Tecnología])</f>
        <v>OMP</v>
      </c>
      <c r="D911" s="15" t="str" cm="1">
        <f t="array" ref="D911">_xlfn.XLOOKUP(Total[[#This Row],[Tecnología]]&amp;Total[[#This Row],[Metodo]],TbTipos[Tecnología]&amp;TbTipos[Metodo],TbTipos[Tipo])</f>
        <v>OMP Operaciones</v>
      </c>
      <c r="E911" s="15" t="str" cm="1">
        <f t="array" ref="E911">_xlfn.XLOOKUP(Total[[#This Row],[Tecnología]]&amp;Total[[#This Row],[Problema]],TbNombres[Tecnología]&amp;TbNombres[Problema],TbNombres[Nombre])</f>
        <v>Simple Advdiff</v>
      </c>
      <c r="F911" s="1">
        <v>1</v>
      </c>
      <c r="G911" s="1">
        <v>1</v>
      </c>
      <c r="H911" s="1">
        <v>16</v>
      </c>
      <c r="I911" s="1">
        <v>10000</v>
      </c>
      <c r="J911" s="1">
        <v>10000</v>
      </c>
      <c r="K911" s="1">
        <v>63.599400000000003</v>
      </c>
    </row>
    <row r="912" spans="2:11" x14ac:dyDescent="0.2">
      <c r="B912" s="26" t="str">
        <f>_xlfn.XLOOKUP(Total[[#This Row],[Metodo]],TbSolver[Metodo],TbSolver[Solver])</f>
        <v>Runge Kutta</v>
      </c>
      <c r="C912" s="26" t="str">
        <f>_xlfn.XLOOKUP(Total[[#This Row],[Hebras]],TbTecnologia[Hebras],TbTecnologia[Tecnología])</f>
        <v>OMP</v>
      </c>
      <c r="D912" s="15" t="str" cm="1">
        <f t="array" ref="D912">_xlfn.XLOOKUP(Total[[#This Row],[Tecnología]]&amp;Total[[#This Row],[Metodo]],TbTipos[Tecnología]&amp;TbTipos[Metodo],TbTipos[Tipo])</f>
        <v>OMP Operaciones</v>
      </c>
      <c r="E912" s="15" t="str" cm="1">
        <f t="array" ref="E912">_xlfn.XLOOKUP(Total[[#This Row],[Tecnología]]&amp;Total[[#This Row],[Problema]],TbNombres[Tecnología]&amp;TbNombres[Problema],TbNombres[Nombre])</f>
        <v>Advdiff1d</v>
      </c>
      <c r="F912" s="1">
        <v>1</v>
      </c>
      <c r="G912" s="1">
        <v>2</v>
      </c>
      <c r="H912" s="1">
        <v>1</v>
      </c>
      <c r="I912" s="1">
        <v>10000</v>
      </c>
      <c r="J912" s="1">
        <v>10000</v>
      </c>
      <c r="K912" s="1">
        <v>875.72500000000002</v>
      </c>
    </row>
    <row r="913" spans="2:11" x14ac:dyDescent="0.2">
      <c r="B913" s="26" t="str">
        <f>_xlfn.XLOOKUP(Total[[#This Row],[Metodo]],TbSolver[Metodo],TbSolver[Solver])</f>
        <v>Runge Kutta</v>
      </c>
      <c r="C913" s="26" t="str">
        <f>_xlfn.XLOOKUP(Total[[#This Row],[Hebras]],TbTecnologia[Hebras],TbTecnologia[Tecnología])</f>
        <v>OMP</v>
      </c>
      <c r="D913" s="15" t="str" cm="1">
        <f t="array" ref="D913">_xlfn.XLOOKUP(Total[[#This Row],[Tecnología]]&amp;Total[[#This Row],[Metodo]],TbTipos[Tecnología]&amp;TbTipos[Metodo],TbTipos[Tipo])</f>
        <v>OMP Operaciones</v>
      </c>
      <c r="E913" s="15" t="str" cm="1">
        <f t="array" ref="E913">_xlfn.XLOOKUP(Total[[#This Row],[Tecnología]]&amp;Total[[#This Row],[Problema]],TbNombres[Tecnología]&amp;TbNombres[Problema],TbNombres[Nombre])</f>
        <v>Advdiff1d</v>
      </c>
      <c r="F913" s="1">
        <v>1</v>
      </c>
      <c r="G913" s="1">
        <v>2</v>
      </c>
      <c r="H913" s="1">
        <v>4</v>
      </c>
      <c r="I913" s="1">
        <v>10000</v>
      </c>
      <c r="J913" s="1">
        <v>10000</v>
      </c>
      <c r="K913" s="1">
        <v>287.221</v>
      </c>
    </row>
    <row r="914" spans="2:11" x14ac:dyDescent="0.2">
      <c r="B914" s="26" t="str">
        <f>_xlfn.XLOOKUP(Total[[#This Row],[Metodo]],TbSolver[Metodo],TbSolver[Solver])</f>
        <v>Runge Kutta</v>
      </c>
      <c r="C914" s="26" t="str">
        <f>_xlfn.XLOOKUP(Total[[#This Row],[Hebras]],TbTecnologia[Hebras],TbTecnologia[Tecnología])</f>
        <v>OMP</v>
      </c>
      <c r="D914" s="15" t="str" cm="1">
        <f t="array" ref="D914">_xlfn.XLOOKUP(Total[[#This Row],[Tecnología]]&amp;Total[[#This Row],[Metodo]],TbTipos[Tecnología]&amp;TbTipos[Metodo],TbTipos[Tipo])</f>
        <v>OMP Operaciones</v>
      </c>
      <c r="E914" s="15" t="str" cm="1">
        <f t="array" ref="E914">_xlfn.XLOOKUP(Total[[#This Row],[Tecnología]]&amp;Total[[#This Row],[Problema]],TbNombres[Tecnología]&amp;TbNombres[Problema],TbNombres[Nombre])</f>
        <v>Advdiff1d</v>
      </c>
      <c r="F914" s="1">
        <v>1</v>
      </c>
      <c r="G914" s="1">
        <v>2</v>
      </c>
      <c r="H914" s="1">
        <v>16</v>
      </c>
      <c r="I914" s="1">
        <v>10000</v>
      </c>
      <c r="J914" s="1">
        <v>10000</v>
      </c>
      <c r="K914" s="1">
        <v>151.233</v>
      </c>
    </row>
    <row r="915" spans="2:11" x14ac:dyDescent="0.2">
      <c r="B915" s="26" t="str">
        <f>_xlfn.XLOOKUP(Total[[#This Row],[Metodo]],TbSolver[Metodo],TbSolver[Solver])</f>
        <v>Runge Kutta</v>
      </c>
      <c r="C915" s="26" t="str">
        <f>_xlfn.XLOOKUP(Total[[#This Row],[Hebras]],TbTecnologia[Hebras],TbTecnologia[Tecnología])</f>
        <v>OMP</v>
      </c>
      <c r="D915" s="15" t="str" cm="1">
        <f t="array" ref="D915">_xlfn.XLOOKUP(Total[[#This Row],[Tecnología]]&amp;Total[[#This Row],[Metodo]],TbTipos[Tecnología]&amp;TbTipos[Metodo],TbTipos[Tipo])</f>
        <v>OMP Operaciones</v>
      </c>
      <c r="E915" s="15" t="str" cm="1">
        <f t="array" ref="E915">_xlfn.XLOOKUP(Total[[#This Row],[Tecnología]]&amp;Total[[#This Row],[Problema]],TbNombres[Tecnología]&amp;TbNombres[Problema],TbNombres[Nombre])</f>
        <v>Brusselator1d</v>
      </c>
      <c r="F915" s="1">
        <v>1</v>
      </c>
      <c r="G915" s="1">
        <v>3</v>
      </c>
      <c r="H915" s="1">
        <v>1</v>
      </c>
      <c r="I915" s="1">
        <v>10000</v>
      </c>
      <c r="J915" s="1">
        <v>20000</v>
      </c>
      <c r="K915" s="1">
        <v>200.898</v>
      </c>
    </row>
    <row r="916" spans="2:11" x14ac:dyDescent="0.2">
      <c r="B916" s="26" t="str">
        <f>_xlfn.XLOOKUP(Total[[#This Row],[Metodo]],TbSolver[Metodo],TbSolver[Solver])</f>
        <v>Runge Kutta</v>
      </c>
      <c r="C916" s="26" t="str">
        <f>_xlfn.XLOOKUP(Total[[#This Row],[Hebras]],TbTecnologia[Hebras],TbTecnologia[Tecnología])</f>
        <v>OMP</v>
      </c>
      <c r="D916" s="15" t="str" cm="1">
        <f t="array" ref="D916">_xlfn.XLOOKUP(Total[[#This Row],[Tecnología]]&amp;Total[[#This Row],[Metodo]],TbTipos[Tecnología]&amp;TbTipos[Metodo],TbTipos[Tipo])</f>
        <v>OMP Operaciones</v>
      </c>
      <c r="E916" s="15" t="str" cm="1">
        <f t="array" ref="E916">_xlfn.XLOOKUP(Total[[#This Row],[Tecnología]]&amp;Total[[#This Row],[Problema]],TbNombres[Tecnología]&amp;TbNombres[Problema],TbNombres[Nombre])</f>
        <v>Brusselator1d</v>
      </c>
      <c r="F916" s="1">
        <v>1</v>
      </c>
      <c r="G916" s="1">
        <v>3</v>
      </c>
      <c r="H916" s="1">
        <v>4</v>
      </c>
      <c r="I916" s="1">
        <v>10000</v>
      </c>
      <c r="J916" s="1">
        <v>20000</v>
      </c>
      <c r="K916" s="1">
        <v>83.945300000000003</v>
      </c>
    </row>
    <row r="917" spans="2:11" x14ac:dyDescent="0.2">
      <c r="B917" s="26" t="str">
        <f>_xlfn.XLOOKUP(Total[[#This Row],[Metodo]],TbSolver[Metodo],TbSolver[Solver])</f>
        <v>Runge Kutta</v>
      </c>
      <c r="C917" s="26" t="str">
        <f>_xlfn.XLOOKUP(Total[[#This Row],[Hebras]],TbTecnologia[Hebras],TbTecnologia[Tecnología])</f>
        <v>OMP</v>
      </c>
      <c r="D917" s="15" t="str" cm="1">
        <f t="array" ref="D917">_xlfn.XLOOKUP(Total[[#This Row],[Tecnología]]&amp;Total[[#This Row],[Metodo]],TbTipos[Tecnología]&amp;TbTipos[Metodo],TbTipos[Tipo])</f>
        <v>OMP Operaciones</v>
      </c>
      <c r="E917" s="15" t="str" cm="1">
        <f t="array" ref="E917">_xlfn.XLOOKUP(Total[[#This Row],[Tecnología]]&amp;Total[[#This Row],[Problema]],TbNombres[Tecnología]&amp;TbNombres[Problema],TbNombres[Nombre])</f>
        <v>Brusselator1d</v>
      </c>
      <c r="F917" s="1">
        <v>1</v>
      </c>
      <c r="G917" s="1">
        <v>3</v>
      </c>
      <c r="H917" s="1">
        <v>16</v>
      </c>
      <c r="I917" s="1">
        <v>10000</v>
      </c>
      <c r="J917" s="1">
        <v>20000</v>
      </c>
      <c r="K917" s="1">
        <v>97.977500000000006</v>
      </c>
    </row>
    <row r="918" spans="2:11" x14ac:dyDescent="0.2">
      <c r="B918" s="26" t="str">
        <f>_xlfn.XLOOKUP(Total[[#This Row],[Metodo]],TbSolver[Metodo],TbSolver[Solver])</f>
        <v>Runge Kutta</v>
      </c>
      <c r="C918" s="26" t="str">
        <f>_xlfn.XLOOKUP(Total[[#This Row],[Hebras]],TbTecnologia[Hebras],TbTecnologia[Tecnología])</f>
        <v>OMP</v>
      </c>
      <c r="D918" s="15" t="str" cm="1">
        <f t="array" ref="D918">_xlfn.XLOOKUP(Total[[#This Row],[Tecnología]]&amp;Total[[#This Row],[Metodo]],TbTipos[Tecnología]&amp;TbTipos[Metodo],TbTipos[Tipo])</f>
        <v>OMP Elementos</v>
      </c>
      <c r="E918" s="15" t="str" cm="1">
        <f t="array" ref="E918">_xlfn.XLOOKUP(Total[[#This Row],[Tecnología]]&amp;Total[[#This Row],[Problema]],TbNombres[Tecnología]&amp;TbNombres[Problema],TbNombres[Nombre])</f>
        <v>Simple Advdiff</v>
      </c>
      <c r="F918" s="1">
        <v>2</v>
      </c>
      <c r="G918" s="1">
        <v>1</v>
      </c>
      <c r="H918" s="1">
        <v>1</v>
      </c>
      <c r="I918" s="1">
        <v>10000</v>
      </c>
      <c r="J918" s="1">
        <v>10000</v>
      </c>
      <c r="K918" s="1">
        <v>303.40300000000002</v>
      </c>
    </row>
    <row r="919" spans="2:11" x14ac:dyDescent="0.2">
      <c r="B919" s="26" t="str">
        <f>_xlfn.XLOOKUP(Total[[#This Row],[Metodo]],TbSolver[Metodo],TbSolver[Solver])</f>
        <v>Runge Kutta</v>
      </c>
      <c r="C919" s="26" t="str">
        <f>_xlfn.XLOOKUP(Total[[#This Row],[Hebras]],TbTecnologia[Hebras],TbTecnologia[Tecnología])</f>
        <v>OMP</v>
      </c>
      <c r="D919" s="15" t="str" cm="1">
        <f t="array" ref="D919">_xlfn.XLOOKUP(Total[[#This Row],[Tecnología]]&amp;Total[[#This Row],[Metodo]],TbTipos[Tecnología]&amp;TbTipos[Metodo],TbTipos[Tipo])</f>
        <v>OMP Elementos</v>
      </c>
      <c r="E919" s="15" t="str" cm="1">
        <f t="array" ref="E919">_xlfn.XLOOKUP(Total[[#This Row],[Tecnología]]&amp;Total[[#This Row],[Problema]],TbNombres[Tecnología]&amp;TbNombres[Problema],TbNombres[Nombre])</f>
        <v>Simple Advdiff</v>
      </c>
      <c r="F919" s="1">
        <v>2</v>
      </c>
      <c r="G919" s="1">
        <v>1</v>
      </c>
      <c r="H919" s="1">
        <v>4</v>
      </c>
      <c r="I919" s="1">
        <v>10000</v>
      </c>
      <c r="J919" s="1">
        <v>10000</v>
      </c>
      <c r="K919" s="1">
        <v>84.958200000000005</v>
      </c>
    </row>
    <row r="920" spans="2:11" x14ac:dyDescent="0.2">
      <c r="B920" s="26" t="str">
        <f>_xlfn.XLOOKUP(Total[[#This Row],[Metodo]],TbSolver[Metodo],TbSolver[Solver])</f>
        <v>Runge Kutta</v>
      </c>
      <c r="C920" s="26" t="str">
        <f>_xlfn.XLOOKUP(Total[[#This Row],[Hebras]],TbTecnologia[Hebras],TbTecnologia[Tecnología])</f>
        <v>OMP</v>
      </c>
      <c r="D920" s="15" t="str" cm="1">
        <f t="array" ref="D920">_xlfn.XLOOKUP(Total[[#This Row],[Tecnología]]&amp;Total[[#This Row],[Metodo]],TbTipos[Tecnología]&amp;TbTipos[Metodo],TbTipos[Tipo])</f>
        <v>OMP Elementos</v>
      </c>
      <c r="E920" s="15" t="str" cm="1">
        <f t="array" ref="E920">_xlfn.XLOOKUP(Total[[#This Row],[Tecnología]]&amp;Total[[#This Row],[Problema]],TbNombres[Tecnología]&amp;TbNombres[Problema],TbNombres[Nombre])</f>
        <v>Simple Advdiff</v>
      </c>
      <c r="F920" s="1">
        <v>2</v>
      </c>
      <c r="G920" s="1">
        <v>1</v>
      </c>
      <c r="H920" s="1">
        <v>16</v>
      </c>
      <c r="I920" s="1">
        <v>10000</v>
      </c>
      <c r="J920" s="1">
        <v>10000</v>
      </c>
      <c r="K920" s="1">
        <v>33.976799999999997</v>
      </c>
    </row>
    <row r="921" spans="2:11" x14ac:dyDescent="0.2">
      <c r="B921" s="26" t="str">
        <f>_xlfn.XLOOKUP(Total[[#This Row],[Metodo]],TbSolver[Metodo],TbSolver[Solver])</f>
        <v>Runge Kutta</v>
      </c>
      <c r="C921" s="26" t="str">
        <f>_xlfn.XLOOKUP(Total[[#This Row],[Hebras]],TbTecnologia[Hebras],TbTecnologia[Tecnología])</f>
        <v>OMP</v>
      </c>
      <c r="D921" s="15" t="str" cm="1">
        <f t="array" ref="D921">_xlfn.XLOOKUP(Total[[#This Row],[Tecnología]]&amp;Total[[#This Row],[Metodo]],TbTipos[Tecnología]&amp;TbTipos[Metodo],TbTipos[Tipo])</f>
        <v>OMP Elementos</v>
      </c>
      <c r="E921" s="15" t="str" cm="1">
        <f t="array" ref="E921">_xlfn.XLOOKUP(Total[[#This Row],[Tecnología]]&amp;Total[[#This Row],[Problema]],TbNombres[Tecnología]&amp;TbNombres[Problema],TbNombres[Nombre])</f>
        <v>Advdiff1d</v>
      </c>
      <c r="F921" s="1">
        <v>2</v>
      </c>
      <c r="G921" s="1">
        <v>2</v>
      </c>
      <c r="H921" s="1">
        <v>1</v>
      </c>
      <c r="I921" s="1">
        <v>10000</v>
      </c>
      <c r="J921" s="1">
        <v>10000</v>
      </c>
      <c r="K921" s="1">
        <v>1151.53</v>
      </c>
    </row>
    <row r="922" spans="2:11" x14ac:dyDescent="0.2">
      <c r="B922" s="26" t="str">
        <f>_xlfn.XLOOKUP(Total[[#This Row],[Metodo]],TbSolver[Metodo],TbSolver[Solver])</f>
        <v>Runge Kutta</v>
      </c>
      <c r="C922" s="26" t="str">
        <f>_xlfn.XLOOKUP(Total[[#This Row],[Hebras]],TbTecnologia[Hebras],TbTecnologia[Tecnología])</f>
        <v>OMP</v>
      </c>
      <c r="D922" s="15" t="str" cm="1">
        <f t="array" ref="D922">_xlfn.XLOOKUP(Total[[#This Row],[Tecnología]]&amp;Total[[#This Row],[Metodo]],TbTipos[Tecnología]&amp;TbTipos[Metodo],TbTipos[Tipo])</f>
        <v>OMP Elementos</v>
      </c>
      <c r="E922" s="15" t="str" cm="1">
        <f t="array" ref="E922">_xlfn.XLOOKUP(Total[[#This Row],[Tecnología]]&amp;Total[[#This Row],[Problema]],TbNombres[Tecnología]&amp;TbNombres[Problema],TbNombres[Nombre])</f>
        <v>Advdiff1d</v>
      </c>
      <c r="F922" s="1">
        <v>2</v>
      </c>
      <c r="G922" s="1">
        <v>2</v>
      </c>
      <c r="H922" s="1">
        <v>4</v>
      </c>
      <c r="I922" s="1">
        <v>10000</v>
      </c>
      <c r="J922" s="1">
        <v>10000</v>
      </c>
      <c r="K922" s="1">
        <v>322.10599999999999</v>
      </c>
    </row>
    <row r="923" spans="2:11" x14ac:dyDescent="0.2">
      <c r="B923" s="26" t="str">
        <f>_xlfn.XLOOKUP(Total[[#This Row],[Metodo]],TbSolver[Metodo],TbSolver[Solver])</f>
        <v>Runge Kutta</v>
      </c>
      <c r="C923" s="26" t="str">
        <f>_xlfn.XLOOKUP(Total[[#This Row],[Hebras]],TbTecnologia[Hebras],TbTecnologia[Tecnología])</f>
        <v>OMP</v>
      </c>
      <c r="D923" s="15" t="str" cm="1">
        <f t="array" ref="D923">_xlfn.XLOOKUP(Total[[#This Row],[Tecnología]]&amp;Total[[#This Row],[Metodo]],TbTipos[Tecnología]&amp;TbTipos[Metodo],TbTipos[Tipo])</f>
        <v>OMP Elementos</v>
      </c>
      <c r="E923" s="15" t="str" cm="1">
        <f t="array" ref="E923">_xlfn.XLOOKUP(Total[[#This Row],[Tecnología]]&amp;Total[[#This Row],[Problema]],TbNombres[Tecnología]&amp;TbNombres[Problema],TbNombres[Nombre])</f>
        <v>Advdiff1d</v>
      </c>
      <c r="F923" s="1">
        <v>2</v>
      </c>
      <c r="G923" s="1">
        <v>2</v>
      </c>
      <c r="H923" s="1">
        <v>16</v>
      </c>
      <c r="I923" s="1">
        <v>10000</v>
      </c>
      <c r="J923" s="1">
        <v>10000</v>
      </c>
      <c r="K923" s="1">
        <v>94.157799999999995</v>
      </c>
    </row>
    <row r="924" spans="2:11" x14ac:dyDescent="0.2">
      <c r="B924" s="26" t="str">
        <f>_xlfn.XLOOKUP(Total[[#This Row],[Metodo]],TbSolver[Metodo],TbSolver[Solver])</f>
        <v>Runge Kutta</v>
      </c>
      <c r="C924" s="26" t="str">
        <f>_xlfn.XLOOKUP(Total[[#This Row],[Hebras]],TbTecnologia[Hebras],TbTecnologia[Tecnología])</f>
        <v>OMP</v>
      </c>
      <c r="D924" s="15" t="str" cm="1">
        <f t="array" ref="D924">_xlfn.XLOOKUP(Total[[#This Row],[Tecnología]]&amp;Total[[#This Row],[Metodo]],TbTipos[Tecnología]&amp;TbTipos[Metodo],TbTipos[Tipo])</f>
        <v>OMP Elementos</v>
      </c>
      <c r="E924" s="15" t="str" cm="1">
        <f t="array" ref="E924">_xlfn.XLOOKUP(Total[[#This Row],[Tecnología]]&amp;Total[[#This Row],[Problema]],TbNombres[Tecnología]&amp;TbNombres[Problema],TbNombres[Nombre])</f>
        <v>Brusselator1d</v>
      </c>
      <c r="F924" s="1">
        <v>2</v>
      </c>
      <c r="G924" s="1">
        <v>3</v>
      </c>
      <c r="H924" s="1">
        <v>1</v>
      </c>
      <c r="I924" s="1">
        <v>10000</v>
      </c>
      <c r="J924" s="1">
        <v>20000</v>
      </c>
      <c r="K924" s="1">
        <v>492.52100000000002</v>
      </c>
    </row>
    <row r="925" spans="2:11" x14ac:dyDescent="0.2">
      <c r="B925" s="26" t="str">
        <f>_xlfn.XLOOKUP(Total[[#This Row],[Metodo]],TbSolver[Metodo],TbSolver[Solver])</f>
        <v>Runge Kutta</v>
      </c>
      <c r="C925" s="26" t="str">
        <f>_xlfn.XLOOKUP(Total[[#This Row],[Hebras]],TbTecnologia[Hebras],TbTecnologia[Tecnología])</f>
        <v>OMP</v>
      </c>
      <c r="D925" s="15" t="str" cm="1">
        <f t="array" ref="D925">_xlfn.XLOOKUP(Total[[#This Row],[Tecnología]]&amp;Total[[#This Row],[Metodo]],TbTipos[Tecnología]&amp;TbTipos[Metodo],TbTipos[Tipo])</f>
        <v>OMP Elementos</v>
      </c>
      <c r="E925" s="15" t="str" cm="1">
        <f t="array" ref="E925">_xlfn.XLOOKUP(Total[[#This Row],[Tecnología]]&amp;Total[[#This Row],[Problema]],TbNombres[Tecnología]&amp;TbNombres[Problema],TbNombres[Nombre])</f>
        <v>Brusselator1d</v>
      </c>
      <c r="F925" s="1">
        <v>2</v>
      </c>
      <c r="G925" s="1">
        <v>3</v>
      </c>
      <c r="H925" s="1">
        <v>4</v>
      </c>
      <c r="I925" s="1">
        <v>10000</v>
      </c>
      <c r="J925" s="1">
        <v>20000</v>
      </c>
      <c r="K925" s="1">
        <v>139.96600000000001</v>
      </c>
    </row>
    <row r="926" spans="2:11" x14ac:dyDescent="0.2">
      <c r="B926" s="26" t="str">
        <f>_xlfn.XLOOKUP(Total[[#This Row],[Metodo]],TbSolver[Metodo],TbSolver[Solver])</f>
        <v>Runge Kutta</v>
      </c>
      <c r="C926" s="26" t="str">
        <f>_xlfn.XLOOKUP(Total[[#This Row],[Hebras]],TbTecnologia[Hebras],TbTecnologia[Tecnología])</f>
        <v>OMP</v>
      </c>
      <c r="D926" s="15" t="str" cm="1">
        <f t="array" ref="D926">_xlfn.XLOOKUP(Total[[#This Row],[Tecnología]]&amp;Total[[#This Row],[Metodo]],TbTipos[Tecnología]&amp;TbTipos[Metodo],TbTipos[Tipo])</f>
        <v>OMP Elementos</v>
      </c>
      <c r="E926" s="15" t="str" cm="1">
        <f t="array" ref="E926">_xlfn.XLOOKUP(Total[[#This Row],[Tecnología]]&amp;Total[[#This Row],[Problema]],TbNombres[Tecnología]&amp;TbNombres[Problema],TbNombres[Nombre])</f>
        <v>Brusselator1d</v>
      </c>
      <c r="F926" s="1">
        <v>2</v>
      </c>
      <c r="G926" s="1">
        <v>3</v>
      </c>
      <c r="H926" s="1">
        <v>16</v>
      </c>
      <c r="I926" s="1">
        <v>10000</v>
      </c>
      <c r="J926" s="1">
        <v>20000</v>
      </c>
      <c r="K926" s="1">
        <v>52.974800000000002</v>
      </c>
    </row>
    <row r="927" spans="2:11" x14ac:dyDescent="0.2">
      <c r="B927" s="26" t="str">
        <f>_xlfn.XLOOKUP(Total[[#This Row],[Metodo]],TbSolver[Metodo],TbSolver[Solver])</f>
        <v>Adams Bashford</v>
      </c>
      <c r="C927" s="26" t="str">
        <f>_xlfn.XLOOKUP(Total[[#This Row],[Hebras]],TbTecnologia[Hebras],TbTecnologia[Tecnología])</f>
        <v>OMP</v>
      </c>
      <c r="D927" s="15" t="str" cm="1">
        <f t="array" ref="D927">_xlfn.XLOOKUP(Total[[#This Row],[Tecnología]]&amp;Total[[#This Row],[Metodo]],TbTipos[Tecnología]&amp;TbTipos[Metodo],TbTipos[Tipo])</f>
        <v>OMP Operaciones</v>
      </c>
      <c r="E927" s="15" t="str" cm="1">
        <f t="array" ref="E927">_xlfn.XLOOKUP(Total[[#This Row],[Tecnología]]&amp;Total[[#This Row],[Problema]],TbNombres[Tecnología]&amp;TbNombres[Problema],TbNombres[Nombre])</f>
        <v>Simple Advdiff</v>
      </c>
      <c r="F927" s="1">
        <v>3</v>
      </c>
      <c r="G927" s="1">
        <v>1</v>
      </c>
      <c r="H927" s="1">
        <v>1</v>
      </c>
      <c r="I927" s="1">
        <v>10000</v>
      </c>
      <c r="J927" s="1">
        <v>10000</v>
      </c>
      <c r="K927" s="1">
        <v>20.9087</v>
      </c>
    </row>
    <row r="928" spans="2:11" x14ac:dyDescent="0.2">
      <c r="B928" s="26" t="str">
        <f>_xlfn.XLOOKUP(Total[[#This Row],[Metodo]],TbSolver[Metodo],TbSolver[Solver])</f>
        <v>Adams Bashford</v>
      </c>
      <c r="C928" s="26" t="str">
        <f>_xlfn.XLOOKUP(Total[[#This Row],[Hebras]],TbTecnologia[Hebras],TbTecnologia[Tecnología])</f>
        <v>OMP</v>
      </c>
      <c r="D928" s="15" t="str" cm="1">
        <f t="array" ref="D928">_xlfn.XLOOKUP(Total[[#This Row],[Tecnología]]&amp;Total[[#This Row],[Metodo]],TbTipos[Tecnología]&amp;TbTipos[Metodo],TbTipos[Tipo])</f>
        <v>OMP Operaciones</v>
      </c>
      <c r="E928" s="15" t="str" cm="1">
        <f t="array" ref="E928">_xlfn.XLOOKUP(Total[[#This Row],[Tecnología]]&amp;Total[[#This Row],[Problema]],TbNombres[Tecnología]&amp;TbNombres[Problema],TbNombres[Nombre])</f>
        <v>Simple Advdiff</v>
      </c>
      <c r="F928" s="1">
        <v>3</v>
      </c>
      <c r="G928" s="1">
        <v>1</v>
      </c>
      <c r="H928" s="1">
        <v>4</v>
      </c>
      <c r="I928" s="1">
        <v>10000</v>
      </c>
      <c r="J928" s="1">
        <v>10000</v>
      </c>
      <c r="K928" s="1">
        <v>17.492000000000001</v>
      </c>
    </row>
    <row r="929" spans="2:11" x14ac:dyDescent="0.2">
      <c r="B929" s="26" t="str">
        <f>_xlfn.XLOOKUP(Total[[#This Row],[Metodo]],TbSolver[Metodo],TbSolver[Solver])</f>
        <v>Adams Bashford</v>
      </c>
      <c r="C929" s="26" t="str">
        <f>_xlfn.XLOOKUP(Total[[#This Row],[Hebras]],TbTecnologia[Hebras],TbTecnologia[Tecnología])</f>
        <v>OMP</v>
      </c>
      <c r="D929" s="15" t="str" cm="1">
        <f t="array" ref="D929">_xlfn.XLOOKUP(Total[[#This Row],[Tecnología]]&amp;Total[[#This Row],[Metodo]],TbTipos[Tecnología]&amp;TbTipos[Metodo],TbTipos[Tipo])</f>
        <v>OMP Operaciones</v>
      </c>
      <c r="E929" s="15" t="str" cm="1">
        <f t="array" ref="E929">_xlfn.XLOOKUP(Total[[#This Row],[Tecnología]]&amp;Total[[#This Row],[Problema]],TbNombres[Tecnología]&amp;TbNombres[Problema],TbNombres[Nombre])</f>
        <v>Simple Advdiff</v>
      </c>
      <c r="F929" s="1">
        <v>3</v>
      </c>
      <c r="G929" s="1">
        <v>1</v>
      </c>
      <c r="H929" s="1">
        <v>16</v>
      </c>
      <c r="I929" s="1">
        <v>10000</v>
      </c>
      <c r="J929" s="1">
        <v>10000</v>
      </c>
      <c r="K929" s="1">
        <v>27.430299999999999</v>
      </c>
    </row>
    <row r="930" spans="2:11" x14ac:dyDescent="0.2">
      <c r="B930" s="26" t="str">
        <f>_xlfn.XLOOKUP(Total[[#This Row],[Metodo]],TbSolver[Metodo],TbSolver[Solver])</f>
        <v>Adams Bashford</v>
      </c>
      <c r="C930" s="26" t="str">
        <f>_xlfn.XLOOKUP(Total[[#This Row],[Hebras]],TbTecnologia[Hebras],TbTecnologia[Tecnología])</f>
        <v>OMP</v>
      </c>
      <c r="D930" s="15" t="str" cm="1">
        <f t="array" ref="D930">_xlfn.XLOOKUP(Total[[#This Row],[Tecnología]]&amp;Total[[#This Row],[Metodo]],TbTipos[Tecnología]&amp;TbTipos[Metodo],TbTipos[Tipo])</f>
        <v>OMP Operaciones</v>
      </c>
      <c r="E930" s="15" t="str" cm="1">
        <f t="array" ref="E930">_xlfn.XLOOKUP(Total[[#This Row],[Tecnología]]&amp;Total[[#This Row],[Problema]],TbNombres[Tecnología]&amp;TbNombres[Problema],TbNombres[Nombre])</f>
        <v>Advdiff1d</v>
      </c>
      <c r="F930" s="1">
        <v>3</v>
      </c>
      <c r="G930" s="1">
        <v>2</v>
      </c>
      <c r="H930" s="1">
        <v>1</v>
      </c>
      <c r="I930" s="1">
        <v>10000</v>
      </c>
      <c r="J930" s="1">
        <v>10000</v>
      </c>
      <c r="K930" s="1">
        <v>226.21799999999999</v>
      </c>
    </row>
    <row r="931" spans="2:11" x14ac:dyDescent="0.2">
      <c r="B931" s="26" t="str">
        <f>_xlfn.XLOOKUP(Total[[#This Row],[Metodo]],TbSolver[Metodo],TbSolver[Solver])</f>
        <v>Adams Bashford</v>
      </c>
      <c r="C931" s="26" t="str">
        <f>_xlfn.XLOOKUP(Total[[#This Row],[Hebras]],TbTecnologia[Hebras],TbTecnologia[Tecnología])</f>
        <v>OMP</v>
      </c>
      <c r="D931" s="15" t="str" cm="1">
        <f t="array" ref="D931">_xlfn.XLOOKUP(Total[[#This Row],[Tecnología]]&amp;Total[[#This Row],[Metodo]],TbTipos[Tecnología]&amp;TbTipos[Metodo],TbTipos[Tipo])</f>
        <v>OMP Operaciones</v>
      </c>
      <c r="E931" s="15" t="str" cm="1">
        <f t="array" ref="E931">_xlfn.XLOOKUP(Total[[#This Row],[Tecnología]]&amp;Total[[#This Row],[Problema]],TbNombres[Tecnología]&amp;TbNombres[Problema],TbNombres[Nombre])</f>
        <v>Advdiff1d</v>
      </c>
      <c r="F931" s="1">
        <v>3</v>
      </c>
      <c r="G931" s="1">
        <v>2</v>
      </c>
      <c r="H931" s="1">
        <v>4</v>
      </c>
      <c r="I931" s="1">
        <v>10000</v>
      </c>
      <c r="J931" s="1">
        <v>10000</v>
      </c>
      <c r="K931" s="1">
        <v>79.226200000000006</v>
      </c>
    </row>
    <row r="932" spans="2:11" x14ac:dyDescent="0.2">
      <c r="B932" s="26" t="str">
        <f>_xlfn.XLOOKUP(Total[[#This Row],[Metodo]],TbSolver[Metodo],TbSolver[Solver])</f>
        <v>Adams Bashford</v>
      </c>
      <c r="C932" s="26" t="str">
        <f>_xlfn.XLOOKUP(Total[[#This Row],[Hebras]],TbTecnologia[Hebras],TbTecnologia[Tecnología])</f>
        <v>OMP</v>
      </c>
      <c r="D932" s="15" t="str" cm="1">
        <f t="array" ref="D932">_xlfn.XLOOKUP(Total[[#This Row],[Tecnología]]&amp;Total[[#This Row],[Metodo]],TbTipos[Tecnología]&amp;TbTipos[Metodo],TbTipos[Tipo])</f>
        <v>OMP Operaciones</v>
      </c>
      <c r="E932" s="15" t="str" cm="1">
        <f t="array" ref="E932">_xlfn.XLOOKUP(Total[[#This Row],[Tecnología]]&amp;Total[[#This Row],[Problema]],TbNombres[Tecnología]&amp;TbNombres[Problema],TbNombres[Nombre])</f>
        <v>Advdiff1d</v>
      </c>
      <c r="F932" s="1">
        <v>3</v>
      </c>
      <c r="G932" s="1">
        <v>2</v>
      </c>
      <c r="H932" s="1">
        <v>16</v>
      </c>
      <c r="I932" s="1">
        <v>10000</v>
      </c>
      <c r="J932" s="1">
        <v>10000</v>
      </c>
      <c r="K932" s="1">
        <v>48.100299999999997</v>
      </c>
    </row>
    <row r="933" spans="2:11" x14ac:dyDescent="0.2">
      <c r="B933" s="26" t="str">
        <f>_xlfn.XLOOKUP(Total[[#This Row],[Metodo]],TbSolver[Metodo],TbSolver[Solver])</f>
        <v>Adams Bashford</v>
      </c>
      <c r="C933" s="26" t="str">
        <f>_xlfn.XLOOKUP(Total[[#This Row],[Hebras]],TbTecnologia[Hebras],TbTecnologia[Tecnología])</f>
        <v>OMP</v>
      </c>
      <c r="D933" s="15" t="str" cm="1">
        <f t="array" ref="D933">_xlfn.XLOOKUP(Total[[#This Row],[Tecnología]]&amp;Total[[#This Row],[Metodo]],TbTipos[Tecnología]&amp;TbTipos[Metodo],TbTipos[Tipo])</f>
        <v>OMP Operaciones</v>
      </c>
      <c r="E933" s="15" t="str" cm="1">
        <f t="array" ref="E933">_xlfn.XLOOKUP(Total[[#This Row],[Tecnología]]&amp;Total[[#This Row],[Problema]],TbNombres[Tecnología]&amp;TbNombres[Problema],TbNombres[Nombre])</f>
        <v>Brusselator1d</v>
      </c>
      <c r="F933" s="1">
        <v>3</v>
      </c>
      <c r="G933" s="1">
        <v>3</v>
      </c>
      <c r="H933" s="1">
        <v>1</v>
      </c>
      <c r="I933" s="1">
        <v>10000</v>
      </c>
      <c r="J933" s="1">
        <v>20000</v>
      </c>
      <c r="K933" s="1">
        <v>69.724000000000004</v>
      </c>
    </row>
    <row r="934" spans="2:11" x14ac:dyDescent="0.2">
      <c r="B934" s="26" t="str">
        <f>_xlfn.XLOOKUP(Total[[#This Row],[Metodo]],TbSolver[Metodo],TbSolver[Solver])</f>
        <v>Adams Bashford</v>
      </c>
      <c r="C934" s="26" t="str">
        <f>_xlfn.XLOOKUP(Total[[#This Row],[Hebras]],TbTecnologia[Hebras],TbTecnologia[Tecnología])</f>
        <v>OMP</v>
      </c>
      <c r="D934" s="15" t="str" cm="1">
        <f t="array" ref="D934">_xlfn.XLOOKUP(Total[[#This Row],[Tecnología]]&amp;Total[[#This Row],[Metodo]],TbTipos[Tecnología]&amp;TbTipos[Metodo],TbTipos[Tipo])</f>
        <v>OMP Operaciones</v>
      </c>
      <c r="E934" s="15" t="str" cm="1">
        <f t="array" ref="E934">_xlfn.XLOOKUP(Total[[#This Row],[Tecnología]]&amp;Total[[#This Row],[Problema]],TbNombres[Tecnología]&amp;TbNombres[Problema],TbNombres[Nombre])</f>
        <v>Brusselator1d</v>
      </c>
      <c r="F934" s="1">
        <v>3</v>
      </c>
      <c r="G934" s="1">
        <v>3</v>
      </c>
      <c r="H934" s="1">
        <v>4</v>
      </c>
      <c r="I934" s="1">
        <v>10000</v>
      </c>
      <c r="J934" s="1">
        <v>20000</v>
      </c>
      <c r="K934" s="1">
        <v>30.819400000000002</v>
      </c>
    </row>
    <row r="935" spans="2:11" x14ac:dyDescent="0.2">
      <c r="B935" s="26" t="str">
        <f>_xlfn.XLOOKUP(Total[[#This Row],[Metodo]],TbSolver[Metodo],TbSolver[Solver])</f>
        <v>Adams Bashford</v>
      </c>
      <c r="C935" s="26" t="str">
        <f>_xlfn.XLOOKUP(Total[[#This Row],[Hebras]],TbTecnologia[Hebras],TbTecnologia[Tecnología])</f>
        <v>OMP</v>
      </c>
      <c r="D935" s="15" t="str" cm="1">
        <f t="array" ref="D935">_xlfn.XLOOKUP(Total[[#This Row],[Tecnología]]&amp;Total[[#This Row],[Metodo]],TbTipos[Tecnología]&amp;TbTipos[Metodo],TbTipos[Tipo])</f>
        <v>OMP Operaciones</v>
      </c>
      <c r="E935" s="15" t="str" cm="1">
        <f t="array" ref="E935">_xlfn.XLOOKUP(Total[[#This Row],[Tecnología]]&amp;Total[[#This Row],[Problema]],TbNombres[Tecnología]&amp;TbNombres[Problema],TbNombres[Nombre])</f>
        <v>Brusselator1d</v>
      </c>
      <c r="F935" s="1">
        <v>3</v>
      </c>
      <c r="G935" s="1">
        <v>3</v>
      </c>
      <c r="H935" s="1">
        <v>16</v>
      </c>
      <c r="I935" s="1">
        <v>10000</v>
      </c>
      <c r="J935" s="1">
        <v>20000</v>
      </c>
      <c r="K935" s="1">
        <v>44.829099999999997</v>
      </c>
    </row>
    <row r="936" spans="2:11" x14ac:dyDescent="0.2">
      <c r="B936" s="26" t="str">
        <f>_xlfn.XLOOKUP(Total[[#This Row],[Metodo]],TbSolver[Metodo],TbSolver[Solver])</f>
        <v>Adams Bashford</v>
      </c>
      <c r="C936" s="26" t="str">
        <f>_xlfn.XLOOKUP(Total[[#This Row],[Hebras]],TbTecnologia[Hebras],TbTecnologia[Tecnología])</f>
        <v>OMP</v>
      </c>
      <c r="D936" s="15" t="str" cm="1">
        <f t="array" ref="D936">_xlfn.XLOOKUP(Total[[#This Row],[Tecnología]]&amp;Total[[#This Row],[Metodo]],TbTipos[Tecnología]&amp;TbTipos[Metodo],TbTipos[Tipo])</f>
        <v>OMP Elementos</v>
      </c>
      <c r="E936" s="15" t="str" cm="1">
        <f t="array" ref="E936">_xlfn.XLOOKUP(Total[[#This Row],[Tecnología]]&amp;Total[[#This Row],[Problema]],TbNombres[Tecnología]&amp;TbNombres[Problema],TbNombres[Nombre])</f>
        <v>Simple Advdiff</v>
      </c>
      <c r="F936" s="1">
        <v>4</v>
      </c>
      <c r="G936" s="1">
        <v>1</v>
      </c>
      <c r="H936" s="1">
        <v>1</v>
      </c>
      <c r="I936" s="1">
        <v>10000</v>
      </c>
      <c r="J936" s="1">
        <v>10000</v>
      </c>
      <c r="K936" s="1">
        <v>49.671100000000003</v>
      </c>
    </row>
    <row r="937" spans="2:11" x14ac:dyDescent="0.2">
      <c r="B937" s="26" t="str">
        <f>_xlfn.XLOOKUP(Total[[#This Row],[Metodo]],TbSolver[Metodo],TbSolver[Solver])</f>
        <v>Adams Bashford</v>
      </c>
      <c r="C937" s="26" t="str">
        <f>_xlfn.XLOOKUP(Total[[#This Row],[Hebras]],TbTecnologia[Hebras],TbTecnologia[Tecnología])</f>
        <v>OMP</v>
      </c>
      <c r="D937" s="15" t="str" cm="1">
        <f t="array" ref="D937">_xlfn.XLOOKUP(Total[[#This Row],[Tecnología]]&amp;Total[[#This Row],[Metodo]],TbTipos[Tecnología]&amp;TbTipos[Metodo],TbTipos[Tipo])</f>
        <v>OMP Elementos</v>
      </c>
      <c r="E937" s="15" t="str" cm="1">
        <f t="array" ref="E937">_xlfn.XLOOKUP(Total[[#This Row],[Tecnología]]&amp;Total[[#This Row],[Problema]],TbNombres[Tecnología]&amp;TbNombres[Problema],TbNombres[Nombre])</f>
        <v>Simple Advdiff</v>
      </c>
      <c r="F937" s="1">
        <v>4</v>
      </c>
      <c r="G937" s="1">
        <v>1</v>
      </c>
      <c r="H937" s="1">
        <v>4</v>
      </c>
      <c r="I937" s="1">
        <v>10000</v>
      </c>
      <c r="J937" s="1">
        <v>10000</v>
      </c>
      <c r="K937" s="1">
        <v>17.272099999999998</v>
      </c>
    </row>
    <row r="938" spans="2:11" x14ac:dyDescent="0.2">
      <c r="B938" s="26" t="str">
        <f>_xlfn.XLOOKUP(Total[[#This Row],[Metodo]],TbSolver[Metodo],TbSolver[Solver])</f>
        <v>Adams Bashford</v>
      </c>
      <c r="C938" s="26" t="str">
        <f>_xlfn.XLOOKUP(Total[[#This Row],[Hebras]],TbTecnologia[Hebras],TbTecnologia[Tecnología])</f>
        <v>OMP</v>
      </c>
      <c r="D938" s="15" t="str" cm="1">
        <f t="array" ref="D938">_xlfn.XLOOKUP(Total[[#This Row],[Tecnología]]&amp;Total[[#This Row],[Metodo]],TbTipos[Tecnología]&amp;TbTipos[Metodo],TbTipos[Tipo])</f>
        <v>OMP Elementos</v>
      </c>
      <c r="E938" s="15" t="str" cm="1">
        <f t="array" ref="E938">_xlfn.XLOOKUP(Total[[#This Row],[Tecnología]]&amp;Total[[#This Row],[Problema]],TbNombres[Tecnología]&amp;TbNombres[Problema],TbNombres[Nombre])</f>
        <v>Simple Advdiff</v>
      </c>
      <c r="F938" s="1">
        <v>4</v>
      </c>
      <c r="G938" s="1">
        <v>1</v>
      </c>
      <c r="H938" s="1">
        <v>16</v>
      </c>
      <c r="I938" s="1">
        <v>10000</v>
      </c>
      <c r="J938" s="1">
        <v>10000</v>
      </c>
      <c r="K938" s="1">
        <v>50.277299999999997</v>
      </c>
    </row>
    <row r="939" spans="2:11" x14ac:dyDescent="0.2">
      <c r="B939" s="26" t="str">
        <f>_xlfn.XLOOKUP(Total[[#This Row],[Metodo]],TbSolver[Metodo],TbSolver[Solver])</f>
        <v>Adams Bashford</v>
      </c>
      <c r="C939" s="26" t="str">
        <f>_xlfn.XLOOKUP(Total[[#This Row],[Hebras]],TbTecnologia[Hebras],TbTecnologia[Tecnología])</f>
        <v>OMP</v>
      </c>
      <c r="D939" s="15" t="str" cm="1">
        <f t="array" ref="D939">_xlfn.XLOOKUP(Total[[#This Row],[Tecnología]]&amp;Total[[#This Row],[Metodo]],TbTipos[Tecnología]&amp;TbTipos[Metodo],TbTipos[Tipo])</f>
        <v>OMP Elementos</v>
      </c>
      <c r="E939" s="15" t="str" cm="1">
        <f t="array" ref="E939">_xlfn.XLOOKUP(Total[[#This Row],[Tecnología]]&amp;Total[[#This Row],[Problema]],TbNombres[Tecnología]&amp;TbNombres[Problema],TbNombres[Nombre])</f>
        <v>Advdiff1d</v>
      </c>
      <c r="F939" s="1">
        <v>4</v>
      </c>
      <c r="G939" s="1">
        <v>2</v>
      </c>
      <c r="H939" s="1">
        <v>1</v>
      </c>
      <c r="I939" s="1">
        <v>10000</v>
      </c>
      <c r="J939" s="1">
        <v>10000</v>
      </c>
      <c r="K939" s="1">
        <v>263.78899999999999</v>
      </c>
    </row>
    <row r="940" spans="2:11" x14ac:dyDescent="0.2">
      <c r="B940" s="26" t="str">
        <f>_xlfn.XLOOKUP(Total[[#This Row],[Metodo]],TbSolver[Metodo],TbSolver[Solver])</f>
        <v>Adams Bashford</v>
      </c>
      <c r="C940" s="26" t="str">
        <f>_xlfn.XLOOKUP(Total[[#This Row],[Hebras]],TbTecnologia[Hebras],TbTecnologia[Tecnología])</f>
        <v>OMP</v>
      </c>
      <c r="D940" s="15" t="str" cm="1">
        <f t="array" ref="D940">_xlfn.XLOOKUP(Total[[#This Row],[Tecnología]]&amp;Total[[#This Row],[Metodo]],TbTipos[Tecnología]&amp;TbTipos[Metodo],TbTipos[Tipo])</f>
        <v>OMP Elementos</v>
      </c>
      <c r="E940" s="15" t="str" cm="1">
        <f t="array" ref="E940">_xlfn.XLOOKUP(Total[[#This Row],[Tecnología]]&amp;Total[[#This Row],[Problema]],TbNombres[Tecnología]&amp;TbNombres[Problema],TbNombres[Nombre])</f>
        <v>Advdiff1d</v>
      </c>
      <c r="F940" s="1">
        <v>4</v>
      </c>
      <c r="G940" s="1">
        <v>2</v>
      </c>
      <c r="H940" s="1">
        <v>4</v>
      </c>
      <c r="I940" s="1">
        <v>10000</v>
      </c>
      <c r="J940" s="1">
        <v>10000</v>
      </c>
      <c r="K940" s="1">
        <v>77.676299999999998</v>
      </c>
    </row>
    <row r="941" spans="2:11" x14ac:dyDescent="0.2">
      <c r="B941" s="26" t="str">
        <f>_xlfn.XLOOKUP(Total[[#This Row],[Metodo]],TbSolver[Metodo],TbSolver[Solver])</f>
        <v>Adams Bashford</v>
      </c>
      <c r="C941" s="26" t="str">
        <f>_xlfn.XLOOKUP(Total[[#This Row],[Hebras]],TbTecnologia[Hebras],TbTecnologia[Tecnología])</f>
        <v>OMP</v>
      </c>
      <c r="D941" s="15" t="str" cm="1">
        <f t="array" ref="D941">_xlfn.XLOOKUP(Total[[#This Row],[Tecnología]]&amp;Total[[#This Row],[Metodo]],TbTipos[Tecnología]&amp;TbTipos[Metodo],TbTipos[Tipo])</f>
        <v>OMP Elementos</v>
      </c>
      <c r="E941" s="15" t="str" cm="1">
        <f t="array" ref="E941">_xlfn.XLOOKUP(Total[[#This Row],[Tecnología]]&amp;Total[[#This Row],[Problema]],TbNombres[Tecnología]&amp;TbNombres[Problema],TbNombres[Nombre])</f>
        <v>Advdiff1d</v>
      </c>
      <c r="F941" s="1">
        <v>4</v>
      </c>
      <c r="G941" s="1">
        <v>2</v>
      </c>
      <c r="H941" s="1">
        <v>16</v>
      </c>
      <c r="I941" s="1">
        <v>10000</v>
      </c>
      <c r="J941" s="1">
        <v>10000</v>
      </c>
      <c r="K941" s="1">
        <v>33.322499999999998</v>
      </c>
    </row>
    <row r="942" spans="2:11" x14ac:dyDescent="0.2">
      <c r="B942" s="26" t="str">
        <f>_xlfn.XLOOKUP(Total[[#This Row],[Metodo]],TbSolver[Metodo],TbSolver[Solver])</f>
        <v>Adams Bashford</v>
      </c>
      <c r="C942" s="26" t="str">
        <f>_xlfn.XLOOKUP(Total[[#This Row],[Hebras]],TbTecnologia[Hebras],TbTecnologia[Tecnología])</f>
        <v>OMP</v>
      </c>
      <c r="D942" s="15" t="str" cm="1">
        <f t="array" ref="D942">_xlfn.XLOOKUP(Total[[#This Row],[Tecnología]]&amp;Total[[#This Row],[Metodo]],TbTipos[Tecnología]&amp;TbTipos[Metodo],TbTipos[Tipo])</f>
        <v>OMP Elementos</v>
      </c>
      <c r="E942" s="15" t="str" cm="1">
        <f t="array" ref="E942">_xlfn.XLOOKUP(Total[[#This Row],[Tecnología]]&amp;Total[[#This Row],[Problema]],TbNombres[Tecnología]&amp;TbNombres[Problema],TbNombres[Nombre])</f>
        <v>Brusselator1d</v>
      </c>
      <c r="F942" s="1">
        <v>4</v>
      </c>
      <c r="G942" s="1">
        <v>3</v>
      </c>
      <c r="H942" s="1">
        <v>1</v>
      </c>
      <c r="I942" s="1">
        <v>10000</v>
      </c>
      <c r="J942" s="1">
        <v>20000</v>
      </c>
      <c r="K942" s="1">
        <v>125.941</v>
      </c>
    </row>
    <row r="943" spans="2:11" x14ac:dyDescent="0.2">
      <c r="B943" s="26" t="str">
        <f>_xlfn.XLOOKUP(Total[[#This Row],[Metodo]],TbSolver[Metodo],TbSolver[Solver])</f>
        <v>Adams Bashford</v>
      </c>
      <c r="C943" s="26" t="str">
        <f>_xlfn.XLOOKUP(Total[[#This Row],[Hebras]],TbTecnologia[Hebras],TbTecnologia[Tecnología])</f>
        <v>OMP</v>
      </c>
      <c r="D943" s="15" t="str" cm="1">
        <f t="array" ref="D943">_xlfn.XLOOKUP(Total[[#This Row],[Tecnología]]&amp;Total[[#This Row],[Metodo]],TbTipos[Tecnología]&amp;TbTipos[Metodo],TbTipos[Tipo])</f>
        <v>OMP Elementos</v>
      </c>
      <c r="E943" s="15" t="str" cm="1">
        <f t="array" ref="E943">_xlfn.XLOOKUP(Total[[#This Row],[Tecnología]]&amp;Total[[#This Row],[Problema]],TbNombres[Tecnología]&amp;TbNombres[Problema],TbNombres[Nombre])</f>
        <v>Brusselator1d</v>
      </c>
      <c r="F943" s="1">
        <v>4</v>
      </c>
      <c r="G943" s="1">
        <v>3</v>
      </c>
      <c r="H943" s="1">
        <v>4</v>
      </c>
      <c r="I943" s="1">
        <v>10000</v>
      </c>
      <c r="J943" s="1">
        <v>20000</v>
      </c>
      <c r="K943" s="1">
        <v>37.296999999999997</v>
      </c>
    </row>
    <row r="944" spans="2:11" x14ac:dyDescent="0.2">
      <c r="B944" s="26" t="str">
        <f>_xlfn.XLOOKUP(Total[[#This Row],[Metodo]],TbSolver[Metodo],TbSolver[Solver])</f>
        <v>Adams Bashford</v>
      </c>
      <c r="C944" s="26" t="str">
        <f>_xlfn.XLOOKUP(Total[[#This Row],[Hebras]],TbTecnologia[Hebras],TbTecnologia[Tecnología])</f>
        <v>OMP</v>
      </c>
      <c r="D944" s="15" t="str" cm="1">
        <f t="array" ref="D944">_xlfn.XLOOKUP(Total[[#This Row],[Tecnología]]&amp;Total[[#This Row],[Metodo]],TbTipos[Tecnología]&amp;TbTipos[Metodo],TbTipos[Tipo])</f>
        <v>OMP Elementos</v>
      </c>
      <c r="E944" s="15" t="str" cm="1">
        <f t="array" ref="E944">_xlfn.XLOOKUP(Total[[#This Row],[Tecnología]]&amp;Total[[#This Row],[Problema]],TbNombres[Tecnología]&amp;TbNombres[Problema],TbNombres[Nombre])</f>
        <v>Brusselator1d</v>
      </c>
      <c r="F944" s="1">
        <v>4</v>
      </c>
      <c r="G944" s="1">
        <v>3</v>
      </c>
      <c r="H944" s="1">
        <v>16</v>
      </c>
      <c r="I944" s="1">
        <v>10000</v>
      </c>
      <c r="J944" s="1">
        <v>20000</v>
      </c>
      <c r="K944" s="1">
        <v>64.289199999999994</v>
      </c>
    </row>
    <row r="945" spans="2:11" x14ac:dyDescent="0.2">
      <c r="B945" s="26" t="str">
        <f>_xlfn.XLOOKUP(Total[[#This Row],[Metodo]],TbSolver[Metodo],TbSolver[Solver])</f>
        <v>Adams Bashford Moulton</v>
      </c>
      <c r="C945" s="26" t="str">
        <f>_xlfn.XLOOKUP(Total[[#This Row],[Hebras]],TbTecnologia[Hebras],TbTecnologia[Tecnología])</f>
        <v>OMP</v>
      </c>
      <c r="D945" s="15" t="str" cm="1">
        <f t="array" ref="D945">_xlfn.XLOOKUP(Total[[#This Row],[Tecnología]]&amp;Total[[#This Row],[Metodo]],TbTipos[Tecnología]&amp;TbTipos[Metodo],TbTipos[Tipo])</f>
        <v>OMP Operaciones</v>
      </c>
      <c r="E945" s="15" t="str" cm="1">
        <f t="array" ref="E945">_xlfn.XLOOKUP(Total[[#This Row],[Tecnología]]&amp;Total[[#This Row],[Problema]],TbNombres[Tecnología]&amp;TbNombres[Problema],TbNombres[Nombre])</f>
        <v>Simple Advdiff</v>
      </c>
      <c r="F945" s="1">
        <v>5</v>
      </c>
      <c r="G945" s="1">
        <v>1</v>
      </c>
      <c r="H945" s="1">
        <v>1</v>
      </c>
      <c r="I945" s="1">
        <v>10000</v>
      </c>
      <c r="J945" s="1">
        <v>10000</v>
      </c>
      <c r="K945" s="1">
        <v>70.638599999999997</v>
      </c>
    </row>
    <row r="946" spans="2:11" x14ac:dyDescent="0.2">
      <c r="B946" s="26" t="str">
        <f>_xlfn.XLOOKUP(Total[[#This Row],[Metodo]],TbSolver[Metodo],TbSolver[Solver])</f>
        <v>Adams Bashford Moulton</v>
      </c>
      <c r="C946" s="26" t="str">
        <f>_xlfn.XLOOKUP(Total[[#This Row],[Hebras]],TbTecnologia[Hebras],TbTecnologia[Tecnología])</f>
        <v>OMP</v>
      </c>
      <c r="D946" s="15" t="str" cm="1">
        <f t="array" ref="D946">_xlfn.XLOOKUP(Total[[#This Row],[Tecnología]]&amp;Total[[#This Row],[Metodo]],TbTipos[Tecnología]&amp;TbTipos[Metodo],TbTipos[Tipo])</f>
        <v>OMP Operaciones</v>
      </c>
      <c r="E946" s="15" t="str" cm="1">
        <f t="array" ref="E946">_xlfn.XLOOKUP(Total[[#This Row],[Tecnología]]&amp;Total[[#This Row],[Problema]],TbNombres[Tecnología]&amp;TbNombres[Problema],TbNombres[Nombre])</f>
        <v>Simple Advdiff</v>
      </c>
      <c r="F946" s="1">
        <v>5</v>
      </c>
      <c r="G946" s="1">
        <v>1</v>
      </c>
      <c r="H946" s="1">
        <v>4</v>
      </c>
      <c r="I946" s="1">
        <v>10000</v>
      </c>
      <c r="J946" s="1">
        <v>10000</v>
      </c>
      <c r="K946" s="1">
        <v>60.5548</v>
      </c>
    </row>
    <row r="947" spans="2:11" x14ac:dyDescent="0.2">
      <c r="B947" s="26" t="str">
        <f>_xlfn.XLOOKUP(Total[[#This Row],[Metodo]],TbSolver[Metodo],TbSolver[Solver])</f>
        <v>Adams Bashford Moulton</v>
      </c>
      <c r="C947" s="26" t="str">
        <f>_xlfn.XLOOKUP(Total[[#This Row],[Hebras]],TbTecnologia[Hebras],TbTecnologia[Tecnología])</f>
        <v>OMP</v>
      </c>
      <c r="D947" s="15" t="str" cm="1">
        <f t="array" ref="D947">_xlfn.XLOOKUP(Total[[#This Row],[Tecnología]]&amp;Total[[#This Row],[Metodo]],TbTipos[Tecnología]&amp;TbTipos[Metodo],TbTipos[Tipo])</f>
        <v>OMP Operaciones</v>
      </c>
      <c r="E947" s="15" t="str" cm="1">
        <f t="array" ref="E947">_xlfn.XLOOKUP(Total[[#This Row],[Tecnología]]&amp;Total[[#This Row],[Problema]],TbNombres[Tecnología]&amp;TbNombres[Problema],TbNombres[Nombre])</f>
        <v>Simple Advdiff</v>
      </c>
      <c r="F947" s="1">
        <v>5</v>
      </c>
      <c r="G947" s="1">
        <v>1</v>
      </c>
      <c r="H947" s="1">
        <v>16</v>
      </c>
      <c r="I947" s="1">
        <v>10000</v>
      </c>
      <c r="J947" s="1">
        <v>10000</v>
      </c>
      <c r="K947" s="1">
        <v>112.84</v>
      </c>
    </row>
    <row r="948" spans="2:11" x14ac:dyDescent="0.2">
      <c r="B948" s="26" t="str">
        <f>_xlfn.XLOOKUP(Total[[#This Row],[Metodo]],TbSolver[Metodo],TbSolver[Solver])</f>
        <v>Adams Bashford Moulton</v>
      </c>
      <c r="C948" s="26" t="str">
        <f>_xlfn.XLOOKUP(Total[[#This Row],[Hebras]],TbTecnologia[Hebras],TbTecnologia[Tecnología])</f>
        <v>OMP</v>
      </c>
      <c r="D948" s="15" t="str" cm="1">
        <f t="array" ref="D948">_xlfn.XLOOKUP(Total[[#This Row],[Tecnología]]&amp;Total[[#This Row],[Metodo]],TbTipos[Tecnología]&amp;TbTipos[Metodo],TbTipos[Tipo])</f>
        <v>OMP Operaciones</v>
      </c>
      <c r="E948" s="15" t="str" cm="1">
        <f t="array" ref="E948">_xlfn.XLOOKUP(Total[[#This Row],[Tecnología]]&amp;Total[[#This Row],[Problema]],TbNombres[Tecnología]&amp;TbNombres[Problema],TbNombres[Nombre])</f>
        <v>Advdiff1d</v>
      </c>
      <c r="F948" s="1">
        <v>5</v>
      </c>
      <c r="G948" s="1">
        <v>2</v>
      </c>
      <c r="H948" s="1">
        <v>1</v>
      </c>
      <c r="I948" s="1">
        <v>10000</v>
      </c>
      <c r="J948" s="1">
        <v>10000</v>
      </c>
      <c r="K948" s="1">
        <v>687.25400000000002</v>
      </c>
    </row>
    <row r="949" spans="2:11" x14ac:dyDescent="0.2">
      <c r="B949" s="26" t="str">
        <f>_xlfn.XLOOKUP(Total[[#This Row],[Metodo]],TbSolver[Metodo],TbSolver[Solver])</f>
        <v>Adams Bashford Moulton</v>
      </c>
      <c r="C949" s="26" t="str">
        <f>_xlfn.XLOOKUP(Total[[#This Row],[Hebras]],TbTecnologia[Hebras],TbTecnologia[Tecnología])</f>
        <v>OMP</v>
      </c>
      <c r="D949" s="15" t="str" cm="1">
        <f t="array" ref="D949">_xlfn.XLOOKUP(Total[[#This Row],[Tecnología]]&amp;Total[[#This Row],[Metodo]],TbTipos[Tecnología]&amp;TbTipos[Metodo],TbTipos[Tipo])</f>
        <v>OMP Operaciones</v>
      </c>
      <c r="E949" s="15" t="str" cm="1">
        <f t="array" ref="E949">_xlfn.XLOOKUP(Total[[#This Row],[Tecnología]]&amp;Total[[#This Row],[Problema]],TbNombres[Tecnología]&amp;TbNombres[Problema],TbNombres[Nombre])</f>
        <v>Advdiff1d</v>
      </c>
      <c r="F949" s="1">
        <v>5</v>
      </c>
      <c r="G949" s="1">
        <v>2</v>
      </c>
      <c r="H949" s="1">
        <v>4</v>
      </c>
      <c r="I949" s="1">
        <v>10000</v>
      </c>
      <c r="J949" s="1">
        <v>10000</v>
      </c>
      <c r="K949" s="1">
        <v>246.178</v>
      </c>
    </row>
    <row r="950" spans="2:11" x14ac:dyDescent="0.2">
      <c r="B950" s="26" t="str">
        <f>_xlfn.XLOOKUP(Total[[#This Row],[Metodo]],TbSolver[Metodo],TbSolver[Solver])</f>
        <v>Adams Bashford Moulton</v>
      </c>
      <c r="C950" s="26" t="str">
        <f>_xlfn.XLOOKUP(Total[[#This Row],[Hebras]],TbTecnologia[Hebras],TbTecnologia[Tecnología])</f>
        <v>OMP</v>
      </c>
      <c r="D950" s="15" t="str" cm="1">
        <f t="array" ref="D950">_xlfn.XLOOKUP(Total[[#This Row],[Tecnología]]&amp;Total[[#This Row],[Metodo]],TbTipos[Tecnología]&amp;TbTipos[Metodo],TbTipos[Tipo])</f>
        <v>OMP Operaciones</v>
      </c>
      <c r="E950" s="15" t="str" cm="1">
        <f t="array" ref="E950">_xlfn.XLOOKUP(Total[[#This Row],[Tecnología]]&amp;Total[[#This Row],[Problema]],TbNombres[Tecnología]&amp;TbNombres[Problema],TbNombres[Nombre])</f>
        <v>Advdiff1d</v>
      </c>
      <c r="F950" s="1">
        <v>5</v>
      </c>
      <c r="G950" s="1">
        <v>2</v>
      </c>
      <c r="H950" s="1">
        <v>16</v>
      </c>
      <c r="I950" s="1">
        <v>10000</v>
      </c>
      <c r="J950" s="1">
        <v>10000</v>
      </c>
      <c r="K950" s="1">
        <v>171.173</v>
      </c>
    </row>
    <row r="951" spans="2:11" x14ac:dyDescent="0.2">
      <c r="B951" s="26" t="str">
        <f>_xlfn.XLOOKUP(Total[[#This Row],[Metodo]],TbSolver[Metodo],TbSolver[Solver])</f>
        <v>Adams Bashford Moulton</v>
      </c>
      <c r="C951" s="26" t="str">
        <f>_xlfn.XLOOKUP(Total[[#This Row],[Hebras]],TbTecnologia[Hebras],TbTecnologia[Tecnología])</f>
        <v>OMP</v>
      </c>
      <c r="D951" s="15" t="str" cm="1">
        <f t="array" ref="D951">_xlfn.XLOOKUP(Total[[#This Row],[Tecnología]]&amp;Total[[#This Row],[Metodo]],TbTipos[Tecnología]&amp;TbTipos[Metodo],TbTipos[Tipo])</f>
        <v>OMP Operaciones</v>
      </c>
      <c r="E951" s="15" t="str" cm="1">
        <f t="array" ref="E951">_xlfn.XLOOKUP(Total[[#This Row],[Tecnología]]&amp;Total[[#This Row],[Problema]],TbNombres[Tecnología]&amp;TbNombres[Problema],TbNombres[Nombre])</f>
        <v>Brusselator1d</v>
      </c>
      <c r="F951" s="1">
        <v>5</v>
      </c>
      <c r="G951" s="1">
        <v>3</v>
      </c>
      <c r="H951" s="1">
        <v>1</v>
      </c>
      <c r="I951" s="1">
        <v>10000</v>
      </c>
      <c r="J951" s="1">
        <v>20000</v>
      </c>
      <c r="K951" s="1">
        <v>241.04300000000001</v>
      </c>
    </row>
    <row r="952" spans="2:11" x14ac:dyDescent="0.2">
      <c r="B952" s="26" t="str">
        <f>_xlfn.XLOOKUP(Total[[#This Row],[Metodo]],TbSolver[Metodo],TbSolver[Solver])</f>
        <v>Adams Bashford Moulton</v>
      </c>
      <c r="C952" s="26" t="str">
        <f>_xlfn.XLOOKUP(Total[[#This Row],[Hebras]],TbTecnologia[Hebras],TbTecnologia[Tecnología])</f>
        <v>OMP</v>
      </c>
      <c r="D952" s="15" t="str" cm="1">
        <f t="array" ref="D952">_xlfn.XLOOKUP(Total[[#This Row],[Tecnología]]&amp;Total[[#This Row],[Metodo]],TbTipos[Tecnología]&amp;TbTipos[Metodo],TbTipos[Tipo])</f>
        <v>OMP Operaciones</v>
      </c>
      <c r="E952" s="15" t="str" cm="1">
        <f t="array" ref="E952">_xlfn.XLOOKUP(Total[[#This Row],[Tecnología]]&amp;Total[[#This Row],[Problema]],TbNombres[Tecnología]&amp;TbNombres[Problema],TbNombres[Nombre])</f>
        <v>Brusselator1d</v>
      </c>
      <c r="F952" s="1">
        <v>5</v>
      </c>
      <c r="G952" s="1">
        <v>3</v>
      </c>
      <c r="H952" s="1">
        <v>4</v>
      </c>
      <c r="I952" s="1">
        <v>10000</v>
      </c>
      <c r="J952" s="1">
        <v>20000</v>
      </c>
      <c r="K952" s="1">
        <v>102.461</v>
      </c>
    </row>
    <row r="953" spans="2:11" x14ac:dyDescent="0.2">
      <c r="B953" s="26" t="str">
        <f>_xlfn.XLOOKUP(Total[[#This Row],[Metodo]],TbSolver[Metodo],TbSolver[Solver])</f>
        <v>Adams Bashford Moulton</v>
      </c>
      <c r="C953" s="26" t="str">
        <f>_xlfn.XLOOKUP(Total[[#This Row],[Hebras]],TbTecnologia[Hebras],TbTecnologia[Tecnología])</f>
        <v>OMP</v>
      </c>
      <c r="D953" s="15" t="str" cm="1">
        <f t="array" ref="D953">_xlfn.XLOOKUP(Total[[#This Row],[Tecnología]]&amp;Total[[#This Row],[Metodo]],TbTipos[Tecnología]&amp;TbTipos[Metodo],TbTipos[Tipo])</f>
        <v>OMP Operaciones</v>
      </c>
      <c r="E953" s="15" t="str" cm="1">
        <f t="array" ref="E953">_xlfn.XLOOKUP(Total[[#This Row],[Tecnología]]&amp;Total[[#This Row],[Problema]],TbNombres[Tecnología]&amp;TbNombres[Problema],TbNombres[Nombre])</f>
        <v>Brusselator1d</v>
      </c>
      <c r="F953" s="1">
        <v>5</v>
      </c>
      <c r="G953" s="1">
        <v>3</v>
      </c>
      <c r="H953" s="1">
        <v>16</v>
      </c>
      <c r="I953" s="1">
        <v>10000</v>
      </c>
      <c r="J953" s="1">
        <v>20000</v>
      </c>
      <c r="K953" s="1">
        <v>147.68700000000001</v>
      </c>
    </row>
    <row r="954" spans="2:11" x14ac:dyDescent="0.2">
      <c r="B954" s="26" t="str">
        <f>_xlfn.XLOOKUP(Total[[#This Row],[Metodo]],TbSolver[Metodo],TbSolver[Solver])</f>
        <v>Adams Bashford Moulton</v>
      </c>
      <c r="C954" s="26" t="str">
        <f>_xlfn.XLOOKUP(Total[[#This Row],[Hebras]],TbTecnologia[Hebras],TbTecnologia[Tecnología])</f>
        <v>OMP</v>
      </c>
      <c r="D954" s="15" t="str" cm="1">
        <f t="array" ref="D954">_xlfn.XLOOKUP(Total[[#This Row],[Tecnología]]&amp;Total[[#This Row],[Metodo]],TbTipos[Tecnología]&amp;TbTipos[Metodo],TbTipos[Tipo])</f>
        <v>OMP Elementos</v>
      </c>
      <c r="E954" s="15" t="str" cm="1">
        <f t="array" ref="E954">_xlfn.XLOOKUP(Total[[#This Row],[Tecnología]]&amp;Total[[#This Row],[Problema]],TbNombres[Tecnología]&amp;TbNombres[Problema],TbNombres[Nombre])</f>
        <v>Simple Advdiff</v>
      </c>
      <c r="F954" s="1">
        <v>6</v>
      </c>
      <c r="G954" s="1">
        <v>1</v>
      </c>
      <c r="H954" s="1">
        <v>1</v>
      </c>
      <c r="I954" s="1">
        <v>10000</v>
      </c>
      <c r="J954" s="1">
        <v>10000</v>
      </c>
      <c r="K954" s="1">
        <v>238.36600000000001</v>
      </c>
    </row>
    <row r="955" spans="2:11" x14ac:dyDescent="0.2">
      <c r="B955" s="26" t="str">
        <f>_xlfn.XLOOKUP(Total[[#This Row],[Metodo]],TbSolver[Metodo],TbSolver[Solver])</f>
        <v>Adams Bashford Moulton</v>
      </c>
      <c r="C955" s="26" t="str">
        <f>_xlfn.XLOOKUP(Total[[#This Row],[Hebras]],TbTecnologia[Hebras],TbTecnologia[Tecnología])</f>
        <v>OMP</v>
      </c>
      <c r="D955" s="15" t="str" cm="1">
        <f t="array" ref="D955">_xlfn.XLOOKUP(Total[[#This Row],[Tecnología]]&amp;Total[[#This Row],[Metodo]],TbTipos[Tecnología]&amp;TbTipos[Metodo],TbTipos[Tipo])</f>
        <v>OMP Elementos</v>
      </c>
      <c r="E955" s="15" t="str" cm="1">
        <f t="array" ref="E955">_xlfn.XLOOKUP(Total[[#This Row],[Tecnología]]&amp;Total[[#This Row],[Problema]],TbNombres[Tecnología]&amp;TbNombres[Problema],TbNombres[Nombre])</f>
        <v>Simple Advdiff</v>
      </c>
      <c r="F955" s="1">
        <v>6</v>
      </c>
      <c r="G955" s="1">
        <v>1</v>
      </c>
      <c r="H955" s="1">
        <v>4</v>
      </c>
      <c r="I955" s="1">
        <v>10000</v>
      </c>
      <c r="J955" s="1">
        <v>10000</v>
      </c>
      <c r="K955" s="1">
        <v>70.852900000000005</v>
      </c>
    </row>
    <row r="956" spans="2:11" x14ac:dyDescent="0.2">
      <c r="B956" s="26" t="str">
        <f>_xlfn.XLOOKUP(Total[[#This Row],[Metodo]],TbSolver[Metodo],TbSolver[Solver])</f>
        <v>Adams Bashford Moulton</v>
      </c>
      <c r="C956" s="26" t="str">
        <f>_xlfn.XLOOKUP(Total[[#This Row],[Hebras]],TbTecnologia[Hebras],TbTecnologia[Tecnología])</f>
        <v>OMP</v>
      </c>
      <c r="D956" s="15" t="str" cm="1">
        <f t="array" ref="D956">_xlfn.XLOOKUP(Total[[#This Row],[Tecnología]]&amp;Total[[#This Row],[Metodo]],TbTipos[Tecnología]&amp;TbTipos[Metodo],TbTipos[Tipo])</f>
        <v>OMP Elementos</v>
      </c>
      <c r="E956" s="15" t="str" cm="1">
        <f t="array" ref="E956">_xlfn.XLOOKUP(Total[[#This Row],[Tecnología]]&amp;Total[[#This Row],[Problema]],TbNombres[Tecnología]&amp;TbNombres[Problema],TbNombres[Nombre])</f>
        <v>Simple Advdiff</v>
      </c>
      <c r="F956" s="1">
        <v>6</v>
      </c>
      <c r="G956" s="1">
        <v>1</v>
      </c>
      <c r="H956" s="1">
        <v>16</v>
      </c>
      <c r="I956" s="1">
        <v>10000</v>
      </c>
      <c r="J956" s="1">
        <v>10000</v>
      </c>
      <c r="K956" s="1">
        <v>43.308700000000002</v>
      </c>
    </row>
    <row r="957" spans="2:11" x14ac:dyDescent="0.2">
      <c r="B957" s="26" t="str">
        <f>_xlfn.XLOOKUP(Total[[#This Row],[Metodo]],TbSolver[Metodo],TbSolver[Solver])</f>
        <v>Adams Bashford Moulton</v>
      </c>
      <c r="C957" s="26" t="str">
        <f>_xlfn.XLOOKUP(Total[[#This Row],[Hebras]],TbTecnologia[Hebras],TbTecnologia[Tecnología])</f>
        <v>OMP</v>
      </c>
      <c r="D957" s="15" t="str" cm="1">
        <f t="array" ref="D957">_xlfn.XLOOKUP(Total[[#This Row],[Tecnología]]&amp;Total[[#This Row],[Metodo]],TbTipos[Tecnología]&amp;TbTipos[Metodo],TbTipos[Tipo])</f>
        <v>OMP Elementos</v>
      </c>
      <c r="E957" s="15" t="str" cm="1">
        <f t="array" ref="E957">_xlfn.XLOOKUP(Total[[#This Row],[Tecnología]]&amp;Total[[#This Row],[Problema]],TbNombres[Tecnología]&amp;TbNombres[Problema],TbNombres[Nombre])</f>
        <v>Advdiff1d</v>
      </c>
      <c r="F957" s="1">
        <v>6</v>
      </c>
      <c r="G957" s="1">
        <v>2</v>
      </c>
      <c r="H957" s="1">
        <v>1</v>
      </c>
      <c r="I957" s="1">
        <v>10000</v>
      </c>
      <c r="J957" s="1">
        <v>10000</v>
      </c>
      <c r="K957" s="1">
        <v>907.27200000000005</v>
      </c>
    </row>
    <row r="958" spans="2:11" x14ac:dyDescent="0.2">
      <c r="B958" s="26" t="str">
        <f>_xlfn.XLOOKUP(Total[[#This Row],[Metodo]],TbSolver[Metodo],TbSolver[Solver])</f>
        <v>Adams Bashford Moulton</v>
      </c>
      <c r="C958" s="26" t="str">
        <f>_xlfn.XLOOKUP(Total[[#This Row],[Hebras]],TbTecnologia[Hebras],TbTecnologia[Tecnología])</f>
        <v>OMP</v>
      </c>
      <c r="D958" s="15" t="str" cm="1">
        <f t="array" ref="D958">_xlfn.XLOOKUP(Total[[#This Row],[Tecnología]]&amp;Total[[#This Row],[Metodo]],TbTipos[Tecnología]&amp;TbTipos[Metodo],TbTipos[Tipo])</f>
        <v>OMP Elementos</v>
      </c>
      <c r="E958" s="15" t="str" cm="1">
        <f t="array" ref="E958">_xlfn.XLOOKUP(Total[[#This Row],[Tecnología]]&amp;Total[[#This Row],[Problema]],TbNombres[Tecnología]&amp;TbNombres[Problema],TbNombres[Nombre])</f>
        <v>Advdiff1d</v>
      </c>
      <c r="F958" s="1">
        <v>6</v>
      </c>
      <c r="G958" s="1">
        <v>2</v>
      </c>
      <c r="H958" s="1">
        <v>4</v>
      </c>
      <c r="I958" s="1">
        <v>10000</v>
      </c>
      <c r="J958" s="1">
        <v>10000</v>
      </c>
      <c r="K958" s="1">
        <v>258.58300000000003</v>
      </c>
    </row>
    <row r="959" spans="2:11" x14ac:dyDescent="0.2">
      <c r="B959" s="26" t="str">
        <f>_xlfn.XLOOKUP(Total[[#This Row],[Metodo]],TbSolver[Metodo],TbSolver[Solver])</f>
        <v>Adams Bashford Moulton</v>
      </c>
      <c r="C959" s="26" t="str">
        <f>_xlfn.XLOOKUP(Total[[#This Row],[Hebras]],TbTecnologia[Hebras],TbTecnologia[Tecnología])</f>
        <v>OMP</v>
      </c>
      <c r="D959" s="15" t="str" cm="1">
        <f t="array" ref="D959">_xlfn.XLOOKUP(Total[[#This Row],[Tecnología]]&amp;Total[[#This Row],[Metodo]],TbTipos[Tecnología]&amp;TbTipos[Metodo],TbTipos[Tipo])</f>
        <v>OMP Elementos</v>
      </c>
      <c r="E959" s="15" t="str" cm="1">
        <f t="array" ref="E959">_xlfn.XLOOKUP(Total[[#This Row],[Tecnología]]&amp;Total[[#This Row],[Problema]],TbNombres[Tecnología]&amp;TbNombres[Problema],TbNombres[Nombre])</f>
        <v>Advdiff1d</v>
      </c>
      <c r="F959" s="1">
        <v>6</v>
      </c>
      <c r="G959" s="1">
        <v>2</v>
      </c>
      <c r="H959" s="1">
        <v>16</v>
      </c>
      <c r="I959" s="1">
        <v>10000</v>
      </c>
      <c r="J959" s="1">
        <v>10000</v>
      </c>
      <c r="K959" s="1">
        <v>89.349100000000007</v>
      </c>
    </row>
    <row r="960" spans="2:11" x14ac:dyDescent="0.2">
      <c r="B960" s="26" t="str">
        <f>_xlfn.XLOOKUP(Total[[#This Row],[Metodo]],TbSolver[Metodo],TbSolver[Solver])</f>
        <v>Adams Bashford Moulton</v>
      </c>
      <c r="C960" s="26" t="str">
        <f>_xlfn.XLOOKUP(Total[[#This Row],[Hebras]],TbTecnologia[Hebras],TbTecnologia[Tecnología])</f>
        <v>OMP</v>
      </c>
      <c r="D960" s="15" t="str" cm="1">
        <f t="array" ref="D960">_xlfn.XLOOKUP(Total[[#This Row],[Tecnología]]&amp;Total[[#This Row],[Metodo]],TbTipos[Tecnología]&amp;TbTipos[Metodo],TbTipos[Tipo])</f>
        <v>OMP Elementos</v>
      </c>
      <c r="E960" s="15" t="str" cm="1">
        <f t="array" ref="E960">_xlfn.XLOOKUP(Total[[#This Row],[Tecnología]]&amp;Total[[#This Row],[Problema]],TbNombres[Tecnología]&amp;TbNombres[Problema],TbNombres[Nombre])</f>
        <v>Brusselator1d</v>
      </c>
      <c r="F960" s="1">
        <v>6</v>
      </c>
      <c r="G960" s="1">
        <v>3</v>
      </c>
      <c r="H960" s="1">
        <v>1</v>
      </c>
      <c r="I960" s="1">
        <v>10000</v>
      </c>
      <c r="J960" s="1">
        <v>20000</v>
      </c>
      <c r="K960" s="1">
        <v>570.62900000000002</v>
      </c>
    </row>
    <row r="961" spans="2:11" x14ac:dyDescent="0.2">
      <c r="B961" s="26" t="str">
        <f>_xlfn.XLOOKUP(Total[[#This Row],[Metodo]],TbSolver[Metodo],TbSolver[Solver])</f>
        <v>Adams Bashford Moulton</v>
      </c>
      <c r="C961" s="26" t="str">
        <f>_xlfn.XLOOKUP(Total[[#This Row],[Hebras]],TbTecnologia[Hebras],TbTecnologia[Tecnología])</f>
        <v>OMP</v>
      </c>
      <c r="D961" s="15" t="str" cm="1">
        <f t="array" ref="D961">_xlfn.XLOOKUP(Total[[#This Row],[Tecnología]]&amp;Total[[#This Row],[Metodo]],TbTipos[Tecnología]&amp;TbTipos[Metodo],TbTipos[Tipo])</f>
        <v>OMP Elementos</v>
      </c>
      <c r="E961" s="15" t="str" cm="1">
        <f t="array" ref="E961">_xlfn.XLOOKUP(Total[[#This Row],[Tecnología]]&amp;Total[[#This Row],[Problema]],TbNombres[Tecnología]&amp;TbNombres[Problema],TbNombres[Nombre])</f>
        <v>Brusselator1d</v>
      </c>
      <c r="F961" s="1">
        <v>6</v>
      </c>
      <c r="G961" s="1">
        <v>3</v>
      </c>
      <c r="H961" s="1">
        <v>4</v>
      </c>
      <c r="I961" s="1">
        <v>10000</v>
      </c>
      <c r="J961" s="1">
        <v>20000</v>
      </c>
      <c r="K961" s="1">
        <v>167.571</v>
      </c>
    </row>
    <row r="962" spans="2:11" x14ac:dyDescent="0.2">
      <c r="B962" s="26" t="str">
        <f>_xlfn.XLOOKUP(Total[[#This Row],[Metodo]],TbSolver[Metodo],TbSolver[Solver])</f>
        <v>Adams Bashford Moulton</v>
      </c>
      <c r="C962" s="26" t="str">
        <f>_xlfn.XLOOKUP(Total[[#This Row],[Hebras]],TbTecnologia[Hebras],TbTecnologia[Tecnología])</f>
        <v>OMP</v>
      </c>
      <c r="D962" s="15" t="str" cm="1">
        <f t="array" ref="D962">_xlfn.XLOOKUP(Total[[#This Row],[Tecnología]]&amp;Total[[#This Row],[Metodo]],TbTipos[Tecnología]&amp;TbTipos[Metodo],TbTipos[Tipo])</f>
        <v>OMP Elementos</v>
      </c>
      <c r="E962" s="15" t="str" cm="1">
        <f t="array" ref="E962">_xlfn.XLOOKUP(Total[[#This Row],[Tecnología]]&amp;Total[[#This Row],[Problema]],TbNombres[Tecnología]&amp;TbNombres[Problema],TbNombres[Nombre])</f>
        <v>Brusselator1d</v>
      </c>
      <c r="F962" s="1">
        <v>6</v>
      </c>
      <c r="G962" s="1">
        <v>3</v>
      </c>
      <c r="H962" s="1">
        <v>16</v>
      </c>
      <c r="I962" s="1">
        <v>10000</v>
      </c>
      <c r="J962" s="1">
        <v>20000</v>
      </c>
      <c r="K962" s="1">
        <v>174.119</v>
      </c>
    </row>
    <row r="963" spans="2:11" x14ac:dyDescent="0.2">
      <c r="B963" s="26" t="str">
        <f>_xlfn.XLOOKUP(Total[[#This Row],[Metodo]],TbSolver[Metodo],TbSolver[Solver])</f>
        <v>Runge Kutta</v>
      </c>
      <c r="C963" s="26" t="str">
        <f>_xlfn.XLOOKUP(Total[[#This Row],[Hebras]],TbTecnologia[Hebras],TbTecnologia[Tecnología])</f>
        <v>OMP</v>
      </c>
      <c r="D963" s="15" t="str" cm="1">
        <f t="array" ref="D963">_xlfn.XLOOKUP(Total[[#This Row],[Tecnología]]&amp;Total[[#This Row],[Metodo]],TbTipos[Tecnología]&amp;TbTipos[Metodo],TbTipos[Tipo])</f>
        <v>OMP Operaciones</v>
      </c>
      <c r="E963" s="15" t="str" cm="1">
        <f t="array" ref="E963">_xlfn.XLOOKUP(Total[[#This Row],[Tecnología]]&amp;Total[[#This Row],[Problema]],TbNombres[Tecnología]&amp;TbNombres[Problema],TbNombres[Nombre])</f>
        <v>Simple Advdiff</v>
      </c>
      <c r="F963" s="1">
        <v>1</v>
      </c>
      <c r="G963" s="1">
        <v>1</v>
      </c>
      <c r="H963" s="1">
        <v>1</v>
      </c>
      <c r="I963" s="1">
        <v>15000</v>
      </c>
      <c r="J963" s="1">
        <v>15000</v>
      </c>
      <c r="K963" s="1">
        <v>78.578999999999994</v>
      </c>
    </row>
    <row r="964" spans="2:11" x14ac:dyDescent="0.2">
      <c r="B964" s="26" t="str">
        <f>_xlfn.XLOOKUP(Total[[#This Row],[Metodo]],TbSolver[Metodo],TbSolver[Solver])</f>
        <v>Runge Kutta</v>
      </c>
      <c r="C964" s="26" t="str">
        <f>_xlfn.XLOOKUP(Total[[#This Row],[Hebras]],TbTecnologia[Hebras],TbTecnologia[Tecnología])</f>
        <v>OMP</v>
      </c>
      <c r="D964" s="15" t="str" cm="1">
        <f t="array" ref="D964">_xlfn.XLOOKUP(Total[[#This Row],[Tecnología]]&amp;Total[[#This Row],[Metodo]],TbTipos[Tecnología]&amp;TbTipos[Metodo],TbTipos[Tipo])</f>
        <v>OMP Operaciones</v>
      </c>
      <c r="E964" s="15" t="str" cm="1">
        <f t="array" ref="E964">_xlfn.XLOOKUP(Total[[#This Row],[Tecnología]]&amp;Total[[#This Row],[Problema]],TbNombres[Tecnología]&amp;TbNombres[Problema],TbNombres[Nombre])</f>
        <v>Simple Advdiff</v>
      </c>
      <c r="F964" s="1">
        <v>1</v>
      </c>
      <c r="G964" s="1">
        <v>1</v>
      </c>
      <c r="H964" s="1">
        <v>4</v>
      </c>
      <c r="I964" s="1">
        <v>15000</v>
      </c>
      <c r="J964" s="1">
        <v>15000</v>
      </c>
      <c r="K964" s="1">
        <v>44.523899999999998</v>
      </c>
    </row>
    <row r="965" spans="2:11" x14ac:dyDescent="0.2">
      <c r="B965" s="26" t="str">
        <f>_xlfn.XLOOKUP(Total[[#This Row],[Metodo]],TbSolver[Metodo],TbSolver[Solver])</f>
        <v>Runge Kutta</v>
      </c>
      <c r="C965" s="26" t="str">
        <f>_xlfn.XLOOKUP(Total[[#This Row],[Hebras]],TbTecnologia[Hebras],TbTecnologia[Tecnología])</f>
        <v>OMP</v>
      </c>
      <c r="D965" s="15" t="str" cm="1">
        <f t="array" ref="D965">_xlfn.XLOOKUP(Total[[#This Row],[Tecnología]]&amp;Total[[#This Row],[Metodo]],TbTipos[Tecnología]&amp;TbTipos[Metodo],TbTipos[Tipo])</f>
        <v>OMP Operaciones</v>
      </c>
      <c r="E965" s="15" t="str" cm="1">
        <f t="array" ref="E965">_xlfn.XLOOKUP(Total[[#This Row],[Tecnología]]&amp;Total[[#This Row],[Problema]],TbNombres[Tecnología]&amp;TbNombres[Problema],TbNombres[Nombre])</f>
        <v>Simple Advdiff</v>
      </c>
      <c r="F965" s="1">
        <v>1</v>
      </c>
      <c r="G965" s="1">
        <v>1</v>
      </c>
      <c r="H965" s="1">
        <v>16</v>
      </c>
      <c r="I965" s="1">
        <v>15000</v>
      </c>
      <c r="J965" s="1">
        <v>15000</v>
      </c>
      <c r="K965" s="1">
        <v>67.195400000000006</v>
      </c>
    </row>
    <row r="966" spans="2:11" x14ac:dyDescent="0.2">
      <c r="B966" s="26" t="str">
        <f>_xlfn.XLOOKUP(Total[[#This Row],[Metodo]],TbSolver[Metodo],TbSolver[Solver])</f>
        <v>Runge Kutta</v>
      </c>
      <c r="C966" s="26" t="str">
        <f>_xlfn.XLOOKUP(Total[[#This Row],[Hebras]],TbTecnologia[Hebras],TbTecnologia[Tecnología])</f>
        <v>OMP</v>
      </c>
      <c r="D966" s="15" t="str" cm="1">
        <f t="array" ref="D966">_xlfn.XLOOKUP(Total[[#This Row],[Tecnología]]&amp;Total[[#This Row],[Metodo]],TbTipos[Tecnología]&amp;TbTipos[Metodo],TbTipos[Tipo])</f>
        <v>OMP Operaciones</v>
      </c>
      <c r="E966" s="15" t="str" cm="1">
        <f t="array" ref="E966">_xlfn.XLOOKUP(Total[[#This Row],[Tecnología]]&amp;Total[[#This Row],[Problema]],TbNombres[Tecnología]&amp;TbNombres[Problema],TbNombres[Nombre])</f>
        <v>Advdiff1d</v>
      </c>
      <c r="F966" s="1">
        <v>1</v>
      </c>
      <c r="G966" s="1">
        <v>2</v>
      </c>
      <c r="H966" s="1">
        <v>1</v>
      </c>
      <c r="I966" s="1">
        <v>15000</v>
      </c>
      <c r="J966" s="1">
        <v>15000</v>
      </c>
      <c r="K966" s="1">
        <v>1311.98</v>
      </c>
    </row>
    <row r="967" spans="2:11" x14ac:dyDescent="0.2">
      <c r="B967" s="26" t="str">
        <f>_xlfn.XLOOKUP(Total[[#This Row],[Metodo]],TbSolver[Metodo],TbSolver[Solver])</f>
        <v>Runge Kutta</v>
      </c>
      <c r="C967" s="26" t="str">
        <f>_xlfn.XLOOKUP(Total[[#This Row],[Hebras]],TbTecnologia[Hebras],TbTecnologia[Tecnología])</f>
        <v>OMP</v>
      </c>
      <c r="D967" s="15" t="str" cm="1">
        <f t="array" ref="D967">_xlfn.XLOOKUP(Total[[#This Row],[Tecnología]]&amp;Total[[#This Row],[Metodo]],TbTipos[Tecnología]&amp;TbTipos[Metodo],TbTipos[Tipo])</f>
        <v>OMP Operaciones</v>
      </c>
      <c r="E967" s="15" t="str" cm="1">
        <f t="array" ref="E967">_xlfn.XLOOKUP(Total[[#This Row],[Tecnología]]&amp;Total[[#This Row],[Problema]],TbNombres[Tecnología]&amp;TbNombres[Problema],TbNombres[Nombre])</f>
        <v>Advdiff1d</v>
      </c>
      <c r="F967" s="1">
        <v>1</v>
      </c>
      <c r="G967" s="1">
        <v>2</v>
      </c>
      <c r="H967" s="1">
        <v>4</v>
      </c>
      <c r="I967" s="1">
        <v>15000</v>
      </c>
      <c r="J967" s="1">
        <v>15000</v>
      </c>
      <c r="K967" s="1">
        <v>410.32299999999998</v>
      </c>
    </row>
    <row r="968" spans="2:11" x14ac:dyDescent="0.2">
      <c r="B968" s="26" t="str">
        <f>_xlfn.XLOOKUP(Total[[#This Row],[Metodo]],TbSolver[Metodo],TbSolver[Solver])</f>
        <v>Runge Kutta</v>
      </c>
      <c r="C968" s="26" t="str">
        <f>_xlfn.XLOOKUP(Total[[#This Row],[Hebras]],TbTecnologia[Hebras],TbTecnologia[Tecnología])</f>
        <v>OMP</v>
      </c>
      <c r="D968" s="15" t="str" cm="1">
        <f t="array" ref="D968">_xlfn.XLOOKUP(Total[[#This Row],[Tecnología]]&amp;Total[[#This Row],[Metodo]],TbTipos[Tecnología]&amp;TbTipos[Metodo],TbTipos[Tipo])</f>
        <v>OMP Operaciones</v>
      </c>
      <c r="E968" s="15" t="str" cm="1">
        <f t="array" ref="E968">_xlfn.XLOOKUP(Total[[#This Row],[Tecnología]]&amp;Total[[#This Row],[Problema]],TbNombres[Tecnología]&amp;TbNombres[Problema],TbNombres[Nombre])</f>
        <v>Advdiff1d</v>
      </c>
      <c r="F968" s="1">
        <v>1</v>
      </c>
      <c r="G968" s="1">
        <v>2</v>
      </c>
      <c r="H968" s="1">
        <v>16</v>
      </c>
      <c r="I968" s="1">
        <v>15000</v>
      </c>
      <c r="J968" s="1">
        <v>15000</v>
      </c>
      <c r="K968" s="1">
        <v>185.04499999999999</v>
      </c>
    </row>
    <row r="969" spans="2:11" x14ac:dyDescent="0.2">
      <c r="B969" s="26" t="str">
        <f>_xlfn.XLOOKUP(Total[[#This Row],[Metodo]],TbSolver[Metodo],TbSolver[Solver])</f>
        <v>Runge Kutta</v>
      </c>
      <c r="C969" s="26" t="str">
        <f>_xlfn.XLOOKUP(Total[[#This Row],[Hebras]],TbTecnologia[Hebras],TbTecnologia[Tecnología])</f>
        <v>OMP</v>
      </c>
      <c r="D969" s="15" t="str" cm="1">
        <f t="array" ref="D969">_xlfn.XLOOKUP(Total[[#This Row],[Tecnología]]&amp;Total[[#This Row],[Metodo]],TbTipos[Tecnología]&amp;TbTipos[Metodo],TbTipos[Tipo])</f>
        <v>OMP Operaciones</v>
      </c>
      <c r="E969" s="15" t="str" cm="1">
        <f t="array" ref="E969">_xlfn.XLOOKUP(Total[[#This Row],[Tecnología]]&amp;Total[[#This Row],[Problema]],TbNombres[Tecnología]&amp;TbNombres[Problema],TbNombres[Nombre])</f>
        <v>Brusselator1d</v>
      </c>
      <c r="F969" s="1">
        <v>1</v>
      </c>
      <c r="G969" s="1">
        <v>3</v>
      </c>
      <c r="H969" s="1">
        <v>1</v>
      </c>
      <c r="I969" s="1">
        <v>15000</v>
      </c>
      <c r="J969" s="1">
        <v>30000</v>
      </c>
      <c r="K969" s="1">
        <v>306.45499999999998</v>
      </c>
    </row>
    <row r="970" spans="2:11" x14ac:dyDescent="0.2">
      <c r="B970" s="26" t="str">
        <f>_xlfn.XLOOKUP(Total[[#This Row],[Metodo]],TbSolver[Metodo],TbSolver[Solver])</f>
        <v>Runge Kutta</v>
      </c>
      <c r="C970" s="26" t="str">
        <f>_xlfn.XLOOKUP(Total[[#This Row],[Hebras]],TbTecnologia[Hebras],TbTecnologia[Tecnología])</f>
        <v>OMP</v>
      </c>
      <c r="D970" s="15" t="str" cm="1">
        <f t="array" ref="D970">_xlfn.XLOOKUP(Total[[#This Row],[Tecnología]]&amp;Total[[#This Row],[Metodo]],TbTipos[Tecnología]&amp;TbTipos[Metodo],TbTipos[Tipo])</f>
        <v>OMP Operaciones</v>
      </c>
      <c r="E970" s="15" t="str" cm="1">
        <f t="array" ref="E970">_xlfn.XLOOKUP(Total[[#This Row],[Tecnología]]&amp;Total[[#This Row],[Problema]],TbNombres[Tecnología]&amp;TbNombres[Problema],TbNombres[Nombre])</f>
        <v>Brusselator1d</v>
      </c>
      <c r="F970" s="1">
        <v>1</v>
      </c>
      <c r="G970" s="1">
        <v>3</v>
      </c>
      <c r="H970" s="1">
        <v>4</v>
      </c>
      <c r="I970" s="1">
        <v>15000</v>
      </c>
      <c r="J970" s="1">
        <v>30000</v>
      </c>
      <c r="K970" s="1">
        <v>109.629</v>
      </c>
    </row>
    <row r="971" spans="2:11" x14ac:dyDescent="0.2">
      <c r="B971" s="26" t="str">
        <f>_xlfn.XLOOKUP(Total[[#This Row],[Metodo]],TbSolver[Metodo],TbSolver[Solver])</f>
        <v>Runge Kutta</v>
      </c>
      <c r="C971" s="26" t="str">
        <f>_xlfn.XLOOKUP(Total[[#This Row],[Hebras]],TbTecnologia[Hebras],TbTecnologia[Tecnología])</f>
        <v>OMP</v>
      </c>
      <c r="D971" s="15" t="str" cm="1">
        <f t="array" ref="D971">_xlfn.XLOOKUP(Total[[#This Row],[Tecnología]]&amp;Total[[#This Row],[Metodo]],TbTipos[Tecnología]&amp;TbTipos[Metodo],TbTipos[Tipo])</f>
        <v>OMP Operaciones</v>
      </c>
      <c r="E971" s="15" t="str" cm="1">
        <f t="array" ref="E971">_xlfn.XLOOKUP(Total[[#This Row],[Tecnología]]&amp;Total[[#This Row],[Problema]],TbNombres[Tecnología]&amp;TbNombres[Problema],TbNombres[Nombre])</f>
        <v>Brusselator1d</v>
      </c>
      <c r="F971" s="1">
        <v>1</v>
      </c>
      <c r="G971" s="1">
        <v>3</v>
      </c>
      <c r="H971" s="1">
        <v>16</v>
      </c>
      <c r="I971" s="1">
        <v>15000</v>
      </c>
      <c r="J971" s="1">
        <v>30000</v>
      </c>
      <c r="K971" s="1">
        <v>110.31</v>
      </c>
    </row>
    <row r="972" spans="2:11" x14ac:dyDescent="0.2">
      <c r="B972" s="26" t="str">
        <f>_xlfn.XLOOKUP(Total[[#This Row],[Metodo]],TbSolver[Metodo],TbSolver[Solver])</f>
        <v>Runge Kutta</v>
      </c>
      <c r="C972" s="26" t="str">
        <f>_xlfn.XLOOKUP(Total[[#This Row],[Hebras]],TbTecnologia[Hebras],TbTecnologia[Tecnología])</f>
        <v>OMP</v>
      </c>
      <c r="D972" s="15" t="str" cm="1">
        <f t="array" ref="D972">_xlfn.XLOOKUP(Total[[#This Row],[Tecnología]]&amp;Total[[#This Row],[Metodo]],TbTipos[Tecnología]&amp;TbTipos[Metodo],TbTipos[Tipo])</f>
        <v>OMP Elementos</v>
      </c>
      <c r="E972" s="15" t="str" cm="1">
        <f t="array" ref="E972">_xlfn.XLOOKUP(Total[[#This Row],[Tecnología]]&amp;Total[[#This Row],[Problema]],TbNombres[Tecnología]&amp;TbNombres[Problema],TbNombres[Nombre])</f>
        <v>Simple Advdiff</v>
      </c>
      <c r="F972" s="1">
        <v>2</v>
      </c>
      <c r="G972" s="1">
        <v>1</v>
      </c>
      <c r="H972" s="1">
        <v>1</v>
      </c>
      <c r="I972" s="1">
        <v>15000</v>
      </c>
      <c r="J972" s="1">
        <v>15000</v>
      </c>
      <c r="K972" s="1">
        <v>455.19499999999999</v>
      </c>
    </row>
    <row r="973" spans="2:11" x14ac:dyDescent="0.2">
      <c r="B973" s="26" t="str">
        <f>_xlfn.XLOOKUP(Total[[#This Row],[Metodo]],TbSolver[Metodo],TbSolver[Solver])</f>
        <v>Runge Kutta</v>
      </c>
      <c r="C973" s="26" t="str">
        <f>_xlfn.XLOOKUP(Total[[#This Row],[Hebras]],TbTecnologia[Hebras],TbTecnologia[Tecnología])</f>
        <v>OMP</v>
      </c>
      <c r="D973" s="15" t="str" cm="1">
        <f t="array" ref="D973">_xlfn.XLOOKUP(Total[[#This Row],[Tecnología]]&amp;Total[[#This Row],[Metodo]],TbTipos[Tecnología]&amp;TbTipos[Metodo],TbTipos[Tipo])</f>
        <v>OMP Elementos</v>
      </c>
      <c r="E973" s="15" t="str" cm="1">
        <f t="array" ref="E973">_xlfn.XLOOKUP(Total[[#This Row],[Tecnología]]&amp;Total[[#This Row],[Problema]],TbNombres[Tecnología]&amp;TbNombres[Problema],TbNombres[Nombre])</f>
        <v>Simple Advdiff</v>
      </c>
      <c r="F973" s="1">
        <v>2</v>
      </c>
      <c r="G973" s="1">
        <v>1</v>
      </c>
      <c r="H973" s="1">
        <v>4</v>
      </c>
      <c r="I973" s="1">
        <v>15000</v>
      </c>
      <c r="J973" s="1">
        <v>15000</v>
      </c>
      <c r="K973" s="1">
        <v>125.498</v>
      </c>
    </row>
    <row r="974" spans="2:11" x14ac:dyDescent="0.2">
      <c r="B974" s="26" t="str">
        <f>_xlfn.XLOOKUP(Total[[#This Row],[Metodo]],TbSolver[Metodo],TbSolver[Solver])</f>
        <v>Runge Kutta</v>
      </c>
      <c r="C974" s="26" t="str">
        <f>_xlfn.XLOOKUP(Total[[#This Row],[Hebras]],TbTecnologia[Hebras],TbTecnologia[Tecnología])</f>
        <v>OMP</v>
      </c>
      <c r="D974" s="15" t="str" cm="1">
        <f t="array" ref="D974">_xlfn.XLOOKUP(Total[[#This Row],[Tecnología]]&amp;Total[[#This Row],[Metodo]],TbTipos[Tecnología]&amp;TbTipos[Metodo],TbTipos[Tipo])</f>
        <v>OMP Elementos</v>
      </c>
      <c r="E974" s="15" t="str" cm="1">
        <f t="array" ref="E974">_xlfn.XLOOKUP(Total[[#This Row],[Tecnología]]&amp;Total[[#This Row],[Problema]],TbNombres[Tecnología]&amp;TbNombres[Problema],TbNombres[Nombre])</f>
        <v>Simple Advdiff</v>
      </c>
      <c r="F974" s="1">
        <v>2</v>
      </c>
      <c r="G974" s="1">
        <v>1</v>
      </c>
      <c r="H974" s="1">
        <v>16</v>
      </c>
      <c r="I974" s="1">
        <v>15000</v>
      </c>
      <c r="J974" s="1">
        <v>15000</v>
      </c>
      <c r="K974" s="1">
        <v>45.901899999999998</v>
      </c>
    </row>
    <row r="975" spans="2:11" x14ac:dyDescent="0.2">
      <c r="B975" s="26" t="str">
        <f>_xlfn.XLOOKUP(Total[[#This Row],[Metodo]],TbSolver[Metodo],TbSolver[Solver])</f>
        <v>Runge Kutta</v>
      </c>
      <c r="C975" s="26" t="str">
        <f>_xlfn.XLOOKUP(Total[[#This Row],[Hebras]],TbTecnologia[Hebras],TbTecnologia[Tecnología])</f>
        <v>OMP</v>
      </c>
      <c r="D975" s="15" t="str" cm="1">
        <f t="array" ref="D975">_xlfn.XLOOKUP(Total[[#This Row],[Tecnología]]&amp;Total[[#This Row],[Metodo]],TbTipos[Tecnología]&amp;TbTipos[Metodo],TbTipos[Tipo])</f>
        <v>OMP Elementos</v>
      </c>
      <c r="E975" s="15" t="str" cm="1">
        <f t="array" ref="E975">_xlfn.XLOOKUP(Total[[#This Row],[Tecnología]]&amp;Total[[#This Row],[Problema]],TbNombres[Tecnología]&amp;TbNombres[Problema],TbNombres[Nombre])</f>
        <v>Advdiff1d</v>
      </c>
      <c r="F975" s="1">
        <v>2</v>
      </c>
      <c r="G975" s="1">
        <v>2</v>
      </c>
      <c r="H975" s="1">
        <v>1</v>
      </c>
      <c r="I975" s="1">
        <v>15000</v>
      </c>
      <c r="J975" s="1">
        <v>15000</v>
      </c>
      <c r="K975" s="1">
        <v>1723.25</v>
      </c>
    </row>
    <row r="976" spans="2:11" x14ac:dyDescent="0.2">
      <c r="B976" s="26" t="str">
        <f>_xlfn.XLOOKUP(Total[[#This Row],[Metodo]],TbSolver[Metodo],TbSolver[Solver])</f>
        <v>Runge Kutta</v>
      </c>
      <c r="C976" s="26" t="str">
        <f>_xlfn.XLOOKUP(Total[[#This Row],[Hebras]],TbTecnologia[Hebras],TbTecnologia[Tecnología])</f>
        <v>OMP</v>
      </c>
      <c r="D976" s="15" t="str" cm="1">
        <f t="array" ref="D976">_xlfn.XLOOKUP(Total[[#This Row],[Tecnología]]&amp;Total[[#This Row],[Metodo]],TbTipos[Tecnología]&amp;TbTipos[Metodo],TbTipos[Tipo])</f>
        <v>OMP Elementos</v>
      </c>
      <c r="E976" s="15" t="str" cm="1">
        <f t="array" ref="E976">_xlfn.XLOOKUP(Total[[#This Row],[Tecnología]]&amp;Total[[#This Row],[Problema]],TbNombres[Tecnología]&amp;TbNombres[Problema],TbNombres[Nombre])</f>
        <v>Advdiff1d</v>
      </c>
      <c r="F976" s="1">
        <v>2</v>
      </c>
      <c r="G976" s="1">
        <v>2</v>
      </c>
      <c r="H976" s="1">
        <v>4</v>
      </c>
      <c r="I976" s="1">
        <v>15000</v>
      </c>
      <c r="J976" s="1">
        <v>15000</v>
      </c>
      <c r="K976" s="1">
        <v>482.97199999999998</v>
      </c>
    </row>
    <row r="977" spans="2:11" x14ac:dyDescent="0.2">
      <c r="B977" s="26" t="str">
        <f>_xlfn.XLOOKUP(Total[[#This Row],[Metodo]],TbSolver[Metodo],TbSolver[Solver])</f>
        <v>Runge Kutta</v>
      </c>
      <c r="C977" s="26" t="str">
        <f>_xlfn.XLOOKUP(Total[[#This Row],[Hebras]],TbTecnologia[Hebras],TbTecnologia[Tecnología])</f>
        <v>OMP</v>
      </c>
      <c r="D977" s="15" t="str" cm="1">
        <f t="array" ref="D977">_xlfn.XLOOKUP(Total[[#This Row],[Tecnología]]&amp;Total[[#This Row],[Metodo]],TbTipos[Tecnología]&amp;TbTipos[Metodo],TbTipos[Tipo])</f>
        <v>OMP Elementos</v>
      </c>
      <c r="E977" s="15" t="str" cm="1">
        <f t="array" ref="E977">_xlfn.XLOOKUP(Total[[#This Row],[Tecnología]]&amp;Total[[#This Row],[Problema]],TbNombres[Tecnología]&amp;TbNombres[Problema],TbNombres[Nombre])</f>
        <v>Advdiff1d</v>
      </c>
      <c r="F977" s="1">
        <v>2</v>
      </c>
      <c r="G977" s="1">
        <v>2</v>
      </c>
      <c r="H977" s="1">
        <v>16</v>
      </c>
      <c r="I977" s="1">
        <v>15000</v>
      </c>
      <c r="J977" s="1">
        <v>15000</v>
      </c>
      <c r="K977" s="1">
        <v>137.40700000000001</v>
      </c>
    </row>
    <row r="978" spans="2:11" x14ac:dyDescent="0.2">
      <c r="B978" s="26" t="str">
        <f>_xlfn.XLOOKUP(Total[[#This Row],[Metodo]],TbSolver[Metodo],TbSolver[Solver])</f>
        <v>Runge Kutta</v>
      </c>
      <c r="C978" s="26" t="str">
        <f>_xlfn.XLOOKUP(Total[[#This Row],[Hebras]],TbTecnologia[Hebras],TbTecnologia[Tecnología])</f>
        <v>OMP</v>
      </c>
      <c r="D978" s="15" t="str" cm="1">
        <f t="array" ref="D978">_xlfn.XLOOKUP(Total[[#This Row],[Tecnología]]&amp;Total[[#This Row],[Metodo]],TbTipos[Tecnología]&amp;TbTipos[Metodo],TbTipos[Tipo])</f>
        <v>OMP Elementos</v>
      </c>
      <c r="E978" s="15" t="str" cm="1">
        <f t="array" ref="E978">_xlfn.XLOOKUP(Total[[#This Row],[Tecnología]]&amp;Total[[#This Row],[Problema]],TbNombres[Tecnología]&amp;TbNombres[Problema],TbNombres[Nombre])</f>
        <v>Brusselator1d</v>
      </c>
      <c r="F978" s="1">
        <v>2</v>
      </c>
      <c r="G978" s="1">
        <v>3</v>
      </c>
      <c r="H978" s="1">
        <v>1</v>
      </c>
      <c r="I978" s="1">
        <v>15000</v>
      </c>
      <c r="J978" s="1">
        <v>30000</v>
      </c>
      <c r="K978" s="1">
        <v>739.15800000000002</v>
      </c>
    </row>
    <row r="979" spans="2:11" x14ac:dyDescent="0.2">
      <c r="B979" s="26" t="str">
        <f>_xlfn.XLOOKUP(Total[[#This Row],[Metodo]],TbSolver[Metodo],TbSolver[Solver])</f>
        <v>Runge Kutta</v>
      </c>
      <c r="C979" s="26" t="str">
        <f>_xlfn.XLOOKUP(Total[[#This Row],[Hebras]],TbTecnologia[Hebras],TbTecnologia[Tecnología])</f>
        <v>OMP</v>
      </c>
      <c r="D979" s="15" t="str" cm="1">
        <f t="array" ref="D979">_xlfn.XLOOKUP(Total[[#This Row],[Tecnología]]&amp;Total[[#This Row],[Metodo]],TbTipos[Tecnología]&amp;TbTipos[Metodo],TbTipos[Tipo])</f>
        <v>OMP Elementos</v>
      </c>
      <c r="E979" s="15" t="str" cm="1">
        <f t="array" ref="E979">_xlfn.XLOOKUP(Total[[#This Row],[Tecnología]]&amp;Total[[#This Row],[Problema]],TbNombres[Tecnología]&amp;TbNombres[Problema],TbNombres[Nombre])</f>
        <v>Brusselator1d</v>
      </c>
      <c r="F979" s="1">
        <v>2</v>
      </c>
      <c r="G979" s="1">
        <v>3</v>
      </c>
      <c r="H979" s="1">
        <v>4</v>
      </c>
      <c r="I979" s="1">
        <v>15000</v>
      </c>
      <c r="J979" s="1">
        <v>30000</v>
      </c>
      <c r="K979" s="1">
        <v>200.256</v>
      </c>
    </row>
    <row r="980" spans="2:11" x14ac:dyDescent="0.2">
      <c r="B980" s="26" t="str">
        <f>_xlfn.XLOOKUP(Total[[#This Row],[Metodo]],TbSolver[Metodo],TbSolver[Solver])</f>
        <v>Runge Kutta</v>
      </c>
      <c r="C980" s="26" t="str">
        <f>_xlfn.XLOOKUP(Total[[#This Row],[Hebras]],TbTecnologia[Hebras],TbTecnologia[Tecnología])</f>
        <v>OMP</v>
      </c>
      <c r="D980" s="15" t="str" cm="1">
        <f t="array" ref="D980">_xlfn.XLOOKUP(Total[[#This Row],[Tecnología]]&amp;Total[[#This Row],[Metodo]],TbTipos[Tecnología]&amp;TbTipos[Metodo],TbTipos[Tipo])</f>
        <v>OMP Elementos</v>
      </c>
      <c r="E980" s="15" t="str" cm="1">
        <f t="array" ref="E980">_xlfn.XLOOKUP(Total[[#This Row],[Tecnología]]&amp;Total[[#This Row],[Problema]],TbNombres[Tecnología]&amp;TbNombres[Problema],TbNombres[Nombre])</f>
        <v>Brusselator1d</v>
      </c>
      <c r="F980" s="1">
        <v>2</v>
      </c>
      <c r="G980" s="1">
        <v>3</v>
      </c>
      <c r="H980" s="1">
        <v>16</v>
      </c>
      <c r="I980" s="1">
        <v>15000</v>
      </c>
      <c r="J980" s="1">
        <v>30000</v>
      </c>
      <c r="K980" s="1">
        <v>66.805999999999997</v>
      </c>
    </row>
    <row r="981" spans="2:11" x14ac:dyDescent="0.2">
      <c r="B981" s="26" t="str">
        <f>_xlfn.XLOOKUP(Total[[#This Row],[Metodo]],TbSolver[Metodo],TbSolver[Solver])</f>
        <v>Adams Bashford</v>
      </c>
      <c r="C981" s="26" t="str">
        <f>_xlfn.XLOOKUP(Total[[#This Row],[Hebras]],TbTecnologia[Hebras],TbTecnologia[Tecnología])</f>
        <v>OMP</v>
      </c>
      <c r="D981" s="15" t="str" cm="1">
        <f t="array" ref="D981">_xlfn.XLOOKUP(Total[[#This Row],[Tecnología]]&amp;Total[[#This Row],[Metodo]],TbTipos[Tecnología]&amp;TbTipos[Metodo],TbTipos[Tipo])</f>
        <v>OMP Operaciones</v>
      </c>
      <c r="E981" s="15" t="str" cm="1">
        <f t="array" ref="E981">_xlfn.XLOOKUP(Total[[#This Row],[Tecnología]]&amp;Total[[#This Row],[Problema]],TbNombres[Tecnología]&amp;TbNombres[Problema],TbNombres[Nombre])</f>
        <v>Simple Advdiff</v>
      </c>
      <c r="F981" s="1">
        <v>3</v>
      </c>
      <c r="G981" s="1">
        <v>1</v>
      </c>
      <c r="H981" s="1">
        <v>1</v>
      </c>
      <c r="I981" s="1">
        <v>15000</v>
      </c>
      <c r="J981" s="1">
        <v>15000</v>
      </c>
      <c r="K981" s="1">
        <v>31.887</v>
      </c>
    </row>
    <row r="982" spans="2:11" x14ac:dyDescent="0.2">
      <c r="B982" s="26" t="str">
        <f>_xlfn.XLOOKUP(Total[[#This Row],[Metodo]],TbSolver[Metodo],TbSolver[Solver])</f>
        <v>Adams Bashford</v>
      </c>
      <c r="C982" s="26" t="str">
        <f>_xlfn.XLOOKUP(Total[[#This Row],[Hebras]],TbTecnologia[Hebras],TbTecnologia[Tecnología])</f>
        <v>OMP</v>
      </c>
      <c r="D982" s="15" t="str" cm="1">
        <f t="array" ref="D982">_xlfn.XLOOKUP(Total[[#This Row],[Tecnología]]&amp;Total[[#This Row],[Metodo]],TbTipos[Tecnología]&amp;TbTipos[Metodo],TbTipos[Tipo])</f>
        <v>OMP Operaciones</v>
      </c>
      <c r="E982" s="15" t="str" cm="1">
        <f t="array" ref="E982">_xlfn.XLOOKUP(Total[[#This Row],[Tecnología]]&amp;Total[[#This Row],[Problema]],TbNombres[Tecnología]&amp;TbNombres[Problema],TbNombres[Nombre])</f>
        <v>Simple Advdiff</v>
      </c>
      <c r="F982" s="1">
        <v>3</v>
      </c>
      <c r="G982" s="1">
        <v>1</v>
      </c>
      <c r="H982" s="1">
        <v>4</v>
      </c>
      <c r="I982" s="1">
        <v>15000</v>
      </c>
      <c r="J982" s="1">
        <v>15000</v>
      </c>
      <c r="K982" s="1">
        <v>20.132200000000001</v>
      </c>
    </row>
    <row r="983" spans="2:11" x14ac:dyDescent="0.2">
      <c r="B983" s="26" t="str">
        <f>_xlfn.XLOOKUP(Total[[#This Row],[Metodo]],TbSolver[Metodo],TbSolver[Solver])</f>
        <v>Adams Bashford</v>
      </c>
      <c r="C983" s="26" t="str">
        <f>_xlfn.XLOOKUP(Total[[#This Row],[Hebras]],TbTecnologia[Hebras],TbTecnologia[Tecnología])</f>
        <v>OMP</v>
      </c>
      <c r="D983" s="15" t="str" cm="1">
        <f t="array" ref="D983">_xlfn.XLOOKUP(Total[[#This Row],[Tecnología]]&amp;Total[[#This Row],[Metodo]],TbTipos[Tecnología]&amp;TbTipos[Metodo],TbTipos[Tipo])</f>
        <v>OMP Operaciones</v>
      </c>
      <c r="E983" s="15" t="str" cm="1">
        <f t="array" ref="E983">_xlfn.XLOOKUP(Total[[#This Row],[Tecnología]]&amp;Total[[#This Row],[Problema]],TbNombres[Tecnología]&amp;TbNombres[Problema],TbNombres[Nombre])</f>
        <v>Simple Advdiff</v>
      </c>
      <c r="F983" s="1">
        <v>3</v>
      </c>
      <c r="G983" s="1">
        <v>1</v>
      </c>
      <c r="H983" s="1">
        <v>16</v>
      </c>
      <c r="I983" s="1">
        <v>15000</v>
      </c>
      <c r="J983" s="1">
        <v>15000</v>
      </c>
      <c r="K983" s="1">
        <v>36.503500000000003</v>
      </c>
    </row>
    <row r="984" spans="2:11" x14ac:dyDescent="0.2">
      <c r="B984" s="26" t="str">
        <f>_xlfn.XLOOKUP(Total[[#This Row],[Metodo]],TbSolver[Metodo],TbSolver[Solver])</f>
        <v>Adams Bashford</v>
      </c>
      <c r="C984" s="26" t="str">
        <f>_xlfn.XLOOKUP(Total[[#This Row],[Hebras]],TbTecnologia[Hebras],TbTecnologia[Tecnología])</f>
        <v>OMP</v>
      </c>
      <c r="D984" s="15" t="str" cm="1">
        <f t="array" ref="D984">_xlfn.XLOOKUP(Total[[#This Row],[Tecnología]]&amp;Total[[#This Row],[Metodo]],TbTipos[Tecnología]&amp;TbTipos[Metodo],TbTipos[Tipo])</f>
        <v>OMP Operaciones</v>
      </c>
      <c r="E984" s="15" t="str" cm="1">
        <f t="array" ref="E984">_xlfn.XLOOKUP(Total[[#This Row],[Tecnología]]&amp;Total[[#This Row],[Problema]],TbNombres[Tecnología]&amp;TbNombres[Problema],TbNombres[Nombre])</f>
        <v>Advdiff1d</v>
      </c>
      <c r="F984" s="1">
        <v>3</v>
      </c>
      <c r="G984" s="1">
        <v>2</v>
      </c>
      <c r="H984" s="1">
        <v>1</v>
      </c>
      <c r="I984" s="1">
        <v>15000</v>
      </c>
      <c r="J984" s="1">
        <v>15000</v>
      </c>
      <c r="K984" s="1">
        <v>340.04399999999998</v>
      </c>
    </row>
    <row r="985" spans="2:11" x14ac:dyDescent="0.2">
      <c r="B985" s="26" t="str">
        <f>_xlfn.XLOOKUP(Total[[#This Row],[Metodo]],TbSolver[Metodo],TbSolver[Solver])</f>
        <v>Adams Bashford</v>
      </c>
      <c r="C985" s="26" t="str">
        <f>_xlfn.XLOOKUP(Total[[#This Row],[Hebras]],TbTecnologia[Hebras],TbTecnologia[Tecnología])</f>
        <v>OMP</v>
      </c>
      <c r="D985" s="15" t="str" cm="1">
        <f t="array" ref="D985">_xlfn.XLOOKUP(Total[[#This Row],[Tecnología]]&amp;Total[[#This Row],[Metodo]],TbTipos[Tecnología]&amp;TbTipos[Metodo],TbTipos[Tipo])</f>
        <v>OMP Operaciones</v>
      </c>
      <c r="E985" s="15" t="str" cm="1">
        <f t="array" ref="E985">_xlfn.XLOOKUP(Total[[#This Row],[Tecnología]]&amp;Total[[#This Row],[Problema]],TbNombres[Tecnología]&amp;TbNombres[Problema],TbNombres[Nombre])</f>
        <v>Advdiff1d</v>
      </c>
      <c r="F985" s="1">
        <v>3</v>
      </c>
      <c r="G985" s="1">
        <v>2</v>
      </c>
      <c r="H985" s="1">
        <v>4</v>
      </c>
      <c r="I985" s="1">
        <v>15000</v>
      </c>
      <c r="J985" s="1">
        <v>15000</v>
      </c>
      <c r="K985" s="1">
        <v>112.249</v>
      </c>
    </row>
    <row r="986" spans="2:11" x14ac:dyDescent="0.2">
      <c r="B986" s="26" t="str">
        <f>_xlfn.XLOOKUP(Total[[#This Row],[Metodo]],TbSolver[Metodo],TbSolver[Solver])</f>
        <v>Adams Bashford</v>
      </c>
      <c r="C986" s="26" t="str">
        <f>_xlfn.XLOOKUP(Total[[#This Row],[Hebras]],TbTecnologia[Hebras],TbTecnologia[Tecnología])</f>
        <v>OMP</v>
      </c>
      <c r="D986" s="15" t="str" cm="1">
        <f t="array" ref="D986">_xlfn.XLOOKUP(Total[[#This Row],[Tecnología]]&amp;Total[[#This Row],[Metodo]],TbTipos[Tecnología]&amp;TbTipos[Metodo],TbTipos[Tipo])</f>
        <v>OMP Operaciones</v>
      </c>
      <c r="E986" s="15" t="str" cm="1">
        <f t="array" ref="E986">_xlfn.XLOOKUP(Total[[#This Row],[Tecnología]]&amp;Total[[#This Row],[Problema]],TbNombres[Tecnología]&amp;TbNombres[Problema],TbNombres[Nombre])</f>
        <v>Advdiff1d</v>
      </c>
      <c r="F986" s="1">
        <v>3</v>
      </c>
      <c r="G986" s="1">
        <v>2</v>
      </c>
      <c r="H986" s="1">
        <v>16</v>
      </c>
      <c r="I986" s="1">
        <v>15000</v>
      </c>
      <c r="J986" s="1">
        <v>15000</v>
      </c>
      <c r="K986" s="1">
        <v>65.1721</v>
      </c>
    </row>
    <row r="987" spans="2:11" x14ac:dyDescent="0.2">
      <c r="B987" s="26" t="str">
        <f>_xlfn.XLOOKUP(Total[[#This Row],[Metodo]],TbSolver[Metodo],TbSolver[Solver])</f>
        <v>Adams Bashford</v>
      </c>
      <c r="C987" s="26" t="str">
        <f>_xlfn.XLOOKUP(Total[[#This Row],[Hebras]],TbTecnologia[Hebras],TbTecnologia[Tecnología])</f>
        <v>OMP</v>
      </c>
      <c r="D987" s="15" t="str" cm="1">
        <f t="array" ref="D987">_xlfn.XLOOKUP(Total[[#This Row],[Tecnología]]&amp;Total[[#This Row],[Metodo]],TbTipos[Tecnología]&amp;TbTipos[Metodo],TbTipos[Tipo])</f>
        <v>OMP Operaciones</v>
      </c>
      <c r="E987" s="15" t="str" cm="1">
        <f t="array" ref="E987">_xlfn.XLOOKUP(Total[[#This Row],[Tecnología]]&amp;Total[[#This Row],[Problema]],TbNombres[Tecnología]&amp;TbNombres[Problema],TbNombres[Nombre])</f>
        <v>Brusselator1d</v>
      </c>
      <c r="F987" s="1">
        <v>3</v>
      </c>
      <c r="G987" s="1">
        <v>3</v>
      </c>
      <c r="H987" s="1">
        <v>1</v>
      </c>
      <c r="I987" s="1">
        <v>15000</v>
      </c>
      <c r="J987" s="1">
        <v>30000</v>
      </c>
      <c r="K987" s="1">
        <v>122.15300000000001</v>
      </c>
    </row>
    <row r="988" spans="2:11" x14ac:dyDescent="0.2">
      <c r="B988" s="26" t="str">
        <f>_xlfn.XLOOKUP(Total[[#This Row],[Metodo]],TbSolver[Metodo],TbSolver[Solver])</f>
        <v>Adams Bashford</v>
      </c>
      <c r="C988" s="26" t="str">
        <f>_xlfn.XLOOKUP(Total[[#This Row],[Hebras]],TbTecnologia[Hebras],TbTecnologia[Tecnología])</f>
        <v>OMP</v>
      </c>
      <c r="D988" s="15" t="str" cm="1">
        <f t="array" ref="D988">_xlfn.XLOOKUP(Total[[#This Row],[Tecnología]]&amp;Total[[#This Row],[Metodo]],TbTipos[Tecnología]&amp;TbTipos[Metodo],TbTipos[Tipo])</f>
        <v>OMP Operaciones</v>
      </c>
      <c r="E988" s="15" t="str" cm="1">
        <f t="array" ref="E988">_xlfn.XLOOKUP(Total[[#This Row],[Tecnología]]&amp;Total[[#This Row],[Problema]],TbNombres[Tecnología]&amp;TbNombres[Problema],TbNombres[Nombre])</f>
        <v>Brusselator1d</v>
      </c>
      <c r="F988" s="1">
        <v>3</v>
      </c>
      <c r="G988" s="1">
        <v>3</v>
      </c>
      <c r="H988" s="1">
        <v>4</v>
      </c>
      <c r="I988" s="1">
        <v>15000</v>
      </c>
      <c r="J988" s="1">
        <v>30000</v>
      </c>
      <c r="K988" s="1">
        <v>39.101199999999999</v>
      </c>
    </row>
    <row r="989" spans="2:11" x14ac:dyDescent="0.2">
      <c r="B989" s="26" t="str">
        <f>_xlfn.XLOOKUP(Total[[#This Row],[Metodo]],TbSolver[Metodo],TbSolver[Solver])</f>
        <v>Adams Bashford</v>
      </c>
      <c r="C989" s="26" t="str">
        <f>_xlfn.XLOOKUP(Total[[#This Row],[Hebras]],TbTecnologia[Hebras],TbTecnologia[Tecnología])</f>
        <v>OMP</v>
      </c>
      <c r="D989" s="15" t="str" cm="1">
        <f t="array" ref="D989">_xlfn.XLOOKUP(Total[[#This Row],[Tecnología]]&amp;Total[[#This Row],[Metodo]],TbTipos[Tecnología]&amp;TbTipos[Metodo],TbTipos[Tipo])</f>
        <v>OMP Operaciones</v>
      </c>
      <c r="E989" s="15" t="str" cm="1">
        <f t="array" ref="E989">_xlfn.XLOOKUP(Total[[#This Row],[Tecnología]]&amp;Total[[#This Row],[Problema]],TbNombres[Tecnología]&amp;TbNombres[Problema],TbNombres[Nombre])</f>
        <v>Brusselator1d</v>
      </c>
      <c r="F989" s="1">
        <v>3</v>
      </c>
      <c r="G989" s="1">
        <v>3</v>
      </c>
      <c r="H989" s="1">
        <v>16</v>
      </c>
      <c r="I989" s="1">
        <v>15000</v>
      </c>
      <c r="J989" s="1">
        <v>30000</v>
      </c>
      <c r="K989" s="1">
        <v>44.828099999999999</v>
      </c>
    </row>
    <row r="990" spans="2:11" x14ac:dyDescent="0.2">
      <c r="B990" s="26" t="str">
        <f>_xlfn.XLOOKUP(Total[[#This Row],[Metodo]],TbSolver[Metodo],TbSolver[Solver])</f>
        <v>Adams Bashford</v>
      </c>
      <c r="C990" s="26" t="str">
        <f>_xlfn.XLOOKUP(Total[[#This Row],[Hebras]],TbTecnologia[Hebras],TbTecnologia[Tecnología])</f>
        <v>OMP</v>
      </c>
      <c r="D990" s="15" t="str" cm="1">
        <f t="array" ref="D990">_xlfn.XLOOKUP(Total[[#This Row],[Tecnología]]&amp;Total[[#This Row],[Metodo]],TbTipos[Tecnología]&amp;TbTipos[Metodo],TbTipos[Tipo])</f>
        <v>OMP Elementos</v>
      </c>
      <c r="E990" s="15" t="str" cm="1">
        <f t="array" ref="E990">_xlfn.XLOOKUP(Total[[#This Row],[Tecnología]]&amp;Total[[#This Row],[Problema]],TbNombres[Tecnología]&amp;TbNombres[Problema],TbNombres[Nombre])</f>
        <v>Simple Advdiff</v>
      </c>
      <c r="F990" s="1">
        <v>4</v>
      </c>
      <c r="G990" s="1">
        <v>1</v>
      </c>
      <c r="H990" s="1">
        <v>1</v>
      </c>
      <c r="I990" s="1">
        <v>15000</v>
      </c>
      <c r="J990" s="1">
        <v>15000</v>
      </c>
      <c r="K990" s="1">
        <v>74.571700000000007</v>
      </c>
    </row>
    <row r="991" spans="2:11" x14ac:dyDescent="0.2">
      <c r="B991" s="26" t="str">
        <f>_xlfn.XLOOKUP(Total[[#This Row],[Metodo]],TbSolver[Metodo],TbSolver[Solver])</f>
        <v>Adams Bashford</v>
      </c>
      <c r="C991" s="26" t="str">
        <f>_xlfn.XLOOKUP(Total[[#This Row],[Hebras]],TbTecnologia[Hebras],TbTecnologia[Tecnología])</f>
        <v>OMP</v>
      </c>
      <c r="D991" s="15" t="str" cm="1">
        <f t="array" ref="D991">_xlfn.XLOOKUP(Total[[#This Row],[Tecnología]]&amp;Total[[#This Row],[Metodo]],TbTipos[Tecnología]&amp;TbTipos[Metodo],TbTipos[Tipo])</f>
        <v>OMP Elementos</v>
      </c>
      <c r="E991" s="15" t="str" cm="1">
        <f t="array" ref="E991">_xlfn.XLOOKUP(Total[[#This Row],[Tecnología]]&amp;Total[[#This Row],[Problema]],TbNombres[Tecnología]&amp;TbNombres[Problema],TbNombres[Nombre])</f>
        <v>Simple Advdiff</v>
      </c>
      <c r="F991" s="1">
        <v>4</v>
      </c>
      <c r="G991" s="1">
        <v>1</v>
      </c>
      <c r="H991" s="1">
        <v>4</v>
      </c>
      <c r="I991" s="1">
        <v>15000</v>
      </c>
      <c r="J991" s="1">
        <v>15000</v>
      </c>
      <c r="K991" s="1">
        <v>23.889199999999999</v>
      </c>
    </row>
    <row r="992" spans="2:11" x14ac:dyDescent="0.2">
      <c r="B992" s="26" t="str">
        <f>_xlfn.XLOOKUP(Total[[#This Row],[Metodo]],TbSolver[Metodo],TbSolver[Solver])</f>
        <v>Adams Bashford</v>
      </c>
      <c r="C992" s="26" t="str">
        <f>_xlfn.XLOOKUP(Total[[#This Row],[Hebras]],TbTecnologia[Hebras],TbTecnologia[Tecnología])</f>
        <v>OMP</v>
      </c>
      <c r="D992" s="15" t="str" cm="1">
        <f t="array" ref="D992">_xlfn.XLOOKUP(Total[[#This Row],[Tecnología]]&amp;Total[[#This Row],[Metodo]],TbTipos[Tecnología]&amp;TbTipos[Metodo],TbTipos[Tipo])</f>
        <v>OMP Elementos</v>
      </c>
      <c r="E992" s="15" t="str" cm="1">
        <f t="array" ref="E992">_xlfn.XLOOKUP(Total[[#This Row],[Tecnología]]&amp;Total[[#This Row],[Problema]],TbNombres[Tecnología]&amp;TbNombres[Problema],TbNombres[Nombre])</f>
        <v>Simple Advdiff</v>
      </c>
      <c r="F992" s="1">
        <v>4</v>
      </c>
      <c r="G992" s="1">
        <v>1</v>
      </c>
      <c r="H992" s="1">
        <v>16</v>
      </c>
      <c r="I992" s="1">
        <v>15000</v>
      </c>
      <c r="J992" s="1">
        <v>15000</v>
      </c>
      <c r="K992" s="1">
        <v>141.36500000000001</v>
      </c>
    </row>
    <row r="993" spans="2:11" x14ac:dyDescent="0.2">
      <c r="B993" s="26" t="str">
        <f>_xlfn.XLOOKUP(Total[[#This Row],[Metodo]],TbSolver[Metodo],TbSolver[Solver])</f>
        <v>Adams Bashford</v>
      </c>
      <c r="C993" s="26" t="str">
        <f>_xlfn.XLOOKUP(Total[[#This Row],[Hebras]],TbTecnologia[Hebras],TbTecnologia[Tecnología])</f>
        <v>OMP</v>
      </c>
      <c r="D993" s="15" t="str" cm="1">
        <f t="array" ref="D993">_xlfn.XLOOKUP(Total[[#This Row],[Tecnología]]&amp;Total[[#This Row],[Metodo]],TbTipos[Tecnología]&amp;TbTipos[Metodo],TbTipos[Tipo])</f>
        <v>OMP Elementos</v>
      </c>
      <c r="E993" s="15" t="str" cm="1">
        <f t="array" ref="E993">_xlfn.XLOOKUP(Total[[#This Row],[Tecnología]]&amp;Total[[#This Row],[Problema]],TbNombres[Tecnología]&amp;TbNombres[Problema],TbNombres[Nombre])</f>
        <v>Advdiff1d</v>
      </c>
      <c r="F993" s="1">
        <v>4</v>
      </c>
      <c r="G993" s="1">
        <v>2</v>
      </c>
      <c r="H993" s="1">
        <v>1</v>
      </c>
      <c r="I993" s="1">
        <v>15000</v>
      </c>
      <c r="J993" s="1">
        <v>15000</v>
      </c>
      <c r="K993" s="1">
        <v>398.351</v>
      </c>
    </row>
    <row r="994" spans="2:11" x14ac:dyDescent="0.2">
      <c r="B994" s="26" t="str">
        <f>_xlfn.XLOOKUP(Total[[#This Row],[Metodo]],TbSolver[Metodo],TbSolver[Solver])</f>
        <v>Adams Bashford</v>
      </c>
      <c r="C994" s="26" t="str">
        <f>_xlfn.XLOOKUP(Total[[#This Row],[Hebras]],TbTecnologia[Hebras],TbTecnologia[Tecnología])</f>
        <v>OMP</v>
      </c>
      <c r="D994" s="15" t="str" cm="1">
        <f t="array" ref="D994">_xlfn.XLOOKUP(Total[[#This Row],[Tecnología]]&amp;Total[[#This Row],[Metodo]],TbTipos[Tecnología]&amp;TbTipos[Metodo],TbTipos[Tipo])</f>
        <v>OMP Elementos</v>
      </c>
      <c r="E994" s="15" t="str" cm="1">
        <f t="array" ref="E994">_xlfn.XLOOKUP(Total[[#This Row],[Tecnología]]&amp;Total[[#This Row],[Problema]],TbNombres[Tecnología]&amp;TbNombres[Problema],TbNombres[Nombre])</f>
        <v>Advdiff1d</v>
      </c>
      <c r="F994" s="1">
        <v>4</v>
      </c>
      <c r="G994" s="1">
        <v>2</v>
      </c>
      <c r="H994" s="1">
        <v>4</v>
      </c>
      <c r="I994" s="1">
        <v>15000</v>
      </c>
      <c r="J994" s="1">
        <v>15000</v>
      </c>
      <c r="K994" s="1">
        <v>114.869</v>
      </c>
    </row>
    <row r="995" spans="2:11" x14ac:dyDescent="0.2">
      <c r="B995" s="26" t="str">
        <f>_xlfn.XLOOKUP(Total[[#This Row],[Metodo]],TbSolver[Metodo],TbSolver[Solver])</f>
        <v>Adams Bashford</v>
      </c>
      <c r="C995" s="26" t="str">
        <f>_xlfn.XLOOKUP(Total[[#This Row],[Hebras]],TbTecnologia[Hebras],TbTecnologia[Tecnología])</f>
        <v>OMP</v>
      </c>
      <c r="D995" s="15" t="str" cm="1">
        <f t="array" ref="D995">_xlfn.XLOOKUP(Total[[#This Row],[Tecnología]]&amp;Total[[#This Row],[Metodo]],TbTipos[Tecnología]&amp;TbTipos[Metodo],TbTipos[Tipo])</f>
        <v>OMP Elementos</v>
      </c>
      <c r="E995" s="15" t="str" cm="1">
        <f t="array" ref="E995">_xlfn.XLOOKUP(Total[[#This Row],[Tecnología]]&amp;Total[[#This Row],[Problema]],TbNombres[Tecnología]&amp;TbNombres[Problema],TbNombres[Nombre])</f>
        <v>Advdiff1d</v>
      </c>
      <c r="F995" s="1">
        <v>4</v>
      </c>
      <c r="G995" s="1">
        <v>2</v>
      </c>
      <c r="H995" s="1">
        <v>16</v>
      </c>
      <c r="I995" s="1">
        <v>15000</v>
      </c>
      <c r="J995" s="1">
        <v>15000</v>
      </c>
      <c r="K995" s="1">
        <v>55.061500000000002</v>
      </c>
    </row>
    <row r="996" spans="2:11" x14ac:dyDescent="0.2">
      <c r="B996" s="26" t="str">
        <f>_xlfn.XLOOKUP(Total[[#This Row],[Metodo]],TbSolver[Metodo],TbSolver[Solver])</f>
        <v>Adams Bashford</v>
      </c>
      <c r="C996" s="26" t="str">
        <f>_xlfn.XLOOKUP(Total[[#This Row],[Hebras]],TbTecnologia[Hebras],TbTecnologia[Tecnología])</f>
        <v>OMP</v>
      </c>
      <c r="D996" s="15" t="str" cm="1">
        <f t="array" ref="D996">_xlfn.XLOOKUP(Total[[#This Row],[Tecnología]]&amp;Total[[#This Row],[Metodo]],TbTipos[Tecnología]&amp;TbTipos[Metodo],TbTipos[Tipo])</f>
        <v>OMP Elementos</v>
      </c>
      <c r="E996" s="15" t="str" cm="1">
        <f t="array" ref="E996">_xlfn.XLOOKUP(Total[[#This Row],[Tecnología]]&amp;Total[[#This Row],[Problema]],TbNombres[Tecnología]&amp;TbNombres[Problema],TbNombres[Nombre])</f>
        <v>Brusselator1d</v>
      </c>
      <c r="F996" s="1">
        <v>4</v>
      </c>
      <c r="G996" s="1">
        <v>3</v>
      </c>
      <c r="H996" s="1">
        <v>1</v>
      </c>
      <c r="I996" s="1">
        <v>15000</v>
      </c>
      <c r="J996" s="1">
        <v>30000</v>
      </c>
      <c r="K996" s="1">
        <v>200.785</v>
      </c>
    </row>
    <row r="997" spans="2:11" x14ac:dyDescent="0.2">
      <c r="B997" s="26" t="str">
        <f>_xlfn.XLOOKUP(Total[[#This Row],[Metodo]],TbSolver[Metodo],TbSolver[Solver])</f>
        <v>Adams Bashford</v>
      </c>
      <c r="C997" s="26" t="str">
        <f>_xlfn.XLOOKUP(Total[[#This Row],[Hebras]],TbTecnologia[Hebras],TbTecnologia[Tecnología])</f>
        <v>OMP</v>
      </c>
      <c r="D997" s="15" t="str" cm="1">
        <f t="array" ref="D997">_xlfn.XLOOKUP(Total[[#This Row],[Tecnología]]&amp;Total[[#This Row],[Metodo]],TbTipos[Tecnología]&amp;TbTipos[Metodo],TbTipos[Tipo])</f>
        <v>OMP Elementos</v>
      </c>
      <c r="E997" s="15" t="str" cm="1">
        <f t="array" ref="E997">_xlfn.XLOOKUP(Total[[#This Row],[Tecnología]]&amp;Total[[#This Row],[Problema]],TbNombres[Tecnología]&amp;TbNombres[Problema],TbNombres[Nombre])</f>
        <v>Brusselator1d</v>
      </c>
      <c r="F997" s="1">
        <v>4</v>
      </c>
      <c r="G997" s="1">
        <v>3</v>
      </c>
      <c r="H997" s="1">
        <v>4</v>
      </c>
      <c r="I997" s="1">
        <v>15000</v>
      </c>
      <c r="J997" s="1">
        <v>30000</v>
      </c>
      <c r="K997" s="1">
        <v>53.722099999999998</v>
      </c>
    </row>
    <row r="998" spans="2:11" x14ac:dyDescent="0.2">
      <c r="B998" s="26" t="str">
        <f>_xlfn.XLOOKUP(Total[[#This Row],[Metodo]],TbSolver[Metodo],TbSolver[Solver])</f>
        <v>Adams Bashford</v>
      </c>
      <c r="C998" s="26" t="str">
        <f>_xlfn.XLOOKUP(Total[[#This Row],[Hebras]],TbTecnologia[Hebras],TbTecnologia[Tecnología])</f>
        <v>OMP</v>
      </c>
      <c r="D998" s="15" t="str" cm="1">
        <f t="array" ref="D998">_xlfn.XLOOKUP(Total[[#This Row],[Tecnología]]&amp;Total[[#This Row],[Metodo]],TbTipos[Tecnología]&amp;TbTipos[Metodo],TbTipos[Tipo])</f>
        <v>OMP Elementos</v>
      </c>
      <c r="E998" s="15" t="str" cm="1">
        <f t="array" ref="E998">_xlfn.XLOOKUP(Total[[#This Row],[Tecnología]]&amp;Total[[#This Row],[Problema]],TbNombres[Tecnología]&amp;TbNombres[Problema],TbNombres[Nombre])</f>
        <v>Brusselator1d</v>
      </c>
      <c r="F998" s="1">
        <v>4</v>
      </c>
      <c r="G998" s="1">
        <v>3</v>
      </c>
      <c r="H998" s="1">
        <v>16</v>
      </c>
      <c r="I998" s="1">
        <v>15000</v>
      </c>
      <c r="J998" s="1">
        <v>30000</v>
      </c>
      <c r="K998" s="1">
        <v>28.086400000000001</v>
      </c>
    </row>
    <row r="999" spans="2:11" x14ac:dyDescent="0.2">
      <c r="B999" s="26" t="str">
        <f>_xlfn.XLOOKUP(Total[[#This Row],[Metodo]],TbSolver[Metodo],TbSolver[Solver])</f>
        <v>Adams Bashford Moulton</v>
      </c>
      <c r="C999" s="26" t="str">
        <f>_xlfn.XLOOKUP(Total[[#This Row],[Hebras]],TbTecnologia[Hebras],TbTecnologia[Tecnología])</f>
        <v>OMP</v>
      </c>
      <c r="D999" s="15" t="str" cm="1">
        <f t="array" ref="D999">_xlfn.XLOOKUP(Total[[#This Row],[Tecnología]]&amp;Total[[#This Row],[Metodo]],TbTipos[Tecnología]&amp;TbTipos[Metodo],TbTipos[Tipo])</f>
        <v>OMP Operaciones</v>
      </c>
      <c r="E999" s="15" t="str" cm="1">
        <f t="array" ref="E999">_xlfn.XLOOKUP(Total[[#This Row],[Tecnología]]&amp;Total[[#This Row],[Problema]],TbNombres[Tecnología]&amp;TbNombres[Problema],TbNombres[Nombre])</f>
        <v>Simple Advdiff</v>
      </c>
      <c r="F999" s="1">
        <v>5</v>
      </c>
      <c r="G999" s="1">
        <v>1</v>
      </c>
      <c r="H999" s="1">
        <v>1</v>
      </c>
      <c r="I999" s="1">
        <v>15000</v>
      </c>
      <c r="J999" s="1">
        <v>15000</v>
      </c>
      <c r="K999" s="1">
        <v>112.32599999999999</v>
      </c>
    </row>
    <row r="1000" spans="2:11" x14ac:dyDescent="0.2">
      <c r="B1000" s="26" t="str">
        <f>_xlfn.XLOOKUP(Total[[#This Row],[Metodo]],TbSolver[Metodo],TbSolver[Solver])</f>
        <v>Adams Bashford Moulton</v>
      </c>
      <c r="C1000" s="26" t="str">
        <f>_xlfn.XLOOKUP(Total[[#This Row],[Hebras]],TbTecnologia[Hebras],TbTecnologia[Tecnología])</f>
        <v>OMP</v>
      </c>
      <c r="D1000" s="15" t="str" cm="1">
        <f t="array" ref="D1000">_xlfn.XLOOKUP(Total[[#This Row],[Tecnología]]&amp;Total[[#This Row],[Metodo]],TbTipos[Tecnología]&amp;TbTipos[Metodo],TbTipos[Tipo])</f>
        <v>OMP Operaciones</v>
      </c>
      <c r="E1000" s="15" t="str" cm="1">
        <f t="array" ref="E1000">_xlfn.XLOOKUP(Total[[#This Row],[Tecnología]]&amp;Total[[#This Row],[Problema]],TbNombres[Tecnología]&amp;TbNombres[Problema],TbNombres[Nombre])</f>
        <v>Simple Advdiff</v>
      </c>
      <c r="F1000" s="1">
        <v>5</v>
      </c>
      <c r="G1000" s="1">
        <v>1</v>
      </c>
      <c r="H1000" s="1">
        <v>4</v>
      </c>
      <c r="I1000" s="1">
        <v>15000</v>
      </c>
      <c r="J1000" s="1">
        <v>15000</v>
      </c>
      <c r="K1000" s="1">
        <v>66.267899999999997</v>
      </c>
    </row>
    <row r="1001" spans="2:11" x14ac:dyDescent="0.2">
      <c r="B1001" s="26" t="str">
        <f>_xlfn.XLOOKUP(Total[[#This Row],[Metodo]],TbSolver[Metodo],TbSolver[Solver])</f>
        <v>Adams Bashford Moulton</v>
      </c>
      <c r="C1001" s="26" t="str">
        <f>_xlfn.XLOOKUP(Total[[#This Row],[Hebras]],TbTecnologia[Hebras],TbTecnologia[Tecnología])</f>
        <v>OMP</v>
      </c>
      <c r="D1001" s="15" t="str" cm="1">
        <f t="array" ref="D1001">_xlfn.XLOOKUP(Total[[#This Row],[Tecnología]]&amp;Total[[#This Row],[Metodo]],TbTipos[Tecnología]&amp;TbTipos[Metodo],TbTipos[Tipo])</f>
        <v>OMP Operaciones</v>
      </c>
      <c r="E1001" s="15" t="str" cm="1">
        <f t="array" ref="E1001">_xlfn.XLOOKUP(Total[[#This Row],[Tecnología]]&amp;Total[[#This Row],[Problema]],TbNombres[Tecnología]&amp;TbNombres[Problema],TbNombres[Nombre])</f>
        <v>Simple Advdiff</v>
      </c>
      <c r="F1001" s="1">
        <v>5</v>
      </c>
      <c r="G1001" s="1">
        <v>1</v>
      </c>
      <c r="H1001" s="1">
        <v>16</v>
      </c>
      <c r="I1001" s="1">
        <v>15000</v>
      </c>
      <c r="J1001" s="1">
        <v>15000</v>
      </c>
      <c r="K1001" s="1">
        <v>89.283100000000005</v>
      </c>
    </row>
    <row r="1002" spans="2:11" x14ac:dyDescent="0.2">
      <c r="B1002" s="26" t="str">
        <f>_xlfn.XLOOKUP(Total[[#This Row],[Metodo]],TbSolver[Metodo],TbSolver[Solver])</f>
        <v>Adams Bashford Moulton</v>
      </c>
      <c r="C1002" s="26" t="str">
        <f>_xlfn.XLOOKUP(Total[[#This Row],[Hebras]],TbTecnologia[Hebras],TbTecnologia[Tecnología])</f>
        <v>OMP</v>
      </c>
      <c r="D1002" s="15" t="str" cm="1">
        <f t="array" ref="D1002">_xlfn.XLOOKUP(Total[[#This Row],[Tecnología]]&amp;Total[[#This Row],[Metodo]],TbTipos[Tecnología]&amp;TbTipos[Metodo],TbTipos[Tipo])</f>
        <v>OMP Operaciones</v>
      </c>
      <c r="E1002" s="15" t="str" cm="1">
        <f t="array" ref="E1002">_xlfn.XLOOKUP(Total[[#This Row],[Tecnología]]&amp;Total[[#This Row],[Problema]],TbNombres[Tecnología]&amp;TbNombres[Problema],TbNombres[Nombre])</f>
        <v>Advdiff1d</v>
      </c>
      <c r="F1002" s="1">
        <v>5</v>
      </c>
      <c r="G1002" s="1">
        <v>2</v>
      </c>
      <c r="H1002" s="1">
        <v>1</v>
      </c>
      <c r="I1002" s="1">
        <v>15000</v>
      </c>
      <c r="J1002" s="1">
        <v>15000</v>
      </c>
      <c r="K1002" s="1">
        <v>1040.8599999999999</v>
      </c>
    </row>
    <row r="1003" spans="2:11" x14ac:dyDescent="0.2">
      <c r="B1003" s="26" t="str">
        <f>_xlfn.XLOOKUP(Total[[#This Row],[Metodo]],TbSolver[Metodo],TbSolver[Solver])</f>
        <v>Adams Bashford Moulton</v>
      </c>
      <c r="C1003" s="26" t="str">
        <f>_xlfn.XLOOKUP(Total[[#This Row],[Hebras]],TbTecnologia[Hebras],TbTecnologia[Tecnología])</f>
        <v>OMP</v>
      </c>
      <c r="D1003" s="15" t="str" cm="1">
        <f t="array" ref="D1003">_xlfn.XLOOKUP(Total[[#This Row],[Tecnología]]&amp;Total[[#This Row],[Metodo]],TbTipos[Tecnología]&amp;TbTipos[Metodo],TbTipos[Tipo])</f>
        <v>OMP Operaciones</v>
      </c>
      <c r="E1003" s="15" t="str" cm="1">
        <f t="array" ref="E1003">_xlfn.XLOOKUP(Total[[#This Row],[Tecnología]]&amp;Total[[#This Row],[Problema]],TbNombres[Tecnología]&amp;TbNombres[Problema],TbNombres[Nombre])</f>
        <v>Advdiff1d</v>
      </c>
      <c r="F1003" s="1">
        <v>5</v>
      </c>
      <c r="G1003" s="1">
        <v>2</v>
      </c>
      <c r="H1003" s="1">
        <v>4</v>
      </c>
      <c r="I1003" s="1">
        <v>15000</v>
      </c>
      <c r="J1003" s="1">
        <v>15000</v>
      </c>
      <c r="K1003" s="1">
        <v>337.99099999999999</v>
      </c>
    </row>
    <row r="1004" spans="2:11" x14ac:dyDescent="0.2">
      <c r="B1004" s="26" t="str">
        <f>_xlfn.XLOOKUP(Total[[#This Row],[Metodo]],TbSolver[Metodo],TbSolver[Solver])</f>
        <v>Adams Bashford Moulton</v>
      </c>
      <c r="C1004" s="26" t="str">
        <f>_xlfn.XLOOKUP(Total[[#This Row],[Hebras]],TbTecnologia[Hebras],TbTecnologia[Tecnología])</f>
        <v>OMP</v>
      </c>
      <c r="D1004" s="15" t="str" cm="1">
        <f t="array" ref="D1004">_xlfn.XLOOKUP(Total[[#This Row],[Tecnología]]&amp;Total[[#This Row],[Metodo]],TbTipos[Tecnología]&amp;TbTipos[Metodo],TbTipos[Tipo])</f>
        <v>OMP Operaciones</v>
      </c>
      <c r="E1004" s="15" t="str" cm="1">
        <f t="array" ref="E1004">_xlfn.XLOOKUP(Total[[#This Row],[Tecnología]]&amp;Total[[#This Row],[Problema]],TbNombres[Tecnología]&amp;TbNombres[Problema],TbNombres[Nombre])</f>
        <v>Advdiff1d</v>
      </c>
      <c r="F1004" s="1">
        <v>5</v>
      </c>
      <c r="G1004" s="1">
        <v>2</v>
      </c>
      <c r="H1004" s="1">
        <v>16</v>
      </c>
      <c r="I1004" s="1">
        <v>15000</v>
      </c>
      <c r="J1004" s="1">
        <v>15000</v>
      </c>
      <c r="K1004" s="1">
        <v>183.73</v>
      </c>
    </row>
    <row r="1005" spans="2:11" x14ac:dyDescent="0.2">
      <c r="B1005" s="26" t="str">
        <f>_xlfn.XLOOKUP(Total[[#This Row],[Metodo]],TbSolver[Metodo],TbSolver[Solver])</f>
        <v>Adams Bashford Moulton</v>
      </c>
      <c r="C1005" s="26" t="str">
        <f>_xlfn.XLOOKUP(Total[[#This Row],[Hebras]],TbTecnologia[Hebras],TbTecnologia[Tecnología])</f>
        <v>OMP</v>
      </c>
      <c r="D1005" s="15" t="str" cm="1">
        <f t="array" ref="D1005">_xlfn.XLOOKUP(Total[[#This Row],[Tecnología]]&amp;Total[[#This Row],[Metodo]],TbTipos[Tecnología]&amp;TbTipos[Metodo],TbTipos[Tipo])</f>
        <v>OMP Operaciones</v>
      </c>
      <c r="E1005" s="15" t="str" cm="1">
        <f t="array" ref="E1005">_xlfn.XLOOKUP(Total[[#This Row],[Tecnología]]&amp;Total[[#This Row],[Problema]],TbNombres[Tecnología]&amp;TbNombres[Problema],TbNombres[Nombre])</f>
        <v>Brusselator1d</v>
      </c>
      <c r="F1005" s="1">
        <v>5</v>
      </c>
      <c r="G1005" s="1">
        <v>3</v>
      </c>
      <c r="H1005" s="1">
        <v>1</v>
      </c>
      <c r="I1005" s="1">
        <v>15000</v>
      </c>
      <c r="J1005" s="1">
        <v>30000</v>
      </c>
      <c r="K1005" s="1">
        <v>389.88099999999997</v>
      </c>
    </row>
    <row r="1006" spans="2:11" x14ac:dyDescent="0.2">
      <c r="B1006" s="26" t="str">
        <f>_xlfn.XLOOKUP(Total[[#This Row],[Metodo]],TbSolver[Metodo],TbSolver[Solver])</f>
        <v>Adams Bashford Moulton</v>
      </c>
      <c r="C1006" s="26" t="str">
        <f>_xlfn.XLOOKUP(Total[[#This Row],[Hebras]],TbTecnologia[Hebras],TbTecnologia[Tecnología])</f>
        <v>OMP</v>
      </c>
      <c r="D1006" s="15" t="str" cm="1">
        <f t="array" ref="D1006">_xlfn.XLOOKUP(Total[[#This Row],[Tecnología]]&amp;Total[[#This Row],[Metodo]],TbTipos[Tecnología]&amp;TbTipos[Metodo],TbTipos[Tipo])</f>
        <v>OMP Operaciones</v>
      </c>
      <c r="E1006" s="15" t="str" cm="1">
        <f t="array" ref="E1006">_xlfn.XLOOKUP(Total[[#This Row],[Tecnología]]&amp;Total[[#This Row],[Problema]],TbNombres[Tecnología]&amp;TbNombres[Problema],TbNombres[Nombre])</f>
        <v>Brusselator1d</v>
      </c>
      <c r="F1006" s="1">
        <v>5</v>
      </c>
      <c r="G1006" s="1">
        <v>3</v>
      </c>
      <c r="H1006" s="1">
        <v>4</v>
      </c>
      <c r="I1006" s="1">
        <v>15000</v>
      </c>
      <c r="J1006" s="1">
        <v>30000</v>
      </c>
      <c r="K1006" s="1">
        <v>126.88800000000001</v>
      </c>
    </row>
    <row r="1007" spans="2:11" x14ac:dyDescent="0.2">
      <c r="B1007" s="26" t="str">
        <f>_xlfn.XLOOKUP(Total[[#This Row],[Metodo]],TbSolver[Metodo],TbSolver[Solver])</f>
        <v>Adams Bashford Moulton</v>
      </c>
      <c r="C1007" s="26" t="str">
        <f>_xlfn.XLOOKUP(Total[[#This Row],[Hebras]],TbTecnologia[Hebras],TbTecnologia[Tecnología])</f>
        <v>OMP</v>
      </c>
      <c r="D1007" s="15" t="str" cm="1">
        <f t="array" ref="D1007">_xlfn.XLOOKUP(Total[[#This Row],[Tecnología]]&amp;Total[[#This Row],[Metodo]],TbTipos[Tecnología]&amp;TbTipos[Metodo],TbTipos[Tipo])</f>
        <v>OMP Operaciones</v>
      </c>
      <c r="E1007" s="15" t="str" cm="1">
        <f t="array" ref="E1007">_xlfn.XLOOKUP(Total[[#This Row],[Tecnología]]&amp;Total[[#This Row],[Problema]],TbNombres[Tecnología]&amp;TbNombres[Problema],TbNombres[Nombre])</f>
        <v>Brusselator1d</v>
      </c>
      <c r="F1007" s="1">
        <v>5</v>
      </c>
      <c r="G1007" s="1">
        <v>3</v>
      </c>
      <c r="H1007" s="1">
        <v>16</v>
      </c>
      <c r="I1007" s="1">
        <v>15000</v>
      </c>
      <c r="J1007" s="1">
        <v>30000</v>
      </c>
      <c r="K1007" s="1">
        <v>151.649</v>
      </c>
    </row>
    <row r="1008" spans="2:11" x14ac:dyDescent="0.2">
      <c r="B1008" s="26" t="str">
        <f>_xlfn.XLOOKUP(Total[[#This Row],[Metodo]],TbSolver[Metodo],TbSolver[Solver])</f>
        <v>Adams Bashford Moulton</v>
      </c>
      <c r="C1008" s="26" t="str">
        <f>_xlfn.XLOOKUP(Total[[#This Row],[Hebras]],TbTecnologia[Hebras],TbTecnologia[Tecnología])</f>
        <v>OMP</v>
      </c>
      <c r="D1008" s="15" t="str" cm="1">
        <f t="array" ref="D1008">_xlfn.XLOOKUP(Total[[#This Row],[Tecnología]]&amp;Total[[#This Row],[Metodo]],TbTipos[Tecnología]&amp;TbTipos[Metodo],TbTipos[Tipo])</f>
        <v>OMP Elementos</v>
      </c>
      <c r="E1008" s="15" t="str" cm="1">
        <f t="array" ref="E1008">_xlfn.XLOOKUP(Total[[#This Row],[Tecnología]]&amp;Total[[#This Row],[Problema]],TbNombres[Tecnología]&amp;TbNombres[Problema],TbNombres[Nombre])</f>
        <v>Simple Advdiff</v>
      </c>
      <c r="F1008" s="1">
        <v>6</v>
      </c>
      <c r="G1008" s="1">
        <v>1</v>
      </c>
      <c r="H1008" s="1">
        <v>1</v>
      </c>
      <c r="I1008" s="1">
        <v>15000</v>
      </c>
      <c r="J1008" s="1">
        <v>15000</v>
      </c>
      <c r="K1008" s="1">
        <v>358.60700000000003</v>
      </c>
    </row>
    <row r="1009" spans="2:11" x14ac:dyDescent="0.2">
      <c r="B1009" s="26" t="str">
        <f>_xlfn.XLOOKUP(Total[[#This Row],[Metodo]],TbSolver[Metodo],TbSolver[Solver])</f>
        <v>Adams Bashford Moulton</v>
      </c>
      <c r="C1009" s="26" t="str">
        <f>_xlfn.XLOOKUP(Total[[#This Row],[Hebras]],TbTecnologia[Hebras],TbTecnologia[Tecnología])</f>
        <v>OMP</v>
      </c>
      <c r="D1009" s="15" t="str" cm="1">
        <f t="array" ref="D1009">_xlfn.XLOOKUP(Total[[#This Row],[Tecnología]]&amp;Total[[#This Row],[Metodo]],TbTipos[Tecnología]&amp;TbTipos[Metodo],TbTipos[Tipo])</f>
        <v>OMP Elementos</v>
      </c>
      <c r="E1009" s="15" t="str" cm="1">
        <f t="array" ref="E1009">_xlfn.XLOOKUP(Total[[#This Row],[Tecnología]]&amp;Total[[#This Row],[Problema]],TbNombres[Tecnología]&amp;TbNombres[Problema],TbNombres[Nombre])</f>
        <v>Simple Advdiff</v>
      </c>
      <c r="F1009" s="1">
        <v>6</v>
      </c>
      <c r="G1009" s="1">
        <v>1</v>
      </c>
      <c r="H1009" s="1">
        <v>4</v>
      </c>
      <c r="I1009" s="1">
        <v>15000</v>
      </c>
      <c r="J1009" s="1">
        <v>15000</v>
      </c>
      <c r="K1009" s="1">
        <v>101.54</v>
      </c>
    </row>
    <row r="1010" spans="2:11" x14ac:dyDescent="0.2">
      <c r="B1010" s="26" t="str">
        <f>_xlfn.XLOOKUP(Total[[#This Row],[Metodo]],TbSolver[Metodo],TbSolver[Solver])</f>
        <v>Adams Bashford Moulton</v>
      </c>
      <c r="C1010" s="26" t="str">
        <f>_xlfn.XLOOKUP(Total[[#This Row],[Hebras]],TbTecnologia[Hebras],TbTecnologia[Tecnología])</f>
        <v>OMP</v>
      </c>
      <c r="D1010" s="15" t="str" cm="1">
        <f t="array" ref="D1010">_xlfn.XLOOKUP(Total[[#This Row],[Tecnología]]&amp;Total[[#This Row],[Metodo]],TbTipos[Tecnología]&amp;TbTipos[Metodo],TbTipos[Tipo])</f>
        <v>OMP Elementos</v>
      </c>
      <c r="E1010" s="15" t="str" cm="1">
        <f t="array" ref="E1010">_xlfn.XLOOKUP(Total[[#This Row],[Tecnología]]&amp;Total[[#This Row],[Problema]],TbNombres[Tecnología]&amp;TbNombres[Problema],TbNombres[Nombre])</f>
        <v>Simple Advdiff</v>
      </c>
      <c r="F1010" s="1">
        <v>6</v>
      </c>
      <c r="G1010" s="1">
        <v>1</v>
      </c>
      <c r="H1010" s="1">
        <v>16</v>
      </c>
      <c r="I1010" s="1">
        <v>15000</v>
      </c>
      <c r="J1010" s="1">
        <v>15000</v>
      </c>
      <c r="K1010" s="1">
        <v>44.076000000000001</v>
      </c>
    </row>
    <row r="1011" spans="2:11" x14ac:dyDescent="0.2">
      <c r="B1011" s="26" t="str">
        <f>_xlfn.XLOOKUP(Total[[#This Row],[Metodo]],TbSolver[Metodo],TbSolver[Solver])</f>
        <v>Adams Bashford Moulton</v>
      </c>
      <c r="C1011" s="26" t="str">
        <f>_xlfn.XLOOKUP(Total[[#This Row],[Hebras]],TbTecnologia[Hebras],TbTecnologia[Tecnología])</f>
        <v>OMP</v>
      </c>
      <c r="D1011" s="15" t="str" cm="1">
        <f t="array" ref="D1011">_xlfn.XLOOKUP(Total[[#This Row],[Tecnología]]&amp;Total[[#This Row],[Metodo]],TbTipos[Tecnología]&amp;TbTipos[Metodo],TbTipos[Tipo])</f>
        <v>OMP Elementos</v>
      </c>
      <c r="E1011" s="15" t="str" cm="1">
        <f t="array" ref="E1011">_xlfn.XLOOKUP(Total[[#This Row],[Tecnología]]&amp;Total[[#This Row],[Problema]],TbNombres[Tecnología]&amp;TbNombres[Problema],TbNombres[Nombre])</f>
        <v>Advdiff1d</v>
      </c>
      <c r="F1011" s="1">
        <v>6</v>
      </c>
      <c r="G1011" s="1">
        <v>2</v>
      </c>
      <c r="H1011" s="1">
        <v>1</v>
      </c>
      <c r="I1011" s="1">
        <v>15000</v>
      </c>
      <c r="J1011" s="1">
        <v>15000</v>
      </c>
      <c r="K1011" s="1">
        <v>1361.3</v>
      </c>
    </row>
    <row r="1012" spans="2:11" x14ac:dyDescent="0.2">
      <c r="B1012" s="26" t="str">
        <f>_xlfn.XLOOKUP(Total[[#This Row],[Metodo]],TbSolver[Metodo],TbSolver[Solver])</f>
        <v>Adams Bashford Moulton</v>
      </c>
      <c r="C1012" s="26" t="str">
        <f>_xlfn.XLOOKUP(Total[[#This Row],[Hebras]],TbTecnologia[Hebras],TbTecnologia[Tecnología])</f>
        <v>OMP</v>
      </c>
      <c r="D1012" s="15" t="str" cm="1">
        <f t="array" ref="D1012">_xlfn.XLOOKUP(Total[[#This Row],[Tecnología]]&amp;Total[[#This Row],[Metodo]],TbTipos[Tecnología]&amp;TbTipos[Metodo],TbTipos[Tipo])</f>
        <v>OMP Elementos</v>
      </c>
      <c r="E1012" s="15" t="str" cm="1">
        <f t="array" ref="E1012">_xlfn.XLOOKUP(Total[[#This Row],[Tecnología]]&amp;Total[[#This Row],[Problema]],TbNombres[Tecnología]&amp;TbNombres[Problema],TbNombres[Nombre])</f>
        <v>Advdiff1d</v>
      </c>
      <c r="F1012" s="1">
        <v>6</v>
      </c>
      <c r="G1012" s="1">
        <v>2</v>
      </c>
      <c r="H1012" s="1">
        <v>4</v>
      </c>
      <c r="I1012" s="1">
        <v>15000</v>
      </c>
      <c r="J1012" s="1">
        <v>15000</v>
      </c>
      <c r="K1012" s="1">
        <v>383.565</v>
      </c>
    </row>
    <row r="1013" spans="2:11" x14ac:dyDescent="0.2">
      <c r="B1013" s="26" t="str">
        <f>_xlfn.XLOOKUP(Total[[#This Row],[Metodo]],TbSolver[Metodo],TbSolver[Solver])</f>
        <v>Adams Bashford Moulton</v>
      </c>
      <c r="C1013" s="26" t="str">
        <f>_xlfn.XLOOKUP(Total[[#This Row],[Hebras]],TbTecnologia[Hebras],TbTecnologia[Tecnología])</f>
        <v>OMP</v>
      </c>
      <c r="D1013" s="15" t="str" cm="1">
        <f t="array" ref="D1013">_xlfn.XLOOKUP(Total[[#This Row],[Tecnología]]&amp;Total[[#This Row],[Metodo]],TbTipos[Tecnología]&amp;TbTipos[Metodo],TbTipos[Tipo])</f>
        <v>OMP Elementos</v>
      </c>
      <c r="E1013" s="15" t="str" cm="1">
        <f t="array" ref="E1013">_xlfn.XLOOKUP(Total[[#This Row],[Tecnología]]&amp;Total[[#This Row],[Problema]],TbNombres[Tecnología]&amp;TbNombres[Problema],TbNombres[Nombre])</f>
        <v>Advdiff1d</v>
      </c>
      <c r="F1013" s="1">
        <v>6</v>
      </c>
      <c r="G1013" s="1">
        <v>2</v>
      </c>
      <c r="H1013" s="1">
        <v>16</v>
      </c>
      <c r="I1013" s="1">
        <v>15000</v>
      </c>
      <c r="J1013" s="1">
        <v>15000</v>
      </c>
      <c r="K1013" s="1">
        <v>118.075</v>
      </c>
    </row>
    <row r="1014" spans="2:11" x14ac:dyDescent="0.2">
      <c r="B1014" s="26" t="str">
        <f>_xlfn.XLOOKUP(Total[[#This Row],[Metodo]],TbSolver[Metodo],TbSolver[Solver])</f>
        <v>Adams Bashford Moulton</v>
      </c>
      <c r="C1014" s="26" t="str">
        <f>_xlfn.XLOOKUP(Total[[#This Row],[Hebras]],TbTecnologia[Hebras],TbTecnologia[Tecnología])</f>
        <v>OMP</v>
      </c>
      <c r="D1014" s="15" t="str" cm="1">
        <f t="array" ref="D1014">_xlfn.XLOOKUP(Total[[#This Row],[Tecnología]]&amp;Total[[#This Row],[Metodo]],TbTipos[Tecnología]&amp;TbTipos[Metodo],TbTipos[Tipo])</f>
        <v>OMP Elementos</v>
      </c>
      <c r="E1014" s="15" t="str" cm="1">
        <f t="array" ref="E1014">_xlfn.XLOOKUP(Total[[#This Row],[Tecnología]]&amp;Total[[#This Row],[Problema]],TbNombres[Tecnología]&amp;TbNombres[Problema],TbNombres[Nombre])</f>
        <v>Brusselator1d</v>
      </c>
      <c r="F1014" s="1">
        <v>6</v>
      </c>
      <c r="G1014" s="1">
        <v>3</v>
      </c>
      <c r="H1014" s="1">
        <v>1</v>
      </c>
      <c r="I1014" s="1">
        <v>15000</v>
      </c>
      <c r="J1014" s="1">
        <v>30000</v>
      </c>
      <c r="K1014" s="1">
        <v>871.66899999999998</v>
      </c>
    </row>
    <row r="1015" spans="2:11" x14ac:dyDescent="0.2">
      <c r="B1015" s="26" t="str">
        <f>_xlfn.XLOOKUP(Total[[#This Row],[Metodo]],TbSolver[Metodo],TbSolver[Solver])</f>
        <v>Adams Bashford Moulton</v>
      </c>
      <c r="C1015" s="26" t="str">
        <f>_xlfn.XLOOKUP(Total[[#This Row],[Hebras]],TbTecnologia[Hebras],TbTecnologia[Tecnología])</f>
        <v>OMP</v>
      </c>
      <c r="D1015" s="15" t="str" cm="1">
        <f t="array" ref="D1015">_xlfn.XLOOKUP(Total[[#This Row],[Tecnología]]&amp;Total[[#This Row],[Metodo]],TbTipos[Tecnología]&amp;TbTipos[Metodo],TbTipos[Tipo])</f>
        <v>OMP Elementos</v>
      </c>
      <c r="E1015" s="15" t="str" cm="1">
        <f t="array" ref="E1015">_xlfn.XLOOKUP(Total[[#This Row],[Tecnología]]&amp;Total[[#This Row],[Problema]],TbNombres[Tecnología]&amp;TbNombres[Problema],TbNombres[Nombre])</f>
        <v>Brusselator1d</v>
      </c>
      <c r="F1015" s="1">
        <v>6</v>
      </c>
      <c r="G1015" s="1">
        <v>3</v>
      </c>
      <c r="H1015" s="1">
        <v>4</v>
      </c>
      <c r="I1015" s="1">
        <v>15000</v>
      </c>
      <c r="J1015" s="1">
        <v>30000</v>
      </c>
      <c r="K1015" s="1">
        <v>250.88</v>
      </c>
    </row>
    <row r="1016" spans="2:11" x14ac:dyDescent="0.2">
      <c r="B1016" s="26" t="str">
        <f>_xlfn.XLOOKUP(Total[[#This Row],[Metodo]],TbSolver[Metodo],TbSolver[Solver])</f>
        <v>Adams Bashford Moulton</v>
      </c>
      <c r="C1016" s="26" t="str">
        <f>_xlfn.XLOOKUP(Total[[#This Row],[Hebras]],TbTecnologia[Hebras],TbTecnologia[Tecnología])</f>
        <v>OMP</v>
      </c>
      <c r="D1016" s="15" t="str" cm="1">
        <f t="array" ref="D1016">_xlfn.XLOOKUP(Total[[#This Row],[Tecnología]]&amp;Total[[#This Row],[Metodo]],TbTipos[Tecnología]&amp;TbTipos[Metodo],TbTipos[Tipo])</f>
        <v>OMP Elementos</v>
      </c>
      <c r="E1016" s="15" t="str" cm="1">
        <f t="array" ref="E1016">_xlfn.XLOOKUP(Total[[#This Row],[Tecnología]]&amp;Total[[#This Row],[Problema]],TbNombres[Tecnología]&amp;TbNombres[Problema],TbNombres[Nombre])</f>
        <v>Brusselator1d</v>
      </c>
      <c r="F1016" s="1">
        <v>6</v>
      </c>
      <c r="G1016" s="1">
        <v>3</v>
      </c>
      <c r="H1016" s="1">
        <v>16</v>
      </c>
      <c r="I1016" s="1">
        <v>15000</v>
      </c>
      <c r="J1016" s="1">
        <v>30000</v>
      </c>
      <c r="K1016" s="1">
        <v>183.87100000000001</v>
      </c>
    </row>
    <row r="1017" spans="2:11" x14ac:dyDescent="0.2">
      <c r="B1017" s="26" t="str">
        <f>_xlfn.XLOOKUP(Total[[#This Row],[Metodo]],TbSolver[Metodo],TbSolver[Solver])</f>
        <v>Runge Kutta</v>
      </c>
      <c r="C1017" s="26" t="str">
        <f>_xlfn.XLOOKUP(Total[[#This Row],[Hebras]],TbTecnologia[Hebras],TbTecnologia[Tecnología])</f>
        <v>OMP</v>
      </c>
      <c r="D1017" s="15" t="str" cm="1">
        <f t="array" ref="D1017">_xlfn.XLOOKUP(Total[[#This Row],[Tecnología]]&amp;Total[[#This Row],[Metodo]],TbTipos[Tecnología]&amp;TbTipos[Metodo],TbTipos[Tipo])</f>
        <v>OMP Operaciones</v>
      </c>
      <c r="E1017" s="15" t="str" cm="1">
        <f t="array" ref="E1017">_xlfn.XLOOKUP(Total[[#This Row],[Tecnología]]&amp;Total[[#This Row],[Problema]],TbNombres[Tecnología]&amp;TbNombres[Problema],TbNombres[Nombre])</f>
        <v>Brusselator2d</v>
      </c>
      <c r="F1017" s="1">
        <v>1</v>
      </c>
      <c r="G1017" s="1">
        <v>4</v>
      </c>
      <c r="H1017" s="1">
        <v>1</v>
      </c>
      <c r="I1017" s="1">
        <v>25</v>
      </c>
      <c r="J1017" s="1">
        <v>1250</v>
      </c>
      <c r="K1017" s="1">
        <v>28.118500000000001</v>
      </c>
    </row>
    <row r="1018" spans="2:11" x14ac:dyDescent="0.2">
      <c r="B1018" s="26" t="str">
        <f>_xlfn.XLOOKUP(Total[[#This Row],[Metodo]],TbSolver[Metodo],TbSolver[Solver])</f>
        <v>Runge Kutta</v>
      </c>
      <c r="C1018" s="26" t="str">
        <f>_xlfn.XLOOKUP(Total[[#This Row],[Hebras]],TbTecnologia[Hebras],TbTecnologia[Tecnología])</f>
        <v>OMP</v>
      </c>
      <c r="D1018" s="15" t="str" cm="1">
        <f t="array" ref="D1018">_xlfn.XLOOKUP(Total[[#This Row],[Tecnología]]&amp;Total[[#This Row],[Metodo]],TbTipos[Tecnología]&amp;TbTipos[Metodo],TbTipos[Tipo])</f>
        <v>OMP Operaciones</v>
      </c>
      <c r="E1018" s="15" t="str" cm="1">
        <f t="array" ref="E1018">_xlfn.XLOOKUP(Total[[#This Row],[Tecnología]]&amp;Total[[#This Row],[Problema]],TbNombres[Tecnología]&amp;TbNombres[Problema],TbNombres[Nombre])</f>
        <v>Brusselator2d</v>
      </c>
      <c r="F1018" s="1">
        <v>1</v>
      </c>
      <c r="G1018" s="1">
        <v>4</v>
      </c>
      <c r="H1018" s="1">
        <v>4</v>
      </c>
      <c r="I1018" s="1">
        <v>25</v>
      </c>
      <c r="J1018" s="1">
        <v>1250</v>
      </c>
      <c r="K1018" s="1">
        <v>30.5199</v>
      </c>
    </row>
    <row r="1019" spans="2:11" x14ac:dyDescent="0.2">
      <c r="B1019" s="26" t="str">
        <f>_xlfn.XLOOKUP(Total[[#This Row],[Metodo]],TbSolver[Metodo],TbSolver[Solver])</f>
        <v>Runge Kutta</v>
      </c>
      <c r="C1019" s="26" t="str">
        <f>_xlfn.XLOOKUP(Total[[#This Row],[Hebras]],TbTecnologia[Hebras],TbTecnologia[Tecnología])</f>
        <v>OMP</v>
      </c>
      <c r="D1019" s="15" t="str" cm="1">
        <f t="array" ref="D1019">_xlfn.XLOOKUP(Total[[#This Row],[Tecnología]]&amp;Total[[#This Row],[Metodo]],TbTipos[Tecnología]&amp;TbTipos[Metodo],TbTipos[Tipo])</f>
        <v>OMP Operaciones</v>
      </c>
      <c r="E1019" s="15" t="str" cm="1">
        <f t="array" ref="E1019">_xlfn.XLOOKUP(Total[[#This Row],[Tecnología]]&amp;Total[[#This Row],[Problema]],TbNombres[Tecnología]&amp;TbNombres[Problema],TbNombres[Nombre])</f>
        <v>Brusselator2d</v>
      </c>
      <c r="F1019" s="1">
        <v>1</v>
      </c>
      <c r="G1019" s="1">
        <v>4</v>
      </c>
      <c r="H1019" s="1">
        <v>16</v>
      </c>
      <c r="I1019" s="1">
        <v>25</v>
      </c>
      <c r="J1019" s="1">
        <v>1250</v>
      </c>
      <c r="K1019" s="1">
        <v>75.176699999999997</v>
      </c>
    </row>
    <row r="1020" spans="2:11" x14ac:dyDescent="0.2">
      <c r="B1020" s="26" t="str">
        <f>_xlfn.XLOOKUP(Total[[#This Row],[Metodo]],TbSolver[Metodo],TbSolver[Solver])</f>
        <v>Runge Kutta</v>
      </c>
      <c r="C1020" s="26" t="str">
        <f>_xlfn.XLOOKUP(Total[[#This Row],[Hebras]],TbTecnologia[Hebras],TbTecnologia[Tecnología])</f>
        <v>OMP</v>
      </c>
      <c r="D1020" s="15" t="str" cm="1">
        <f t="array" ref="D1020">_xlfn.XLOOKUP(Total[[#This Row],[Tecnología]]&amp;Total[[#This Row],[Metodo]],TbTipos[Tecnología]&amp;TbTipos[Metodo],TbTipos[Tipo])</f>
        <v>OMP Elementos</v>
      </c>
      <c r="E1020" s="15" t="str" cm="1">
        <f t="array" ref="E1020">_xlfn.XLOOKUP(Total[[#This Row],[Tecnología]]&amp;Total[[#This Row],[Problema]],TbNombres[Tecnología]&amp;TbNombres[Problema],TbNombres[Nombre])</f>
        <v>Brusselator2d</v>
      </c>
      <c r="F1020" s="1">
        <v>2</v>
      </c>
      <c r="G1020" s="1">
        <v>4</v>
      </c>
      <c r="H1020" s="1">
        <v>1</v>
      </c>
      <c r="I1020" s="1">
        <v>25</v>
      </c>
      <c r="J1020" s="1">
        <v>1250</v>
      </c>
      <c r="K1020" s="1">
        <v>67.529499999999999</v>
      </c>
    </row>
    <row r="1021" spans="2:11" x14ac:dyDescent="0.2">
      <c r="B1021" s="26" t="str">
        <f>_xlfn.XLOOKUP(Total[[#This Row],[Metodo]],TbSolver[Metodo],TbSolver[Solver])</f>
        <v>Runge Kutta</v>
      </c>
      <c r="C1021" s="26" t="str">
        <f>_xlfn.XLOOKUP(Total[[#This Row],[Hebras]],TbTecnologia[Hebras],TbTecnologia[Tecnología])</f>
        <v>OMP</v>
      </c>
      <c r="D1021" s="15" t="str" cm="1">
        <f t="array" ref="D1021">_xlfn.XLOOKUP(Total[[#This Row],[Tecnología]]&amp;Total[[#This Row],[Metodo]],TbTipos[Tecnología]&amp;TbTipos[Metodo],TbTipos[Tipo])</f>
        <v>OMP Elementos</v>
      </c>
      <c r="E1021" s="15" t="str" cm="1">
        <f t="array" ref="E1021">_xlfn.XLOOKUP(Total[[#This Row],[Tecnología]]&amp;Total[[#This Row],[Problema]],TbNombres[Tecnología]&amp;TbNombres[Problema],TbNombres[Nombre])</f>
        <v>Brusselator2d</v>
      </c>
      <c r="F1021" s="1">
        <v>2</v>
      </c>
      <c r="G1021" s="1">
        <v>4</v>
      </c>
      <c r="H1021" s="1">
        <v>4</v>
      </c>
      <c r="I1021" s="1">
        <v>25</v>
      </c>
      <c r="J1021" s="1">
        <v>1250</v>
      </c>
      <c r="K1021" s="1">
        <v>24.585599999999999</v>
      </c>
    </row>
    <row r="1022" spans="2:11" x14ac:dyDescent="0.2">
      <c r="B1022" s="26" t="str">
        <f>_xlfn.XLOOKUP(Total[[#This Row],[Metodo]],TbSolver[Metodo],TbSolver[Solver])</f>
        <v>Runge Kutta</v>
      </c>
      <c r="C1022" s="26" t="str">
        <f>_xlfn.XLOOKUP(Total[[#This Row],[Hebras]],TbTecnologia[Hebras],TbTecnologia[Tecnología])</f>
        <v>OMP</v>
      </c>
      <c r="D1022" s="15" t="str" cm="1">
        <f t="array" ref="D1022">_xlfn.XLOOKUP(Total[[#This Row],[Tecnología]]&amp;Total[[#This Row],[Metodo]],TbTipos[Tecnología]&amp;TbTipos[Metodo],TbTipos[Tipo])</f>
        <v>OMP Elementos</v>
      </c>
      <c r="E1022" s="15" t="str" cm="1">
        <f t="array" ref="E1022">_xlfn.XLOOKUP(Total[[#This Row],[Tecnología]]&amp;Total[[#This Row],[Problema]],TbNombres[Tecnología]&amp;TbNombres[Problema],TbNombres[Nombre])</f>
        <v>Brusselator2d</v>
      </c>
      <c r="F1022" s="1">
        <v>2</v>
      </c>
      <c r="G1022" s="1">
        <v>4</v>
      </c>
      <c r="H1022" s="1">
        <v>16</v>
      </c>
      <c r="I1022" s="1">
        <v>25</v>
      </c>
      <c r="J1022" s="1">
        <v>1250</v>
      </c>
      <c r="K1022" s="1">
        <v>41.181399999999996</v>
      </c>
    </row>
    <row r="1023" spans="2:11" x14ac:dyDescent="0.2">
      <c r="B1023" s="26" t="str">
        <f>_xlfn.XLOOKUP(Total[[#This Row],[Metodo]],TbSolver[Metodo],TbSolver[Solver])</f>
        <v>Adams Bashford</v>
      </c>
      <c r="C1023" s="26" t="str">
        <f>_xlfn.XLOOKUP(Total[[#This Row],[Hebras]],TbTecnologia[Hebras],TbTecnologia[Tecnología])</f>
        <v>OMP</v>
      </c>
      <c r="D1023" s="15" t="str" cm="1">
        <f t="array" ref="D1023">_xlfn.XLOOKUP(Total[[#This Row],[Tecnología]]&amp;Total[[#This Row],[Metodo]],TbTipos[Tecnología]&amp;TbTipos[Metodo],TbTipos[Tipo])</f>
        <v>OMP Operaciones</v>
      </c>
      <c r="E1023" s="15" t="str" cm="1">
        <f t="array" ref="E1023">_xlfn.XLOOKUP(Total[[#This Row],[Tecnología]]&amp;Total[[#This Row],[Problema]],TbNombres[Tecnología]&amp;TbNombres[Problema],TbNombres[Nombre])</f>
        <v>Brusselator2d</v>
      </c>
      <c r="F1023" s="1">
        <v>3</v>
      </c>
      <c r="G1023" s="1">
        <v>4</v>
      </c>
      <c r="H1023" s="1">
        <v>1</v>
      </c>
      <c r="I1023" s="1">
        <v>25</v>
      </c>
      <c r="J1023" s="1">
        <v>1250</v>
      </c>
      <c r="K1023" s="1">
        <v>8.3451599999999999</v>
      </c>
    </row>
    <row r="1024" spans="2:11" x14ac:dyDescent="0.2">
      <c r="B1024" s="26" t="str">
        <f>_xlfn.XLOOKUP(Total[[#This Row],[Metodo]],TbSolver[Metodo],TbSolver[Solver])</f>
        <v>Adams Bashford</v>
      </c>
      <c r="C1024" s="26" t="str">
        <f>_xlfn.XLOOKUP(Total[[#This Row],[Hebras]],TbTecnologia[Hebras],TbTecnologia[Tecnología])</f>
        <v>OMP</v>
      </c>
      <c r="D1024" s="15" t="str" cm="1">
        <f t="array" ref="D1024">_xlfn.XLOOKUP(Total[[#This Row],[Tecnología]]&amp;Total[[#This Row],[Metodo]],TbTipos[Tecnología]&amp;TbTipos[Metodo],TbTipos[Tipo])</f>
        <v>OMP Operaciones</v>
      </c>
      <c r="E1024" s="15" t="str" cm="1">
        <f t="array" ref="E1024">_xlfn.XLOOKUP(Total[[#This Row],[Tecnología]]&amp;Total[[#This Row],[Problema]],TbNombres[Tecnología]&amp;TbNombres[Problema],TbNombres[Nombre])</f>
        <v>Brusselator2d</v>
      </c>
      <c r="F1024" s="1">
        <v>3</v>
      </c>
      <c r="G1024" s="1">
        <v>4</v>
      </c>
      <c r="H1024" s="1">
        <v>4</v>
      </c>
      <c r="I1024" s="1">
        <v>25</v>
      </c>
      <c r="J1024" s="1">
        <v>1250</v>
      </c>
      <c r="K1024" s="1">
        <v>14.35</v>
      </c>
    </row>
    <row r="1025" spans="2:11" x14ac:dyDescent="0.2">
      <c r="B1025" s="26" t="str">
        <f>_xlfn.XLOOKUP(Total[[#This Row],[Metodo]],TbSolver[Metodo],TbSolver[Solver])</f>
        <v>Adams Bashford</v>
      </c>
      <c r="C1025" s="26" t="str">
        <f>_xlfn.XLOOKUP(Total[[#This Row],[Hebras]],TbTecnologia[Hebras],TbTecnologia[Tecnología])</f>
        <v>OMP</v>
      </c>
      <c r="D1025" s="15" t="str" cm="1">
        <f t="array" ref="D1025">_xlfn.XLOOKUP(Total[[#This Row],[Tecnología]]&amp;Total[[#This Row],[Metodo]],TbTipos[Tecnología]&amp;TbTipos[Metodo],TbTipos[Tipo])</f>
        <v>OMP Operaciones</v>
      </c>
      <c r="E1025" s="15" t="str" cm="1">
        <f t="array" ref="E1025">_xlfn.XLOOKUP(Total[[#This Row],[Tecnología]]&amp;Total[[#This Row],[Problema]],TbNombres[Tecnología]&amp;TbNombres[Problema],TbNombres[Nombre])</f>
        <v>Brusselator2d</v>
      </c>
      <c r="F1025" s="1">
        <v>3</v>
      </c>
      <c r="G1025" s="1">
        <v>4</v>
      </c>
      <c r="H1025" s="1">
        <v>16</v>
      </c>
      <c r="I1025" s="1">
        <v>25</v>
      </c>
      <c r="J1025" s="1">
        <v>1250</v>
      </c>
      <c r="K1025" s="1">
        <v>30.5852</v>
      </c>
    </row>
    <row r="1026" spans="2:11" x14ac:dyDescent="0.2">
      <c r="B1026" s="26" t="str">
        <f>_xlfn.XLOOKUP(Total[[#This Row],[Metodo]],TbSolver[Metodo],TbSolver[Solver])</f>
        <v>Adams Bashford</v>
      </c>
      <c r="C1026" s="26" t="str">
        <f>_xlfn.XLOOKUP(Total[[#This Row],[Hebras]],TbTecnologia[Hebras],TbTecnologia[Tecnología])</f>
        <v>OMP</v>
      </c>
      <c r="D1026" s="15" t="str" cm="1">
        <f t="array" ref="D1026">_xlfn.XLOOKUP(Total[[#This Row],[Tecnología]]&amp;Total[[#This Row],[Metodo]],TbTipos[Tecnología]&amp;TbTipos[Metodo],TbTipos[Tipo])</f>
        <v>OMP Elementos</v>
      </c>
      <c r="E1026" s="15" t="str" cm="1">
        <f t="array" ref="E1026">_xlfn.XLOOKUP(Total[[#This Row],[Tecnología]]&amp;Total[[#This Row],[Problema]],TbNombres[Tecnología]&amp;TbNombres[Problema],TbNombres[Nombre])</f>
        <v>Brusselator2d</v>
      </c>
      <c r="F1026" s="1">
        <v>4</v>
      </c>
      <c r="G1026" s="1">
        <v>4</v>
      </c>
      <c r="H1026" s="1">
        <v>1</v>
      </c>
      <c r="I1026" s="1">
        <v>25</v>
      </c>
      <c r="J1026" s="1">
        <v>1250</v>
      </c>
      <c r="K1026" s="1">
        <v>16.757000000000001</v>
      </c>
    </row>
    <row r="1027" spans="2:11" x14ac:dyDescent="0.2">
      <c r="B1027" s="26" t="str">
        <f>_xlfn.XLOOKUP(Total[[#This Row],[Metodo]],TbSolver[Metodo],TbSolver[Solver])</f>
        <v>Adams Bashford</v>
      </c>
      <c r="C1027" s="26" t="str">
        <f>_xlfn.XLOOKUP(Total[[#This Row],[Hebras]],TbTecnologia[Hebras],TbTecnologia[Tecnología])</f>
        <v>OMP</v>
      </c>
      <c r="D1027" s="15" t="str" cm="1">
        <f t="array" ref="D1027">_xlfn.XLOOKUP(Total[[#This Row],[Tecnología]]&amp;Total[[#This Row],[Metodo]],TbTipos[Tecnología]&amp;TbTipos[Metodo],TbTipos[Tipo])</f>
        <v>OMP Elementos</v>
      </c>
      <c r="E1027" s="15" t="str" cm="1">
        <f t="array" ref="E1027">_xlfn.XLOOKUP(Total[[#This Row],[Tecnología]]&amp;Total[[#This Row],[Problema]],TbNombres[Tecnología]&amp;TbNombres[Problema],TbNombres[Nombre])</f>
        <v>Brusselator2d</v>
      </c>
      <c r="F1027" s="1">
        <v>4</v>
      </c>
      <c r="G1027" s="1">
        <v>4</v>
      </c>
      <c r="H1027" s="1">
        <v>4</v>
      </c>
      <c r="I1027" s="1">
        <v>25</v>
      </c>
      <c r="J1027" s="1">
        <v>1250</v>
      </c>
      <c r="K1027" s="1">
        <v>9.3468400000000003</v>
      </c>
    </row>
    <row r="1028" spans="2:11" x14ac:dyDescent="0.2">
      <c r="B1028" s="26" t="str">
        <f>_xlfn.XLOOKUP(Total[[#This Row],[Metodo]],TbSolver[Metodo],TbSolver[Solver])</f>
        <v>Adams Bashford</v>
      </c>
      <c r="C1028" s="26" t="str">
        <f>_xlfn.XLOOKUP(Total[[#This Row],[Hebras]],TbTecnologia[Hebras],TbTecnologia[Tecnología])</f>
        <v>OMP</v>
      </c>
      <c r="D1028" s="15" t="str" cm="1">
        <f t="array" ref="D1028">_xlfn.XLOOKUP(Total[[#This Row],[Tecnología]]&amp;Total[[#This Row],[Metodo]],TbTipos[Tecnología]&amp;TbTipos[Metodo],TbTipos[Tipo])</f>
        <v>OMP Elementos</v>
      </c>
      <c r="E1028" s="15" t="str" cm="1">
        <f t="array" ref="E1028">_xlfn.XLOOKUP(Total[[#This Row],[Tecnología]]&amp;Total[[#This Row],[Problema]],TbNombres[Tecnología]&amp;TbNombres[Problema],TbNombres[Nombre])</f>
        <v>Brusselator2d</v>
      </c>
      <c r="F1028" s="1">
        <v>4</v>
      </c>
      <c r="G1028" s="1">
        <v>4</v>
      </c>
      <c r="H1028" s="1">
        <v>16</v>
      </c>
      <c r="I1028" s="1">
        <v>25</v>
      </c>
      <c r="J1028" s="1">
        <v>1250</v>
      </c>
      <c r="K1028" s="1">
        <v>22.5047</v>
      </c>
    </row>
    <row r="1029" spans="2:11" x14ac:dyDescent="0.2">
      <c r="B1029" s="26" t="str">
        <f>_xlfn.XLOOKUP(Total[[#This Row],[Metodo]],TbSolver[Metodo],TbSolver[Solver])</f>
        <v>Adams Bashford Moulton</v>
      </c>
      <c r="C1029" s="26" t="str">
        <f>_xlfn.XLOOKUP(Total[[#This Row],[Hebras]],TbTecnologia[Hebras],TbTecnologia[Tecnología])</f>
        <v>OMP</v>
      </c>
      <c r="D1029" s="15" t="str" cm="1">
        <f t="array" ref="D1029">_xlfn.XLOOKUP(Total[[#This Row],[Tecnología]]&amp;Total[[#This Row],[Metodo]],TbTipos[Tecnología]&amp;TbTipos[Metodo],TbTipos[Tipo])</f>
        <v>OMP Operaciones</v>
      </c>
      <c r="E1029" s="15" t="str" cm="1">
        <f t="array" ref="E1029">_xlfn.XLOOKUP(Total[[#This Row],[Tecnología]]&amp;Total[[#This Row],[Problema]],TbNombres[Tecnología]&amp;TbNombres[Problema],TbNombres[Nombre])</f>
        <v>Brusselator2d</v>
      </c>
      <c r="F1029" s="1">
        <v>5</v>
      </c>
      <c r="G1029" s="1">
        <v>4</v>
      </c>
      <c r="H1029" s="1">
        <v>1</v>
      </c>
      <c r="I1029" s="1">
        <v>25</v>
      </c>
      <c r="J1029" s="1">
        <v>1250</v>
      </c>
      <c r="K1029" s="1">
        <v>26.5702</v>
      </c>
    </row>
    <row r="1030" spans="2:11" x14ac:dyDescent="0.2">
      <c r="B1030" s="26" t="str">
        <f>_xlfn.XLOOKUP(Total[[#This Row],[Metodo]],TbSolver[Metodo],TbSolver[Solver])</f>
        <v>Adams Bashford Moulton</v>
      </c>
      <c r="C1030" s="26" t="str">
        <f>_xlfn.XLOOKUP(Total[[#This Row],[Hebras]],TbTecnologia[Hebras],TbTecnologia[Tecnología])</f>
        <v>OMP</v>
      </c>
      <c r="D1030" s="15" t="str" cm="1">
        <f t="array" ref="D1030">_xlfn.XLOOKUP(Total[[#This Row],[Tecnología]]&amp;Total[[#This Row],[Metodo]],TbTipos[Tecnología]&amp;TbTipos[Metodo],TbTipos[Tipo])</f>
        <v>OMP Operaciones</v>
      </c>
      <c r="E1030" s="15" t="str" cm="1">
        <f t="array" ref="E1030">_xlfn.XLOOKUP(Total[[#This Row],[Tecnología]]&amp;Total[[#This Row],[Problema]],TbNombres[Tecnología]&amp;TbNombres[Problema],TbNombres[Nombre])</f>
        <v>Brusselator2d</v>
      </c>
      <c r="F1030" s="1">
        <v>5</v>
      </c>
      <c r="G1030" s="1">
        <v>4</v>
      </c>
      <c r="H1030" s="1">
        <v>4</v>
      </c>
      <c r="I1030" s="1">
        <v>25</v>
      </c>
      <c r="J1030" s="1">
        <v>1250</v>
      </c>
      <c r="K1030" s="1">
        <v>45.296900000000001</v>
      </c>
    </row>
    <row r="1031" spans="2:11" x14ac:dyDescent="0.2">
      <c r="B1031" s="26" t="str">
        <f>_xlfn.XLOOKUP(Total[[#This Row],[Metodo]],TbSolver[Metodo],TbSolver[Solver])</f>
        <v>Adams Bashford Moulton</v>
      </c>
      <c r="C1031" s="26" t="str">
        <f>_xlfn.XLOOKUP(Total[[#This Row],[Hebras]],TbTecnologia[Hebras],TbTecnologia[Tecnología])</f>
        <v>OMP</v>
      </c>
      <c r="D1031" s="15" t="str" cm="1">
        <f t="array" ref="D1031">_xlfn.XLOOKUP(Total[[#This Row],[Tecnología]]&amp;Total[[#This Row],[Metodo]],TbTipos[Tecnología]&amp;TbTipos[Metodo],TbTipos[Tipo])</f>
        <v>OMP Operaciones</v>
      </c>
      <c r="E1031" s="15" t="str" cm="1">
        <f t="array" ref="E1031">_xlfn.XLOOKUP(Total[[#This Row],[Tecnología]]&amp;Total[[#This Row],[Problema]],TbNombres[Tecnología]&amp;TbNombres[Problema],TbNombres[Nombre])</f>
        <v>Brusselator2d</v>
      </c>
      <c r="F1031" s="1">
        <v>5</v>
      </c>
      <c r="G1031" s="1">
        <v>4</v>
      </c>
      <c r="H1031" s="1">
        <v>16</v>
      </c>
      <c r="I1031" s="1">
        <v>25</v>
      </c>
      <c r="J1031" s="1">
        <v>1250</v>
      </c>
      <c r="K1031" s="1">
        <v>92.138099999999994</v>
      </c>
    </row>
    <row r="1032" spans="2:11" x14ac:dyDescent="0.2">
      <c r="B1032" s="26" t="str">
        <f>_xlfn.XLOOKUP(Total[[#This Row],[Metodo]],TbSolver[Metodo],TbSolver[Solver])</f>
        <v>Adams Bashford Moulton</v>
      </c>
      <c r="C1032" s="26" t="str">
        <f>_xlfn.XLOOKUP(Total[[#This Row],[Hebras]],TbTecnologia[Hebras],TbTecnologia[Tecnología])</f>
        <v>OMP</v>
      </c>
      <c r="D1032" s="15" t="str" cm="1">
        <f t="array" ref="D1032">_xlfn.XLOOKUP(Total[[#This Row],[Tecnología]]&amp;Total[[#This Row],[Metodo]],TbTipos[Tecnología]&amp;TbTipos[Metodo],TbTipos[Tipo])</f>
        <v>OMP Elementos</v>
      </c>
      <c r="E1032" s="15" t="str" cm="1">
        <f t="array" ref="E1032">_xlfn.XLOOKUP(Total[[#This Row],[Tecnología]]&amp;Total[[#This Row],[Problema]],TbNombres[Tecnología]&amp;TbNombres[Problema],TbNombres[Nombre])</f>
        <v>Brusselator2d</v>
      </c>
      <c r="F1032" s="1">
        <v>6</v>
      </c>
      <c r="G1032" s="1">
        <v>4</v>
      </c>
      <c r="H1032" s="1">
        <v>1</v>
      </c>
      <c r="I1032" s="1">
        <v>25</v>
      </c>
      <c r="J1032" s="1">
        <v>1250</v>
      </c>
      <c r="K1032" s="1">
        <v>58.719200000000001</v>
      </c>
    </row>
    <row r="1033" spans="2:11" x14ac:dyDescent="0.2">
      <c r="B1033" s="26" t="str">
        <f>_xlfn.XLOOKUP(Total[[#This Row],[Metodo]],TbSolver[Metodo],TbSolver[Solver])</f>
        <v>Adams Bashford Moulton</v>
      </c>
      <c r="C1033" s="26" t="str">
        <f>_xlfn.XLOOKUP(Total[[#This Row],[Hebras]],TbTecnologia[Hebras],TbTecnologia[Tecnología])</f>
        <v>OMP</v>
      </c>
      <c r="D1033" s="15" t="str" cm="1">
        <f t="array" ref="D1033">_xlfn.XLOOKUP(Total[[#This Row],[Tecnología]]&amp;Total[[#This Row],[Metodo]],TbTipos[Tecnología]&amp;TbTipos[Metodo],TbTipos[Tipo])</f>
        <v>OMP Elementos</v>
      </c>
      <c r="E1033" s="15" t="str" cm="1">
        <f t="array" ref="E1033">_xlfn.XLOOKUP(Total[[#This Row],[Tecnología]]&amp;Total[[#This Row],[Problema]],TbNombres[Tecnología]&amp;TbNombres[Problema],TbNombres[Nombre])</f>
        <v>Brusselator2d</v>
      </c>
      <c r="F1033" s="1">
        <v>6</v>
      </c>
      <c r="G1033" s="1">
        <v>4</v>
      </c>
      <c r="H1033" s="1">
        <v>4</v>
      </c>
      <c r="I1033" s="1">
        <v>25</v>
      </c>
      <c r="J1033" s="1">
        <v>1250</v>
      </c>
      <c r="K1033" s="1">
        <v>23.072399999999998</v>
      </c>
    </row>
    <row r="1034" spans="2:11" x14ac:dyDescent="0.2">
      <c r="B1034" s="26" t="str">
        <f>_xlfn.XLOOKUP(Total[[#This Row],[Metodo]],TbSolver[Metodo],TbSolver[Solver])</f>
        <v>Adams Bashford Moulton</v>
      </c>
      <c r="C1034" s="26" t="str">
        <f>_xlfn.XLOOKUP(Total[[#This Row],[Hebras]],TbTecnologia[Hebras],TbTecnologia[Tecnología])</f>
        <v>OMP</v>
      </c>
      <c r="D1034" s="15" t="str" cm="1">
        <f t="array" ref="D1034">_xlfn.XLOOKUP(Total[[#This Row],[Tecnología]]&amp;Total[[#This Row],[Metodo]],TbTipos[Tecnología]&amp;TbTipos[Metodo],TbTipos[Tipo])</f>
        <v>OMP Elementos</v>
      </c>
      <c r="E1034" s="15" t="str" cm="1">
        <f t="array" ref="E1034">_xlfn.XLOOKUP(Total[[#This Row],[Tecnología]]&amp;Total[[#This Row],[Problema]],TbNombres[Tecnología]&amp;TbNombres[Problema],TbNombres[Nombre])</f>
        <v>Brusselator2d</v>
      </c>
      <c r="F1034" s="1">
        <v>6</v>
      </c>
      <c r="G1034" s="1">
        <v>4</v>
      </c>
      <c r="H1034" s="1">
        <v>16</v>
      </c>
      <c r="I1034" s="1">
        <v>25</v>
      </c>
      <c r="J1034" s="1">
        <v>1250</v>
      </c>
      <c r="K1034" s="1">
        <v>42.152700000000003</v>
      </c>
    </row>
    <row r="1035" spans="2:11" x14ac:dyDescent="0.2">
      <c r="B1035" s="26" t="str">
        <f>_xlfn.XLOOKUP(Total[[#This Row],[Metodo]],TbSolver[Metodo],TbSolver[Solver])</f>
        <v>Runge Kutta</v>
      </c>
      <c r="C1035" s="26" t="str">
        <f>_xlfn.XLOOKUP(Total[[#This Row],[Hebras]],TbTecnologia[Hebras],TbTecnologia[Tecnología])</f>
        <v>OMP</v>
      </c>
      <c r="D1035" s="15" t="str" cm="1">
        <f t="array" ref="D1035">_xlfn.XLOOKUP(Total[[#This Row],[Tecnología]]&amp;Total[[#This Row],[Metodo]],TbTipos[Tecnología]&amp;TbTipos[Metodo],TbTipos[Tipo])</f>
        <v>OMP Operaciones</v>
      </c>
      <c r="E1035" s="15" t="str" cm="1">
        <f t="array" ref="E1035">_xlfn.XLOOKUP(Total[[#This Row],[Tecnología]]&amp;Total[[#This Row],[Problema]],TbNombres[Tecnología]&amp;TbNombres[Problema],TbNombres[Nombre])</f>
        <v>Brusselator2d</v>
      </c>
      <c r="F1035" s="1">
        <v>1</v>
      </c>
      <c r="G1035" s="1">
        <v>4</v>
      </c>
      <c r="H1035" s="1">
        <v>1</v>
      </c>
      <c r="I1035" s="1">
        <v>75</v>
      </c>
      <c r="J1035" s="1">
        <v>11250</v>
      </c>
      <c r="K1035" s="1">
        <v>231.25899999999999</v>
      </c>
    </row>
    <row r="1036" spans="2:11" x14ac:dyDescent="0.2">
      <c r="B1036" s="26" t="str">
        <f>_xlfn.XLOOKUP(Total[[#This Row],[Metodo]],TbSolver[Metodo],TbSolver[Solver])</f>
        <v>Runge Kutta</v>
      </c>
      <c r="C1036" s="26" t="str">
        <f>_xlfn.XLOOKUP(Total[[#This Row],[Hebras]],TbTecnologia[Hebras],TbTecnologia[Tecnología])</f>
        <v>OMP</v>
      </c>
      <c r="D1036" s="15" t="str" cm="1">
        <f t="array" ref="D1036">_xlfn.XLOOKUP(Total[[#This Row],[Tecnología]]&amp;Total[[#This Row],[Metodo]],TbTipos[Tecnología]&amp;TbTipos[Metodo],TbTipos[Tipo])</f>
        <v>OMP Operaciones</v>
      </c>
      <c r="E1036" s="15" t="str" cm="1">
        <f t="array" ref="E1036">_xlfn.XLOOKUP(Total[[#This Row],[Tecnología]]&amp;Total[[#This Row],[Problema]],TbNombres[Tecnología]&amp;TbNombres[Problema],TbNombres[Nombre])</f>
        <v>Brusselator2d</v>
      </c>
      <c r="F1036" s="1">
        <v>1</v>
      </c>
      <c r="G1036" s="1">
        <v>4</v>
      </c>
      <c r="H1036" s="1">
        <v>4</v>
      </c>
      <c r="I1036" s="1">
        <v>75</v>
      </c>
      <c r="J1036" s="1">
        <v>11250</v>
      </c>
      <c r="K1036" s="1">
        <v>88.089699999999993</v>
      </c>
    </row>
    <row r="1037" spans="2:11" x14ac:dyDescent="0.2">
      <c r="B1037" s="26" t="str">
        <f>_xlfn.XLOOKUP(Total[[#This Row],[Metodo]],TbSolver[Metodo],TbSolver[Solver])</f>
        <v>Runge Kutta</v>
      </c>
      <c r="C1037" s="26" t="str">
        <f>_xlfn.XLOOKUP(Total[[#This Row],[Hebras]],TbTecnologia[Hebras],TbTecnologia[Tecnología])</f>
        <v>OMP</v>
      </c>
      <c r="D1037" s="15" t="str" cm="1">
        <f t="array" ref="D1037">_xlfn.XLOOKUP(Total[[#This Row],[Tecnología]]&amp;Total[[#This Row],[Metodo]],TbTipos[Tecnología]&amp;TbTipos[Metodo],TbTipos[Tipo])</f>
        <v>OMP Operaciones</v>
      </c>
      <c r="E1037" s="15" t="str" cm="1">
        <f t="array" ref="E1037">_xlfn.XLOOKUP(Total[[#This Row],[Tecnología]]&amp;Total[[#This Row],[Problema]],TbNombres[Tecnología]&amp;TbNombres[Problema],TbNombres[Nombre])</f>
        <v>Brusselator2d</v>
      </c>
      <c r="F1037" s="1">
        <v>1</v>
      </c>
      <c r="G1037" s="1">
        <v>4</v>
      </c>
      <c r="H1037" s="1">
        <v>16</v>
      </c>
      <c r="I1037" s="1">
        <v>75</v>
      </c>
      <c r="J1037" s="1">
        <v>11250</v>
      </c>
      <c r="K1037" s="1">
        <v>92.078500000000005</v>
      </c>
    </row>
    <row r="1038" spans="2:11" x14ac:dyDescent="0.2">
      <c r="B1038" s="26" t="str">
        <f>_xlfn.XLOOKUP(Total[[#This Row],[Metodo]],TbSolver[Metodo],TbSolver[Solver])</f>
        <v>Runge Kutta</v>
      </c>
      <c r="C1038" s="26" t="str">
        <f>_xlfn.XLOOKUP(Total[[#This Row],[Hebras]],TbTecnologia[Hebras],TbTecnologia[Tecnología])</f>
        <v>OMP</v>
      </c>
      <c r="D1038" s="15" t="str" cm="1">
        <f t="array" ref="D1038">_xlfn.XLOOKUP(Total[[#This Row],[Tecnología]]&amp;Total[[#This Row],[Metodo]],TbTipos[Tecnología]&amp;TbTipos[Metodo],TbTipos[Tipo])</f>
        <v>OMP Elementos</v>
      </c>
      <c r="E1038" s="15" t="str" cm="1">
        <f t="array" ref="E1038">_xlfn.XLOOKUP(Total[[#This Row],[Tecnología]]&amp;Total[[#This Row],[Problema]],TbNombres[Tecnología]&amp;TbNombres[Problema],TbNombres[Nombre])</f>
        <v>Brusselator2d</v>
      </c>
      <c r="F1038" s="1">
        <v>2</v>
      </c>
      <c r="G1038" s="1">
        <v>4</v>
      </c>
      <c r="H1038" s="1">
        <v>1</v>
      </c>
      <c r="I1038" s="1">
        <v>75</v>
      </c>
      <c r="J1038" s="1">
        <v>11250</v>
      </c>
      <c r="K1038" s="1">
        <v>601.79600000000005</v>
      </c>
    </row>
    <row r="1039" spans="2:11" x14ac:dyDescent="0.2">
      <c r="B1039" s="26" t="str">
        <f>_xlfn.XLOOKUP(Total[[#This Row],[Metodo]],TbSolver[Metodo],TbSolver[Solver])</f>
        <v>Runge Kutta</v>
      </c>
      <c r="C1039" s="26" t="str">
        <f>_xlfn.XLOOKUP(Total[[#This Row],[Hebras]],TbTecnologia[Hebras],TbTecnologia[Tecnología])</f>
        <v>OMP</v>
      </c>
      <c r="D1039" s="15" t="str" cm="1">
        <f t="array" ref="D1039">_xlfn.XLOOKUP(Total[[#This Row],[Tecnología]]&amp;Total[[#This Row],[Metodo]],TbTipos[Tecnología]&amp;TbTipos[Metodo],TbTipos[Tipo])</f>
        <v>OMP Elementos</v>
      </c>
      <c r="E1039" s="15" t="str" cm="1">
        <f t="array" ref="E1039">_xlfn.XLOOKUP(Total[[#This Row],[Tecnología]]&amp;Total[[#This Row],[Problema]],TbNombres[Tecnología]&amp;TbNombres[Problema],TbNombres[Nombre])</f>
        <v>Brusselator2d</v>
      </c>
      <c r="F1039" s="1">
        <v>2</v>
      </c>
      <c r="G1039" s="1">
        <v>4</v>
      </c>
      <c r="H1039" s="1">
        <v>4</v>
      </c>
      <c r="I1039" s="1">
        <v>75</v>
      </c>
      <c r="J1039" s="1">
        <v>11250</v>
      </c>
      <c r="K1039" s="1">
        <v>165.86699999999999</v>
      </c>
    </row>
    <row r="1040" spans="2:11" x14ac:dyDescent="0.2">
      <c r="B1040" s="26" t="str">
        <f>_xlfn.XLOOKUP(Total[[#This Row],[Metodo]],TbSolver[Metodo],TbSolver[Solver])</f>
        <v>Runge Kutta</v>
      </c>
      <c r="C1040" s="26" t="str">
        <f>_xlfn.XLOOKUP(Total[[#This Row],[Hebras]],TbTecnologia[Hebras],TbTecnologia[Tecnología])</f>
        <v>OMP</v>
      </c>
      <c r="D1040" s="15" t="str" cm="1">
        <f t="array" ref="D1040">_xlfn.XLOOKUP(Total[[#This Row],[Tecnología]]&amp;Total[[#This Row],[Metodo]],TbTipos[Tecnología]&amp;TbTipos[Metodo],TbTipos[Tipo])</f>
        <v>OMP Elementos</v>
      </c>
      <c r="E1040" s="15" t="str" cm="1">
        <f t="array" ref="E1040">_xlfn.XLOOKUP(Total[[#This Row],[Tecnología]]&amp;Total[[#This Row],[Problema]],TbNombres[Tecnología]&amp;TbNombres[Problema],TbNombres[Nombre])</f>
        <v>Brusselator2d</v>
      </c>
      <c r="F1040" s="1">
        <v>2</v>
      </c>
      <c r="G1040" s="1">
        <v>4</v>
      </c>
      <c r="H1040" s="1">
        <v>16</v>
      </c>
      <c r="I1040" s="1">
        <v>75</v>
      </c>
      <c r="J1040" s="1">
        <v>11250</v>
      </c>
      <c r="K1040" s="1">
        <v>59.186100000000003</v>
      </c>
    </row>
    <row r="1041" spans="2:11" x14ac:dyDescent="0.2">
      <c r="B1041" s="26" t="str">
        <f>_xlfn.XLOOKUP(Total[[#This Row],[Metodo]],TbSolver[Metodo],TbSolver[Solver])</f>
        <v>Adams Bashford</v>
      </c>
      <c r="C1041" s="26" t="str">
        <f>_xlfn.XLOOKUP(Total[[#This Row],[Hebras]],TbTecnologia[Hebras],TbTecnologia[Tecnología])</f>
        <v>OMP</v>
      </c>
      <c r="D1041" s="15" t="str" cm="1">
        <f t="array" ref="D1041">_xlfn.XLOOKUP(Total[[#This Row],[Tecnología]]&amp;Total[[#This Row],[Metodo]],TbTipos[Tecnología]&amp;TbTipos[Metodo],TbTipos[Tipo])</f>
        <v>OMP Operaciones</v>
      </c>
      <c r="E1041" s="15" t="str" cm="1">
        <f t="array" ref="E1041">_xlfn.XLOOKUP(Total[[#This Row],[Tecnología]]&amp;Total[[#This Row],[Problema]],TbNombres[Tecnología]&amp;TbNombres[Problema],TbNombres[Nombre])</f>
        <v>Brusselator2d</v>
      </c>
      <c r="F1041" s="1">
        <v>3</v>
      </c>
      <c r="G1041" s="1">
        <v>4</v>
      </c>
      <c r="H1041" s="1">
        <v>1</v>
      </c>
      <c r="I1041" s="1">
        <v>75</v>
      </c>
      <c r="J1041" s="1">
        <v>11250</v>
      </c>
      <c r="K1041" s="1">
        <v>66.094300000000004</v>
      </c>
    </row>
    <row r="1042" spans="2:11" x14ac:dyDescent="0.2">
      <c r="B1042" s="26" t="str">
        <f>_xlfn.XLOOKUP(Total[[#This Row],[Metodo]],TbSolver[Metodo],TbSolver[Solver])</f>
        <v>Adams Bashford</v>
      </c>
      <c r="C1042" s="26" t="str">
        <f>_xlfn.XLOOKUP(Total[[#This Row],[Hebras]],TbTecnologia[Hebras],TbTecnologia[Tecnología])</f>
        <v>OMP</v>
      </c>
      <c r="D1042" s="15" t="str" cm="1">
        <f t="array" ref="D1042">_xlfn.XLOOKUP(Total[[#This Row],[Tecnología]]&amp;Total[[#This Row],[Metodo]],TbTipos[Tecnología]&amp;TbTipos[Metodo],TbTipos[Tipo])</f>
        <v>OMP Operaciones</v>
      </c>
      <c r="E1042" s="15" t="str" cm="1">
        <f t="array" ref="E1042">_xlfn.XLOOKUP(Total[[#This Row],[Tecnología]]&amp;Total[[#This Row],[Problema]],TbNombres[Tecnología]&amp;TbNombres[Problema],TbNombres[Nombre])</f>
        <v>Brusselator2d</v>
      </c>
      <c r="F1042" s="1">
        <v>3</v>
      </c>
      <c r="G1042" s="1">
        <v>4</v>
      </c>
      <c r="H1042" s="1">
        <v>4</v>
      </c>
      <c r="I1042" s="1">
        <v>75</v>
      </c>
      <c r="J1042" s="1">
        <v>11250</v>
      </c>
      <c r="K1042" s="1">
        <v>30.352900000000002</v>
      </c>
    </row>
    <row r="1043" spans="2:11" x14ac:dyDescent="0.2">
      <c r="B1043" s="26" t="str">
        <f>_xlfn.XLOOKUP(Total[[#This Row],[Metodo]],TbSolver[Metodo],TbSolver[Solver])</f>
        <v>Adams Bashford</v>
      </c>
      <c r="C1043" s="26" t="str">
        <f>_xlfn.XLOOKUP(Total[[#This Row],[Hebras]],TbTecnologia[Hebras],TbTecnologia[Tecnología])</f>
        <v>OMP</v>
      </c>
      <c r="D1043" s="15" t="str" cm="1">
        <f t="array" ref="D1043">_xlfn.XLOOKUP(Total[[#This Row],[Tecnología]]&amp;Total[[#This Row],[Metodo]],TbTipos[Tecnología]&amp;TbTipos[Metodo],TbTipos[Tipo])</f>
        <v>OMP Operaciones</v>
      </c>
      <c r="E1043" s="15" t="str" cm="1">
        <f t="array" ref="E1043">_xlfn.XLOOKUP(Total[[#This Row],[Tecnología]]&amp;Total[[#This Row],[Problema]],TbNombres[Tecnología]&amp;TbNombres[Problema],TbNombres[Nombre])</f>
        <v>Brusselator2d</v>
      </c>
      <c r="F1043" s="1">
        <v>3</v>
      </c>
      <c r="G1043" s="1">
        <v>4</v>
      </c>
      <c r="H1043" s="1">
        <v>16</v>
      </c>
      <c r="I1043" s="1">
        <v>75</v>
      </c>
      <c r="J1043" s="1">
        <v>11250</v>
      </c>
      <c r="K1043" s="1">
        <v>40.895099999999999</v>
      </c>
    </row>
    <row r="1044" spans="2:11" x14ac:dyDescent="0.2">
      <c r="B1044" s="26" t="str">
        <f>_xlfn.XLOOKUP(Total[[#This Row],[Metodo]],TbSolver[Metodo],TbSolver[Solver])</f>
        <v>Adams Bashford</v>
      </c>
      <c r="C1044" s="26" t="str">
        <f>_xlfn.XLOOKUP(Total[[#This Row],[Hebras]],TbTecnologia[Hebras],TbTecnologia[Tecnología])</f>
        <v>OMP</v>
      </c>
      <c r="D1044" s="15" t="str" cm="1">
        <f t="array" ref="D1044">_xlfn.XLOOKUP(Total[[#This Row],[Tecnología]]&amp;Total[[#This Row],[Metodo]],TbTipos[Tecnología]&amp;TbTipos[Metodo],TbTipos[Tipo])</f>
        <v>OMP Elementos</v>
      </c>
      <c r="E1044" s="15" t="str" cm="1">
        <f t="array" ref="E1044">_xlfn.XLOOKUP(Total[[#This Row],[Tecnología]]&amp;Total[[#This Row],[Problema]],TbNombres[Tecnología]&amp;TbNombres[Problema],TbNombres[Nombre])</f>
        <v>Brusselator2d</v>
      </c>
      <c r="F1044" s="1">
        <v>4</v>
      </c>
      <c r="G1044" s="1">
        <v>4</v>
      </c>
      <c r="H1044" s="1">
        <v>1</v>
      </c>
      <c r="I1044" s="1">
        <v>75</v>
      </c>
      <c r="J1044" s="1">
        <v>11250</v>
      </c>
      <c r="K1044" s="1">
        <v>146.249</v>
      </c>
    </row>
    <row r="1045" spans="2:11" x14ac:dyDescent="0.2">
      <c r="B1045" s="26" t="str">
        <f>_xlfn.XLOOKUP(Total[[#This Row],[Metodo]],TbSolver[Metodo],TbSolver[Solver])</f>
        <v>Adams Bashford</v>
      </c>
      <c r="C1045" s="26" t="str">
        <f>_xlfn.XLOOKUP(Total[[#This Row],[Hebras]],TbTecnologia[Hebras],TbTecnologia[Tecnología])</f>
        <v>OMP</v>
      </c>
      <c r="D1045" s="15" t="str" cm="1">
        <f t="array" ref="D1045">_xlfn.XLOOKUP(Total[[#This Row],[Tecnología]]&amp;Total[[#This Row],[Metodo]],TbTipos[Tecnología]&amp;TbTipos[Metodo],TbTipos[Tipo])</f>
        <v>OMP Elementos</v>
      </c>
      <c r="E1045" s="15" t="str" cm="1">
        <f t="array" ref="E1045">_xlfn.XLOOKUP(Total[[#This Row],[Tecnología]]&amp;Total[[#This Row],[Problema]],TbNombres[Tecnología]&amp;TbNombres[Problema],TbNombres[Nombre])</f>
        <v>Brusselator2d</v>
      </c>
      <c r="F1045" s="1">
        <v>4</v>
      </c>
      <c r="G1045" s="1">
        <v>4</v>
      </c>
      <c r="H1045" s="1">
        <v>4</v>
      </c>
      <c r="I1045" s="1">
        <v>75</v>
      </c>
      <c r="J1045" s="1">
        <v>11250</v>
      </c>
      <c r="K1045" s="1">
        <v>43.497199999999999</v>
      </c>
    </row>
    <row r="1046" spans="2:11" x14ac:dyDescent="0.2">
      <c r="B1046" s="26" t="str">
        <f>_xlfn.XLOOKUP(Total[[#This Row],[Metodo]],TbSolver[Metodo],TbSolver[Solver])</f>
        <v>Adams Bashford</v>
      </c>
      <c r="C1046" s="26" t="str">
        <f>_xlfn.XLOOKUP(Total[[#This Row],[Hebras]],TbTecnologia[Hebras],TbTecnologia[Tecnología])</f>
        <v>OMP</v>
      </c>
      <c r="D1046" s="15" t="str" cm="1">
        <f t="array" ref="D1046">_xlfn.XLOOKUP(Total[[#This Row],[Tecnología]]&amp;Total[[#This Row],[Metodo]],TbTipos[Tecnología]&amp;TbTipos[Metodo],TbTipos[Tipo])</f>
        <v>OMP Elementos</v>
      </c>
      <c r="E1046" s="15" t="str" cm="1">
        <f t="array" ref="E1046">_xlfn.XLOOKUP(Total[[#This Row],[Tecnología]]&amp;Total[[#This Row],[Problema]],TbNombres[Tecnología]&amp;TbNombres[Problema],TbNombres[Nombre])</f>
        <v>Brusselator2d</v>
      </c>
      <c r="F1046" s="1">
        <v>4</v>
      </c>
      <c r="G1046" s="1">
        <v>4</v>
      </c>
      <c r="H1046" s="1">
        <v>16</v>
      </c>
      <c r="I1046" s="1">
        <v>75</v>
      </c>
      <c r="J1046" s="1">
        <v>11250</v>
      </c>
      <c r="K1046" s="1">
        <v>92.804900000000004</v>
      </c>
    </row>
    <row r="1047" spans="2:11" x14ac:dyDescent="0.2">
      <c r="B1047" s="26" t="str">
        <f>_xlfn.XLOOKUP(Total[[#This Row],[Metodo]],TbSolver[Metodo],TbSolver[Solver])</f>
        <v>Adams Bashford Moulton</v>
      </c>
      <c r="C1047" s="26" t="str">
        <f>_xlfn.XLOOKUP(Total[[#This Row],[Hebras]],TbTecnologia[Hebras],TbTecnologia[Tecnología])</f>
        <v>OMP</v>
      </c>
      <c r="D1047" s="15" t="str" cm="1">
        <f t="array" ref="D1047">_xlfn.XLOOKUP(Total[[#This Row],[Tecnología]]&amp;Total[[#This Row],[Metodo]],TbTipos[Tecnología]&amp;TbTipos[Metodo],TbTipos[Tipo])</f>
        <v>OMP Operaciones</v>
      </c>
      <c r="E1047" s="15" t="str" cm="1">
        <f t="array" ref="E1047">_xlfn.XLOOKUP(Total[[#This Row],[Tecnología]]&amp;Total[[#This Row],[Problema]],TbNombres[Tecnología]&amp;TbNombres[Problema],TbNombres[Nombre])</f>
        <v>Brusselator2d</v>
      </c>
      <c r="F1047" s="1">
        <v>5</v>
      </c>
      <c r="G1047" s="1">
        <v>4</v>
      </c>
      <c r="H1047" s="1">
        <v>1</v>
      </c>
      <c r="I1047" s="1">
        <v>75</v>
      </c>
      <c r="J1047" s="1">
        <v>11250</v>
      </c>
      <c r="K1047" s="1">
        <v>207.28700000000001</v>
      </c>
    </row>
    <row r="1048" spans="2:11" x14ac:dyDescent="0.2">
      <c r="B1048" s="26" t="str">
        <f>_xlfn.XLOOKUP(Total[[#This Row],[Metodo]],TbSolver[Metodo],TbSolver[Solver])</f>
        <v>Adams Bashford Moulton</v>
      </c>
      <c r="C1048" s="26" t="str">
        <f>_xlfn.XLOOKUP(Total[[#This Row],[Hebras]],TbTecnologia[Hebras],TbTecnologia[Tecnología])</f>
        <v>OMP</v>
      </c>
      <c r="D1048" s="15" t="str" cm="1">
        <f t="array" ref="D1048">_xlfn.XLOOKUP(Total[[#This Row],[Tecnología]]&amp;Total[[#This Row],[Metodo]],TbTipos[Tecnología]&amp;TbTipos[Metodo],TbTipos[Tipo])</f>
        <v>OMP Operaciones</v>
      </c>
      <c r="E1048" s="15" t="str" cm="1">
        <f t="array" ref="E1048">_xlfn.XLOOKUP(Total[[#This Row],[Tecnología]]&amp;Total[[#This Row],[Problema]],TbNombres[Tecnología]&amp;TbNombres[Problema],TbNombres[Nombre])</f>
        <v>Brusselator2d</v>
      </c>
      <c r="F1048" s="1">
        <v>5</v>
      </c>
      <c r="G1048" s="1">
        <v>4</v>
      </c>
      <c r="H1048" s="1">
        <v>4</v>
      </c>
      <c r="I1048" s="1">
        <v>75</v>
      </c>
      <c r="J1048" s="1">
        <v>11250</v>
      </c>
      <c r="K1048" s="1">
        <v>99.210700000000003</v>
      </c>
    </row>
    <row r="1049" spans="2:11" x14ac:dyDescent="0.2">
      <c r="B1049" s="26" t="str">
        <f>_xlfn.XLOOKUP(Total[[#This Row],[Metodo]],TbSolver[Metodo],TbSolver[Solver])</f>
        <v>Adams Bashford Moulton</v>
      </c>
      <c r="C1049" s="26" t="str">
        <f>_xlfn.XLOOKUP(Total[[#This Row],[Hebras]],TbTecnologia[Hebras],TbTecnologia[Tecnología])</f>
        <v>OMP</v>
      </c>
      <c r="D1049" s="15" t="str" cm="1">
        <f t="array" ref="D1049">_xlfn.XLOOKUP(Total[[#This Row],[Tecnología]]&amp;Total[[#This Row],[Metodo]],TbTipos[Tecnología]&amp;TbTipos[Metodo],TbTipos[Tipo])</f>
        <v>OMP Operaciones</v>
      </c>
      <c r="E1049" s="15" t="str" cm="1">
        <f t="array" ref="E1049">_xlfn.XLOOKUP(Total[[#This Row],[Tecnología]]&amp;Total[[#This Row],[Problema]],TbNombres[Tecnología]&amp;TbNombres[Problema],TbNombres[Nombre])</f>
        <v>Brusselator2d</v>
      </c>
      <c r="F1049" s="1">
        <v>5</v>
      </c>
      <c r="G1049" s="1">
        <v>4</v>
      </c>
      <c r="H1049" s="1">
        <v>16</v>
      </c>
      <c r="I1049" s="1">
        <v>75</v>
      </c>
      <c r="J1049" s="1">
        <v>11250</v>
      </c>
      <c r="K1049" s="1">
        <v>133.9</v>
      </c>
    </row>
    <row r="1050" spans="2:11" x14ac:dyDescent="0.2">
      <c r="B1050" s="26" t="str">
        <f>_xlfn.XLOOKUP(Total[[#This Row],[Metodo]],TbSolver[Metodo],TbSolver[Solver])</f>
        <v>Adams Bashford Moulton</v>
      </c>
      <c r="C1050" s="26" t="str">
        <f>_xlfn.XLOOKUP(Total[[#This Row],[Hebras]],TbTecnologia[Hebras],TbTecnologia[Tecnología])</f>
        <v>OMP</v>
      </c>
      <c r="D1050" s="15" t="str" cm="1">
        <f t="array" ref="D1050">_xlfn.XLOOKUP(Total[[#This Row],[Tecnología]]&amp;Total[[#This Row],[Metodo]],TbTipos[Tecnología]&amp;TbTipos[Metodo],TbTipos[Tipo])</f>
        <v>OMP Elementos</v>
      </c>
      <c r="E1050" s="15" t="str" cm="1">
        <f t="array" ref="E1050">_xlfn.XLOOKUP(Total[[#This Row],[Tecnología]]&amp;Total[[#This Row],[Problema]],TbNombres[Tecnología]&amp;TbNombres[Problema],TbNombres[Nombre])</f>
        <v>Brusselator2d</v>
      </c>
      <c r="F1050" s="1">
        <v>6</v>
      </c>
      <c r="G1050" s="1">
        <v>4</v>
      </c>
      <c r="H1050" s="1">
        <v>1</v>
      </c>
      <c r="I1050" s="1">
        <v>75</v>
      </c>
      <c r="J1050" s="1">
        <v>11250</v>
      </c>
      <c r="K1050" s="1">
        <v>519.00199999999995</v>
      </c>
    </row>
    <row r="1051" spans="2:11" x14ac:dyDescent="0.2">
      <c r="B1051" s="26" t="str">
        <f>_xlfn.XLOOKUP(Total[[#This Row],[Metodo]],TbSolver[Metodo],TbSolver[Solver])</f>
        <v>Adams Bashford Moulton</v>
      </c>
      <c r="C1051" s="26" t="str">
        <f>_xlfn.XLOOKUP(Total[[#This Row],[Hebras]],TbTecnologia[Hebras],TbTecnologia[Tecnología])</f>
        <v>OMP</v>
      </c>
      <c r="D1051" s="15" t="str" cm="1">
        <f t="array" ref="D1051">_xlfn.XLOOKUP(Total[[#This Row],[Tecnología]]&amp;Total[[#This Row],[Metodo]],TbTipos[Tecnología]&amp;TbTipos[Metodo],TbTipos[Tipo])</f>
        <v>OMP Elementos</v>
      </c>
      <c r="E1051" s="15" t="str" cm="1">
        <f t="array" ref="E1051">_xlfn.XLOOKUP(Total[[#This Row],[Tecnología]]&amp;Total[[#This Row],[Problema]],TbNombres[Tecnología]&amp;TbNombres[Problema],TbNombres[Nombre])</f>
        <v>Brusselator2d</v>
      </c>
      <c r="F1051" s="1">
        <v>6</v>
      </c>
      <c r="G1051" s="1">
        <v>4</v>
      </c>
      <c r="H1051" s="1">
        <v>4</v>
      </c>
      <c r="I1051" s="1">
        <v>75</v>
      </c>
      <c r="J1051" s="1">
        <v>11250</v>
      </c>
      <c r="K1051" s="1">
        <v>142.66800000000001</v>
      </c>
    </row>
    <row r="1052" spans="2:11" x14ac:dyDescent="0.2">
      <c r="B1052" s="26" t="str">
        <f>_xlfn.XLOOKUP(Total[[#This Row],[Metodo]],TbSolver[Metodo],TbSolver[Solver])</f>
        <v>Adams Bashford Moulton</v>
      </c>
      <c r="C1052" s="26" t="str">
        <f>_xlfn.XLOOKUP(Total[[#This Row],[Hebras]],TbTecnologia[Hebras],TbTecnologia[Tecnología])</f>
        <v>OMP</v>
      </c>
      <c r="D1052" s="15" t="str" cm="1">
        <f t="array" ref="D1052">_xlfn.XLOOKUP(Total[[#This Row],[Tecnología]]&amp;Total[[#This Row],[Metodo]],TbTipos[Tecnología]&amp;TbTipos[Metodo],TbTipos[Tipo])</f>
        <v>OMP Elementos</v>
      </c>
      <c r="E1052" s="15" t="str" cm="1">
        <f t="array" ref="E1052">_xlfn.XLOOKUP(Total[[#This Row],[Tecnología]]&amp;Total[[#This Row],[Problema]],TbNombres[Tecnología]&amp;TbNombres[Problema],TbNombres[Nombre])</f>
        <v>Brusselator2d</v>
      </c>
      <c r="F1052" s="1">
        <v>6</v>
      </c>
      <c r="G1052" s="1">
        <v>4</v>
      </c>
      <c r="H1052" s="1">
        <v>16</v>
      </c>
      <c r="I1052" s="1">
        <v>75</v>
      </c>
      <c r="J1052" s="1">
        <v>11250</v>
      </c>
      <c r="K1052" s="1">
        <v>68.871600000000001</v>
      </c>
    </row>
    <row r="1053" spans="2:11" x14ac:dyDescent="0.2">
      <c r="B1053" s="26" t="str">
        <f>_xlfn.XLOOKUP(Total[[#This Row],[Metodo]],TbSolver[Metodo],TbSolver[Solver])</f>
        <v>Runge Kutta</v>
      </c>
      <c r="C1053" s="26" t="str">
        <f>_xlfn.XLOOKUP(Total[[#This Row],[Hebras]],TbTecnologia[Hebras],TbTecnologia[Tecnología])</f>
        <v>OMP</v>
      </c>
      <c r="D1053" s="15" t="str" cm="1">
        <f t="array" ref="D1053">_xlfn.XLOOKUP(Total[[#This Row],[Tecnología]]&amp;Total[[#This Row],[Metodo]],TbTipos[Tecnología]&amp;TbTipos[Metodo],TbTipos[Tipo])</f>
        <v>OMP Operaciones</v>
      </c>
      <c r="E1053" s="15" t="str" cm="1">
        <f t="array" ref="E1053">_xlfn.XLOOKUP(Total[[#This Row],[Tecnología]]&amp;Total[[#This Row],[Problema]],TbNombres[Tecnología]&amp;TbNombres[Problema],TbNombres[Nombre])</f>
        <v>Brusselator2d</v>
      </c>
      <c r="F1053" s="1">
        <v>1</v>
      </c>
      <c r="G1053" s="1">
        <v>4</v>
      </c>
      <c r="H1053" s="1">
        <v>1</v>
      </c>
      <c r="I1053" s="1">
        <v>125</v>
      </c>
      <c r="J1053" s="1">
        <v>31250</v>
      </c>
      <c r="K1053" s="1">
        <v>650.47500000000002</v>
      </c>
    </row>
    <row r="1054" spans="2:11" x14ac:dyDescent="0.2">
      <c r="B1054" s="26" t="str">
        <f>_xlfn.XLOOKUP(Total[[#This Row],[Metodo]],TbSolver[Metodo],TbSolver[Solver])</f>
        <v>Runge Kutta</v>
      </c>
      <c r="C1054" s="26" t="str">
        <f>_xlfn.XLOOKUP(Total[[#This Row],[Hebras]],TbTecnologia[Hebras],TbTecnologia[Tecnología])</f>
        <v>OMP</v>
      </c>
      <c r="D1054" s="15" t="str" cm="1">
        <f t="array" ref="D1054">_xlfn.XLOOKUP(Total[[#This Row],[Tecnología]]&amp;Total[[#This Row],[Metodo]],TbTipos[Tecnología]&amp;TbTipos[Metodo],TbTipos[Tipo])</f>
        <v>OMP Operaciones</v>
      </c>
      <c r="E1054" s="15" t="str" cm="1">
        <f t="array" ref="E1054">_xlfn.XLOOKUP(Total[[#This Row],[Tecnología]]&amp;Total[[#This Row],[Problema]],TbNombres[Tecnología]&amp;TbNombres[Problema],TbNombres[Nombre])</f>
        <v>Brusselator2d</v>
      </c>
      <c r="F1054" s="1">
        <v>1</v>
      </c>
      <c r="G1054" s="1">
        <v>4</v>
      </c>
      <c r="H1054" s="1">
        <v>4</v>
      </c>
      <c r="I1054" s="1">
        <v>125</v>
      </c>
      <c r="J1054" s="1">
        <v>31250</v>
      </c>
      <c r="K1054" s="1">
        <v>196.16300000000001</v>
      </c>
    </row>
    <row r="1055" spans="2:11" x14ac:dyDescent="0.2">
      <c r="B1055" s="26" t="str">
        <f>_xlfn.XLOOKUP(Total[[#This Row],[Metodo]],TbSolver[Metodo],TbSolver[Solver])</f>
        <v>Runge Kutta</v>
      </c>
      <c r="C1055" s="26" t="str">
        <f>_xlfn.XLOOKUP(Total[[#This Row],[Hebras]],TbTecnologia[Hebras],TbTecnologia[Tecnología])</f>
        <v>OMP</v>
      </c>
      <c r="D1055" s="15" t="str" cm="1">
        <f t="array" ref="D1055">_xlfn.XLOOKUP(Total[[#This Row],[Tecnología]]&amp;Total[[#This Row],[Metodo]],TbTipos[Tecnología]&amp;TbTipos[Metodo],TbTipos[Tipo])</f>
        <v>OMP Operaciones</v>
      </c>
      <c r="E1055" s="15" t="str" cm="1">
        <f t="array" ref="E1055">_xlfn.XLOOKUP(Total[[#This Row],[Tecnología]]&amp;Total[[#This Row],[Problema]],TbNombres[Tecnología]&amp;TbNombres[Problema],TbNombres[Nombre])</f>
        <v>Brusselator2d</v>
      </c>
      <c r="F1055" s="1">
        <v>1</v>
      </c>
      <c r="G1055" s="1">
        <v>4</v>
      </c>
      <c r="H1055" s="1">
        <v>16</v>
      </c>
      <c r="I1055" s="1">
        <v>125</v>
      </c>
      <c r="J1055" s="1">
        <v>31250</v>
      </c>
      <c r="K1055" s="1">
        <v>113.97</v>
      </c>
    </row>
    <row r="1056" spans="2:11" x14ac:dyDescent="0.2">
      <c r="B1056" s="26" t="str">
        <f>_xlfn.XLOOKUP(Total[[#This Row],[Metodo]],TbSolver[Metodo],TbSolver[Solver])</f>
        <v>Runge Kutta</v>
      </c>
      <c r="C1056" s="26" t="str">
        <f>_xlfn.XLOOKUP(Total[[#This Row],[Hebras]],TbTecnologia[Hebras],TbTecnologia[Tecnología])</f>
        <v>OMP</v>
      </c>
      <c r="D1056" s="15" t="str" cm="1">
        <f t="array" ref="D1056">_xlfn.XLOOKUP(Total[[#This Row],[Tecnología]]&amp;Total[[#This Row],[Metodo]],TbTipos[Tecnología]&amp;TbTipos[Metodo],TbTipos[Tipo])</f>
        <v>OMP Elementos</v>
      </c>
      <c r="E1056" s="15" t="str" cm="1">
        <f t="array" ref="E1056">_xlfn.XLOOKUP(Total[[#This Row],[Tecnología]]&amp;Total[[#This Row],[Problema]],TbNombres[Tecnología]&amp;TbNombres[Problema],TbNombres[Nombre])</f>
        <v>Brusselator2d</v>
      </c>
      <c r="F1056" s="1">
        <v>2</v>
      </c>
      <c r="G1056" s="1">
        <v>4</v>
      </c>
      <c r="H1056" s="1">
        <v>1</v>
      </c>
      <c r="I1056" s="1">
        <v>125</v>
      </c>
      <c r="J1056" s="1">
        <v>31250</v>
      </c>
      <c r="K1056" s="1">
        <v>1683.63</v>
      </c>
    </row>
    <row r="1057" spans="2:11" x14ac:dyDescent="0.2">
      <c r="B1057" s="26" t="str">
        <f>_xlfn.XLOOKUP(Total[[#This Row],[Metodo]],TbSolver[Metodo],TbSolver[Solver])</f>
        <v>Runge Kutta</v>
      </c>
      <c r="C1057" s="26" t="str">
        <f>_xlfn.XLOOKUP(Total[[#This Row],[Hebras]],TbTecnologia[Hebras],TbTecnologia[Tecnología])</f>
        <v>OMP</v>
      </c>
      <c r="D1057" s="15" t="str" cm="1">
        <f t="array" ref="D1057">_xlfn.XLOOKUP(Total[[#This Row],[Tecnología]]&amp;Total[[#This Row],[Metodo]],TbTipos[Tecnología]&amp;TbTipos[Metodo],TbTipos[Tipo])</f>
        <v>OMP Elementos</v>
      </c>
      <c r="E1057" s="15" t="str" cm="1">
        <f t="array" ref="E1057">_xlfn.XLOOKUP(Total[[#This Row],[Tecnología]]&amp;Total[[#This Row],[Problema]],TbNombres[Tecnología]&amp;TbNombres[Problema],TbNombres[Nombre])</f>
        <v>Brusselator2d</v>
      </c>
      <c r="F1057" s="1">
        <v>2</v>
      </c>
      <c r="G1057" s="1">
        <v>4</v>
      </c>
      <c r="H1057" s="1">
        <v>4</v>
      </c>
      <c r="I1057" s="1">
        <v>125</v>
      </c>
      <c r="J1057" s="1">
        <v>31250</v>
      </c>
      <c r="K1057" s="1">
        <v>451.32799999999997</v>
      </c>
    </row>
    <row r="1058" spans="2:11" x14ac:dyDescent="0.2">
      <c r="B1058" s="26" t="str">
        <f>_xlfn.XLOOKUP(Total[[#This Row],[Metodo]],TbSolver[Metodo],TbSolver[Solver])</f>
        <v>Runge Kutta</v>
      </c>
      <c r="C1058" s="26" t="str">
        <f>_xlfn.XLOOKUP(Total[[#This Row],[Hebras]],TbTecnologia[Hebras],TbTecnologia[Tecnología])</f>
        <v>OMP</v>
      </c>
      <c r="D1058" s="15" t="str" cm="1">
        <f t="array" ref="D1058">_xlfn.XLOOKUP(Total[[#This Row],[Tecnología]]&amp;Total[[#This Row],[Metodo]],TbTipos[Tecnología]&amp;TbTipos[Metodo],TbTipos[Tipo])</f>
        <v>OMP Elementos</v>
      </c>
      <c r="E1058" s="15" t="str" cm="1">
        <f t="array" ref="E1058">_xlfn.XLOOKUP(Total[[#This Row],[Tecnología]]&amp;Total[[#This Row],[Problema]],TbNombres[Tecnología]&amp;TbNombres[Problema],TbNombres[Nombre])</f>
        <v>Brusselator2d</v>
      </c>
      <c r="F1058" s="1">
        <v>2</v>
      </c>
      <c r="G1058" s="1">
        <v>4</v>
      </c>
      <c r="H1058" s="1">
        <v>16</v>
      </c>
      <c r="I1058" s="1">
        <v>125</v>
      </c>
      <c r="J1058" s="1">
        <v>31250</v>
      </c>
      <c r="K1058" s="1">
        <v>140.32</v>
      </c>
    </row>
    <row r="1059" spans="2:11" x14ac:dyDescent="0.2">
      <c r="B1059" s="26" t="str">
        <f>_xlfn.XLOOKUP(Total[[#This Row],[Metodo]],TbSolver[Metodo],TbSolver[Solver])</f>
        <v>Adams Bashford</v>
      </c>
      <c r="C1059" s="26" t="str">
        <f>_xlfn.XLOOKUP(Total[[#This Row],[Hebras]],TbTecnologia[Hebras],TbTecnologia[Tecnología])</f>
        <v>OMP</v>
      </c>
      <c r="D1059" s="15" t="str" cm="1">
        <f t="array" ref="D1059">_xlfn.XLOOKUP(Total[[#This Row],[Tecnología]]&amp;Total[[#This Row],[Metodo]],TbTipos[Tecnología]&amp;TbTipos[Metodo],TbTipos[Tipo])</f>
        <v>OMP Operaciones</v>
      </c>
      <c r="E1059" s="15" t="str" cm="1">
        <f t="array" ref="E1059">_xlfn.XLOOKUP(Total[[#This Row],[Tecnología]]&amp;Total[[#This Row],[Problema]],TbNombres[Tecnología]&amp;TbNombres[Problema],TbNombres[Nombre])</f>
        <v>Brusselator2d</v>
      </c>
      <c r="F1059" s="1">
        <v>3</v>
      </c>
      <c r="G1059" s="1">
        <v>4</v>
      </c>
      <c r="H1059" s="1">
        <v>1</v>
      </c>
      <c r="I1059" s="1">
        <v>125</v>
      </c>
      <c r="J1059" s="1">
        <v>31250</v>
      </c>
      <c r="K1059" s="1">
        <v>207.45</v>
      </c>
    </row>
    <row r="1060" spans="2:11" x14ac:dyDescent="0.2">
      <c r="B1060" s="26" t="str">
        <f>_xlfn.XLOOKUP(Total[[#This Row],[Metodo]],TbSolver[Metodo],TbSolver[Solver])</f>
        <v>Adams Bashford</v>
      </c>
      <c r="C1060" s="26" t="str">
        <f>_xlfn.XLOOKUP(Total[[#This Row],[Hebras]],TbTecnologia[Hebras],TbTecnologia[Tecnología])</f>
        <v>OMP</v>
      </c>
      <c r="D1060" s="15" t="str" cm="1">
        <f t="array" ref="D1060">_xlfn.XLOOKUP(Total[[#This Row],[Tecnología]]&amp;Total[[#This Row],[Metodo]],TbTipos[Tecnología]&amp;TbTipos[Metodo],TbTipos[Tipo])</f>
        <v>OMP Operaciones</v>
      </c>
      <c r="E1060" s="15" t="str" cm="1">
        <f t="array" ref="E1060">_xlfn.XLOOKUP(Total[[#This Row],[Tecnología]]&amp;Total[[#This Row],[Problema]],TbNombres[Tecnología]&amp;TbNombres[Problema],TbNombres[Nombre])</f>
        <v>Brusselator2d</v>
      </c>
      <c r="F1060" s="1">
        <v>3</v>
      </c>
      <c r="G1060" s="1">
        <v>4</v>
      </c>
      <c r="H1060" s="1">
        <v>4</v>
      </c>
      <c r="I1060" s="1">
        <v>125</v>
      </c>
      <c r="J1060" s="1">
        <v>31250</v>
      </c>
      <c r="K1060" s="1">
        <v>61.58</v>
      </c>
    </row>
    <row r="1061" spans="2:11" x14ac:dyDescent="0.2">
      <c r="B1061" s="26" t="str">
        <f>_xlfn.XLOOKUP(Total[[#This Row],[Metodo]],TbSolver[Metodo],TbSolver[Solver])</f>
        <v>Adams Bashford</v>
      </c>
      <c r="C1061" s="26" t="str">
        <f>_xlfn.XLOOKUP(Total[[#This Row],[Hebras]],TbTecnologia[Hebras],TbTecnologia[Tecnología])</f>
        <v>OMP</v>
      </c>
      <c r="D1061" s="15" t="str" cm="1">
        <f t="array" ref="D1061">_xlfn.XLOOKUP(Total[[#This Row],[Tecnología]]&amp;Total[[#This Row],[Metodo]],TbTipos[Tecnología]&amp;TbTipos[Metodo],TbTipos[Tipo])</f>
        <v>OMP Operaciones</v>
      </c>
      <c r="E1061" s="15" t="str" cm="1">
        <f t="array" ref="E1061">_xlfn.XLOOKUP(Total[[#This Row],[Tecnología]]&amp;Total[[#This Row],[Problema]],TbNombres[Tecnología]&amp;TbNombres[Problema],TbNombres[Nombre])</f>
        <v>Brusselator2d</v>
      </c>
      <c r="F1061" s="1">
        <v>3</v>
      </c>
      <c r="G1061" s="1">
        <v>4</v>
      </c>
      <c r="H1061" s="1">
        <v>16</v>
      </c>
      <c r="I1061" s="1">
        <v>125</v>
      </c>
      <c r="J1061" s="1">
        <v>31250</v>
      </c>
      <c r="K1061" s="1">
        <v>47.646700000000003</v>
      </c>
    </row>
    <row r="1062" spans="2:11" x14ac:dyDescent="0.2">
      <c r="B1062" s="26" t="str">
        <f>_xlfn.XLOOKUP(Total[[#This Row],[Metodo]],TbSolver[Metodo],TbSolver[Solver])</f>
        <v>Adams Bashford</v>
      </c>
      <c r="C1062" s="26" t="str">
        <f>_xlfn.XLOOKUP(Total[[#This Row],[Hebras]],TbTecnologia[Hebras],TbTecnologia[Tecnología])</f>
        <v>OMP</v>
      </c>
      <c r="D1062" s="15" t="str" cm="1">
        <f t="array" ref="D1062">_xlfn.XLOOKUP(Total[[#This Row],[Tecnología]]&amp;Total[[#This Row],[Metodo]],TbTipos[Tecnología]&amp;TbTipos[Metodo],TbTipos[Tipo])</f>
        <v>OMP Elementos</v>
      </c>
      <c r="E1062" s="15" t="str" cm="1">
        <f t="array" ref="E1062">_xlfn.XLOOKUP(Total[[#This Row],[Tecnología]]&amp;Total[[#This Row],[Problema]],TbNombres[Tecnología]&amp;TbNombres[Problema],TbNombres[Nombre])</f>
        <v>Brusselator2d</v>
      </c>
      <c r="F1062" s="1">
        <v>4</v>
      </c>
      <c r="G1062" s="1">
        <v>4</v>
      </c>
      <c r="H1062" s="1">
        <v>1</v>
      </c>
      <c r="I1062" s="1">
        <v>125</v>
      </c>
      <c r="J1062" s="1">
        <v>31250</v>
      </c>
      <c r="K1062" s="1">
        <v>421.38200000000001</v>
      </c>
    </row>
    <row r="1063" spans="2:11" x14ac:dyDescent="0.2">
      <c r="B1063" s="26" t="str">
        <f>_xlfn.XLOOKUP(Total[[#This Row],[Metodo]],TbSolver[Metodo],TbSolver[Solver])</f>
        <v>Adams Bashford</v>
      </c>
      <c r="C1063" s="26" t="str">
        <f>_xlfn.XLOOKUP(Total[[#This Row],[Hebras]],TbTecnologia[Hebras],TbTecnologia[Tecnología])</f>
        <v>OMP</v>
      </c>
      <c r="D1063" s="15" t="str" cm="1">
        <f t="array" ref="D1063">_xlfn.XLOOKUP(Total[[#This Row],[Tecnología]]&amp;Total[[#This Row],[Metodo]],TbTipos[Tecnología]&amp;TbTipos[Metodo],TbTipos[Tipo])</f>
        <v>OMP Elementos</v>
      </c>
      <c r="E1063" s="15" t="str" cm="1">
        <f t="array" ref="E1063">_xlfn.XLOOKUP(Total[[#This Row],[Tecnología]]&amp;Total[[#This Row],[Problema]],TbNombres[Tecnología]&amp;TbNombres[Problema],TbNombres[Nombre])</f>
        <v>Brusselator2d</v>
      </c>
      <c r="F1063" s="1">
        <v>4</v>
      </c>
      <c r="G1063" s="1">
        <v>4</v>
      </c>
      <c r="H1063" s="1">
        <v>4</v>
      </c>
      <c r="I1063" s="1">
        <v>125</v>
      </c>
      <c r="J1063" s="1">
        <v>31250</v>
      </c>
      <c r="K1063" s="1">
        <v>112.599</v>
      </c>
    </row>
    <row r="1064" spans="2:11" x14ac:dyDescent="0.2">
      <c r="B1064" s="26" t="str">
        <f>_xlfn.XLOOKUP(Total[[#This Row],[Metodo]],TbSolver[Metodo],TbSolver[Solver])</f>
        <v>Adams Bashford</v>
      </c>
      <c r="C1064" s="26" t="str">
        <f>_xlfn.XLOOKUP(Total[[#This Row],[Hebras]],TbTecnologia[Hebras],TbTecnologia[Tecnología])</f>
        <v>OMP</v>
      </c>
      <c r="D1064" s="15" t="str" cm="1">
        <f t="array" ref="D1064">_xlfn.XLOOKUP(Total[[#This Row],[Tecnología]]&amp;Total[[#This Row],[Metodo]],TbTipos[Tecnología]&amp;TbTipos[Metodo],TbTipos[Tipo])</f>
        <v>OMP Elementos</v>
      </c>
      <c r="E1064" s="15" t="str" cm="1">
        <f t="array" ref="E1064">_xlfn.XLOOKUP(Total[[#This Row],[Tecnología]]&amp;Total[[#This Row],[Problema]],TbNombres[Tecnología]&amp;TbNombres[Problema],TbNombres[Nombre])</f>
        <v>Brusselator2d</v>
      </c>
      <c r="F1064" s="1">
        <v>4</v>
      </c>
      <c r="G1064" s="1">
        <v>4</v>
      </c>
      <c r="H1064" s="1">
        <v>16</v>
      </c>
      <c r="I1064" s="1">
        <v>125</v>
      </c>
      <c r="J1064" s="1">
        <v>31250</v>
      </c>
      <c r="K1064" s="1">
        <v>45.336199999999998</v>
      </c>
    </row>
    <row r="1065" spans="2:11" x14ac:dyDescent="0.2">
      <c r="B1065" s="26" t="str">
        <f>_xlfn.XLOOKUP(Total[[#This Row],[Metodo]],TbSolver[Metodo],TbSolver[Solver])</f>
        <v>Adams Bashford Moulton</v>
      </c>
      <c r="C1065" s="26" t="str">
        <f>_xlfn.XLOOKUP(Total[[#This Row],[Hebras]],TbTecnologia[Hebras],TbTecnologia[Tecnología])</f>
        <v>OMP</v>
      </c>
      <c r="D1065" s="15" t="str" cm="1">
        <f t="array" ref="D1065">_xlfn.XLOOKUP(Total[[#This Row],[Tecnología]]&amp;Total[[#This Row],[Metodo]],TbTipos[Tecnología]&amp;TbTipos[Metodo],TbTipos[Tipo])</f>
        <v>OMP Operaciones</v>
      </c>
      <c r="E1065" s="15" t="str" cm="1">
        <f t="array" ref="E1065">_xlfn.XLOOKUP(Total[[#This Row],[Tecnología]]&amp;Total[[#This Row],[Problema]],TbNombres[Tecnología]&amp;TbNombres[Problema],TbNombres[Nombre])</f>
        <v>Brusselator2d</v>
      </c>
      <c r="F1065" s="1">
        <v>5</v>
      </c>
      <c r="G1065" s="1">
        <v>4</v>
      </c>
      <c r="H1065" s="1">
        <v>1</v>
      </c>
      <c r="I1065" s="1">
        <v>125</v>
      </c>
      <c r="J1065" s="1">
        <v>31250</v>
      </c>
      <c r="K1065" s="1">
        <v>649.75400000000002</v>
      </c>
    </row>
    <row r="1066" spans="2:11" x14ac:dyDescent="0.2">
      <c r="B1066" s="26" t="str">
        <f>_xlfn.XLOOKUP(Total[[#This Row],[Metodo]],TbSolver[Metodo],TbSolver[Solver])</f>
        <v>Adams Bashford Moulton</v>
      </c>
      <c r="C1066" s="26" t="str">
        <f>_xlfn.XLOOKUP(Total[[#This Row],[Hebras]],TbTecnologia[Hebras],TbTecnologia[Tecnología])</f>
        <v>OMP</v>
      </c>
      <c r="D1066" s="15" t="str" cm="1">
        <f t="array" ref="D1066">_xlfn.XLOOKUP(Total[[#This Row],[Tecnología]]&amp;Total[[#This Row],[Metodo]],TbTipos[Tecnología]&amp;TbTipos[Metodo],TbTipos[Tipo])</f>
        <v>OMP Operaciones</v>
      </c>
      <c r="E1066" s="15" t="str" cm="1">
        <f t="array" ref="E1066">_xlfn.XLOOKUP(Total[[#This Row],[Tecnología]]&amp;Total[[#This Row],[Problema]],TbNombres[Tecnología]&amp;TbNombres[Problema],TbNombres[Nombre])</f>
        <v>Brusselator2d</v>
      </c>
      <c r="F1066" s="1">
        <v>5</v>
      </c>
      <c r="G1066" s="1">
        <v>4</v>
      </c>
      <c r="H1066" s="1">
        <v>4</v>
      </c>
      <c r="I1066" s="1">
        <v>125</v>
      </c>
      <c r="J1066" s="1">
        <v>31250</v>
      </c>
      <c r="K1066" s="1">
        <v>195.899</v>
      </c>
    </row>
    <row r="1067" spans="2:11" x14ac:dyDescent="0.2">
      <c r="B1067" s="26" t="str">
        <f>_xlfn.XLOOKUP(Total[[#This Row],[Metodo]],TbSolver[Metodo],TbSolver[Solver])</f>
        <v>Adams Bashford Moulton</v>
      </c>
      <c r="C1067" s="26" t="str">
        <f>_xlfn.XLOOKUP(Total[[#This Row],[Hebras]],TbTecnologia[Hebras],TbTecnologia[Tecnología])</f>
        <v>OMP</v>
      </c>
      <c r="D1067" s="15" t="str" cm="1">
        <f t="array" ref="D1067">_xlfn.XLOOKUP(Total[[#This Row],[Tecnología]]&amp;Total[[#This Row],[Metodo]],TbTipos[Tecnología]&amp;TbTipos[Metodo],TbTipos[Tipo])</f>
        <v>OMP Operaciones</v>
      </c>
      <c r="E1067" s="15" t="str" cm="1">
        <f t="array" ref="E1067">_xlfn.XLOOKUP(Total[[#This Row],[Tecnología]]&amp;Total[[#This Row],[Problema]],TbNombres[Tecnología]&amp;TbNombres[Problema],TbNombres[Nombre])</f>
        <v>Brusselator2d</v>
      </c>
      <c r="F1067" s="1">
        <v>5</v>
      </c>
      <c r="G1067" s="1">
        <v>4</v>
      </c>
      <c r="H1067" s="1">
        <v>16</v>
      </c>
      <c r="I1067" s="1">
        <v>125</v>
      </c>
      <c r="J1067" s="1">
        <v>31250</v>
      </c>
      <c r="K1067" s="1">
        <v>148.214</v>
      </c>
    </row>
    <row r="1068" spans="2:11" x14ac:dyDescent="0.2">
      <c r="B1068" s="26" t="str">
        <f>_xlfn.XLOOKUP(Total[[#This Row],[Metodo]],TbSolver[Metodo],TbSolver[Solver])</f>
        <v>Adams Bashford Moulton</v>
      </c>
      <c r="C1068" s="26" t="str">
        <f>_xlfn.XLOOKUP(Total[[#This Row],[Hebras]],TbTecnologia[Hebras],TbTecnologia[Tecnología])</f>
        <v>OMP</v>
      </c>
      <c r="D1068" s="15" t="str" cm="1">
        <f t="array" ref="D1068">_xlfn.XLOOKUP(Total[[#This Row],[Tecnología]]&amp;Total[[#This Row],[Metodo]],TbTipos[Tecnología]&amp;TbTipos[Metodo],TbTipos[Tipo])</f>
        <v>OMP Elementos</v>
      </c>
      <c r="E1068" s="15" t="str" cm="1">
        <f t="array" ref="E1068">_xlfn.XLOOKUP(Total[[#This Row],[Tecnología]]&amp;Total[[#This Row],[Problema]],TbNombres[Tecnología]&amp;TbNombres[Problema],TbNombres[Nombre])</f>
        <v>Brusselator2d</v>
      </c>
      <c r="F1068" s="1">
        <v>6</v>
      </c>
      <c r="G1068" s="1">
        <v>4</v>
      </c>
      <c r="H1068" s="1">
        <v>1</v>
      </c>
      <c r="I1068" s="1">
        <v>125</v>
      </c>
      <c r="J1068" s="1">
        <v>31250</v>
      </c>
      <c r="K1068" s="1">
        <v>1483.08</v>
      </c>
    </row>
    <row r="1069" spans="2:11" x14ac:dyDescent="0.2">
      <c r="B1069" s="26" t="str">
        <f>_xlfn.XLOOKUP(Total[[#This Row],[Metodo]],TbSolver[Metodo],TbSolver[Solver])</f>
        <v>Adams Bashford Moulton</v>
      </c>
      <c r="C1069" s="26" t="str">
        <f>_xlfn.XLOOKUP(Total[[#This Row],[Hebras]],TbTecnologia[Hebras],TbTecnologia[Tecnología])</f>
        <v>OMP</v>
      </c>
      <c r="D1069" s="15" t="str" cm="1">
        <f t="array" ref="D1069">_xlfn.XLOOKUP(Total[[#This Row],[Tecnología]]&amp;Total[[#This Row],[Metodo]],TbTipos[Tecnología]&amp;TbTipos[Metodo],TbTipos[Tipo])</f>
        <v>OMP Elementos</v>
      </c>
      <c r="E1069" s="15" t="str" cm="1">
        <f t="array" ref="E1069">_xlfn.XLOOKUP(Total[[#This Row],[Tecnología]]&amp;Total[[#This Row],[Problema]],TbNombres[Tecnología]&amp;TbNombres[Problema],TbNombres[Nombre])</f>
        <v>Brusselator2d</v>
      </c>
      <c r="F1069" s="1">
        <v>6</v>
      </c>
      <c r="G1069" s="1">
        <v>4</v>
      </c>
      <c r="H1069" s="1">
        <v>4</v>
      </c>
      <c r="I1069" s="1">
        <v>125</v>
      </c>
      <c r="J1069" s="1">
        <v>31250</v>
      </c>
      <c r="K1069" s="1">
        <v>389.214</v>
      </c>
    </row>
    <row r="1070" spans="2:11" x14ac:dyDescent="0.2">
      <c r="B1070" s="26" t="str">
        <f>_xlfn.XLOOKUP(Total[[#This Row],[Metodo]],TbSolver[Metodo],TbSolver[Solver])</f>
        <v>Adams Bashford Moulton</v>
      </c>
      <c r="C1070" s="26" t="str">
        <f>_xlfn.XLOOKUP(Total[[#This Row],[Hebras]],TbTecnologia[Hebras],TbTecnologia[Tecnología])</f>
        <v>OMP</v>
      </c>
      <c r="D1070" s="15" t="str" cm="1">
        <f t="array" ref="D1070">_xlfn.XLOOKUP(Total[[#This Row],[Tecnología]]&amp;Total[[#This Row],[Metodo]],TbTipos[Tecnología]&amp;TbTipos[Metodo],TbTipos[Tipo])</f>
        <v>OMP Elementos</v>
      </c>
      <c r="E1070" s="15" t="str" cm="1">
        <f t="array" ref="E1070">_xlfn.XLOOKUP(Total[[#This Row],[Tecnología]]&amp;Total[[#This Row],[Problema]],TbNombres[Tecnología]&amp;TbNombres[Problema],TbNombres[Nombre])</f>
        <v>Brusselator2d</v>
      </c>
      <c r="F1070" s="1">
        <v>6</v>
      </c>
      <c r="G1070" s="1">
        <v>4</v>
      </c>
      <c r="H1070" s="1">
        <v>16</v>
      </c>
      <c r="I1070" s="1">
        <v>125</v>
      </c>
      <c r="J1070" s="1">
        <v>31250</v>
      </c>
      <c r="K1070" s="1">
        <v>132.29599999999999</v>
      </c>
    </row>
    <row r="1071" spans="2:11" x14ac:dyDescent="0.2">
      <c r="B1071" s="26" t="str">
        <f>_xlfn.XLOOKUP(Total[[#This Row],[Metodo]],TbSolver[Metodo],TbSolver[Solver])</f>
        <v>Runge Kutta</v>
      </c>
      <c r="C1071" s="26" t="str">
        <f>_xlfn.XLOOKUP(Total[[#This Row],[Hebras]],TbTecnologia[Hebras],TbTecnologia[Tecnología])</f>
        <v>OMP</v>
      </c>
      <c r="D1071" s="15" t="str" cm="1">
        <f t="array" ref="D1071">_xlfn.XLOOKUP(Total[[#This Row],[Tecnología]]&amp;Total[[#This Row],[Metodo]],TbTipos[Tecnología]&amp;TbTipos[Metodo],TbTipos[Tipo])</f>
        <v>OMP Operaciones</v>
      </c>
      <c r="E1071" s="15" t="str" cm="1">
        <f t="array" ref="E1071">_xlfn.XLOOKUP(Total[[#This Row],[Tecnología]]&amp;Total[[#This Row],[Problema]],TbNombres[Tecnología]&amp;TbNombres[Problema],TbNombres[Nombre])</f>
        <v>Brusselator2d</v>
      </c>
      <c r="F1071" s="1">
        <v>1</v>
      </c>
      <c r="G1071" s="1">
        <v>4</v>
      </c>
      <c r="H1071" s="1">
        <v>1</v>
      </c>
      <c r="I1071" s="1">
        <v>175</v>
      </c>
      <c r="J1071" s="1">
        <v>61250</v>
      </c>
      <c r="K1071" s="1">
        <v>1337.41</v>
      </c>
    </row>
    <row r="1072" spans="2:11" x14ac:dyDescent="0.2">
      <c r="B1072" s="26" t="str">
        <f>_xlfn.XLOOKUP(Total[[#This Row],[Metodo]],TbSolver[Metodo],TbSolver[Solver])</f>
        <v>Runge Kutta</v>
      </c>
      <c r="C1072" s="26" t="str">
        <f>_xlfn.XLOOKUP(Total[[#This Row],[Hebras]],TbTecnologia[Hebras],TbTecnologia[Tecnología])</f>
        <v>OMP</v>
      </c>
      <c r="D1072" s="15" t="str" cm="1">
        <f t="array" ref="D1072">_xlfn.XLOOKUP(Total[[#This Row],[Tecnología]]&amp;Total[[#This Row],[Metodo]],TbTipos[Tecnología]&amp;TbTipos[Metodo],TbTipos[Tipo])</f>
        <v>OMP Operaciones</v>
      </c>
      <c r="E1072" s="15" t="str" cm="1">
        <f t="array" ref="E1072">_xlfn.XLOOKUP(Total[[#This Row],[Tecnología]]&amp;Total[[#This Row],[Problema]],TbNombres[Tecnología]&amp;TbNombres[Problema],TbNombres[Nombre])</f>
        <v>Brusselator2d</v>
      </c>
      <c r="F1072" s="1">
        <v>1</v>
      </c>
      <c r="G1072" s="1">
        <v>4</v>
      </c>
      <c r="H1072" s="1">
        <v>4</v>
      </c>
      <c r="I1072" s="1">
        <v>175</v>
      </c>
      <c r="J1072" s="1">
        <v>61250</v>
      </c>
      <c r="K1072" s="1">
        <v>361.65800000000002</v>
      </c>
    </row>
    <row r="1073" spans="2:11" x14ac:dyDescent="0.2">
      <c r="B1073" s="26" t="str">
        <f>_xlfn.XLOOKUP(Total[[#This Row],[Metodo]],TbSolver[Metodo],TbSolver[Solver])</f>
        <v>Runge Kutta</v>
      </c>
      <c r="C1073" s="26" t="str">
        <f>_xlfn.XLOOKUP(Total[[#This Row],[Hebras]],TbTecnologia[Hebras],TbTecnologia[Tecnología])</f>
        <v>OMP</v>
      </c>
      <c r="D1073" s="15" t="str" cm="1">
        <f t="array" ref="D1073">_xlfn.XLOOKUP(Total[[#This Row],[Tecnología]]&amp;Total[[#This Row],[Metodo]],TbTipos[Tecnología]&amp;TbTipos[Metodo],TbTipos[Tipo])</f>
        <v>OMP Operaciones</v>
      </c>
      <c r="E1073" s="15" t="str" cm="1">
        <f t="array" ref="E1073">_xlfn.XLOOKUP(Total[[#This Row],[Tecnología]]&amp;Total[[#This Row],[Problema]],TbNombres[Tecnología]&amp;TbNombres[Problema],TbNombres[Nombre])</f>
        <v>Brusselator2d</v>
      </c>
      <c r="F1073" s="1">
        <v>1</v>
      </c>
      <c r="G1073" s="1">
        <v>4</v>
      </c>
      <c r="H1073" s="1">
        <v>16</v>
      </c>
      <c r="I1073" s="1">
        <v>175</v>
      </c>
      <c r="J1073" s="1">
        <v>61250</v>
      </c>
      <c r="K1073" s="1">
        <v>159.261</v>
      </c>
    </row>
    <row r="1074" spans="2:11" x14ac:dyDescent="0.2">
      <c r="B1074" s="26" t="str">
        <f>_xlfn.XLOOKUP(Total[[#This Row],[Metodo]],TbSolver[Metodo],TbSolver[Solver])</f>
        <v>Runge Kutta</v>
      </c>
      <c r="C1074" s="26" t="str">
        <f>_xlfn.XLOOKUP(Total[[#This Row],[Hebras]],TbTecnologia[Hebras],TbTecnologia[Tecnología])</f>
        <v>OMP</v>
      </c>
      <c r="D1074" s="15" t="str" cm="1">
        <f t="array" ref="D1074">_xlfn.XLOOKUP(Total[[#This Row],[Tecnología]]&amp;Total[[#This Row],[Metodo]],TbTipos[Tecnología]&amp;TbTipos[Metodo],TbTipos[Tipo])</f>
        <v>OMP Elementos</v>
      </c>
      <c r="E1074" s="15" t="str" cm="1">
        <f t="array" ref="E1074">_xlfn.XLOOKUP(Total[[#This Row],[Tecnología]]&amp;Total[[#This Row],[Problema]],TbNombres[Tecnología]&amp;TbNombres[Problema],TbNombres[Nombre])</f>
        <v>Brusselator2d</v>
      </c>
      <c r="F1074" s="1">
        <v>2</v>
      </c>
      <c r="G1074" s="1">
        <v>4</v>
      </c>
      <c r="H1074" s="1">
        <v>1</v>
      </c>
      <c r="I1074" s="1">
        <v>175</v>
      </c>
      <c r="J1074" s="1">
        <v>61250</v>
      </c>
      <c r="K1074" s="1">
        <v>3282.84</v>
      </c>
    </row>
    <row r="1075" spans="2:11" x14ac:dyDescent="0.2">
      <c r="B1075" s="26" t="str">
        <f>_xlfn.XLOOKUP(Total[[#This Row],[Metodo]],TbSolver[Metodo],TbSolver[Solver])</f>
        <v>Runge Kutta</v>
      </c>
      <c r="C1075" s="26" t="str">
        <f>_xlfn.XLOOKUP(Total[[#This Row],[Hebras]],TbTecnologia[Hebras],TbTecnologia[Tecnología])</f>
        <v>OMP</v>
      </c>
      <c r="D1075" s="15" t="str" cm="1">
        <f t="array" ref="D1075">_xlfn.XLOOKUP(Total[[#This Row],[Tecnología]]&amp;Total[[#This Row],[Metodo]],TbTipos[Tecnología]&amp;TbTipos[Metodo],TbTipos[Tipo])</f>
        <v>OMP Elementos</v>
      </c>
      <c r="E1075" s="15" t="str" cm="1">
        <f t="array" ref="E1075">_xlfn.XLOOKUP(Total[[#This Row],[Tecnología]]&amp;Total[[#This Row],[Problema]],TbNombres[Tecnología]&amp;TbNombres[Problema],TbNombres[Nombre])</f>
        <v>Brusselator2d</v>
      </c>
      <c r="F1075" s="1">
        <v>2</v>
      </c>
      <c r="G1075" s="1">
        <v>4</v>
      </c>
      <c r="H1075" s="1">
        <v>4</v>
      </c>
      <c r="I1075" s="1">
        <v>175</v>
      </c>
      <c r="J1075" s="1">
        <v>61250</v>
      </c>
      <c r="K1075" s="1">
        <v>880.08699999999999</v>
      </c>
    </row>
    <row r="1076" spans="2:11" x14ac:dyDescent="0.2">
      <c r="B1076" s="26" t="str">
        <f>_xlfn.XLOOKUP(Total[[#This Row],[Metodo]],TbSolver[Metodo],TbSolver[Solver])</f>
        <v>Runge Kutta</v>
      </c>
      <c r="C1076" s="26" t="str">
        <f>_xlfn.XLOOKUP(Total[[#This Row],[Hebras]],TbTecnologia[Hebras],TbTecnologia[Tecnología])</f>
        <v>OMP</v>
      </c>
      <c r="D1076" s="15" t="str" cm="1">
        <f t="array" ref="D1076">_xlfn.XLOOKUP(Total[[#This Row],[Tecnología]]&amp;Total[[#This Row],[Metodo]],TbTipos[Tecnología]&amp;TbTipos[Metodo],TbTipos[Tipo])</f>
        <v>OMP Elementos</v>
      </c>
      <c r="E1076" s="15" t="str" cm="1">
        <f t="array" ref="E1076">_xlfn.XLOOKUP(Total[[#This Row],[Tecnología]]&amp;Total[[#This Row],[Problema]],TbNombres[Tecnología]&amp;TbNombres[Problema],TbNombres[Nombre])</f>
        <v>Brusselator2d</v>
      </c>
      <c r="F1076" s="1">
        <v>2</v>
      </c>
      <c r="G1076" s="1">
        <v>4</v>
      </c>
      <c r="H1076" s="1">
        <v>16</v>
      </c>
      <c r="I1076" s="1">
        <v>175</v>
      </c>
      <c r="J1076" s="1">
        <v>61250</v>
      </c>
      <c r="K1076" s="1">
        <v>254.37700000000001</v>
      </c>
    </row>
    <row r="1077" spans="2:11" x14ac:dyDescent="0.2">
      <c r="B1077" s="26" t="str">
        <f>_xlfn.XLOOKUP(Total[[#This Row],[Metodo]],TbSolver[Metodo],TbSolver[Solver])</f>
        <v>Adams Bashford</v>
      </c>
      <c r="C1077" s="26" t="str">
        <f>_xlfn.XLOOKUP(Total[[#This Row],[Hebras]],TbTecnologia[Hebras],TbTecnologia[Tecnología])</f>
        <v>OMP</v>
      </c>
      <c r="D1077" s="15" t="str" cm="1">
        <f t="array" ref="D1077">_xlfn.XLOOKUP(Total[[#This Row],[Tecnología]]&amp;Total[[#This Row],[Metodo]],TbTipos[Tecnología]&amp;TbTipos[Metodo],TbTipos[Tipo])</f>
        <v>OMP Operaciones</v>
      </c>
      <c r="E1077" s="15" t="str" cm="1">
        <f t="array" ref="E1077">_xlfn.XLOOKUP(Total[[#This Row],[Tecnología]]&amp;Total[[#This Row],[Problema]],TbNombres[Tecnología]&amp;TbNombres[Problema],TbNombres[Nombre])</f>
        <v>Brusselator2d</v>
      </c>
      <c r="F1077" s="1">
        <v>3</v>
      </c>
      <c r="G1077" s="1">
        <v>4</v>
      </c>
      <c r="H1077" s="1">
        <v>1</v>
      </c>
      <c r="I1077" s="1">
        <v>175</v>
      </c>
      <c r="J1077" s="1">
        <v>61250</v>
      </c>
      <c r="K1077" s="1">
        <v>441.46800000000002</v>
      </c>
    </row>
    <row r="1078" spans="2:11" x14ac:dyDescent="0.2">
      <c r="B1078" s="26" t="str">
        <f>_xlfn.XLOOKUP(Total[[#This Row],[Metodo]],TbSolver[Metodo],TbSolver[Solver])</f>
        <v>Adams Bashford</v>
      </c>
      <c r="C1078" s="26" t="str">
        <f>_xlfn.XLOOKUP(Total[[#This Row],[Hebras]],TbTecnologia[Hebras],TbTecnologia[Tecnología])</f>
        <v>OMP</v>
      </c>
      <c r="D1078" s="15" t="str" cm="1">
        <f t="array" ref="D1078">_xlfn.XLOOKUP(Total[[#This Row],[Tecnología]]&amp;Total[[#This Row],[Metodo]],TbTipos[Tecnología]&amp;TbTipos[Metodo],TbTipos[Tipo])</f>
        <v>OMP Operaciones</v>
      </c>
      <c r="E1078" s="15" t="str" cm="1">
        <f t="array" ref="E1078">_xlfn.XLOOKUP(Total[[#This Row],[Tecnología]]&amp;Total[[#This Row],[Problema]],TbNombres[Tecnología]&amp;TbNombres[Problema],TbNombres[Nombre])</f>
        <v>Brusselator2d</v>
      </c>
      <c r="F1078" s="1">
        <v>3</v>
      </c>
      <c r="G1078" s="1">
        <v>4</v>
      </c>
      <c r="H1078" s="1">
        <v>4</v>
      </c>
      <c r="I1078" s="1">
        <v>175</v>
      </c>
      <c r="J1078" s="1">
        <v>61250</v>
      </c>
      <c r="K1078" s="1">
        <v>112.057</v>
      </c>
    </row>
    <row r="1079" spans="2:11" x14ac:dyDescent="0.2">
      <c r="B1079" s="26" t="str">
        <f>_xlfn.XLOOKUP(Total[[#This Row],[Metodo]],TbSolver[Metodo],TbSolver[Solver])</f>
        <v>Adams Bashford</v>
      </c>
      <c r="C1079" s="26" t="str">
        <f>_xlfn.XLOOKUP(Total[[#This Row],[Hebras]],TbTecnologia[Hebras],TbTecnologia[Tecnología])</f>
        <v>OMP</v>
      </c>
      <c r="D1079" s="15" t="str" cm="1">
        <f t="array" ref="D1079">_xlfn.XLOOKUP(Total[[#This Row],[Tecnología]]&amp;Total[[#This Row],[Metodo]],TbTipos[Tecnología]&amp;TbTipos[Metodo],TbTipos[Tipo])</f>
        <v>OMP Operaciones</v>
      </c>
      <c r="E1079" s="15" t="str" cm="1">
        <f t="array" ref="E1079">_xlfn.XLOOKUP(Total[[#This Row],[Tecnología]]&amp;Total[[#This Row],[Problema]],TbNombres[Tecnología]&amp;TbNombres[Problema],TbNombres[Nombre])</f>
        <v>Brusselator2d</v>
      </c>
      <c r="F1079" s="1">
        <v>3</v>
      </c>
      <c r="G1079" s="1">
        <v>4</v>
      </c>
      <c r="H1079" s="1">
        <v>16</v>
      </c>
      <c r="I1079" s="1">
        <v>175</v>
      </c>
      <c r="J1079" s="1">
        <v>61250</v>
      </c>
      <c r="K1079" s="1">
        <v>59.0122</v>
      </c>
    </row>
    <row r="1080" spans="2:11" x14ac:dyDescent="0.2">
      <c r="B1080" s="26" t="str">
        <f>_xlfn.XLOOKUP(Total[[#This Row],[Metodo]],TbSolver[Metodo],TbSolver[Solver])</f>
        <v>Adams Bashford</v>
      </c>
      <c r="C1080" s="26" t="str">
        <f>_xlfn.XLOOKUP(Total[[#This Row],[Hebras]],TbTecnologia[Hebras],TbTecnologia[Tecnología])</f>
        <v>OMP</v>
      </c>
      <c r="D1080" s="15" t="str" cm="1">
        <f t="array" ref="D1080">_xlfn.XLOOKUP(Total[[#This Row],[Tecnología]]&amp;Total[[#This Row],[Metodo]],TbTipos[Tecnología]&amp;TbTipos[Metodo],TbTipos[Tipo])</f>
        <v>OMP Elementos</v>
      </c>
      <c r="E1080" s="15" t="str" cm="1">
        <f t="array" ref="E1080">_xlfn.XLOOKUP(Total[[#This Row],[Tecnología]]&amp;Total[[#This Row],[Problema]],TbNombres[Tecnología]&amp;TbNombres[Problema],TbNombres[Nombre])</f>
        <v>Brusselator2d</v>
      </c>
      <c r="F1080" s="1">
        <v>4</v>
      </c>
      <c r="G1080" s="1">
        <v>4</v>
      </c>
      <c r="H1080" s="1">
        <v>1</v>
      </c>
      <c r="I1080" s="1">
        <v>175</v>
      </c>
      <c r="J1080" s="1">
        <v>61250</v>
      </c>
      <c r="K1080" s="1">
        <v>842.77800000000002</v>
      </c>
    </row>
    <row r="1081" spans="2:11" x14ac:dyDescent="0.2">
      <c r="B1081" s="26" t="str">
        <f>_xlfn.XLOOKUP(Total[[#This Row],[Metodo]],TbSolver[Metodo],TbSolver[Solver])</f>
        <v>Adams Bashford</v>
      </c>
      <c r="C1081" s="26" t="str">
        <f>_xlfn.XLOOKUP(Total[[#This Row],[Hebras]],TbTecnologia[Hebras],TbTecnologia[Tecnología])</f>
        <v>OMP</v>
      </c>
      <c r="D1081" s="15" t="str" cm="1">
        <f t="array" ref="D1081">_xlfn.XLOOKUP(Total[[#This Row],[Tecnología]]&amp;Total[[#This Row],[Metodo]],TbTipos[Tecnología]&amp;TbTipos[Metodo],TbTipos[Tipo])</f>
        <v>OMP Elementos</v>
      </c>
      <c r="E1081" s="15" t="str" cm="1">
        <f t="array" ref="E1081">_xlfn.XLOOKUP(Total[[#This Row],[Tecnología]]&amp;Total[[#This Row],[Problema]],TbNombres[Tecnología]&amp;TbNombres[Problema],TbNombres[Nombre])</f>
        <v>Brusselator2d</v>
      </c>
      <c r="F1081" s="1">
        <v>4</v>
      </c>
      <c r="G1081" s="1">
        <v>4</v>
      </c>
      <c r="H1081" s="1">
        <v>4</v>
      </c>
      <c r="I1081" s="1">
        <v>175</v>
      </c>
      <c r="J1081" s="1">
        <v>61250</v>
      </c>
      <c r="K1081" s="1">
        <v>216.34399999999999</v>
      </c>
    </row>
    <row r="1082" spans="2:11" x14ac:dyDescent="0.2">
      <c r="B1082" s="26" t="str">
        <f>_xlfn.XLOOKUP(Total[[#This Row],[Metodo]],TbSolver[Metodo],TbSolver[Solver])</f>
        <v>Adams Bashford</v>
      </c>
      <c r="C1082" s="26" t="str">
        <f>_xlfn.XLOOKUP(Total[[#This Row],[Hebras]],TbTecnologia[Hebras],TbTecnologia[Tecnología])</f>
        <v>OMP</v>
      </c>
      <c r="D1082" s="15" t="str" cm="1">
        <f t="array" ref="D1082">_xlfn.XLOOKUP(Total[[#This Row],[Tecnología]]&amp;Total[[#This Row],[Metodo]],TbTipos[Tecnología]&amp;TbTipos[Metodo],TbTipos[Tipo])</f>
        <v>OMP Elementos</v>
      </c>
      <c r="E1082" s="15" t="str" cm="1">
        <f t="array" ref="E1082">_xlfn.XLOOKUP(Total[[#This Row],[Tecnología]]&amp;Total[[#This Row],[Problema]],TbNombres[Tecnología]&amp;TbNombres[Problema],TbNombres[Nombre])</f>
        <v>Brusselator2d</v>
      </c>
      <c r="F1082" s="1">
        <v>4</v>
      </c>
      <c r="G1082" s="1">
        <v>4</v>
      </c>
      <c r="H1082" s="1">
        <v>16</v>
      </c>
      <c r="I1082" s="1">
        <v>175</v>
      </c>
      <c r="J1082" s="1">
        <v>61250</v>
      </c>
      <c r="K1082" s="1">
        <v>72.548900000000003</v>
      </c>
    </row>
    <row r="1083" spans="2:11" x14ac:dyDescent="0.2">
      <c r="B1083" s="26" t="str">
        <f>_xlfn.XLOOKUP(Total[[#This Row],[Metodo]],TbSolver[Metodo],TbSolver[Solver])</f>
        <v>Adams Bashford Moulton</v>
      </c>
      <c r="C1083" s="26" t="str">
        <f>_xlfn.XLOOKUP(Total[[#This Row],[Hebras]],TbTecnologia[Hebras],TbTecnologia[Tecnología])</f>
        <v>OMP</v>
      </c>
      <c r="D1083" s="15" t="str" cm="1">
        <f t="array" ref="D1083">_xlfn.XLOOKUP(Total[[#This Row],[Tecnología]]&amp;Total[[#This Row],[Metodo]],TbTipos[Tecnología]&amp;TbTipos[Metodo],TbTipos[Tipo])</f>
        <v>OMP Operaciones</v>
      </c>
      <c r="E1083" s="15" t="str" cm="1">
        <f t="array" ref="E1083">_xlfn.XLOOKUP(Total[[#This Row],[Tecnología]]&amp;Total[[#This Row],[Problema]],TbNombres[Tecnología]&amp;TbNombres[Problema],TbNombres[Nombre])</f>
        <v>Brusselator2d</v>
      </c>
      <c r="F1083" s="1">
        <v>5</v>
      </c>
      <c r="G1083" s="1">
        <v>4</v>
      </c>
      <c r="H1083" s="1">
        <v>1</v>
      </c>
      <c r="I1083" s="1">
        <v>175</v>
      </c>
      <c r="J1083" s="1">
        <v>61250</v>
      </c>
      <c r="K1083" s="1">
        <v>1369.18</v>
      </c>
    </row>
    <row r="1084" spans="2:11" x14ac:dyDescent="0.2">
      <c r="B1084" s="26" t="str">
        <f>_xlfn.XLOOKUP(Total[[#This Row],[Metodo]],TbSolver[Metodo],TbSolver[Solver])</f>
        <v>Adams Bashford Moulton</v>
      </c>
      <c r="C1084" s="26" t="str">
        <f>_xlfn.XLOOKUP(Total[[#This Row],[Hebras]],TbTecnologia[Hebras],TbTecnologia[Tecnología])</f>
        <v>OMP</v>
      </c>
      <c r="D1084" s="15" t="str" cm="1">
        <f t="array" ref="D1084">_xlfn.XLOOKUP(Total[[#This Row],[Tecnología]]&amp;Total[[#This Row],[Metodo]],TbTipos[Tecnología]&amp;TbTipos[Metodo],TbTipos[Tipo])</f>
        <v>OMP Operaciones</v>
      </c>
      <c r="E1084" s="15" t="str" cm="1">
        <f t="array" ref="E1084">_xlfn.XLOOKUP(Total[[#This Row],[Tecnología]]&amp;Total[[#This Row],[Problema]],TbNombres[Tecnología]&amp;TbNombres[Problema],TbNombres[Nombre])</f>
        <v>Brusselator2d</v>
      </c>
      <c r="F1084" s="1">
        <v>5</v>
      </c>
      <c r="G1084" s="1">
        <v>4</v>
      </c>
      <c r="H1084" s="1">
        <v>4</v>
      </c>
      <c r="I1084" s="1">
        <v>175</v>
      </c>
      <c r="J1084" s="1">
        <v>61250</v>
      </c>
      <c r="K1084" s="1">
        <v>360.60399999999998</v>
      </c>
    </row>
    <row r="1085" spans="2:11" x14ac:dyDescent="0.2">
      <c r="B1085" s="26" t="str">
        <f>_xlfn.XLOOKUP(Total[[#This Row],[Metodo]],TbSolver[Metodo],TbSolver[Solver])</f>
        <v>Adams Bashford Moulton</v>
      </c>
      <c r="C1085" s="26" t="str">
        <f>_xlfn.XLOOKUP(Total[[#This Row],[Hebras]],TbTecnologia[Hebras],TbTecnologia[Tecnología])</f>
        <v>OMP</v>
      </c>
      <c r="D1085" s="15" t="str" cm="1">
        <f t="array" ref="D1085">_xlfn.XLOOKUP(Total[[#This Row],[Tecnología]]&amp;Total[[#This Row],[Metodo]],TbTipos[Tecnología]&amp;TbTipos[Metodo],TbTipos[Tipo])</f>
        <v>OMP Operaciones</v>
      </c>
      <c r="E1085" s="15" t="str" cm="1">
        <f t="array" ref="E1085">_xlfn.XLOOKUP(Total[[#This Row],[Tecnología]]&amp;Total[[#This Row],[Problema]],TbNombres[Tecnología]&amp;TbNombres[Problema],TbNombres[Nombre])</f>
        <v>Brusselator2d</v>
      </c>
      <c r="F1085" s="1">
        <v>5</v>
      </c>
      <c r="G1085" s="1">
        <v>4</v>
      </c>
      <c r="H1085" s="1">
        <v>16</v>
      </c>
      <c r="I1085" s="1">
        <v>175</v>
      </c>
      <c r="J1085" s="1">
        <v>61250</v>
      </c>
      <c r="K1085" s="1">
        <v>195.44300000000001</v>
      </c>
    </row>
    <row r="1086" spans="2:11" x14ac:dyDescent="0.2">
      <c r="B1086" s="26" t="str">
        <f>_xlfn.XLOOKUP(Total[[#This Row],[Metodo]],TbSolver[Metodo],TbSolver[Solver])</f>
        <v>Adams Bashford Moulton</v>
      </c>
      <c r="C1086" s="26" t="str">
        <f>_xlfn.XLOOKUP(Total[[#This Row],[Hebras]],TbTecnologia[Hebras],TbTecnologia[Tecnología])</f>
        <v>OMP</v>
      </c>
      <c r="D1086" s="15" t="str" cm="1">
        <f t="array" ref="D1086">_xlfn.XLOOKUP(Total[[#This Row],[Tecnología]]&amp;Total[[#This Row],[Metodo]],TbTipos[Tecnología]&amp;TbTipos[Metodo],TbTipos[Tipo])</f>
        <v>OMP Elementos</v>
      </c>
      <c r="E1086" s="15" t="str" cm="1">
        <f t="array" ref="E1086">_xlfn.XLOOKUP(Total[[#This Row],[Tecnología]]&amp;Total[[#This Row],[Problema]],TbNombres[Tecnología]&amp;TbNombres[Problema],TbNombres[Nombre])</f>
        <v>Brusselator2d</v>
      </c>
      <c r="F1086" s="1">
        <v>6</v>
      </c>
      <c r="G1086" s="1">
        <v>4</v>
      </c>
      <c r="H1086" s="1">
        <v>1</v>
      </c>
      <c r="I1086" s="1">
        <v>175</v>
      </c>
      <c r="J1086" s="1">
        <v>61250</v>
      </c>
      <c r="K1086" s="1">
        <v>2938.31</v>
      </c>
    </row>
    <row r="1087" spans="2:11" x14ac:dyDescent="0.2">
      <c r="B1087" s="26" t="str">
        <f>_xlfn.XLOOKUP(Total[[#This Row],[Metodo]],TbSolver[Metodo],TbSolver[Solver])</f>
        <v>Adams Bashford Moulton</v>
      </c>
      <c r="C1087" s="26" t="str">
        <f>_xlfn.XLOOKUP(Total[[#This Row],[Hebras]],TbTecnologia[Hebras],TbTecnologia[Tecnología])</f>
        <v>OMP</v>
      </c>
      <c r="D1087" s="15" t="str" cm="1">
        <f t="array" ref="D1087">_xlfn.XLOOKUP(Total[[#This Row],[Tecnología]]&amp;Total[[#This Row],[Metodo]],TbTipos[Tecnología]&amp;TbTipos[Metodo],TbTipos[Tipo])</f>
        <v>OMP Elementos</v>
      </c>
      <c r="E1087" s="15" t="str" cm="1">
        <f t="array" ref="E1087">_xlfn.XLOOKUP(Total[[#This Row],[Tecnología]]&amp;Total[[#This Row],[Problema]],TbNombres[Tecnología]&amp;TbNombres[Problema],TbNombres[Nombre])</f>
        <v>Brusselator2d</v>
      </c>
      <c r="F1087" s="1">
        <v>6</v>
      </c>
      <c r="G1087" s="1">
        <v>4</v>
      </c>
      <c r="H1087" s="1">
        <v>4</v>
      </c>
      <c r="I1087" s="1">
        <v>175</v>
      </c>
      <c r="J1087" s="1">
        <v>61250</v>
      </c>
      <c r="K1087" s="1">
        <v>774.02599999999995</v>
      </c>
    </row>
    <row r="1088" spans="2:11" x14ac:dyDescent="0.2">
      <c r="B1088" s="26" t="str">
        <f>_xlfn.XLOOKUP(Total[[#This Row],[Metodo]],TbSolver[Metodo],TbSolver[Solver])</f>
        <v>Adams Bashford Moulton</v>
      </c>
      <c r="C1088" s="26" t="str">
        <f>_xlfn.XLOOKUP(Total[[#This Row],[Hebras]],TbTecnologia[Hebras],TbTecnologia[Tecnología])</f>
        <v>OMP</v>
      </c>
      <c r="D1088" s="15" t="str" cm="1">
        <f t="array" ref="D1088">_xlfn.XLOOKUP(Total[[#This Row],[Tecnología]]&amp;Total[[#This Row],[Metodo]],TbTipos[Tecnología]&amp;TbTipos[Metodo],TbTipos[Tipo])</f>
        <v>OMP Elementos</v>
      </c>
      <c r="E1088" s="15" t="str" cm="1">
        <f t="array" ref="E1088">_xlfn.XLOOKUP(Total[[#This Row],[Tecnología]]&amp;Total[[#This Row],[Problema]],TbNombres[Tecnología]&amp;TbNombres[Problema],TbNombres[Nombre])</f>
        <v>Brusselator2d</v>
      </c>
      <c r="F1088" s="1">
        <v>6</v>
      </c>
      <c r="G1088" s="1">
        <v>4</v>
      </c>
      <c r="H1088" s="1">
        <v>16</v>
      </c>
      <c r="I1088" s="1">
        <v>175</v>
      </c>
      <c r="J1088" s="1">
        <v>61250</v>
      </c>
      <c r="K1088" s="1">
        <v>255.96899999999999</v>
      </c>
    </row>
    <row r="1089" spans="2:11" x14ac:dyDescent="0.2">
      <c r="B1089" s="26" t="str">
        <f>_xlfn.XLOOKUP(Total[[#This Row],[Metodo]],TbSolver[Metodo],TbSolver[Solver])</f>
        <v>Runge Kutta</v>
      </c>
      <c r="C1089" s="26" t="str">
        <f>_xlfn.XLOOKUP(Total[[#This Row],[Hebras]],TbTecnologia[Hebras],TbTecnologia[Tecnología])</f>
        <v>CUDA</v>
      </c>
      <c r="D1089" s="15" t="str" cm="1">
        <f t="array" ref="D1089">_xlfn.XLOOKUP(Total[[#This Row],[Tecnología]]&amp;Total[[#This Row],[Metodo]],TbTipos[Tecnología]&amp;TbTipos[Metodo],TbTipos[Tipo])</f>
        <v>CUDA sin graph</v>
      </c>
      <c r="E1089" s="15" t="str" cm="1">
        <f t="array" ref="E1089">_xlfn.XLOOKUP(Total[[#This Row],[Tecnología]]&amp;Total[[#This Row],[Problema]],TbNombres[Tecnología]&amp;TbNombres[Problema],TbNombres[Nombre])</f>
        <v>Simple Advdiff</v>
      </c>
      <c r="F1089" s="1">
        <v>1</v>
      </c>
      <c r="G1089" s="1">
        <v>1</v>
      </c>
      <c r="H1089" s="1">
        <v>256</v>
      </c>
      <c r="I1089" s="1">
        <v>15000</v>
      </c>
      <c r="J1089" s="1">
        <v>15000</v>
      </c>
      <c r="K1089" s="1">
        <v>16.915199999999999</v>
      </c>
    </row>
    <row r="1090" spans="2:11" x14ac:dyDescent="0.2">
      <c r="B1090" s="26" t="str">
        <f>_xlfn.XLOOKUP(Total[[#This Row],[Metodo]],TbSolver[Metodo],TbSolver[Solver])</f>
        <v>Runge Kutta</v>
      </c>
      <c r="C1090" s="26" t="str">
        <f>_xlfn.XLOOKUP(Total[[#This Row],[Hebras]],TbTecnologia[Hebras],TbTecnologia[Tecnología])</f>
        <v>CUDA</v>
      </c>
      <c r="D1090" s="15" t="str" cm="1">
        <f t="array" ref="D1090">_xlfn.XLOOKUP(Total[[#This Row],[Tecnología]]&amp;Total[[#This Row],[Metodo]],TbTipos[Tecnología]&amp;TbTipos[Metodo],TbTipos[Tipo])</f>
        <v>CUDA sin graph</v>
      </c>
      <c r="E1090" s="15" t="str" cm="1">
        <f t="array" ref="E1090">_xlfn.XLOOKUP(Total[[#This Row],[Tecnología]]&amp;Total[[#This Row],[Problema]],TbNombres[Tecnología]&amp;TbNombres[Problema],TbNombres[Nombre])</f>
        <v>Simple Advdiff</v>
      </c>
      <c r="F1090" s="1">
        <v>1</v>
      </c>
      <c r="G1090" s="1">
        <v>1</v>
      </c>
      <c r="H1090" s="1">
        <v>256</v>
      </c>
      <c r="I1090" s="1">
        <v>20000</v>
      </c>
      <c r="J1090" s="1">
        <v>20000</v>
      </c>
      <c r="K1090" s="1">
        <v>20.266500000000001</v>
      </c>
    </row>
    <row r="1091" spans="2:11" x14ac:dyDescent="0.2">
      <c r="B1091" s="26" t="str">
        <f>_xlfn.XLOOKUP(Total[[#This Row],[Metodo]],TbSolver[Metodo],TbSolver[Solver])</f>
        <v>Runge Kutta</v>
      </c>
      <c r="C1091" s="26" t="str">
        <f>_xlfn.XLOOKUP(Total[[#This Row],[Hebras]],TbTecnologia[Hebras],TbTecnologia[Tecnología])</f>
        <v>CUDA</v>
      </c>
      <c r="D1091" s="15" t="str" cm="1">
        <f t="array" ref="D1091">_xlfn.XLOOKUP(Total[[#This Row],[Tecnología]]&amp;Total[[#This Row],[Metodo]],TbTipos[Tecnología]&amp;TbTipos[Metodo],TbTipos[Tipo])</f>
        <v>CUDA sin graph</v>
      </c>
      <c r="E1091" s="15" t="str" cm="1">
        <f t="array" ref="E1091">_xlfn.XLOOKUP(Total[[#This Row],[Tecnología]]&amp;Total[[#This Row],[Problema]],TbNombres[Tecnología]&amp;TbNombres[Problema],TbNombres[Nombre])</f>
        <v>Simple Advdiff</v>
      </c>
      <c r="F1091" s="1">
        <v>1</v>
      </c>
      <c r="G1091" s="1">
        <v>1</v>
      </c>
      <c r="H1091" s="1">
        <v>256</v>
      </c>
      <c r="I1091" s="1">
        <v>30000</v>
      </c>
      <c r="J1091" s="1">
        <v>30000</v>
      </c>
      <c r="K1091" s="1">
        <v>20.920400000000001</v>
      </c>
    </row>
    <row r="1092" spans="2:11" x14ac:dyDescent="0.2">
      <c r="B1092" s="26" t="str">
        <f>_xlfn.XLOOKUP(Total[[#This Row],[Metodo]],TbSolver[Metodo],TbSolver[Solver])</f>
        <v>Runge Kutta</v>
      </c>
      <c r="C1092" s="26" t="str">
        <f>_xlfn.XLOOKUP(Total[[#This Row],[Hebras]],TbTecnologia[Hebras],TbTecnologia[Tecnología])</f>
        <v>CUDA</v>
      </c>
      <c r="D1092" s="15" t="str" cm="1">
        <f t="array" ref="D1092">_xlfn.XLOOKUP(Total[[#This Row],[Tecnología]]&amp;Total[[#This Row],[Metodo]],TbTipos[Tecnología]&amp;TbTipos[Metodo],TbTipos[Tipo])</f>
        <v>CUDA sin graph</v>
      </c>
      <c r="E1092" s="15" t="str" cm="1">
        <f t="array" ref="E1092">_xlfn.XLOOKUP(Total[[#This Row],[Tecnología]]&amp;Total[[#This Row],[Problema]],TbNombres[Tecnología]&amp;TbNombres[Problema],TbNombres[Nombre])</f>
        <v>Simple Advdiff</v>
      </c>
      <c r="F1092" s="1">
        <v>1</v>
      </c>
      <c r="G1092" s="1">
        <v>1</v>
      </c>
      <c r="H1092" s="1">
        <v>256</v>
      </c>
      <c r="I1092" s="1">
        <v>40000</v>
      </c>
      <c r="J1092" s="1">
        <v>40000</v>
      </c>
      <c r="K1092" s="1">
        <v>24.945499999999999</v>
      </c>
    </row>
    <row r="1093" spans="2:11" x14ac:dyDescent="0.2">
      <c r="B1093" s="26" t="str">
        <f>_xlfn.XLOOKUP(Total[[#This Row],[Metodo]],TbSolver[Metodo],TbSolver[Solver])</f>
        <v>Runge Kutta</v>
      </c>
      <c r="C1093" s="26" t="str">
        <f>_xlfn.XLOOKUP(Total[[#This Row],[Hebras]],TbTecnologia[Hebras],TbTecnologia[Tecnología])</f>
        <v>CUDA</v>
      </c>
      <c r="D1093" s="15" t="str" cm="1">
        <f t="array" ref="D1093">_xlfn.XLOOKUP(Total[[#This Row],[Tecnología]]&amp;Total[[#This Row],[Metodo]],TbTipos[Tecnología]&amp;TbTipos[Metodo],TbTipos[Tipo])</f>
        <v>CUDA sin graph</v>
      </c>
      <c r="E1093" s="15" t="str" cm="1">
        <f t="array" ref="E1093">_xlfn.XLOOKUP(Total[[#This Row],[Tecnología]]&amp;Total[[#This Row],[Problema]],TbNombres[Tecnología]&amp;TbNombres[Problema],TbNombres[Nombre])</f>
        <v>Simple Advdiff</v>
      </c>
      <c r="F1093" s="1">
        <v>1</v>
      </c>
      <c r="G1093" s="1">
        <v>1</v>
      </c>
      <c r="H1093" s="1">
        <v>256</v>
      </c>
      <c r="I1093" s="1">
        <v>75000</v>
      </c>
      <c r="J1093" s="1">
        <v>75000</v>
      </c>
      <c r="K1093" s="1">
        <v>31.2439</v>
      </c>
    </row>
    <row r="1094" spans="2:11" x14ac:dyDescent="0.2">
      <c r="B1094" s="26" t="str">
        <f>_xlfn.XLOOKUP(Total[[#This Row],[Metodo]],TbSolver[Metodo],TbSolver[Solver])</f>
        <v>Runge Kutta</v>
      </c>
      <c r="C1094" s="26" t="str">
        <f>_xlfn.XLOOKUP(Total[[#This Row],[Hebras]],TbTecnologia[Hebras],TbTecnologia[Tecnología])</f>
        <v>CUDA</v>
      </c>
      <c r="D1094" s="15" t="str" cm="1">
        <f t="array" ref="D1094">_xlfn.XLOOKUP(Total[[#This Row],[Tecnología]]&amp;Total[[#This Row],[Metodo]],TbTipos[Tecnología]&amp;TbTipos[Metodo],TbTipos[Tipo])</f>
        <v>CUDA sin graph</v>
      </c>
      <c r="E1094" s="15" t="str" cm="1">
        <f t="array" ref="E1094">_xlfn.XLOOKUP(Total[[#This Row],[Tecnología]]&amp;Total[[#This Row],[Problema]],TbNombres[Tecnología]&amp;TbNombres[Problema],TbNombres[Nombre])</f>
        <v>Simple Advdiff</v>
      </c>
      <c r="F1094" s="1">
        <v>1</v>
      </c>
      <c r="G1094" s="1">
        <v>1</v>
      </c>
      <c r="H1094" s="1">
        <v>256</v>
      </c>
      <c r="I1094" s="1">
        <v>125000</v>
      </c>
      <c r="J1094" s="1">
        <v>125000</v>
      </c>
      <c r="K1094" s="1">
        <v>43.666499999999999</v>
      </c>
    </row>
    <row r="1095" spans="2:11" x14ac:dyDescent="0.2">
      <c r="B1095" s="26" t="str">
        <f>_xlfn.XLOOKUP(Total[[#This Row],[Metodo]],TbSolver[Metodo],TbSolver[Solver])</f>
        <v>Runge Kutta</v>
      </c>
      <c r="C1095" s="26" t="str">
        <f>_xlfn.XLOOKUP(Total[[#This Row],[Hebras]],TbTecnologia[Hebras],TbTecnologia[Tecnología])</f>
        <v>CUDA</v>
      </c>
      <c r="D1095" s="15" t="str" cm="1">
        <f t="array" ref="D1095">_xlfn.XLOOKUP(Total[[#This Row],[Tecnología]]&amp;Total[[#This Row],[Metodo]],TbTipos[Tecnología]&amp;TbTipos[Metodo],TbTipos[Tipo])</f>
        <v>CUDA sin graph</v>
      </c>
      <c r="E1095" s="15" t="str" cm="1">
        <f t="array" ref="E1095">_xlfn.XLOOKUP(Total[[#This Row],[Tecnología]]&amp;Total[[#This Row],[Problema]],TbNombres[Tecnología]&amp;TbNombres[Problema],TbNombres[Nombre])</f>
        <v>Simple Advdiff</v>
      </c>
      <c r="F1095" s="1">
        <v>1</v>
      </c>
      <c r="G1095" s="1">
        <v>1</v>
      </c>
      <c r="H1095" s="1">
        <v>256</v>
      </c>
      <c r="I1095" s="1">
        <v>175000</v>
      </c>
      <c r="J1095" s="1">
        <v>175000</v>
      </c>
      <c r="K1095" s="1">
        <v>63.553699999999999</v>
      </c>
    </row>
    <row r="1096" spans="2:11" x14ac:dyDescent="0.2">
      <c r="B1096" s="26" t="str">
        <f>_xlfn.XLOOKUP(Total[[#This Row],[Metodo]],TbSolver[Metodo],TbSolver[Solver])</f>
        <v>Runge Kutta</v>
      </c>
      <c r="C1096" s="26" t="str">
        <f>_xlfn.XLOOKUP(Total[[#This Row],[Hebras]],TbTecnologia[Hebras],TbTecnologia[Tecnología])</f>
        <v>CUDA</v>
      </c>
      <c r="D1096" s="15" t="str" cm="1">
        <f t="array" ref="D1096">_xlfn.XLOOKUP(Total[[#This Row],[Tecnología]]&amp;Total[[#This Row],[Metodo]],TbTipos[Tecnología]&amp;TbTipos[Metodo],TbTipos[Tipo])</f>
        <v>CUDA sin graph</v>
      </c>
      <c r="E1096" s="15" t="str" cm="1">
        <f t="array" ref="E1096">_xlfn.XLOOKUP(Total[[#This Row],[Tecnología]]&amp;Total[[#This Row],[Problema]],TbNombres[Tecnología]&amp;TbNombres[Problema],TbNombres[Nombre])</f>
        <v>Simple Advdiff</v>
      </c>
      <c r="F1096" s="1">
        <v>1</v>
      </c>
      <c r="G1096" s="1">
        <v>1</v>
      </c>
      <c r="H1096" s="1">
        <v>256</v>
      </c>
      <c r="I1096" s="1">
        <v>750000</v>
      </c>
      <c r="J1096" s="1">
        <v>750000</v>
      </c>
      <c r="K1096" s="1">
        <v>315.87700000000001</v>
      </c>
    </row>
    <row r="1097" spans="2:11" x14ac:dyDescent="0.2">
      <c r="B1097" s="26" t="str">
        <f>_xlfn.XLOOKUP(Total[[#This Row],[Metodo]],TbSolver[Metodo],TbSolver[Solver])</f>
        <v>Runge Kutta</v>
      </c>
      <c r="C1097" s="26" t="str">
        <f>_xlfn.XLOOKUP(Total[[#This Row],[Hebras]],TbTecnologia[Hebras],TbTecnologia[Tecnología])</f>
        <v>CUDA</v>
      </c>
      <c r="D1097" s="15" t="str" cm="1">
        <f t="array" ref="D1097">_xlfn.XLOOKUP(Total[[#This Row],[Tecnología]]&amp;Total[[#This Row],[Metodo]],TbTipos[Tecnología]&amp;TbTipos[Metodo],TbTipos[Tipo])</f>
        <v>CUDA sin graph</v>
      </c>
      <c r="E1097" s="15" t="str" cm="1">
        <f t="array" ref="E1097">_xlfn.XLOOKUP(Total[[#This Row],[Tecnología]]&amp;Total[[#This Row],[Problema]],TbNombres[Tecnología]&amp;TbNombres[Problema],TbNombres[Nombre])</f>
        <v>Simple Advdiff</v>
      </c>
      <c r="F1097" s="1">
        <v>1</v>
      </c>
      <c r="G1097" s="1">
        <v>1</v>
      </c>
      <c r="H1097" s="1">
        <v>256</v>
      </c>
      <c r="I1097" s="1">
        <v>1000000</v>
      </c>
      <c r="J1097" s="1">
        <v>1000000</v>
      </c>
      <c r="K1097" s="1">
        <v>410.64600000000002</v>
      </c>
    </row>
    <row r="1098" spans="2:11" x14ac:dyDescent="0.2">
      <c r="B1098" s="26" t="str">
        <f>_xlfn.XLOOKUP(Total[[#This Row],[Metodo]],TbSolver[Metodo],TbSolver[Solver])</f>
        <v>Runge Kutta</v>
      </c>
      <c r="C1098" s="26" t="str">
        <f>_xlfn.XLOOKUP(Total[[#This Row],[Hebras]],TbTecnologia[Hebras],TbTecnologia[Tecnología])</f>
        <v>CUDA</v>
      </c>
      <c r="D1098" s="15" t="str" cm="1">
        <f t="array" ref="D1098">_xlfn.XLOOKUP(Total[[#This Row],[Tecnología]]&amp;Total[[#This Row],[Metodo]],TbTipos[Tecnología]&amp;TbTipos[Metodo],TbTipos[Tipo])</f>
        <v>CUDA sin graph</v>
      </c>
      <c r="E1098" s="15" t="str" cm="1">
        <f t="array" ref="E1098">_xlfn.XLOOKUP(Total[[#This Row],[Tecnología]]&amp;Total[[#This Row],[Problema]],TbNombres[Tecnología]&amp;TbNombres[Problema],TbNombres[Nombre])</f>
        <v>Advdiff1d</v>
      </c>
      <c r="F1098" s="1">
        <v>1</v>
      </c>
      <c r="G1098" s="1">
        <v>3</v>
      </c>
      <c r="H1098" s="1">
        <v>256</v>
      </c>
      <c r="I1098" s="1">
        <v>15000</v>
      </c>
      <c r="J1098" s="1">
        <v>15000</v>
      </c>
      <c r="K1098" s="1">
        <v>32.794499999999999</v>
      </c>
    </row>
    <row r="1099" spans="2:11" x14ac:dyDescent="0.2">
      <c r="B1099" s="26" t="str">
        <f>_xlfn.XLOOKUP(Total[[#This Row],[Metodo]],TbSolver[Metodo],TbSolver[Solver])</f>
        <v>Runge Kutta</v>
      </c>
      <c r="C1099" s="26" t="str">
        <f>_xlfn.XLOOKUP(Total[[#This Row],[Hebras]],TbTecnologia[Hebras],TbTecnologia[Tecnología])</f>
        <v>CUDA</v>
      </c>
      <c r="D1099" s="15" t="str" cm="1">
        <f t="array" ref="D1099">_xlfn.XLOOKUP(Total[[#This Row],[Tecnología]]&amp;Total[[#This Row],[Metodo]],TbTipos[Tecnología]&amp;TbTipos[Metodo],TbTipos[Tipo])</f>
        <v>CUDA sin graph</v>
      </c>
      <c r="E1099" s="15" t="str" cm="1">
        <f t="array" ref="E1099">_xlfn.XLOOKUP(Total[[#This Row],[Tecnología]]&amp;Total[[#This Row],[Problema]],TbNombres[Tecnología]&amp;TbNombres[Problema],TbNombres[Nombre])</f>
        <v>Advdiff1d</v>
      </c>
      <c r="F1099" s="1">
        <v>1</v>
      </c>
      <c r="G1099" s="1">
        <v>3</v>
      </c>
      <c r="H1099" s="1">
        <v>256</v>
      </c>
      <c r="I1099" s="1">
        <v>20000</v>
      </c>
      <c r="J1099" s="1">
        <v>20000</v>
      </c>
      <c r="K1099" s="1">
        <v>52.7117</v>
      </c>
    </row>
    <row r="1100" spans="2:11" x14ac:dyDescent="0.2">
      <c r="B1100" s="26" t="str">
        <f>_xlfn.XLOOKUP(Total[[#This Row],[Metodo]],TbSolver[Metodo],TbSolver[Solver])</f>
        <v>Runge Kutta</v>
      </c>
      <c r="C1100" s="26" t="str">
        <f>_xlfn.XLOOKUP(Total[[#This Row],[Hebras]],TbTecnologia[Hebras],TbTecnologia[Tecnología])</f>
        <v>CUDA</v>
      </c>
      <c r="D1100" s="15" t="str" cm="1">
        <f t="array" ref="D1100">_xlfn.XLOOKUP(Total[[#This Row],[Tecnología]]&amp;Total[[#This Row],[Metodo]],TbTipos[Tecnología]&amp;TbTipos[Metodo],TbTipos[Tipo])</f>
        <v>CUDA sin graph</v>
      </c>
      <c r="E1100" s="15" t="str" cm="1">
        <f t="array" ref="E1100">_xlfn.XLOOKUP(Total[[#This Row],[Tecnología]]&amp;Total[[#This Row],[Problema]],TbNombres[Tecnología]&amp;TbNombres[Problema],TbNombres[Nombre])</f>
        <v>Advdiff1d</v>
      </c>
      <c r="F1100" s="1">
        <v>1</v>
      </c>
      <c r="G1100" s="1">
        <v>3</v>
      </c>
      <c r="H1100" s="1">
        <v>256</v>
      </c>
      <c r="I1100" s="1">
        <v>30000</v>
      </c>
      <c r="J1100" s="1">
        <v>30000</v>
      </c>
      <c r="K1100" s="1">
        <v>53.405799999999999</v>
      </c>
    </row>
    <row r="1101" spans="2:11" x14ac:dyDescent="0.2">
      <c r="B1101" s="26" t="str">
        <f>_xlfn.XLOOKUP(Total[[#This Row],[Metodo]],TbSolver[Metodo],TbSolver[Solver])</f>
        <v>Runge Kutta</v>
      </c>
      <c r="C1101" s="26" t="str">
        <f>_xlfn.XLOOKUP(Total[[#This Row],[Hebras]],TbTecnologia[Hebras],TbTecnologia[Tecnología])</f>
        <v>CUDA</v>
      </c>
      <c r="D1101" s="15" t="str" cm="1">
        <f t="array" ref="D1101">_xlfn.XLOOKUP(Total[[#This Row],[Tecnología]]&amp;Total[[#This Row],[Metodo]],TbTipos[Tecnología]&amp;TbTipos[Metodo],TbTipos[Tipo])</f>
        <v>CUDA sin graph</v>
      </c>
      <c r="E1101" s="15" t="str" cm="1">
        <f t="array" ref="E1101">_xlfn.XLOOKUP(Total[[#This Row],[Tecnología]]&amp;Total[[#This Row],[Problema]],TbNombres[Tecnología]&amp;TbNombres[Problema],TbNombres[Nombre])</f>
        <v>Advdiff1d</v>
      </c>
      <c r="F1101" s="1">
        <v>1</v>
      </c>
      <c r="G1101" s="1">
        <v>3</v>
      </c>
      <c r="H1101" s="1">
        <v>256</v>
      </c>
      <c r="I1101" s="1">
        <v>40000</v>
      </c>
      <c r="J1101" s="1">
        <v>40000</v>
      </c>
      <c r="K1101" s="1">
        <v>73.87</v>
      </c>
    </row>
    <row r="1102" spans="2:11" x14ac:dyDescent="0.2">
      <c r="B1102" s="26" t="str">
        <f>_xlfn.XLOOKUP(Total[[#This Row],[Metodo]],TbSolver[Metodo],TbSolver[Solver])</f>
        <v>Runge Kutta</v>
      </c>
      <c r="C1102" s="26" t="str">
        <f>_xlfn.XLOOKUP(Total[[#This Row],[Hebras]],TbTecnologia[Hebras],TbTecnologia[Tecnología])</f>
        <v>CUDA</v>
      </c>
      <c r="D1102" s="15" t="str" cm="1">
        <f t="array" ref="D1102">_xlfn.XLOOKUP(Total[[#This Row],[Tecnología]]&amp;Total[[#This Row],[Metodo]],TbTipos[Tecnología]&amp;TbTipos[Metodo],TbTipos[Tipo])</f>
        <v>CUDA sin graph</v>
      </c>
      <c r="E1102" s="15" t="str" cm="1">
        <f t="array" ref="E1102">_xlfn.XLOOKUP(Total[[#This Row],[Tecnología]]&amp;Total[[#This Row],[Problema]],TbNombres[Tecnología]&amp;TbNombres[Problema],TbNombres[Nombre])</f>
        <v>Advdiff1d</v>
      </c>
      <c r="F1102" s="1">
        <v>1</v>
      </c>
      <c r="G1102" s="1">
        <v>3</v>
      </c>
      <c r="H1102" s="1">
        <v>256</v>
      </c>
      <c r="I1102" s="1">
        <v>75000</v>
      </c>
      <c r="J1102" s="1">
        <v>75000</v>
      </c>
      <c r="K1102" s="1">
        <v>115.03100000000001</v>
      </c>
    </row>
    <row r="1103" spans="2:11" x14ac:dyDescent="0.2">
      <c r="B1103" s="26" t="str">
        <f>_xlfn.XLOOKUP(Total[[#This Row],[Metodo]],TbSolver[Metodo],TbSolver[Solver])</f>
        <v>Runge Kutta</v>
      </c>
      <c r="C1103" s="26" t="str">
        <f>_xlfn.XLOOKUP(Total[[#This Row],[Hebras]],TbTecnologia[Hebras],TbTecnologia[Tecnología])</f>
        <v>CUDA</v>
      </c>
      <c r="D1103" s="15" t="str" cm="1">
        <f t="array" ref="D1103">_xlfn.XLOOKUP(Total[[#This Row],[Tecnología]]&amp;Total[[#This Row],[Metodo]],TbTipos[Tecnología]&amp;TbTipos[Metodo],TbTipos[Tipo])</f>
        <v>CUDA sin graph</v>
      </c>
      <c r="E1103" s="15" t="str" cm="1">
        <f t="array" ref="E1103">_xlfn.XLOOKUP(Total[[#This Row],[Tecnología]]&amp;Total[[#This Row],[Problema]],TbNombres[Tecnología]&amp;TbNombres[Problema],TbNombres[Nombre])</f>
        <v>Advdiff1d</v>
      </c>
      <c r="F1103" s="1">
        <v>1</v>
      </c>
      <c r="G1103" s="1">
        <v>3</v>
      </c>
      <c r="H1103" s="1">
        <v>256</v>
      </c>
      <c r="I1103" s="1">
        <v>125000</v>
      </c>
      <c r="J1103" s="1">
        <v>125000</v>
      </c>
      <c r="K1103" s="1">
        <v>179.36500000000001</v>
      </c>
    </row>
    <row r="1104" spans="2:11" x14ac:dyDescent="0.2">
      <c r="B1104" s="26" t="str">
        <f>_xlfn.XLOOKUP(Total[[#This Row],[Metodo]],TbSolver[Metodo],TbSolver[Solver])</f>
        <v>Runge Kutta</v>
      </c>
      <c r="C1104" s="26" t="str">
        <f>_xlfn.XLOOKUP(Total[[#This Row],[Hebras]],TbTecnologia[Hebras],TbTecnologia[Tecnología])</f>
        <v>CUDA</v>
      </c>
      <c r="D1104" s="15" t="str" cm="1">
        <f t="array" ref="D1104">_xlfn.XLOOKUP(Total[[#This Row],[Tecnología]]&amp;Total[[#This Row],[Metodo]],TbTipos[Tecnología]&amp;TbTipos[Metodo],TbTipos[Tipo])</f>
        <v>CUDA sin graph</v>
      </c>
      <c r="E1104" s="15" t="str" cm="1">
        <f t="array" ref="E1104">_xlfn.XLOOKUP(Total[[#This Row],[Tecnología]]&amp;Total[[#This Row],[Problema]],TbNombres[Tecnología]&amp;TbNombres[Problema],TbNombres[Nombre])</f>
        <v>Advdiff1d</v>
      </c>
      <c r="F1104" s="1">
        <v>1</v>
      </c>
      <c r="G1104" s="1">
        <v>3</v>
      </c>
      <c r="H1104" s="1">
        <v>256</v>
      </c>
      <c r="I1104" s="1">
        <v>175000</v>
      </c>
      <c r="J1104" s="1">
        <v>175000</v>
      </c>
      <c r="K1104" s="1">
        <v>247.07400000000001</v>
      </c>
    </row>
    <row r="1105" spans="2:11" x14ac:dyDescent="0.2">
      <c r="B1105" s="26" t="str">
        <f>_xlfn.XLOOKUP(Total[[#This Row],[Metodo]],TbSolver[Metodo],TbSolver[Solver])</f>
        <v>Runge Kutta</v>
      </c>
      <c r="C1105" s="26" t="str">
        <f>_xlfn.XLOOKUP(Total[[#This Row],[Hebras]],TbTecnologia[Hebras],TbTecnologia[Tecnología])</f>
        <v>CUDA</v>
      </c>
      <c r="D1105" s="15" t="str" cm="1">
        <f t="array" ref="D1105">_xlfn.XLOOKUP(Total[[#This Row],[Tecnología]]&amp;Total[[#This Row],[Metodo]],TbTipos[Tecnología]&amp;TbTipos[Metodo],TbTipos[Tipo])</f>
        <v>CUDA sin graph</v>
      </c>
      <c r="E1105" s="15" t="str" cm="1">
        <f t="array" ref="E1105">_xlfn.XLOOKUP(Total[[#This Row],[Tecnología]]&amp;Total[[#This Row],[Problema]],TbNombres[Tecnología]&amp;TbNombres[Problema],TbNombres[Nombre])</f>
        <v>Advdiff1d</v>
      </c>
      <c r="F1105" s="1">
        <v>1</v>
      </c>
      <c r="G1105" s="1">
        <v>3</v>
      </c>
      <c r="H1105" s="1">
        <v>256</v>
      </c>
      <c r="I1105" s="1">
        <v>750000</v>
      </c>
      <c r="J1105" s="1">
        <v>750000</v>
      </c>
      <c r="K1105" s="1">
        <v>1044.07</v>
      </c>
    </row>
    <row r="1106" spans="2:11" x14ac:dyDescent="0.2">
      <c r="B1106" s="26" t="str">
        <f>_xlfn.XLOOKUP(Total[[#This Row],[Metodo]],TbSolver[Metodo],TbSolver[Solver])</f>
        <v>Runge Kutta</v>
      </c>
      <c r="C1106" s="26" t="str">
        <f>_xlfn.XLOOKUP(Total[[#This Row],[Hebras]],TbTecnologia[Hebras],TbTecnologia[Tecnología])</f>
        <v>CUDA</v>
      </c>
      <c r="D1106" s="15" t="str" cm="1">
        <f t="array" ref="D1106">_xlfn.XLOOKUP(Total[[#This Row],[Tecnología]]&amp;Total[[#This Row],[Metodo]],TbTipos[Tecnología]&amp;TbTipos[Metodo],TbTipos[Tipo])</f>
        <v>CUDA sin graph</v>
      </c>
      <c r="E1106" s="15" t="str" cm="1">
        <f t="array" ref="E1106">_xlfn.XLOOKUP(Total[[#This Row],[Tecnología]]&amp;Total[[#This Row],[Problema]],TbNombres[Tecnología]&amp;TbNombres[Problema],TbNombres[Nombre])</f>
        <v>Advdiff1d</v>
      </c>
      <c r="F1106" s="1">
        <v>1</v>
      </c>
      <c r="G1106" s="1">
        <v>3</v>
      </c>
      <c r="H1106" s="1">
        <v>256</v>
      </c>
      <c r="I1106" s="1">
        <v>1000000</v>
      </c>
      <c r="J1106" s="1">
        <v>1000000</v>
      </c>
      <c r="K1106" s="1">
        <v>1375.45</v>
      </c>
    </row>
    <row r="1107" spans="2:11" x14ac:dyDescent="0.2">
      <c r="B1107" s="26" t="str">
        <f>_xlfn.XLOOKUP(Total[[#This Row],[Metodo]],TbSolver[Metodo],TbSolver[Solver])</f>
        <v>Runge Kutta</v>
      </c>
      <c r="C1107" s="26" t="str">
        <f>_xlfn.XLOOKUP(Total[[#This Row],[Hebras]],TbTecnologia[Hebras],TbTecnologia[Tecnología])</f>
        <v>CUDA</v>
      </c>
      <c r="D1107" s="15" t="str" cm="1">
        <f t="array" ref="D1107">_xlfn.XLOOKUP(Total[[#This Row],[Tecnología]]&amp;Total[[#This Row],[Metodo]],TbTipos[Tecnología]&amp;TbTipos[Metodo],TbTipos[Tipo])</f>
        <v>CUDA sin graph</v>
      </c>
      <c r="E1107" s="15" t="str" cm="1">
        <f t="array" ref="E1107">_xlfn.XLOOKUP(Total[[#This Row],[Tecnología]]&amp;Total[[#This Row],[Problema]],TbNombres[Tecnología]&amp;TbNombres[Problema],TbNombres[Nombre])</f>
        <v>Brusselator1d</v>
      </c>
      <c r="F1107" s="1">
        <v>1</v>
      </c>
      <c r="G1107" s="1">
        <v>5</v>
      </c>
      <c r="H1107" s="1">
        <v>256</v>
      </c>
      <c r="I1107" s="1">
        <v>15000</v>
      </c>
      <c r="J1107" s="1">
        <v>30000</v>
      </c>
      <c r="K1107" s="1">
        <v>23.580500000000001</v>
      </c>
    </row>
    <row r="1108" spans="2:11" x14ac:dyDescent="0.2">
      <c r="B1108" s="26" t="str">
        <f>_xlfn.XLOOKUP(Total[[#This Row],[Metodo]],TbSolver[Metodo],TbSolver[Solver])</f>
        <v>Runge Kutta</v>
      </c>
      <c r="C1108" s="26" t="str">
        <f>_xlfn.XLOOKUP(Total[[#This Row],[Hebras]],TbTecnologia[Hebras],TbTecnologia[Tecnología])</f>
        <v>CUDA</v>
      </c>
      <c r="D1108" s="15" t="str" cm="1">
        <f t="array" ref="D1108">_xlfn.XLOOKUP(Total[[#This Row],[Tecnología]]&amp;Total[[#This Row],[Metodo]],TbTipos[Tecnología]&amp;TbTipos[Metodo],TbTipos[Tipo])</f>
        <v>CUDA sin graph</v>
      </c>
      <c r="E1108" s="15" t="str" cm="1">
        <f t="array" ref="E1108">_xlfn.XLOOKUP(Total[[#This Row],[Tecnología]]&amp;Total[[#This Row],[Problema]],TbNombres[Tecnología]&amp;TbNombres[Problema],TbNombres[Nombre])</f>
        <v>Brusselator1d</v>
      </c>
      <c r="F1108" s="1">
        <v>1</v>
      </c>
      <c r="G1108" s="1">
        <v>5</v>
      </c>
      <c r="H1108" s="1">
        <v>256</v>
      </c>
      <c r="I1108" s="1">
        <v>20000</v>
      </c>
      <c r="J1108" s="1">
        <v>40000</v>
      </c>
      <c r="K1108" s="1">
        <v>28.700500000000002</v>
      </c>
    </row>
    <row r="1109" spans="2:11" x14ac:dyDescent="0.2">
      <c r="B1109" s="26" t="str">
        <f>_xlfn.XLOOKUP(Total[[#This Row],[Metodo]],TbSolver[Metodo],TbSolver[Solver])</f>
        <v>Runge Kutta</v>
      </c>
      <c r="C1109" s="26" t="str">
        <f>_xlfn.XLOOKUP(Total[[#This Row],[Hebras]],TbTecnologia[Hebras],TbTecnologia[Tecnología])</f>
        <v>CUDA</v>
      </c>
      <c r="D1109" s="15" t="str" cm="1">
        <f t="array" ref="D1109">_xlfn.XLOOKUP(Total[[#This Row],[Tecnología]]&amp;Total[[#This Row],[Metodo]],TbTipos[Tecnología]&amp;TbTipos[Metodo],TbTipos[Tipo])</f>
        <v>CUDA sin graph</v>
      </c>
      <c r="E1109" s="15" t="str" cm="1">
        <f t="array" ref="E1109">_xlfn.XLOOKUP(Total[[#This Row],[Tecnología]]&amp;Total[[#This Row],[Problema]],TbNombres[Tecnología]&amp;TbNombres[Problema],TbNombres[Nombre])</f>
        <v>Brusselator1d</v>
      </c>
      <c r="F1109" s="1">
        <v>1</v>
      </c>
      <c r="G1109" s="1">
        <v>5</v>
      </c>
      <c r="H1109" s="1">
        <v>256</v>
      </c>
      <c r="I1109" s="1">
        <v>30000</v>
      </c>
      <c r="J1109" s="1">
        <v>60000</v>
      </c>
      <c r="K1109" s="1">
        <v>33.410499999999999</v>
      </c>
    </row>
    <row r="1110" spans="2:11" x14ac:dyDescent="0.2">
      <c r="B1110" s="26" t="str">
        <f>_xlfn.XLOOKUP(Total[[#This Row],[Metodo]],TbSolver[Metodo],TbSolver[Solver])</f>
        <v>Runge Kutta</v>
      </c>
      <c r="C1110" s="26" t="str">
        <f>_xlfn.XLOOKUP(Total[[#This Row],[Hebras]],TbTecnologia[Hebras],TbTecnologia[Tecnología])</f>
        <v>CUDA</v>
      </c>
      <c r="D1110" s="15" t="str" cm="1">
        <f t="array" ref="D1110">_xlfn.XLOOKUP(Total[[#This Row],[Tecnología]]&amp;Total[[#This Row],[Metodo]],TbTipos[Tecnología]&amp;TbTipos[Metodo],TbTipos[Tipo])</f>
        <v>CUDA sin graph</v>
      </c>
      <c r="E1110" s="15" t="str" cm="1">
        <f t="array" ref="E1110">_xlfn.XLOOKUP(Total[[#This Row],[Tecnología]]&amp;Total[[#This Row],[Problema]],TbNombres[Tecnología]&amp;TbNombres[Problema],TbNombres[Nombre])</f>
        <v>Brusselator1d</v>
      </c>
      <c r="F1110" s="1">
        <v>1</v>
      </c>
      <c r="G1110" s="1">
        <v>5</v>
      </c>
      <c r="H1110" s="1">
        <v>256</v>
      </c>
      <c r="I1110" s="1">
        <v>40000</v>
      </c>
      <c r="J1110" s="1">
        <v>80000</v>
      </c>
      <c r="K1110" s="1">
        <v>38.565800000000003</v>
      </c>
    </row>
    <row r="1111" spans="2:11" x14ac:dyDescent="0.2">
      <c r="B1111" s="26" t="str">
        <f>_xlfn.XLOOKUP(Total[[#This Row],[Metodo]],TbSolver[Metodo],TbSolver[Solver])</f>
        <v>Runge Kutta</v>
      </c>
      <c r="C1111" s="26" t="str">
        <f>_xlfn.XLOOKUP(Total[[#This Row],[Hebras]],TbTecnologia[Hebras],TbTecnologia[Tecnología])</f>
        <v>CUDA</v>
      </c>
      <c r="D1111" s="15" t="str" cm="1">
        <f t="array" ref="D1111">_xlfn.XLOOKUP(Total[[#This Row],[Tecnología]]&amp;Total[[#This Row],[Metodo]],TbTipos[Tecnología]&amp;TbTipos[Metodo],TbTipos[Tipo])</f>
        <v>CUDA sin graph</v>
      </c>
      <c r="E1111" s="15" t="str" cm="1">
        <f t="array" ref="E1111">_xlfn.XLOOKUP(Total[[#This Row],[Tecnología]]&amp;Total[[#This Row],[Problema]],TbNombres[Tecnología]&amp;TbNombres[Problema],TbNombres[Nombre])</f>
        <v>Brusselator1d</v>
      </c>
      <c r="F1111" s="1">
        <v>1</v>
      </c>
      <c r="G1111" s="1">
        <v>5</v>
      </c>
      <c r="H1111" s="1">
        <v>256</v>
      </c>
      <c r="I1111" s="1">
        <v>75000</v>
      </c>
      <c r="J1111" s="1">
        <v>150000</v>
      </c>
      <c r="K1111" s="1">
        <v>68.543400000000005</v>
      </c>
    </row>
    <row r="1112" spans="2:11" x14ac:dyDescent="0.2">
      <c r="B1112" s="26" t="str">
        <f>_xlfn.XLOOKUP(Total[[#This Row],[Metodo]],TbSolver[Metodo],TbSolver[Solver])</f>
        <v>Runge Kutta</v>
      </c>
      <c r="C1112" s="26" t="str">
        <f>_xlfn.XLOOKUP(Total[[#This Row],[Hebras]],TbTecnologia[Hebras],TbTecnologia[Tecnología])</f>
        <v>CUDA</v>
      </c>
      <c r="D1112" s="15" t="str" cm="1">
        <f t="array" ref="D1112">_xlfn.XLOOKUP(Total[[#This Row],[Tecnología]]&amp;Total[[#This Row],[Metodo]],TbTipos[Tecnología]&amp;TbTipos[Metodo],TbTipos[Tipo])</f>
        <v>CUDA sin graph</v>
      </c>
      <c r="E1112" s="15" t="str" cm="1">
        <f t="array" ref="E1112">_xlfn.XLOOKUP(Total[[#This Row],[Tecnología]]&amp;Total[[#This Row],[Problema]],TbNombres[Tecnología]&amp;TbNombres[Problema],TbNombres[Nombre])</f>
        <v>Brusselator1d</v>
      </c>
      <c r="F1112" s="1">
        <v>1</v>
      </c>
      <c r="G1112" s="1">
        <v>5</v>
      </c>
      <c r="H1112" s="1">
        <v>256</v>
      </c>
      <c r="I1112" s="1">
        <v>125000</v>
      </c>
      <c r="J1112" s="1">
        <v>250000</v>
      </c>
      <c r="K1112" s="1">
        <v>115.643</v>
      </c>
    </row>
    <row r="1113" spans="2:11" x14ac:dyDescent="0.2">
      <c r="B1113" s="26" t="str">
        <f>_xlfn.XLOOKUP(Total[[#This Row],[Metodo]],TbSolver[Metodo],TbSolver[Solver])</f>
        <v>Runge Kutta</v>
      </c>
      <c r="C1113" s="26" t="str">
        <f>_xlfn.XLOOKUP(Total[[#This Row],[Hebras]],TbTecnologia[Hebras],TbTecnologia[Tecnología])</f>
        <v>CUDA</v>
      </c>
      <c r="D1113" s="15" t="str" cm="1">
        <f t="array" ref="D1113">_xlfn.XLOOKUP(Total[[#This Row],[Tecnología]]&amp;Total[[#This Row],[Metodo]],TbTipos[Tecnología]&amp;TbTipos[Metodo],TbTipos[Tipo])</f>
        <v>CUDA sin graph</v>
      </c>
      <c r="E1113" s="15" t="str" cm="1">
        <f t="array" ref="E1113">_xlfn.XLOOKUP(Total[[#This Row],[Tecnología]]&amp;Total[[#This Row],[Problema]],TbNombres[Tecnología]&amp;TbNombres[Problema],TbNombres[Nombre])</f>
        <v>Brusselator1d</v>
      </c>
      <c r="F1113" s="1">
        <v>1</v>
      </c>
      <c r="G1113" s="1">
        <v>5</v>
      </c>
      <c r="H1113" s="1">
        <v>256</v>
      </c>
      <c r="I1113" s="1">
        <v>175000</v>
      </c>
      <c r="J1113" s="1">
        <v>350000</v>
      </c>
      <c r="K1113" s="1">
        <v>173.56299999999999</v>
      </c>
    </row>
    <row r="1114" spans="2:11" x14ac:dyDescent="0.2">
      <c r="B1114" s="26" t="str">
        <f>_xlfn.XLOOKUP(Total[[#This Row],[Metodo]],TbSolver[Metodo],TbSolver[Solver])</f>
        <v>Runge Kutta</v>
      </c>
      <c r="C1114" s="26" t="str">
        <f>_xlfn.XLOOKUP(Total[[#This Row],[Hebras]],TbTecnologia[Hebras],TbTecnologia[Tecnología])</f>
        <v>CUDA</v>
      </c>
      <c r="D1114" s="15" t="str" cm="1">
        <f t="array" ref="D1114">_xlfn.XLOOKUP(Total[[#This Row],[Tecnología]]&amp;Total[[#This Row],[Metodo]],TbTipos[Tecnología]&amp;TbTipos[Metodo],TbTipos[Tipo])</f>
        <v>CUDA sin graph</v>
      </c>
      <c r="E1114" s="15" t="str" cm="1">
        <f t="array" ref="E1114">_xlfn.XLOOKUP(Total[[#This Row],[Tecnología]]&amp;Total[[#This Row],[Problema]],TbNombres[Tecnología]&amp;TbNombres[Problema],TbNombres[Nombre])</f>
        <v>Brusselator1d</v>
      </c>
      <c r="F1114" s="1">
        <v>1</v>
      </c>
      <c r="G1114" s="1">
        <v>5</v>
      </c>
      <c r="H1114" s="1">
        <v>256</v>
      </c>
      <c r="I1114" s="1">
        <v>750000</v>
      </c>
      <c r="J1114" s="1">
        <v>1500000</v>
      </c>
      <c r="K1114" s="1">
        <v>702.06799999999998</v>
      </c>
    </row>
    <row r="1115" spans="2:11" x14ac:dyDescent="0.2">
      <c r="B1115" s="26" t="str">
        <f>_xlfn.XLOOKUP(Total[[#This Row],[Metodo]],TbSolver[Metodo],TbSolver[Solver])</f>
        <v>Runge Kutta</v>
      </c>
      <c r="C1115" s="26" t="str">
        <f>_xlfn.XLOOKUP(Total[[#This Row],[Hebras]],TbTecnologia[Hebras],TbTecnologia[Tecnología])</f>
        <v>CUDA</v>
      </c>
      <c r="D1115" s="15" t="str" cm="1">
        <f t="array" ref="D1115">_xlfn.XLOOKUP(Total[[#This Row],[Tecnología]]&amp;Total[[#This Row],[Metodo]],TbTipos[Tecnología]&amp;TbTipos[Metodo],TbTipos[Tipo])</f>
        <v>CUDA sin graph</v>
      </c>
      <c r="E1115" s="15" t="str" cm="1">
        <f t="array" ref="E1115">_xlfn.XLOOKUP(Total[[#This Row],[Tecnología]]&amp;Total[[#This Row],[Problema]],TbNombres[Tecnología]&amp;TbNombres[Problema],TbNombres[Nombre])</f>
        <v>Brusselator1d</v>
      </c>
      <c r="F1115" s="1">
        <v>1</v>
      </c>
      <c r="G1115" s="1">
        <v>5</v>
      </c>
      <c r="H1115" s="1">
        <v>256</v>
      </c>
      <c r="I1115" s="1">
        <v>1000000</v>
      </c>
      <c r="J1115" s="1">
        <v>2000000</v>
      </c>
      <c r="K1115" s="1">
        <v>927.77499999999998</v>
      </c>
    </row>
    <row r="1116" spans="2:11" x14ac:dyDescent="0.2">
      <c r="B1116" s="26" t="str">
        <f>_xlfn.XLOOKUP(Total[[#This Row],[Metodo]],TbSolver[Metodo],TbSolver[Solver])</f>
        <v>Runge Kutta</v>
      </c>
      <c r="C1116" s="26" t="str">
        <f>_xlfn.XLOOKUP(Total[[#This Row],[Hebras]],TbTecnologia[Hebras],TbTecnologia[Tecnología])</f>
        <v>CUDA</v>
      </c>
      <c r="D1116" s="15" t="str" cm="1">
        <f t="array" ref="D1116">_xlfn.XLOOKUP(Total[[#This Row],[Tecnología]]&amp;Total[[#This Row],[Metodo]],TbTipos[Tecnología]&amp;TbTipos[Metodo],TbTipos[Tipo])</f>
        <v>CUDA con graph</v>
      </c>
      <c r="E1116" s="15" t="str" cm="1">
        <f t="array" ref="E1116">_xlfn.XLOOKUP(Total[[#This Row],[Tecnología]]&amp;Total[[#This Row],[Problema]],TbNombres[Tecnología]&amp;TbNombres[Problema],TbNombres[Nombre])</f>
        <v>Simple Advdiff</v>
      </c>
      <c r="F1116" s="1">
        <v>2</v>
      </c>
      <c r="G1116" s="1">
        <v>1</v>
      </c>
      <c r="H1116" s="1">
        <v>256</v>
      </c>
      <c r="I1116" s="1">
        <v>15000</v>
      </c>
      <c r="J1116" s="1">
        <v>15000</v>
      </c>
      <c r="K1116" s="1">
        <v>13.8285</v>
      </c>
    </row>
    <row r="1117" spans="2:11" x14ac:dyDescent="0.2">
      <c r="B1117" s="26" t="str">
        <f>_xlfn.XLOOKUP(Total[[#This Row],[Metodo]],TbSolver[Metodo],TbSolver[Solver])</f>
        <v>Runge Kutta</v>
      </c>
      <c r="C1117" s="26" t="str">
        <f>_xlfn.XLOOKUP(Total[[#This Row],[Hebras]],TbTecnologia[Hebras],TbTecnologia[Tecnología])</f>
        <v>CUDA</v>
      </c>
      <c r="D1117" s="15" t="str" cm="1">
        <f t="array" ref="D1117">_xlfn.XLOOKUP(Total[[#This Row],[Tecnología]]&amp;Total[[#This Row],[Metodo]],TbTipos[Tecnología]&amp;TbTipos[Metodo],TbTipos[Tipo])</f>
        <v>CUDA con graph</v>
      </c>
      <c r="E1117" s="15" t="str" cm="1">
        <f t="array" ref="E1117">_xlfn.XLOOKUP(Total[[#This Row],[Tecnología]]&amp;Total[[#This Row],[Problema]],TbNombres[Tecnología]&amp;TbNombres[Problema],TbNombres[Nombre])</f>
        <v>Simple Advdiff</v>
      </c>
      <c r="F1117" s="1">
        <v>2</v>
      </c>
      <c r="G1117" s="1">
        <v>1</v>
      </c>
      <c r="H1117" s="1">
        <v>256</v>
      </c>
      <c r="I1117" s="1">
        <v>20000</v>
      </c>
      <c r="J1117" s="1">
        <v>20000</v>
      </c>
      <c r="K1117" s="1">
        <v>17.407299999999999</v>
      </c>
    </row>
    <row r="1118" spans="2:11" x14ac:dyDescent="0.2">
      <c r="B1118" s="26" t="str">
        <f>_xlfn.XLOOKUP(Total[[#This Row],[Metodo]],TbSolver[Metodo],TbSolver[Solver])</f>
        <v>Runge Kutta</v>
      </c>
      <c r="C1118" s="26" t="str">
        <f>_xlfn.XLOOKUP(Total[[#This Row],[Hebras]],TbTecnologia[Hebras],TbTecnologia[Tecnología])</f>
        <v>CUDA</v>
      </c>
      <c r="D1118" s="15" t="str" cm="1">
        <f t="array" ref="D1118">_xlfn.XLOOKUP(Total[[#This Row],[Tecnología]]&amp;Total[[#This Row],[Metodo]],TbTipos[Tecnología]&amp;TbTipos[Metodo],TbTipos[Tipo])</f>
        <v>CUDA con graph</v>
      </c>
      <c r="E1118" s="15" t="str" cm="1">
        <f t="array" ref="E1118">_xlfn.XLOOKUP(Total[[#This Row],[Tecnología]]&amp;Total[[#This Row],[Problema]],TbNombres[Tecnología]&amp;TbNombres[Problema],TbNombres[Nombre])</f>
        <v>Simple Advdiff</v>
      </c>
      <c r="F1118" s="1">
        <v>2</v>
      </c>
      <c r="G1118" s="1">
        <v>1</v>
      </c>
      <c r="H1118" s="1">
        <v>256</v>
      </c>
      <c r="I1118" s="1">
        <v>30000</v>
      </c>
      <c r="J1118" s="1">
        <v>30000</v>
      </c>
      <c r="K1118" s="1">
        <v>18.052</v>
      </c>
    </row>
    <row r="1119" spans="2:11" x14ac:dyDescent="0.2">
      <c r="B1119" s="26" t="str">
        <f>_xlfn.XLOOKUP(Total[[#This Row],[Metodo]],TbSolver[Metodo],TbSolver[Solver])</f>
        <v>Runge Kutta</v>
      </c>
      <c r="C1119" s="26" t="str">
        <f>_xlfn.XLOOKUP(Total[[#This Row],[Hebras]],TbTecnologia[Hebras],TbTecnologia[Tecnología])</f>
        <v>CUDA</v>
      </c>
      <c r="D1119" s="15" t="str" cm="1">
        <f t="array" ref="D1119">_xlfn.XLOOKUP(Total[[#This Row],[Tecnología]]&amp;Total[[#This Row],[Metodo]],TbTipos[Tecnología]&amp;TbTipos[Metodo],TbTipos[Tipo])</f>
        <v>CUDA con graph</v>
      </c>
      <c r="E1119" s="15" t="str" cm="1">
        <f t="array" ref="E1119">_xlfn.XLOOKUP(Total[[#This Row],[Tecnología]]&amp;Total[[#This Row],[Problema]],TbNombres[Tecnología]&amp;TbNombres[Problema],TbNombres[Nombre])</f>
        <v>Simple Advdiff</v>
      </c>
      <c r="F1119" s="1">
        <v>2</v>
      </c>
      <c r="G1119" s="1">
        <v>1</v>
      </c>
      <c r="H1119" s="1">
        <v>256</v>
      </c>
      <c r="I1119" s="1">
        <v>40000</v>
      </c>
      <c r="J1119" s="1">
        <v>40000</v>
      </c>
      <c r="K1119" s="1">
        <v>21.529900000000001</v>
      </c>
    </row>
    <row r="1120" spans="2:11" x14ac:dyDescent="0.2">
      <c r="B1120" s="26" t="str">
        <f>_xlfn.XLOOKUP(Total[[#This Row],[Metodo]],TbSolver[Metodo],TbSolver[Solver])</f>
        <v>Runge Kutta</v>
      </c>
      <c r="C1120" s="26" t="str">
        <f>_xlfn.XLOOKUP(Total[[#This Row],[Hebras]],TbTecnologia[Hebras],TbTecnologia[Tecnología])</f>
        <v>CUDA</v>
      </c>
      <c r="D1120" s="15" t="str" cm="1">
        <f t="array" ref="D1120">_xlfn.XLOOKUP(Total[[#This Row],[Tecnología]]&amp;Total[[#This Row],[Metodo]],TbTipos[Tecnología]&amp;TbTipos[Metodo],TbTipos[Tipo])</f>
        <v>CUDA con graph</v>
      </c>
      <c r="E1120" s="15" t="str" cm="1">
        <f t="array" ref="E1120">_xlfn.XLOOKUP(Total[[#This Row],[Tecnología]]&amp;Total[[#This Row],[Problema]],TbNombres[Tecnología]&amp;TbNombres[Problema],TbNombres[Nombre])</f>
        <v>Simple Advdiff</v>
      </c>
      <c r="F1120" s="1">
        <v>2</v>
      </c>
      <c r="G1120" s="1">
        <v>1</v>
      </c>
      <c r="H1120" s="1">
        <v>256</v>
      </c>
      <c r="I1120" s="1">
        <v>75000</v>
      </c>
      <c r="J1120" s="1">
        <v>75000</v>
      </c>
      <c r="K1120" s="1">
        <v>28.390499999999999</v>
      </c>
    </row>
    <row r="1121" spans="2:11" x14ac:dyDescent="0.2">
      <c r="B1121" s="26" t="str">
        <f>_xlfn.XLOOKUP(Total[[#This Row],[Metodo]],TbSolver[Metodo],TbSolver[Solver])</f>
        <v>Runge Kutta</v>
      </c>
      <c r="C1121" s="26" t="str">
        <f>_xlfn.XLOOKUP(Total[[#This Row],[Hebras]],TbTecnologia[Hebras],TbTecnologia[Tecnología])</f>
        <v>CUDA</v>
      </c>
      <c r="D1121" s="15" t="str" cm="1">
        <f t="array" ref="D1121">_xlfn.XLOOKUP(Total[[#This Row],[Tecnología]]&amp;Total[[#This Row],[Metodo]],TbTipos[Tecnología]&amp;TbTipos[Metodo],TbTipos[Tipo])</f>
        <v>CUDA con graph</v>
      </c>
      <c r="E1121" s="15" t="str" cm="1">
        <f t="array" ref="E1121">_xlfn.XLOOKUP(Total[[#This Row],[Tecnología]]&amp;Total[[#This Row],[Problema]],TbNombres[Tecnología]&amp;TbNombres[Problema],TbNombres[Nombre])</f>
        <v>Simple Advdiff</v>
      </c>
      <c r="F1121" s="1">
        <v>2</v>
      </c>
      <c r="G1121" s="1">
        <v>1</v>
      </c>
      <c r="H1121" s="1">
        <v>256</v>
      </c>
      <c r="I1121" s="1">
        <v>125000</v>
      </c>
      <c r="J1121" s="1">
        <v>125000</v>
      </c>
      <c r="K1121" s="1">
        <v>41.174799999999998</v>
      </c>
    </row>
    <row r="1122" spans="2:11" x14ac:dyDescent="0.2">
      <c r="B1122" s="26" t="str">
        <f>_xlfn.XLOOKUP(Total[[#This Row],[Metodo]],TbSolver[Metodo],TbSolver[Solver])</f>
        <v>Runge Kutta</v>
      </c>
      <c r="C1122" s="26" t="str">
        <f>_xlfn.XLOOKUP(Total[[#This Row],[Hebras]],TbTecnologia[Hebras],TbTecnologia[Tecnología])</f>
        <v>CUDA</v>
      </c>
      <c r="D1122" s="15" t="str" cm="1">
        <f t="array" ref="D1122">_xlfn.XLOOKUP(Total[[#This Row],[Tecnología]]&amp;Total[[#This Row],[Metodo]],TbTipos[Tecnología]&amp;TbTipos[Metodo],TbTipos[Tipo])</f>
        <v>CUDA con graph</v>
      </c>
      <c r="E1122" s="15" t="str" cm="1">
        <f t="array" ref="E1122">_xlfn.XLOOKUP(Total[[#This Row],[Tecnología]]&amp;Total[[#This Row],[Problema]],TbNombres[Tecnología]&amp;TbNombres[Problema],TbNombres[Nombre])</f>
        <v>Simple Advdiff</v>
      </c>
      <c r="F1122" s="1">
        <v>2</v>
      </c>
      <c r="G1122" s="1">
        <v>1</v>
      </c>
      <c r="H1122" s="1">
        <v>256</v>
      </c>
      <c r="I1122" s="1">
        <v>175000</v>
      </c>
      <c r="J1122" s="1">
        <v>175000</v>
      </c>
      <c r="K1122" s="1">
        <v>61.4375</v>
      </c>
    </row>
    <row r="1123" spans="2:11" x14ac:dyDescent="0.2">
      <c r="B1123" s="26" t="str">
        <f>_xlfn.XLOOKUP(Total[[#This Row],[Metodo]],TbSolver[Metodo],TbSolver[Solver])</f>
        <v>Runge Kutta</v>
      </c>
      <c r="C1123" s="26" t="str">
        <f>_xlfn.XLOOKUP(Total[[#This Row],[Hebras]],TbTecnologia[Hebras],TbTecnologia[Tecnología])</f>
        <v>CUDA</v>
      </c>
      <c r="D1123" s="15" t="str" cm="1">
        <f t="array" ref="D1123">_xlfn.XLOOKUP(Total[[#This Row],[Tecnología]]&amp;Total[[#This Row],[Metodo]],TbTipos[Tecnología]&amp;TbTipos[Metodo],TbTipos[Tipo])</f>
        <v>CUDA con graph</v>
      </c>
      <c r="E1123" s="15" t="str" cm="1">
        <f t="array" ref="E1123">_xlfn.XLOOKUP(Total[[#This Row],[Tecnología]]&amp;Total[[#This Row],[Problema]],TbNombres[Tecnología]&amp;TbNombres[Problema],TbNombres[Nombre])</f>
        <v>Simple Advdiff</v>
      </c>
      <c r="F1123" s="1">
        <v>2</v>
      </c>
      <c r="G1123" s="1">
        <v>1</v>
      </c>
      <c r="H1123" s="1">
        <v>256</v>
      </c>
      <c r="I1123" s="1">
        <v>750000</v>
      </c>
      <c r="J1123" s="1">
        <v>750000</v>
      </c>
      <c r="K1123" s="1">
        <v>311.36700000000002</v>
      </c>
    </row>
    <row r="1124" spans="2:11" x14ac:dyDescent="0.2">
      <c r="B1124" s="26" t="str">
        <f>_xlfn.XLOOKUP(Total[[#This Row],[Metodo]],TbSolver[Metodo],TbSolver[Solver])</f>
        <v>Runge Kutta</v>
      </c>
      <c r="C1124" s="26" t="str">
        <f>_xlfn.XLOOKUP(Total[[#This Row],[Hebras]],TbTecnologia[Hebras],TbTecnologia[Tecnología])</f>
        <v>CUDA</v>
      </c>
      <c r="D1124" s="15" t="str" cm="1">
        <f t="array" ref="D1124">_xlfn.XLOOKUP(Total[[#This Row],[Tecnología]]&amp;Total[[#This Row],[Metodo]],TbTipos[Tecnología]&amp;TbTipos[Metodo],TbTipos[Tipo])</f>
        <v>CUDA con graph</v>
      </c>
      <c r="E1124" s="15" t="str" cm="1">
        <f t="array" ref="E1124">_xlfn.XLOOKUP(Total[[#This Row],[Tecnología]]&amp;Total[[#This Row],[Problema]],TbNombres[Tecnología]&amp;TbNombres[Problema],TbNombres[Nombre])</f>
        <v>Simple Advdiff</v>
      </c>
      <c r="F1124" s="1">
        <v>2</v>
      </c>
      <c r="G1124" s="1">
        <v>1</v>
      </c>
      <c r="H1124" s="1">
        <v>256</v>
      </c>
      <c r="I1124" s="1">
        <v>1000000</v>
      </c>
      <c r="J1124" s="1">
        <v>1000000</v>
      </c>
      <c r="K1124" s="1">
        <v>406.75299999999999</v>
      </c>
    </row>
    <row r="1125" spans="2:11" x14ac:dyDescent="0.2">
      <c r="B1125" s="26" t="str">
        <f>_xlfn.XLOOKUP(Total[[#This Row],[Metodo]],TbSolver[Metodo],TbSolver[Solver])</f>
        <v>Runge Kutta</v>
      </c>
      <c r="C1125" s="26" t="str">
        <f>_xlfn.XLOOKUP(Total[[#This Row],[Hebras]],TbTecnologia[Hebras],TbTecnologia[Tecnología])</f>
        <v>CUDA</v>
      </c>
      <c r="D1125" s="15" t="str" cm="1">
        <f t="array" ref="D1125">_xlfn.XLOOKUP(Total[[#This Row],[Tecnología]]&amp;Total[[#This Row],[Metodo]],TbTipos[Tecnología]&amp;TbTipos[Metodo],TbTipos[Tipo])</f>
        <v>CUDA con graph</v>
      </c>
      <c r="E1125" s="15" t="str" cm="1">
        <f t="array" ref="E1125">_xlfn.XLOOKUP(Total[[#This Row],[Tecnología]]&amp;Total[[#This Row],[Problema]],TbNombres[Tecnología]&amp;TbNombres[Problema],TbNombres[Nombre])</f>
        <v>Advdiff1d</v>
      </c>
      <c r="F1125" s="1">
        <v>2</v>
      </c>
      <c r="G1125" s="1">
        <v>3</v>
      </c>
      <c r="H1125" s="1">
        <v>256</v>
      </c>
      <c r="I1125" s="1">
        <v>15000</v>
      </c>
      <c r="J1125" s="1">
        <v>15000</v>
      </c>
      <c r="K1125" s="1">
        <v>29.764299999999999</v>
      </c>
    </row>
    <row r="1126" spans="2:11" x14ac:dyDescent="0.2">
      <c r="B1126" s="26" t="str">
        <f>_xlfn.XLOOKUP(Total[[#This Row],[Metodo]],TbSolver[Metodo],TbSolver[Solver])</f>
        <v>Runge Kutta</v>
      </c>
      <c r="C1126" s="26" t="str">
        <f>_xlfn.XLOOKUP(Total[[#This Row],[Hebras]],TbTecnologia[Hebras],TbTecnologia[Tecnología])</f>
        <v>CUDA</v>
      </c>
      <c r="D1126" s="15" t="str" cm="1">
        <f t="array" ref="D1126">_xlfn.XLOOKUP(Total[[#This Row],[Tecnología]]&amp;Total[[#This Row],[Metodo]],TbTipos[Tecnología]&amp;TbTipos[Metodo],TbTipos[Tipo])</f>
        <v>CUDA con graph</v>
      </c>
      <c r="E1126" s="15" t="str" cm="1">
        <f t="array" ref="E1126">_xlfn.XLOOKUP(Total[[#This Row],[Tecnología]]&amp;Total[[#This Row],[Problema]],TbNombres[Tecnología]&amp;TbNombres[Problema],TbNombres[Nombre])</f>
        <v>Advdiff1d</v>
      </c>
      <c r="F1126" s="1">
        <v>2</v>
      </c>
      <c r="G1126" s="1">
        <v>3</v>
      </c>
      <c r="H1126" s="1">
        <v>256</v>
      </c>
      <c r="I1126" s="1">
        <v>20000</v>
      </c>
      <c r="J1126" s="1">
        <v>20000</v>
      </c>
      <c r="K1126" s="1">
        <v>49.887999999999998</v>
      </c>
    </row>
    <row r="1127" spans="2:11" x14ac:dyDescent="0.2">
      <c r="B1127" s="26" t="str">
        <f>_xlfn.XLOOKUP(Total[[#This Row],[Metodo]],TbSolver[Metodo],TbSolver[Solver])</f>
        <v>Runge Kutta</v>
      </c>
      <c r="C1127" s="26" t="str">
        <f>_xlfn.XLOOKUP(Total[[#This Row],[Hebras]],TbTecnologia[Hebras],TbTecnologia[Tecnología])</f>
        <v>CUDA</v>
      </c>
      <c r="D1127" s="15" t="str" cm="1">
        <f t="array" ref="D1127">_xlfn.XLOOKUP(Total[[#This Row],[Tecnología]]&amp;Total[[#This Row],[Metodo]],TbTipos[Tecnología]&amp;TbTipos[Metodo],TbTipos[Tipo])</f>
        <v>CUDA con graph</v>
      </c>
      <c r="E1127" s="15" t="str" cm="1">
        <f t="array" ref="E1127">_xlfn.XLOOKUP(Total[[#This Row],[Tecnología]]&amp;Total[[#This Row],[Problema]],TbNombres[Tecnología]&amp;TbNombres[Problema],TbNombres[Nombre])</f>
        <v>Advdiff1d</v>
      </c>
      <c r="F1127" s="1">
        <v>2</v>
      </c>
      <c r="G1127" s="1">
        <v>3</v>
      </c>
      <c r="H1127" s="1">
        <v>256</v>
      </c>
      <c r="I1127" s="1">
        <v>30000</v>
      </c>
      <c r="J1127" s="1">
        <v>30000</v>
      </c>
      <c r="K1127" s="1">
        <v>50.730499999999999</v>
      </c>
    </row>
    <row r="1128" spans="2:11" x14ac:dyDescent="0.2">
      <c r="B1128" s="26" t="str">
        <f>_xlfn.XLOOKUP(Total[[#This Row],[Metodo]],TbSolver[Metodo],TbSolver[Solver])</f>
        <v>Runge Kutta</v>
      </c>
      <c r="C1128" s="26" t="str">
        <f>_xlfn.XLOOKUP(Total[[#This Row],[Hebras]],TbTecnologia[Hebras],TbTecnologia[Tecnología])</f>
        <v>CUDA</v>
      </c>
      <c r="D1128" s="15" t="str" cm="1">
        <f t="array" ref="D1128">_xlfn.XLOOKUP(Total[[#This Row],[Tecnología]]&amp;Total[[#This Row],[Metodo]],TbTipos[Tecnología]&amp;TbTipos[Metodo],TbTipos[Tipo])</f>
        <v>CUDA con graph</v>
      </c>
      <c r="E1128" s="15" t="str" cm="1">
        <f t="array" ref="E1128">_xlfn.XLOOKUP(Total[[#This Row],[Tecnología]]&amp;Total[[#This Row],[Problema]],TbNombres[Tecnología]&amp;TbNombres[Problema],TbNombres[Nombre])</f>
        <v>Advdiff1d</v>
      </c>
      <c r="F1128" s="1">
        <v>2</v>
      </c>
      <c r="G1128" s="1">
        <v>3</v>
      </c>
      <c r="H1128" s="1">
        <v>256</v>
      </c>
      <c r="I1128" s="1">
        <v>40000</v>
      </c>
      <c r="J1128" s="1">
        <v>40000</v>
      </c>
      <c r="K1128" s="1">
        <v>71.049199999999999</v>
      </c>
    </row>
    <row r="1129" spans="2:11" x14ac:dyDescent="0.2">
      <c r="B1129" s="26" t="str">
        <f>_xlfn.XLOOKUP(Total[[#This Row],[Metodo]],TbSolver[Metodo],TbSolver[Solver])</f>
        <v>Runge Kutta</v>
      </c>
      <c r="C1129" s="26" t="str">
        <f>_xlfn.XLOOKUP(Total[[#This Row],[Hebras]],TbTecnologia[Hebras],TbTecnologia[Tecnología])</f>
        <v>CUDA</v>
      </c>
      <c r="D1129" s="15" t="str" cm="1">
        <f t="array" ref="D1129">_xlfn.XLOOKUP(Total[[#This Row],[Tecnología]]&amp;Total[[#This Row],[Metodo]],TbTipos[Tecnología]&amp;TbTipos[Metodo],TbTipos[Tipo])</f>
        <v>CUDA con graph</v>
      </c>
      <c r="E1129" s="15" t="str" cm="1">
        <f t="array" ref="E1129">_xlfn.XLOOKUP(Total[[#This Row],[Tecnología]]&amp;Total[[#This Row],[Problema]],TbNombres[Tecnología]&amp;TbNombres[Problema],TbNombres[Nombre])</f>
        <v>Advdiff1d</v>
      </c>
      <c r="F1129" s="1">
        <v>2</v>
      </c>
      <c r="G1129" s="1">
        <v>3</v>
      </c>
      <c r="H1129" s="1">
        <v>256</v>
      </c>
      <c r="I1129" s="1">
        <v>75000</v>
      </c>
      <c r="J1129" s="1">
        <v>75000</v>
      </c>
      <c r="K1129" s="1">
        <v>112.839</v>
      </c>
    </row>
    <row r="1130" spans="2:11" x14ac:dyDescent="0.2">
      <c r="B1130" s="26" t="str">
        <f>_xlfn.XLOOKUP(Total[[#This Row],[Metodo]],TbSolver[Metodo],TbSolver[Solver])</f>
        <v>Runge Kutta</v>
      </c>
      <c r="C1130" s="26" t="str">
        <f>_xlfn.XLOOKUP(Total[[#This Row],[Hebras]],TbTecnologia[Hebras],TbTecnologia[Tecnología])</f>
        <v>CUDA</v>
      </c>
      <c r="D1130" s="15" t="str" cm="1">
        <f t="array" ref="D1130">_xlfn.XLOOKUP(Total[[#This Row],[Tecnología]]&amp;Total[[#This Row],[Metodo]],TbTipos[Tecnología]&amp;TbTipos[Metodo],TbTipos[Tipo])</f>
        <v>CUDA con graph</v>
      </c>
      <c r="E1130" s="15" t="str" cm="1">
        <f t="array" ref="E1130">_xlfn.XLOOKUP(Total[[#This Row],[Tecnología]]&amp;Total[[#This Row],[Problema]],TbNombres[Tecnología]&amp;TbNombres[Problema],TbNombres[Nombre])</f>
        <v>Advdiff1d</v>
      </c>
      <c r="F1130" s="1">
        <v>2</v>
      </c>
      <c r="G1130" s="1">
        <v>3</v>
      </c>
      <c r="H1130" s="1">
        <v>256</v>
      </c>
      <c r="I1130" s="1">
        <v>125000</v>
      </c>
      <c r="J1130" s="1">
        <v>125000</v>
      </c>
      <c r="K1130" s="1">
        <v>178.21199999999999</v>
      </c>
    </row>
    <row r="1131" spans="2:11" x14ac:dyDescent="0.2">
      <c r="B1131" s="26" t="str">
        <f>_xlfn.XLOOKUP(Total[[#This Row],[Metodo]],TbSolver[Metodo],TbSolver[Solver])</f>
        <v>Runge Kutta</v>
      </c>
      <c r="C1131" s="26" t="str">
        <f>_xlfn.XLOOKUP(Total[[#This Row],[Hebras]],TbTecnologia[Hebras],TbTecnologia[Tecnología])</f>
        <v>CUDA</v>
      </c>
      <c r="D1131" s="15" t="str" cm="1">
        <f t="array" ref="D1131">_xlfn.XLOOKUP(Total[[#This Row],[Tecnología]]&amp;Total[[#This Row],[Metodo]],TbTipos[Tecnología]&amp;TbTipos[Metodo],TbTipos[Tipo])</f>
        <v>CUDA con graph</v>
      </c>
      <c r="E1131" s="15" t="str" cm="1">
        <f t="array" ref="E1131">_xlfn.XLOOKUP(Total[[#This Row],[Tecnología]]&amp;Total[[#This Row],[Problema]],TbNombres[Tecnología]&amp;TbNombres[Problema],TbNombres[Nombre])</f>
        <v>Advdiff1d</v>
      </c>
      <c r="F1131" s="1">
        <v>2</v>
      </c>
      <c r="G1131" s="1">
        <v>3</v>
      </c>
      <c r="H1131" s="1">
        <v>256</v>
      </c>
      <c r="I1131" s="1">
        <v>175000</v>
      </c>
      <c r="J1131" s="1">
        <v>175000</v>
      </c>
      <c r="K1131" s="1">
        <v>246.95</v>
      </c>
    </row>
    <row r="1132" spans="2:11" x14ac:dyDescent="0.2">
      <c r="B1132" s="26" t="str">
        <f>_xlfn.XLOOKUP(Total[[#This Row],[Metodo]],TbSolver[Metodo],TbSolver[Solver])</f>
        <v>Runge Kutta</v>
      </c>
      <c r="C1132" s="26" t="str">
        <f>_xlfn.XLOOKUP(Total[[#This Row],[Hebras]],TbTecnologia[Hebras],TbTecnologia[Tecnología])</f>
        <v>CUDA</v>
      </c>
      <c r="D1132" s="15" t="str" cm="1">
        <f t="array" ref="D1132">_xlfn.XLOOKUP(Total[[#This Row],[Tecnología]]&amp;Total[[#This Row],[Metodo]],TbTipos[Tecnología]&amp;TbTipos[Metodo],TbTipos[Tipo])</f>
        <v>CUDA con graph</v>
      </c>
      <c r="E1132" s="15" t="str" cm="1">
        <f t="array" ref="E1132">_xlfn.XLOOKUP(Total[[#This Row],[Tecnología]]&amp;Total[[#This Row],[Problema]],TbNombres[Tecnología]&amp;TbNombres[Problema],TbNombres[Nombre])</f>
        <v>Advdiff1d</v>
      </c>
      <c r="F1132" s="1">
        <v>2</v>
      </c>
      <c r="G1132" s="1">
        <v>3</v>
      </c>
      <c r="H1132" s="1">
        <v>256</v>
      </c>
      <c r="I1132" s="1">
        <v>750000</v>
      </c>
      <c r="J1132" s="1">
        <v>750000</v>
      </c>
      <c r="K1132" s="1">
        <v>1052.22</v>
      </c>
    </row>
    <row r="1133" spans="2:11" x14ac:dyDescent="0.2">
      <c r="B1133" s="26" t="str">
        <f>_xlfn.XLOOKUP(Total[[#This Row],[Metodo]],TbSolver[Metodo],TbSolver[Solver])</f>
        <v>Runge Kutta</v>
      </c>
      <c r="C1133" s="26" t="str">
        <f>_xlfn.XLOOKUP(Total[[#This Row],[Hebras]],TbTecnologia[Hebras],TbTecnologia[Tecnología])</f>
        <v>CUDA</v>
      </c>
      <c r="D1133" s="15" t="str" cm="1">
        <f t="array" ref="D1133">_xlfn.XLOOKUP(Total[[#This Row],[Tecnología]]&amp;Total[[#This Row],[Metodo]],TbTipos[Tecnología]&amp;TbTipos[Metodo],TbTipos[Tipo])</f>
        <v>CUDA con graph</v>
      </c>
      <c r="E1133" s="15" t="str" cm="1">
        <f t="array" ref="E1133">_xlfn.XLOOKUP(Total[[#This Row],[Tecnología]]&amp;Total[[#This Row],[Problema]],TbNombres[Tecnología]&amp;TbNombres[Problema],TbNombres[Nombre])</f>
        <v>Advdiff1d</v>
      </c>
      <c r="F1133" s="1">
        <v>2</v>
      </c>
      <c r="G1133" s="1">
        <v>3</v>
      </c>
      <c r="H1133" s="1">
        <v>256</v>
      </c>
      <c r="I1133" s="1">
        <v>1000000</v>
      </c>
      <c r="J1133" s="1">
        <v>1000000</v>
      </c>
      <c r="K1133" s="1">
        <v>1388.4</v>
      </c>
    </row>
    <row r="1134" spans="2:11" x14ac:dyDescent="0.2">
      <c r="B1134" s="26" t="str">
        <f>_xlfn.XLOOKUP(Total[[#This Row],[Metodo]],TbSolver[Metodo],TbSolver[Solver])</f>
        <v>Runge Kutta</v>
      </c>
      <c r="C1134" s="26" t="str">
        <f>_xlfn.XLOOKUP(Total[[#This Row],[Hebras]],TbTecnologia[Hebras],TbTecnologia[Tecnología])</f>
        <v>CUDA</v>
      </c>
      <c r="D1134" s="15" t="str" cm="1">
        <f t="array" ref="D1134">_xlfn.XLOOKUP(Total[[#This Row],[Tecnología]]&amp;Total[[#This Row],[Metodo]],TbTipos[Tecnología]&amp;TbTipos[Metodo],TbTipos[Tipo])</f>
        <v>CUDA con graph</v>
      </c>
      <c r="E1134" s="15" t="str" cm="1">
        <f t="array" ref="E1134">_xlfn.XLOOKUP(Total[[#This Row],[Tecnología]]&amp;Total[[#This Row],[Problema]],TbNombres[Tecnología]&amp;TbNombres[Problema],TbNombres[Nombre])</f>
        <v>Brusselator1d</v>
      </c>
      <c r="F1134" s="1">
        <v>2</v>
      </c>
      <c r="G1134" s="1">
        <v>5</v>
      </c>
      <c r="H1134" s="1">
        <v>256</v>
      </c>
      <c r="I1134" s="1">
        <v>15000</v>
      </c>
      <c r="J1134" s="1">
        <v>30000</v>
      </c>
      <c r="K1134" s="1">
        <v>20.088200000000001</v>
      </c>
    </row>
    <row r="1135" spans="2:11" x14ac:dyDescent="0.2">
      <c r="B1135" s="26" t="str">
        <f>_xlfn.XLOOKUP(Total[[#This Row],[Metodo]],TbSolver[Metodo],TbSolver[Solver])</f>
        <v>Runge Kutta</v>
      </c>
      <c r="C1135" s="26" t="str">
        <f>_xlfn.XLOOKUP(Total[[#This Row],[Hebras]],TbTecnologia[Hebras],TbTecnologia[Tecnología])</f>
        <v>CUDA</v>
      </c>
      <c r="D1135" s="15" t="str" cm="1">
        <f t="array" ref="D1135">_xlfn.XLOOKUP(Total[[#This Row],[Tecnología]]&amp;Total[[#This Row],[Metodo]],TbTipos[Tecnología]&amp;TbTipos[Metodo],TbTipos[Tipo])</f>
        <v>CUDA con graph</v>
      </c>
      <c r="E1135" s="15" t="str" cm="1">
        <f t="array" ref="E1135">_xlfn.XLOOKUP(Total[[#This Row],[Tecnología]]&amp;Total[[#This Row],[Problema]],TbNombres[Tecnología]&amp;TbNombres[Problema],TbNombres[Nombre])</f>
        <v>Brusselator1d</v>
      </c>
      <c r="F1135" s="1">
        <v>2</v>
      </c>
      <c r="G1135" s="1">
        <v>5</v>
      </c>
      <c r="H1135" s="1">
        <v>256</v>
      </c>
      <c r="I1135" s="1">
        <v>20000</v>
      </c>
      <c r="J1135" s="1">
        <v>40000</v>
      </c>
      <c r="K1135" s="1">
        <v>24.857900000000001</v>
      </c>
    </row>
    <row r="1136" spans="2:11" x14ac:dyDescent="0.2">
      <c r="B1136" s="26" t="str">
        <f>_xlfn.XLOOKUP(Total[[#This Row],[Metodo]],TbSolver[Metodo],TbSolver[Solver])</f>
        <v>Runge Kutta</v>
      </c>
      <c r="C1136" s="26" t="str">
        <f>_xlfn.XLOOKUP(Total[[#This Row],[Hebras]],TbTecnologia[Hebras],TbTecnologia[Tecnología])</f>
        <v>CUDA</v>
      </c>
      <c r="D1136" s="15" t="str" cm="1">
        <f t="array" ref="D1136">_xlfn.XLOOKUP(Total[[#This Row],[Tecnología]]&amp;Total[[#This Row],[Metodo]],TbTipos[Tecnología]&amp;TbTipos[Metodo],TbTipos[Tipo])</f>
        <v>CUDA con graph</v>
      </c>
      <c r="E1136" s="15" t="str" cm="1">
        <f t="array" ref="E1136">_xlfn.XLOOKUP(Total[[#This Row],[Tecnología]]&amp;Total[[#This Row],[Problema]],TbNombres[Tecnología]&amp;TbNombres[Problema],TbNombres[Nombre])</f>
        <v>Brusselator1d</v>
      </c>
      <c r="F1136" s="1">
        <v>2</v>
      </c>
      <c r="G1136" s="1">
        <v>5</v>
      </c>
      <c r="H1136" s="1">
        <v>256</v>
      </c>
      <c r="I1136" s="1">
        <v>30000</v>
      </c>
      <c r="J1136" s="1">
        <v>60000</v>
      </c>
      <c r="K1136" s="1">
        <v>30.177800000000001</v>
      </c>
    </row>
    <row r="1137" spans="2:11" x14ac:dyDescent="0.2">
      <c r="B1137" s="26" t="str">
        <f>_xlfn.XLOOKUP(Total[[#This Row],[Metodo]],TbSolver[Metodo],TbSolver[Solver])</f>
        <v>Runge Kutta</v>
      </c>
      <c r="C1137" s="26" t="str">
        <f>_xlfn.XLOOKUP(Total[[#This Row],[Hebras]],TbTecnologia[Hebras],TbTecnologia[Tecnología])</f>
        <v>CUDA</v>
      </c>
      <c r="D1137" s="15" t="str" cm="1">
        <f t="array" ref="D1137">_xlfn.XLOOKUP(Total[[#This Row],[Tecnología]]&amp;Total[[#This Row],[Metodo]],TbTipos[Tecnología]&amp;TbTipos[Metodo],TbTipos[Tipo])</f>
        <v>CUDA con graph</v>
      </c>
      <c r="E1137" s="15" t="str" cm="1">
        <f t="array" ref="E1137">_xlfn.XLOOKUP(Total[[#This Row],[Tecnología]]&amp;Total[[#This Row],[Problema]],TbNombres[Tecnología]&amp;TbNombres[Problema],TbNombres[Nombre])</f>
        <v>Brusselator1d</v>
      </c>
      <c r="F1137" s="1">
        <v>2</v>
      </c>
      <c r="G1137" s="1">
        <v>5</v>
      </c>
      <c r="H1137" s="1">
        <v>256</v>
      </c>
      <c r="I1137" s="1">
        <v>40000</v>
      </c>
      <c r="J1137" s="1">
        <v>80000</v>
      </c>
      <c r="K1137" s="1">
        <v>35.204700000000003</v>
      </c>
    </row>
    <row r="1138" spans="2:11" x14ac:dyDescent="0.2">
      <c r="B1138" s="26" t="str">
        <f>_xlfn.XLOOKUP(Total[[#This Row],[Metodo]],TbSolver[Metodo],TbSolver[Solver])</f>
        <v>Runge Kutta</v>
      </c>
      <c r="C1138" s="26" t="str">
        <f>_xlfn.XLOOKUP(Total[[#This Row],[Hebras]],TbTecnologia[Hebras],TbTecnologia[Tecnología])</f>
        <v>CUDA</v>
      </c>
      <c r="D1138" s="15" t="str" cm="1">
        <f t="array" ref="D1138">_xlfn.XLOOKUP(Total[[#This Row],[Tecnología]]&amp;Total[[#This Row],[Metodo]],TbTipos[Tecnología]&amp;TbTipos[Metodo],TbTipos[Tipo])</f>
        <v>CUDA con graph</v>
      </c>
      <c r="E1138" s="15" t="str" cm="1">
        <f t="array" ref="E1138">_xlfn.XLOOKUP(Total[[#This Row],[Tecnología]]&amp;Total[[#This Row],[Problema]],TbNombres[Tecnología]&amp;TbNombres[Problema],TbNombres[Nombre])</f>
        <v>Brusselator1d</v>
      </c>
      <c r="F1138" s="1">
        <v>2</v>
      </c>
      <c r="G1138" s="1">
        <v>5</v>
      </c>
      <c r="H1138" s="1">
        <v>256</v>
      </c>
      <c r="I1138" s="1">
        <v>75000</v>
      </c>
      <c r="J1138" s="1">
        <v>150000</v>
      </c>
      <c r="K1138" s="1">
        <v>64.478999999999999</v>
      </c>
    </row>
    <row r="1139" spans="2:11" x14ac:dyDescent="0.2">
      <c r="B1139" s="26" t="str">
        <f>_xlfn.XLOOKUP(Total[[#This Row],[Metodo]],TbSolver[Metodo],TbSolver[Solver])</f>
        <v>Runge Kutta</v>
      </c>
      <c r="C1139" s="26" t="str">
        <f>_xlfn.XLOOKUP(Total[[#This Row],[Hebras]],TbTecnologia[Hebras],TbTecnologia[Tecnología])</f>
        <v>CUDA</v>
      </c>
      <c r="D1139" s="15" t="str" cm="1">
        <f t="array" ref="D1139">_xlfn.XLOOKUP(Total[[#This Row],[Tecnología]]&amp;Total[[#This Row],[Metodo]],TbTipos[Tecnología]&amp;TbTipos[Metodo],TbTipos[Tipo])</f>
        <v>CUDA con graph</v>
      </c>
      <c r="E1139" s="15" t="str" cm="1">
        <f t="array" ref="E1139">_xlfn.XLOOKUP(Total[[#This Row],[Tecnología]]&amp;Total[[#This Row],[Problema]],TbNombres[Tecnología]&amp;TbNombres[Problema],TbNombres[Nombre])</f>
        <v>Brusselator1d</v>
      </c>
      <c r="F1139" s="1">
        <v>2</v>
      </c>
      <c r="G1139" s="1">
        <v>5</v>
      </c>
      <c r="H1139" s="1">
        <v>256</v>
      </c>
      <c r="I1139" s="1">
        <v>125000</v>
      </c>
      <c r="J1139" s="1">
        <v>250000</v>
      </c>
      <c r="K1139" s="1">
        <v>111.325</v>
      </c>
    </row>
    <row r="1140" spans="2:11" x14ac:dyDescent="0.2">
      <c r="B1140" s="26" t="str">
        <f>_xlfn.XLOOKUP(Total[[#This Row],[Metodo]],TbSolver[Metodo],TbSolver[Solver])</f>
        <v>Runge Kutta</v>
      </c>
      <c r="C1140" s="26" t="str">
        <f>_xlfn.XLOOKUP(Total[[#This Row],[Hebras]],TbTecnologia[Hebras],TbTecnologia[Tecnología])</f>
        <v>CUDA</v>
      </c>
      <c r="D1140" s="15" t="str" cm="1">
        <f t="array" ref="D1140">_xlfn.XLOOKUP(Total[[#This Row],[Tecnología]]&amp;Total[[#This Row],[Metodo]],TbTipos[Tecnología]&amp;TbTipos[Metodo],TbTipos[Tipo])</f>
        <v>CUDA con graph</v>
      </c>
      <c r="E1140" s="15" t="str" cm="1">
        <f t="array" ref="E1140">_xlfn.XLOOKUP(Total[[#This Row],[Tecnología]]&amp;Total[[#This Row],[Problema]],TbNombres[Tecnología]&amp;TbNombres[Problema],TbNombres[Nombre])</f>
        <v>Brusselator1d</v>
      </c>
      <c r="F1140" s="1">
        <v>2</v>
      </c>
      <c r="G1140" s="1">
        <v>5</v>
      </c>
      <c r="H1140" s="1">
        <v>256</v>
      </c>
      <c r="I1140" s="1">
        <v>175000</v>
      </c>
      <c r="J1140" s="1">
        <v>350000</v>
      </c>
      <c r="K1140" s="1">
        <v>168.09200000000001</v>
      </c>
    </row>
    <row r="1141" spans="2:11" x14ac:dyDescent="0.2">
      <c r="B1141" s="26" t="str">
        <f>_xlfn.XLOOKUP(Total[[#This Row],[Metodo]],TbSolver[Metodo],TbSolver[Solver])</f>
        <v>Runge Kutta</v>
      </c>
      <c r="C1141" s="26" t="str">
        <f>_xlfn.XLOOKUP(Total[[#This Row],[Hebras]],TbTecnologia[Hebras],TbTecnologia[Tecnología])</f>
        <v>CUDA</v>
      </c>
      <c r="D1141" s="15" t="str" cm="1">
        <f t="array" ref="D1141">_xlfn.XLOOKUP(Total[[#This Row],[Tecnología]]&amp;Total[[#This Row],[Metodo]],TbTipos[Tecnología]&amp;TbTipos[Metodo],TbTipos[Tipo])</f>
        <v>CUDA con graph</v>
      </c>
      <c r="E1141" s="15" t="str" cm="1">
        <f t="array" ref="E1141">_xlfn.XLOOKUP(Total[[#This Row],[Tecnología]]&amp;Total[[#This Row],[Problema]],TbNombres[Tecnología]&amp;TbNombres[Problema],TbNombres[Nombre])</f>
        <v>Brusselator1d</v>
      </c>
      <c r="F1141" s="1">
        <v>2</v>
      </c>
      <c r="G1141" s="1">
        <v>5</v>
      </c>
      <c r="H1141" s="1">
        <v>256</v>
      </c>
      <c r="I1141" s="1">
        <v>750000</v>
      </c>
      <c r="J1141" s="1">
        <v>1500000</v>
      </c>
      <c r="K1141" s="1">
        <v>697.01099999999997</v>
      </c>
    </row>
    <row r="1142" spans="2:11" x14ac:dyDescent="0.2">
      <c r="B1142" s="26" t="str">
        <f>_xlfn.XLOOKUP(Total[[#This Row],[Metodo]],TbSolver[Metodo],TbSolver[Solver])</f>
        <v>Runge Kutta</v>
      </c>
      <c r="C1142" s="26" t="str">
        <f>_xlfn.XLOOKUP(Total[[#This Row],[Hebras]],TbTecnologia[Hebras],TbTecnologia[Tecnología])</f>
        <v>CUDA</v>
      </c>
      <c r="D1142" s="15" t="str" cm="1">
        <f t="array" ref="D1142">_xlfn.XLOOKUP(Total[[#This Row],[Tecnología]]&amp;Total[[#This Row],[Metodo]],TbTipos[Tecnología]&amp;TbTipos[Metodo],TbTipos[Tipo])</f>
        <v>CUDA con graph</v>
      </c>
      <c r="E1142" s="15" t="str" cm="1">
        <f t="array" ref="E1142">_xlfn.XLOOKUP(Total[[#This Row],[Tecnología]]&amp;Total[[#This Row],[Problema]],TbNombres[Tecnología]&amp;TbNombres[Problema],TbNombres[Nombre])</f>
        <v>Brusselator1d</v>
      </c>
      <c r="F1142" s="1">
        <v>2</v>
      </c>
      <c r="G1142" s="1">
        <v>5</v>
      </c>
      <c r="H1142" s="1">
        <v>256</v>
      </c>
      <c r="I1142" s="1">
        <v>1000000</v>
      </c>
      <c r="J1142" s="1">
        <v>2000000</v>
      </c>
      <c r="K1142" s="1">
        <v>922.44</v>
      </c>
    </row>
    <row r="1143" spans="2:11" x14ac:dyDescent="0.2">
      <c r="B1143" s="26" t="str">
        <f>_xlfn.XLOOKUP(Total[[#This Row],[Metodo]],TbSolver[Metodo],TbSolver[Solver])</f>
        <v>Adams Bashford</v>
      </c>
      <c r="C1143" s="26" t="str">
        <f>_xlfn.XLOOKUP(Total[[#This Row],[Hebras]],TbTecnologia[Hebras],TbTecnologia[Tecnología])</f>
        <v>CUDA</v>
      </c>
      <c r="D1143" s="15" t="str" cm="1">
        <f t="array" ref="D1143">_xlfn.XLOOKUP(Total[[#This Row],[Tecnología]]&amp;Total[[#This Row],[Metodo]],TbTipos[Tecnología]&amp;TbTipos[Metodo],TbTipos[Tipo])</f>
        <v>CUDA sin graph</v>
      </c>
      <c r="E1143" s="15" t="str" cm="1">
        <f t="array" ref="E1143">_xlfn.XLOOKUP(Total[[#This Row],[Tecnología]]&amp;Total[[#This Row],[Problema]],TbNombres[Tecnología]&amp;TbNombres[Problema],TbNombres[Nombre])</f>
        <v>Simple Advdiff</v>
      </c>
      <c r="F1143" s="1">
        <v>3</v>
      </c>
      <c r="G1143" s="1">
        <v>1</v>
      </c>
      <c r="H1143" s="1">
        <v>256</v>
      </c>
      <c r="I1143" s="1">
        <v>15000</v>
      </c>
      <c r="J1143" s="1">
        <v>15000</v>
      </c>
      <c r="K1143" s="1">
        <v>4.6340000000000003</v>
      </c>
    </row>
    <row r="1144" spans="2:11" x14ac:dyDescent="0.2">
      <c r="B1144" s="26" t="str">
        <f>_xlfn.XLOOKUP(Total[[#This Row],[Metodo]],TbSolver[Metodo],TbSolver[Solver])</f>
        <v>Adams Bashford</v>
      </c>
      <c r="C1144" s="26" t="str">
        <f>_xlfn.XLOOKUP(Total[[#This Row],[Hebras]],TbTecnologia[Hebras],TbTecnologia[Tecnología])</f>
        <v>CUDA</v>
      </c>
      <c r="D1144" s="15" t="str" cm="1">
        <f t="array" ref="D1144">_xlfn.XLOOKUP(Total[[#This Row],[Tecnología]]&amp;Total[[#This Row],[Metodo]],TbTipos[Tecnología]&amp;TbTipos[Metodo],TbTipos[Tipo])</f>
        <v>CUDA sin graph</v>
      </c>
      <c r="E1144" s="15" t="str" cm="1">
        <f t="array" ref="E1144">_xlfn.XLOOKUP(Total[[#This Row],[Tecnología]]&amp;Total[[#This Row],[Problema]],TbNombres[Tecnología]&amp;TbNombres[Problema],TbNombres[Nombre])</f>
        <v>Simple Advdiff</v>
      </c>
      <c r="F1144" s="1">
        <v>3</v>
      </c>
      <c r="G1144" s="1">
        <v>1</v>
      </c>
      <c r="H1144" s="1">
        <v>256</v>
      </c>
      <c r="I1144" s="1">
        <v>20000</v>
      </c>
      <c r="J1144" s="1">
        <v>20000</v>
      </c>
      <c r="K1144" s="1">
        <v>5.7052199999999997</v>
      </c>
    </row>
    <row r="1145" spans="2:11" x14ac:dyDescent="0.2">
      <c r="B1145" s="26" t="str">
        <f>_xlfn.XLOOKUP(Total[[#This Row],[Metodo]],TbSolver[Metodo],TbSolver[Solver])</f>
        <v>Adams Bashford</v>
      </c>
      <c r="C1145" s="26" t="str">
        <f>_xlfn.XLOOKUP(Total[[#This Row],[Hebras]],TbTecnologia[Hebras],TbTecnologia[Tecnología])</f>
        <v>CUDA</v>
      </c>
      <c r="D1145" s="15" t="str" cm="1">
        <f t="array" ref="D1145">_xlfn.XLOOKUP(Total[[#This Row],[Tecnología]]&amp;Total[[#This Row],[Metodo]],TbTipos[Tecnología]&amp;TbTipos[Metodo],TbTipos[Tipo])</f>
        <v>CUDA sin graph</v>
      </c>
      <c r="E1145" s="15" t="str" cm="1">
        <f t="array" ref="E1145">_xlfn.XLOOKUP(Total[[#This Row],[Tecnología]]&amp;Total[[#This Row],[Problema]],TbNombres[Tecnología]&amp;TbNombres[Problema],TbNombres[Nombre])</f>
        <v>Simple Advdiff</v>
      </c>
      <c r="F1145" s="1">
        <v>3</v>
      </c>
      <c r="G1145" s="1">
        <v>1</v>
      </c>
      <c r="H1145" s="1">
        <v>256</v>
      </c>
      <c r="I1145" s="1">
        <v>30000</v>
      </c>
      <c r="J1145" s="1">
        <v>30000</v>
      </c>
      <c r="K1145" s="1">
        <v>5.9678399999999998</v>
      </c>
    </row>
    <row r="1146" spans="2:11" x14ac:dyDescent="0.2">
      <c r="B1146" s="26" t="str">
        <f>_xlfn.XLOOKUP(Total[[#This Row],[Metodo]],TbSolver[Metodo],TbSolver[Solver])</f>
        <v>Adams Bashford</v>
      </c>
      <c r="C1146" s="26" t="str">
        <f>_xlfn.XLOOKUP(Total[[#This Row],[Hebras]],TbTecnologia[Hebras],TbTecnologia[Tecnología])</f>
        <v>CUDA</v>
      </c>
      <c r="D1146" s="15" t="str" cm="1">
        <f t="array" ref="D1146">_xlfn.XLOOKUP(Total[[#This Row],[Tecnología]]&amp;Total[[#This Row],[Metodo]],TbTipos[Tecnología]&amp;TbTipos[Metodo],TbTipos[Tipo])</f>
        <v>CUDA sin graph</v>
      </c>
      <c r="E1146" s="15" t="str" cm="1">
        <f t="array" ref="E1146">_xlfn.XLOOKUP(Total[[#This Row],[Tecnología]]&amp;Total[[#This Row],[Problema]],TbNombres[Tecnología]&amp;TbNombres[Problema],TbNombres[Nombre])</f>
        <v>Simple Advdiff</v>
      </c>
      <c r="F1146" s="1">
        <v>3</v>
      </c>
      <c r="G1146" s="1">
        <v>1</v>
      </c>
      <c r="H1146" s="1">
        <v>256</v>
      </c>
      <c r="I1146" s="1">
        <v>40000</v>
      </c>
      <c r="J1146" s="1">
        <v>40000</v>
      </c>
      <c r="K1146" s="1">
        <v>7.0358499999999999</v>
      </c>
    </row>
    <row r="1147" spans="2:11" x14ac:dyDescent="0.2">
      <c r="B1147" s="26" t="str">
        <f>_xlfn.XLOOKUP(Total[[#This Row],[Metodo]],TbSolver[Metodo],TbSolver[Solver])</f>
        <v>Adams Bashford</v>
      </c>
      <c r="C1147" s="26" t="str">
        <f>_xlfn.XLOOKUP(Total[[#This Row],[Hebras]],TbTecnologia[Hebras],TbTecnologia[Tecnología])</f>
        <v>CUDA</v>
      </c>
      <c r="D1147" s="15" t="str" cm="1">
        <f t="array" ref="D1147">_xlfn.XLOOKUP(Total[[#This Row],[Tecnología]]&amp;Total[[#This Row],[Metodo]],TbTipos[Tecnología]&amp;TbTipos[Metodo],TbTipos[Tipo])</f>
        <v>CUDA sin graph</v>
      </c>
      <c r="E1147" s="15" t="str" cm="1">
        <f t="array" ref="E1147">_xlfn.XLOOKUP(Total[[#This Row],[Tecnología]]&amp;Total[[#This Row],[Problema]],TbNombres[Tecnología]&amp;TbNombres[Problema],TbNombres[Nombre])</f>
        <v>Simple Advdiff</v>
      </c>
      <c r="F1147" s="1">
        <v>3</v>
      </c>
      <c r="G1147" s="1">
        <v>1</v>
      </c>
      <c r="H1147" s="1">
        <v>256</v>
      </c>
      <c r="I1147" s="1">
        <v>75000</v>
      </c>
      <c r="J1147" s="1">
        <v>75000</v>
      </c>
      <c r="K1147" s="1">
        <v>9.1370699999999996</v>
      </c>
    </row>
    <row r="1148" spans="2:11" x14ac:dyDescent="0.2">
      <c r="B1148" s="26" t="str">
        <f>_xlfn.XLOOKUP(Total[[#This Row],[Metodo]],TbSolver[Metodo],TbSolver[Solver])</f>
        <v>Adams Bashford</v>
      </c>
      <c r="C1148" s="26" t="str">
        <f>_xlfn.XLOOKUP(Total[[#This Row],[Hebras]],TbTecnologia[Hebras],TbTecnologia[Tecnología])</f>
        <v>CUDA</v>
      </c>
      <c r="D1148" s="15" t="str" cm="1">
        <f t="array" ref="D1148">_xlfn.XLOOKUP(Total[[#This Row],[Tecnología]]&amp;Total[[#This Row],[Metodo]],TbTipos[Tecnología]&amp;TbTipos[Metodo],TbTipos[Tipo])</f>
        <v>CUDA sin graph</v>
      </c>
      <c r="E1148" s="15" t="str" cm="1">
        <f t="array" ref="E1148">_xlfn.XLOOKUP(Total[[#This Row],[Tecnología]]&amp;Total[[#This Row],[Problema]],TbNombres[Tecnología]&amp;TbNombres[Problema],TbNombres[Nombre])</f>
        <v>Simple Advdiff</v>
      </c>
      <c r="F1148" s="1">
        <v>3</v>
      </c>
      <c r="G1148" s="1">
        <v>1</v>
      </c>
      <c r="H1148" s="1">
        <v>256</v>
      </c>
      <c r="I1148" s="1">
        <v>125000</v>
      </c>
      <c r="J1148" s="1">
        <v>125000</v>
      </c>
      <c r="K1148" s="1">
        <v>15.239100000000001</v>
      </c>
    </row>
    <row r="1149" spans="2:11" x14ac:dyDescent="0.2">
      <c r="B1149" s="26" t="str">
        <f>_xlfn.XLOOKUP(Total[[#This Row],[Metodo]],TbSolver[Metodo],TbSolver[Solver])</f>
        <v>Adams Bashford</v>
      </c>
      <c r="C1149" s="26" t="str">
        <f>_xlfn.XLOOKUP(Total[[#This Row],[Hebras]],TbTecnologia[Hebras],TbTecnologia[Tecnología])</f>
        <v>CUDA</v>
      </c>
      <c r="D1149" s="15" t="str" cm="1">
        <f t="array" ref="D1149">_xlfn.XLOOKUP(Total[[#This Row],[Tecnología]]&amp;Total[[#This Row],[Metodo]],TbTipos[Tecnología]&amp;TbTipos[Metodo],TbTipos[Tipo])</f>
        <v>CUDA sin graph</v>
      </c>
      <c r="E1149" s="15" t="str" cm="1">
        <f t="array" ref="E1149">_xlfn.XLOOKUP(Total[[#This Row],[Tecnología]]&amp;Total[[#This Row],[Problema]],TbNombres[Tecnología]&amp;TbNombres[Problema],TbNombres[Nombre])</f>
        <v>Simple Advdiff</v>
      </c>
      <c r="F1149" s="1">
        <v>3</v>
      </c>
      <c r="G1149" s="1">
        <v>1</v>
      </c>
      <c r="H1149" s="1">
        <v>256</v>
      </c>
      <c r="I1149" s="1">
        <v>175000</v>
      </c>
      <c r="J1149" s="1">
        <v>175000</v>
      </c>
      <c r="K1149" s="1">
        <v>23.670100000000001</v>
      </c>
    </row>
    <row r="1150" spans="2:11" x14ac:dyDescent="0.2">
      <c r="B1150" s="26" t="str">
        <f>_xlfn.XLOOKUP(Total[[#This Row],[Metodo]],TbSolver[Metodo],TbSolver[Solver])</f>
        <v>Adams Bashford</v>
      </c>
      <c r="C1150" s="26" t="str">
        <f>_xlfn.XLOOKUP(Total[[#This Row],[Hebras]],TbTecnologia[Hebras],TbTecnologia[Tecnología])</f>
        <v>CUDA</v>
      </c>
      <c r="D1150" s="15" t="str" cm="1">
        <f t="array" ref="D1150">_xlfn.XLOOKUP(Total[[#This Row],[Tecnología]]&amp;Total[[#This Row],[Metodo]],TbTipos[Tecnología]&amp;TbTipos[Metodo],TbTipos[Tipo])</f>
        <v>CUDA sin graph</v>
      </c>
      <c r="E1150" s="15" t="str" cm="1">
        <f t="array" ref="E1150">_xlfn.XLOOKUP(Total[[#This Row],[Tecnología]]&amp;Total[[#This Row],[Problema]],TbNombres[Tecnología]&amp;TbNombres[Problema],TbNombres[Nombre])</f>
        <v>Simple Advdiff</v>
      </c>
      <c r="F1150" s="1">
        <v>3</v>
      </c>
      <c r="G1150" s="1">
        <v>1</v>
      </c>
      <c r="H1150" s="1">
        <v>256</v>
      </c>
      <c r="I1150" s="1">
        <v>750000</v>
      </c>
      <c r="J1150" s="1">
        <v>750000</v>
      </c>
      <c r="K1150" s="1">
        <v>105.512</v>
      </c>
    </row>
    <row r="1151" spans="2:11" x14ac:dyDescent="0.2">
      <c r="B1151" s="26" t="str">
        <f>_xlfn.XLOOKUP(Total[[#This Row],[Metodo]],TbSolver[Metodo],TbSolver[Solver])</f>
        <v>Adams Bashford</v>
      </c>
      <c r="C1151" s="26" t="str">
        <f>_xlfn.XLOOKUP(Total[[#This Row],[Hebras]],TbTecnologia[Hebras],TbTecnologia[Tecnología])</f>
        <v>CUDA</v>
      </c>
      <c r="D1151" s="15" t="str" cm="1">
        <f t="array" ref="D1151">_xlfn.XLOOKUP(Total[[#This Row],[Tecnología]]&amp;Total[[#This Row],[Metodo]],TbTipos[Tecnología]&amp;TbTipos[Metodo],TbTipos[Tipo])</f>
        <v>CUDA sin graph</v>
      </c>
      <c r="E1151" s="15" t="str" cm="1">
        <f t="array" ref="E1151">_xlfn.XLOOKUP(Total[[#This Row],[Tecnología]]&amp;Total[[#This Row],[Problema]],TbNombres[Tecnología]&amp;TbNombres[Problema],TbNombres[Nombre])</f>
        <v>Simple Advdiff</v>
      </c>
      <c r="F1151" s="1">
        <v>3</v>
      </c>
      <c r="G1151" s="1">
        <v>1</v>
      </c>
      <c r="H1151" s="1">
        <v>256</v>
      </c>
      <c r="I1151" s="1">
        <v>1000000</v>
      </c>
      <c r="J1151" s="1">
        <v>1000000</v>
      </c>
      <c r="K1151" s="1">
        <v>138.239</v>
      </c>
    </row>
    <row r="1152" spans="2:11" x14ac:dyDescent="0.2">
      <c r="B1152" s="26" t="str">
        <f>_xlfn.XLOOKUP(Total[[#This Row],[Metodo]],TbSolver[Metodo],TbSolver[Solver])</f>
        <v>Adams Bashford</v>
      </c>
      <c r="C1152" s="26" t="str">
        <f>_xlfn.XLOOKUP(Total[[#This Row],[Hebras]],TbTecnologia[Hebras],TbTecnologia[Tecnología])</f>
        <v>CUDA</v>
      </c>
      <c r="D1152" s="15" t="str" cm="1">
        <f t="array" ref="D1152">_xlfn.XLOOKUP(Total[[#This Row],[Tecnología]]&amp;Total[[#This Row],[Metodo]],TbTipos[Tecnología]&amp;TbTipos[Metodo],TbTipos[Tipo])</f>
        <v>CUDA sin graph</v>
      </c>
      <c r="E1152" s="15" t="str" cm="1">
        <f t="array" ref="E1152">_xlfn.XLOOKUP(Total[[#This Row],[Tecnología]]&amp;Total[[#This Row],[Problema]],TbNombres[Tecnología]&amp;TbNombres[Problema],TbNombres[Nombre])</f>
        <v>Advdiff1d</v>
      </c>
      <c r="F1152" s="1">
        <v>3</v>
      </c>
      <c r="G1152" s="1">
        <v>3</v>
      </c>
      <c r="H1152" s="1">
        <v>256</v>
      </c>
      <c r="I1152" s="1">
        <v>15000</v>
      </c>
      <c r="J1152" s="1">
        <v>15000</v>
      </c>
      <c r="K1152" s="1">
        <v>8.5175900000000002</v>
      </c>
    </row>
    <row r="1153" spans="2:11" x14ac:dyDescent="0.2">
      <c r="B1153" s="26" t="str">
        <f>_xlfn.XLOOKUP(Total[[#This Row],[Metodo]],TbSolver[Metodo],TbSolver[Solver])</f>
        <v>Adams Bashford</v>
      </c>
      <c r="C1153" s="26" t="str">
        <f>_xlfn.XLOOKUP(Total[[#This Row],[Hebras]],TbTecnologia[Hebras],TbTecnologia[Tecnología])</f>
        <v>CUDA</v>
      </c>
      <c r="D1153" s="15" t="str" cm="1">
        <f t="array" ref="D1153">_xlfn.XLOOKUP(Total[[#This Row],[Tecnología]]&amp;Total[[#This Row],[Metodo]],TbTipos[Tecnología]&amp;TbTipos[Metodo],TbTipos[Tipo])</f>
        <v>CUDA sin graph</v>
      </c>
      <c r="E1153" s="15" t="str" cm="1">
        <f t="array" ref="E1153">_xlfn.XLOOKUP(Total[[#This Row],[Tecnología]]&amp;Total[[#This Row],[Problema]],TbNombres[Tecnología]&amp;TbNombres[Problema],TbNombres[Nombre])</f>
        <v>Advdiff1d</v>
      </c>
      <c r="F1153" s="1">
        <v>3</v>
      </c>
      <c r="G1153" s="1">
        <v>3</v>
      </c>
      <c r="H1153" s="1">
        <v>256</v>
      </c>
      <c r="I1153" s="1">
        <v>20000</v>
      </c>
      <c r="J1153" s="1">
        <v>20000</v>
      </c>
      <c r="K1153" s="1">
        <v>13.6021</v>
      </c>
    </row>
    <row r="1154" spans="2:11" x14ac:dyDescent="0.2">
      <c r="B1154" s="26" t="str">
        <f>_xlfn.XLOOKUP(Total[[#This Row],[Metodo]],TbSolver[Metodo],TbSolver[Solver])</f>
        <v>Adams Bashford</v>
      </c>
      <c r="C1154" s="26" t="str">
        <f>_xlfn.XLOOKUP(Total[[#This Row],[Hebras]],TbTecnologia[Hebras],TbTecnologia[Tecnología])</f>
        <v>CUDA</v>
      </c>
      <c r="D1154" s="15" t="str" cm="1">
        <f t="array" ref="D1154">_xlfn.XLOOKUP(Total[[#This Row],[Tecnología]]&amp;Total[[#This Row],[Metodo]],TbTipos[Tecnología]&amp;TbTipos[Metodo],TbTipos[Tipo])</f>
        <v>CUDA sin graph</v>
      </c>
      <c r="E1154" s="15" t="str" cm="1">
        <f t="array" ref="E1154">_xlfn.XLOOKUP(Total[[#This Row],[Tecnología]]&amp;Total[[#This Row],[Problema]],TbNombres[Tecnología]&amp;TbNombres[Problema],TbNombres[Nombre])</f>
        <v>Advdiff1d</v>
      </c>
      <c r="F1154" s="1">
        <v>3</v>
      </c>
      <c r="G1154" s="1">
        <v>3</v>
      </c>
      <c r="H1154" s="1">
        <v>256</v>
      </c>
      <c r="I1154" s="1">
        <v>30000</v>
      </c>
      <c r="J1154" s="1">
        <v>30000</v>
      </c>
      <c r="K1154" s="1">
        <v>13.8994</v>
      </c>
    </row>
    <row r="1155" spans="2:11" x14ac:dyDescent="0.2">
      <c r="B1155" s="26" t="str">
        <f>_xlfn.XLOOKUP(Total[[#This Row],[Metodo]],TbSolver[Metodo],TbSolver[Solver])</f>
        <v>Adams Bashford</v>
      </c>
      <c r="C1155" s="26" t="str">
        <f>_xlfn.XLOOKUP(Total[[#This Row],[Hebras]],TbTecnologia[Hebras],TbTecnologia[Tecnología])</f>
        <v>CUDA</v>
      </c>
      <c r="D1155" s="15" t="str" cm="1">
        <f t="array" ref="D1155">_xlfn.XLOOKUP(Total[[#This Row],[Tecnología]]&amp;Total[[#This Row],[Metodo]],TbTipos[Tecnología]&amp;TbTipos[Metodo],TbTipos[Tipo])</f>
        <v>CUDA sin graph</v>
      </c>
      <c r="E1155" s="15" t="str" cm="1">
        <f t="array" ref="E1155">_xlfn.XLOOKUP(Total[[#This Row],[Tecnología]]&amp;Total[[#This Row],[Problema]],TbNombres[Tecnología]&amp;TbNombres[Problema],TbNombres[Nombre])</f>
        <v>Advdiff1d</v>
      </c>
      <c r="F1155" s="1">
        <v>3</v>
      </c>
      <c r="G1155" s="1">
        <v>3</v>
      </c>
      <c r="H1155" s="1">
        <v>256</v>
      </c>
      <c r="I1155" s="1">
        <v>40000</v>
      </c>
      <c r="J1155" s="1">
        <v>40000</v>
      </c>
      <c r="K1155" s="1">
        <v>19.089300000000001</v>
      </c>
    </row>
    <row r="1156" spans="2:11" x14ac:dyDescent="0.2">
      <c r="B1156" s="26" t="str">
        <f>_xlfn.XLOOKUP(Total[[#This Row],[Metodo]],TbSolver[Metodo],TbSolver[Solver])</f>
        <v>Adams Bashford</v>
      </c>
      <c r="C1156" s="26" t="str">
        <f>_xlfn.XLOOKUP(Total[[#This Row],[Hebras]],TbTecnologia[Hebras],TbTecnologia[Tecnología])</f>
        <v>CUDA</v>
      </c>
      <c r="D1156" s="15" t="str" cm="1">
        <f t="array" ref="D1156">_xlfn.XLOOKUP(Total[[#This Row],[Tecnología]]&amp;Total[[#This Row],[Metodo]],TbTipos[Tecnología]&amp;TbTipos[Metodo],TbTipos[Tipo])</f>
        <v>CUDA sin graph</v>
      </c>
      <c r="E1156" s="15" t="str" cm="1">
        <f t="array" ref="E1156">_xlfn.XLOOKUP(Total[[#This Row],[Tecnología]]&amp;Total[[#This Row],[Problema]],TbNombres[Tecnología]&amp;TbNombres[Problema],TbNombres[Nombre])</f>
        <v>Advdiff1d</v>
      </c>
      <c r="F1156" s="1">
        <v>3</v>
      </c>
      <c r="G1156" s="1">
        <v>3</v>
      </c>
      <c r="H1156" s="1">
        <v>256</v>
      </c>
      <c r="I1156" s="1">
        <v>75000</v>
      </c>
      <c r="J1156" s="1">
        <v>75000</v>
      </c>
      <c r="K1156" s="1">
        <v>29.564599999999999</v>
      </c>
    </row>
    <row r="1157" spans="2:11" x14ac:dyDescent="0.2">
      <c r="B1157" s="26" t="str">
        <f>_xlfn.XLOOKUP(Total[[#This Row],[Metodo]],TbSolver[Metodo],TbSolver[Solver])</f>
        <v>Adams Bashford</v>
      </c>
      <c r="C1157" s="26" t="str">
        <f>_xlfn.XLOOKUP(Total[[#This Row],[Hebras]],TbTecnologia[Hebras],TbTecnologia[Tecnología])</f>
        <v>CUDA</v>
      </c>
      <c r="D1157" s="15" t="str" cm="1">
        <f t="array" ref="D1157">_xlfn.XLOOKUP(Total[[#This Row],[Tecnología]]&amp;Total[[#This Row],[Metodo]],TbTipos[Tecnología]&amp;TbTipos[Metodo],TbTipos[Tipo])</f>
        <v>CUDA sin graph</v>
      </c>
      <c r="E1157" s="15" t="str" cm="1">
        <f t="array" ref="E1157">_xlfn.XLOOKUP(Total[[#This Row],[Tecnología]]&amp;Total[[#This Row],[Problema]],TbNombres[Tecnología]&amp;TbNombres[Problema],TbNombres[Nombre])</f>
        <v>Advdiff1d</v>
      </c>
      <c r="F1157" s="1">
        <v>3</v>
      </c>
      <c r="G1157" s="1">
        <v>3</v>
      </c>
      <c r="H1157" s="1">
        <v>256</v>
      </c>
      <c r="I1157" s="1">
        <v>125000</v>
      </c>
      <c r="J1157" s="1">
        <v>125000</v>
      </c>
      <c r="K1157" s="1">
        <v>49.369199999999999</v>
      </c>
    </row>
    <row r="1158" spans="2:11" x14ac:dyDescent="0.2">
      <c r="B1158" s="26" t="str">
        <f>_xlfn.XLOOKUP(Total[[#This Row],[Metodo]],TbSolver[Metodo],TbSolver[Solver])</f>
        <v>Adams Bashford</v>
      </c>
      <c r="C1158" s="26" t="str">
        <f>_xlfn.XLOOKUP(Total[[#This Row],[Hebras]],TbTecnologia[Hebras],TbTecnologia[Tecnología])</f>
        <v>CUDA</v>
      </c>
      <c r="D1158" s="15" t="str" cm="1">
        <f t="array" ref="D1158">_xlfn.XLOOKUP(Total[[#This Row],[Tecnología]]&amp;Total[[#This Row],[Metodo]],TbTipos[Tecnología]&amp;TbTipos[Metodo],TbTipos[Tipo])</f>
        <v>CUDA sin graph</v>
      </c>
      <c r="E1158" s="15" t="str" cm="1">
        <f t="array" ref="E1158">_xlfn.XLOOKUP(Total[[#This Row],[Tecnología]]&amp;Total[[#This Row],[Problema]],TbNombres[Tecnología]&amp;TbNombres[Problema],TbNombres[Nombre])</f>
        <v>Advdiff1d</v>
      </c>
      <c r="F1158" s="1">
        <v>3</v>
      </c>
      <c r="G1158" s="1">
        <v>3</v>
      </c>
      <c r="H1158" s="1">
        <v>256</v>
      </c>
      <c r="I1158" s="1">
        <v>175000</v>
      </c>
      <c r="J1158" s="1">
        <v>175000</v>
      </c>
      <c r="K1158" s="1">
        <v>69.477900000000005</v>
      </c>
    </row>
    <row r="1159" spans="2:11" x14ac:dyDescent="0.2">
      <c r="B1159" s="26" t="str">
        <f>_xlfn.XLOOKUP(Total[[#This Row],[Metodo]],TbSolver[Metodo],TbSolver[Solver])</f>
        <v>Adams Bashford</v>
      </c>
      <c r="C1159" s="26" t="str">
        <f>_xlfn.XLOOKUP(Total[[#This Row],[Hebras]],TbTecnologia[Hebras],TbTecnologia[Tecnología])</f>
        <v>CUDA</v>
      </c>
      <c r="D1159" s="15" t="str" cm="1">
        <f t="array" ref="D1159">_xlfn.XLOOKUP(Total[[#This Row],[Tecnología]]&amp;Total[[#This Row],[Metodo]],TbTipos[Tecnología]&amp;TbTipos[Metodo],TbTipos[Tipo])</f>
        <v>CUDA sin graph</v>
      </c>
      <c r="E1159" s="15" t="str" cm="1">
        <f t="array" ref="E1159">_xlfn.XLOOKUP(Total[[#This Row],[Tecnología]]&amp;Total[[#This Row],[Problema]],TbNombres[Tecnología]&amp;TbNombres[Problema],TbNombres[Nombre])</f>
        <v>Advdiff1d</v>
      </c>
      <c r="F1159" s="1">
        <v>3</v>
      </c>
      <c r="G1159" s="1">
        <v>3</v>
      </c>
      <c r="H1159" s="1">
        <v>256</v>
      </c>
      <c r="I1159" s="1">
        <v>750000</v>
      </c>
      <c r="J1159" s="1">
        <v>750000</v>
      </c>
      <c r="K1159" s="1">
        <v>288.84800000000001</v>
      </c>
    </row>
    <row r="1160" spans="2:11" x14ac:dyDescent="0.2">
      <c r="B1160" s="26" t="str">
        <f>_xlfn.XLOOKUP(Total[[#This Row],[Metodo]],TbSolver[Metodo],TbSolver[Solver])</f>
        <v>Adams Bashford</v>
      </c>
      <c r="C1160" s="26" t="str">
        <f>_xlfn.XLOOKUP(Total[[#This Row],[Hebras]],TbTecnologia[Hebras],TbTecnologia[Tecnología])</f>
        <v>CUDA</v>
      </c>
      <c r="D1160" s="15" t="str" cm="1">
        <f t="array" ref="D1160">_xlfn.XLOOKUP(Total[[#This Row],[Tecnología]]&amp;Total[[#This Row],[Metodo]],TbTipos[Tecnología]&amp;TbTipos[Metodo],TbTipos[Tipo])</f>
        <v>CUDA sin graph</v>
      </c>
      <c r="E1160" s="15" t="str" cm="1">
        <f t="array" ref="E1160">_xlfn.XLOOKUP(Total[[#This Row],[Tecnología]]&amp;Total[[#This Row],[Problema]],TbNombres[Tecnología]&amp;TbNombres[Problema],TbNombres[Nombre])</f>
        <v>Advdiff1d</v>
      </c>
      <c r="F1160" s="1">
        <v>3</v>
      </c>
      <c r="G1160" s="1">
        <v>3</v>
      </c>
      <c r="H1160" s="1">
        <v>256</v>
      </c>
      <c r="I1160" s="1">
        <v>1000000</v>
      </c>
      <c r="J1160" s="1">
        <v>1000000</v>
      </c>
      <c r="K1160" s="1">
        <v>379.97399999999999</v>
      </c>
    </row>
    <row r="1161" spans="2:11" x14ac:dyDescent="0.2">
      <c r="B1161" s="26" t="str">
        <f>_xlfn.XLOOKUP(Total[[#This Row],[Metodo]],TbSolver[Metodo],TbSolver[Solver])</f>
        <v>Adams Bashford</v>
      </c>
      <c r="C1161" s="26" t="str">
        <f>_xlfn.XLOOKUP(Total[[#This Row],[Hebras]],TbTecnologia[Hebras],TbTecnologia[Tecnología])</f>
        <v>CUDA</v>
      </c>
      <c r="D1161" s="15" t="str" cm="1">
        <f t="array" ref="D1161">_xlfn.XLOOKUP(Total[[#This Row],[Tecnología]]&amp;Total[[#This Row],[Metodo]],TbTipos[Tecnología]&amp;TbTipos[Metodo],TbTipos[Tipo])</f>
        <v>CUDA sin graph</v>
      </c>
      <c r="E1161" s="15" t="str" cm="1">
        <f t="array" ref="E1161">_xlfn.XLOOKUP(Total[[#This Row],[Tecnología]]&amp;Total[[#This Row],[Problema]],TbNombres[Tecnología]&amp;TbNombres[Problema],TbNombres[Nombre])</f>
        <v>Brusselator1d</v>
      </c>
      <c r="F1161" s="1">
        <v>3</v>
      </c>
      <c r="G1161" s="1">
        <v>5</v>
      </c>
      <c r="H1161" s="1">
        <v>256</v>
      </c>
      <c r="I1161" s="1">
        <v>15000</v>
      </c>
      <c r="J1161" s="1">
        <v>30000</v>
      </c>
      <c r="K1161" s="1">
        <v>6.4583899999999996</v>
      </c>
    </row>
    <row r="1162" spans="2:11" x14ac:dyDescent="0.2">
      <c r="B1162" s="26" t="str">
        <f>_xlfn.XLOOKUP(Total[[#This Row],[Metodo]],TbSolver[Metodo],TbSolver[Solver])</f>
        <v>Adams Bashford</v>
      </c>
      <c r="C1162" s="26" t="str">
        <f>_xlfn.XLOOKUP(Total[[#This Row],[Hebras]],TbTecnologia[Hebras],TbTecnologia[Tecnología])</f>
        <v>CUDA</v>
      </c>
      <c r="D1162" s="15" t="str" cm="1">
        <f t="array" ref="D1162">_xlfn.XLOOKUP(Total[[#This Row],[Tecnología]]&amp;Total[[#This Row],[Metodo]],TbTipos[Tecnología]&amp;TbTipos[Metodo],TbTipos[Tipo])</f>
        <v>CUDA sin graph</v>
      </c>
      <c r="E1162" s="15" t="str" cm="1">
        <f t="array" ref="E1162">_xlfn.XLOOKUP(Total[[#This Row],[Tecnología]]&amp;Total[[#This Row],[Problema]],TbNombres[Tecnología]&amp;TbNombres[Problema],TbNombres[Nombre])</f>
        <v>Brusselator1d</v>
      </c>
      <c r="F1162" s="1">
        <v>3</v>
      </c>
      <c r="G1162" s="1">
        <v>5</v>
      </c>
      <c r="H1162" s="1">
        <v>256</v>
      </c>
      <c r="I1162" s="1">
        <v>20000</v>
      </c>
      <c r="J1162" s="1">
        <v>40000</v>
      </c>
      <c r="K1162" s="1">
        <v>7.8025399999999996</v>
      </c>
    </row>
    <row r="1163" spans="2:11" x14ac:dyDescent="0.2">
      <c r="B1163" s="26" t="str">
        <f>_xlfn.XLOOKUP(Total[[#This Row],[Metodo]],TbSolver[Metodo],TbSolver[Solver])</f>
        <v>Adams Bashford</v>
      </c>
      <c r="C1163" s="26" t="str">
        <f>_xlfn.XLOOKUP(Total[[#This Row],[Hebras]],TbTecnologia[Hebras],TbTecnologia[Tecnología])</f>
        <v>CUDA</v>
      </c>
      <c r="D1163" s="15" t="str" cm="1">
        <f t="array" ref="D1163">_xlfn.XLOOKUP(Total[[#This Row],[Tecnología]]&amp;Total[[#This Row],[Metodo]],TbTipos[Tecnología]&amp;TbTipos[Metodo],TbTipos[Tipo])</f>
        <v>CUDA sin graph</v>
      </c>
      <c r="E1163" s="15" t="str" cm="1">
        <f t="array" ref="E1163">_xlfn.XLOOKUP(Total[[#This Row],[Tecnología]]&amp;Total[[#This Row],[Problema]],TbNombres[Tecnología]&amp;TbNombres[Problema],TbNombres[Nombre])</f>
        <v>Brusselator1d</v>
      </c>
      <c r="F1163" s="1">
        <v>3</v>
      </c>
      <c r="G1163" s="1">
        <v>5</v>
      </c>
      <c r="H1163" s="1">
        <v>256</v>
      </c>
      <c r="I1163" s="1">
        <v>30000</v>
      </c>
      <c r="J1163" s="1">
        <v>60000</v>
      </c>
      <c r="K1163" s="1">
        <v>9.4447200000000002</v>
      </c>
    </row>
    <row r="1164" spans="2:11" x14ac:dyDescent="0.2">
      <c r="B1164" s="26" t="str">
        <f>_xlfn.XLOOKUP(Total[[#This Row],[Metodo]],TbSolver[Metodo],TbSolver[Solver])</f>
        <v>Adams Bashford</v>
      </c>
      <c r="C1164" s="26" t="str">
        <f>_xlfn.XLOOKUP(Total[[#This Row],[Hebras]],TbTecnologia[Hebras],TbTecnologia[Tecnología])</f>
        <v>CUDA</v>
      </c>
      <c r="D1164" s="15" t="str" cm="1">
        <f t="array" ref="D1164">_xlfn.XLOOKUP(Total[[#This Row],[Tecnología]]&amp;Total[[#This Row],[Metodo]],TbTipos[Tecnología]&amp;TbTipos[Metodo],TbTipos[Tipo])</f>
        <v>CUDA sin graph</v>
      </c>
      <c r="E1164" s="15" t="str" cm="1">
        <f t="array" ref="E1164">_xlfn.XLOOKUP(Total[[#This Row],[Tecnología]]&amp;Total[[#This Row],[Problema]],TbNombres[Tecnología]&amp;TbNombres[Problema],TbNombres[Nombre])</f>
        <v>Brusselator1d</v>
      </c>
      <c r="F1164" s="1">
        <v>3</v>
      </c>
      <c r="G1164" s="1">
        <v>5</v>
      </c>
      <c r="H1164" s="1">
        <v>256</v>
      </c>
      <c r="I1164" s="1">
        <v>40000</v>
      </c>
      <c r="J1164" s="1">
        <v>80000</v>
      </c>
      <c r="K1164" s="1">
        <v>10.9232</v>
      </c>
    </row>
    <row r="1165" spans="2:11" x14ac:dyDescent="0.2">
      <c r="B1165" s="26" t="str">
        <f>_xlfn.XLOOKUP(Total[[#This Row],[Metodo]],TbSolver[Metodo],TbSolver[Solver])</f>
        <v>Adams Bashford</v>
      </c>
      <c r="C1165" s="26" t="str">
        <f>_xlfn.XLOOKUP(Total[[#This Row],[Hebras]],TbTecnologia[Hebras],TbTecnologia[Tecnología])</f>
        <v>CUDA</v>
      </c>
      <c r="D1165" s="15" t="str" cm="1">
        <f t="array" ref="D1165">_xlfn.XLOOKUP(Total[[#This Row],[Tecnología]]&amp;Total[[#This Row],[Metodo]],TbTipos[Tecnología]&amp;TbTipos[Metodo],TbTipos[Tipo])</f>
        <v>CUDA sin graph</v>
      </c>
      <c r="E1165" s="15" t="str" cm="1">
        <f t="array" ref="E1165">_xlfn.XLOOKUP(Total[[#This Row],[Tecnología]]&amp;Total[[#This Row],[Problema]],TbNombres[Tecnología]&amp;TbNombres[Problema],TbNombres[Nombre])</f>
        <v>Brusselator1d</v>
      </c>
      <c r="F1165" s="1">
        <v>3</v>
      </c>
      <c r="G1165" s="1">
        <v>5</v>
      </c>
      <c r="H1165" s="1">
        <v>256</v>
      </c>
      <c r="I1165" s="1">
        <v>75000</v>
      </c>
      <c r="J1165" s="1">
        <v>150000</v>
      </c>
      <c r="K1165" s="1">
        <v>23.0747</v>
      </c>
    </row>
    <row r="1166" spans="2:11" x14ac:dyDescent="0.2">
      <c r="B1166" s="26" t="str">
        <f>_xlfn.XLOOKUP(Total[[#This Row],[Metodo]],TbSolver[Metodo],TbSolver[Solver])</f>
        <v>Adams Bashford</v>
      </c>
      <c r="C1166" s="26" t="str">
        <f>_xlfn.XLOOKUP(Total[[#This Row],[Hebras]],TbTecnologia[Hebras],TbTecnologia[Tecnología])</f>
        <v>CUDA</v>
      </c>
      <c r="D1166" s="15" t="str" cm="1">
        <f t="array" ref="D1166">_xlfn.XLOOKUP(Total[[#This Row],[Tecnología]]&amp;Total[[#This Row],[Metodo]],TbTipos[Tecnología]&amp;TbTipos[Metodo],TbTipos[Tipo])</f>
        <v>CUDA sin graph</v>
      </c>
      <c r="E1166" s="15" t="str" cm="1">
        <f t="array" ref="E1166">_xlfn.XLOOKUP(Total[[#This Row],[Tecnología]]&amp;Total[[#This Row],[Problema]],TbNombres[Tecnología]&amp;TbNombres[Problema],TbNombres[Nombre])</f>
        <v>Brusselator1d</v>
      </c>
      <c r="F1166" s="1">
        <v>3</v>
      </c>
      <c r="G1166" s="1">
        <v>5</v>
      </c>
      <c r="H1166" s="1">
        <v>256</v>
      </c>
      <c r="I1166" s="1">
        <v>125000</v>
      </c>
      <c r="J1166" s="1">
        <v>250000</v>
      </c>
      <c r="K1166" s="1">
        <v>41.323999999999998</v>
      </c>
    </row>
    <row r="1167" spans="2:11" x14ac:dyDescent="0.2">
      <c r="B1167" s="26" t="str">
        <f>_xlfn.XLOOKUP(Total[[#This Row],[Metodo]],TbSolver[Metodo],TbSolver[Solver])</f>
        <v>Adams Bashford</v>
      </c>
      <c r="C1167" s="26" t="str">
        <f>_xlfn.XLOOKUP(Total[[#This Row],[Hebras]],TbTecnologia[Hebras],TbTecnologia[Tecnología])</f>
        <v>CUDA</v>
      </c>
      <c r="D1167" s="15" t="str" cm="1">
        <f t="array" ref="D1167">_xlfn.XLOOKUP(Total[[#This Row],[Tecnología]]&amp;Total[[#This Row],[Metodo]],TbTipos[Tecnología]&amp;TbTipos[Metodo],TbTipos[Tipo])</f>
        <v>CUDA sin graph</v>
      </c>
      <c r="E1167" s="15" t="str" cm="1">
        <f t="array" ref="E1167">_xlfn.XLOOKUP(Total[[#This Row],[Tecnología]]&amp;Total[[#This Row],[Problema]],TbNombres[Tecnología]&amp;TbNombres[Problema],TbNombres[Nombre])</f>
        <v>Brusselator1d</v>
      </c>
      <c r="F1167" s="1">
        <v>3</v>
      </c>
      <c r="G1167" s="1">
        <v>5</v>
      </c>
      <c r="H1167" s="1">
        <v>256</v>
      </c>
      <c r="I1167" s="1">
        <v>175000</v>
      </c>
      <c r="J1167" s="1">
        <v>350000</v>
      </c>
      <c r="K1167" s="1">
        <v>58.703600000000002</v>
      </c>
    </row>
    <row r="1168" spans="2:11" x14ac:dyDescent="0.2">
      <c r="B1168" s="26" t="str">
        <f>_xlfn.XLOOKUP(Total[[#This Row],[Metodo]],TbSolver[Metodo],TbSolver[Solver])</f>
        <v>Adams Bashford</v>
      </c>
      <c r="C1168" s="26" t="str">
        <f>_xlfn.XLOOKUP(Total[[#This Row],[Hebras]],TbTecnologia[Hebras],TbTecnologia[Tecnología])</f>
        <v>CUDA</v>
      </c>
      <c r="D1168" s="15" t="str" cm="1">
        <f t="array" ref="D1168">_xlfn.XLOOKUP(Total[[#This Row],[Tecnología]]&amp;Total[[#This Row],[Metodo]],TbTipos[Tecnología]&amp;TbTipos[Metodo],TbTipos[Tipo])</f>
        <v>CUDA sin graph</v>
      </c>
      <c r="E1168" s="15" t="str" cm="1">
        <f t="array" ref="E1168">_xlfn.XLOOKUP(Total[[#This Row],[Tecnología]]&amp;Total[[#This Row],[Problema]],TbNombres[Tecnología]&amp;TbNombres[Problema],TbNombres[Nombre])</f>
        <v>Brusselator1d</v>
      </c>
      <c r="F1168" s="1">
        <v>3</v>
      </c>
      <c r="G1168" s="1">
        <v>5</v>
      </c>
      <c r="H1168" s="1">
        <v>256</v>
      </c>
      <c r="I1168" s="1">
        <v>750000</v>
      </c>
      <c r="J1168" s="1">
        <v>1500000</v>
      </c>
      <c r="K1168" s="1">
        <v>227.02</v>
      </c>
    </row>
    <row r="1169" spans="2:11" x14ac:dyDescent="0.2">
      <c r="B1169" s="26" t="str">
        <f>_xlfn.XLOOKUP(Total[[#This Row],[Metodo]],TbSolver[Metodo],TbSolver[Solver])</f>
        <v>Adams Bashford</v>
      </c>
      <c r="C1169" s="26" t="str">
        <f>_xlfn.XLOOKUP(Total[[#This Row],[Hebras]],TbTecnologia[Hebras],TbTecnologia[Tecnología])</f>
        <v>CUDA</v>
      </c>
      <c r="D1169" s="15" t="str" cm="1">
        <f t="array" ref="D1169">_xlfn.XLOOKUP(Total[[#This Row],[Tecnología]]&amp;Total[[#This Row],[Metodo]],TbTipos[Tecnología]&amp;TbTipos[Metodo],TbTipos[Tipo])</f>
        <v>CUDA sin graph</v>
      </c>
      <c r="E1169" s="15" t="str" cm="1">
        <f t="array" ref="E1169">_xlfn.XLOOKUP(Total[[#This Row],[Tecnología]]&amp;Total[[#This Row],[Problema]],TbNombres[Tecnología]&amp;TbNombres[Problema],TbNombres[Nombre])</f>
        <v>Brusselator1d</v>
      </c>
      <c r="F1169" s="1">
        <v>3</v>
      </c>
      <c r="G1169" s="1">
        <v>5</v>
      </c>
      <c r="H1169" s="1">
        <v>256</v>
      </c>
      <c r="I1169" s="1">
        <v>1000000</v>
      </c>
      <c r="J1169" s="1">
        <v>2000000</v>
      </c>
      <c r="K1169" s="1">
        <v>299.822</v>
      </c>
    </row>
    <row r="1170" spans="2:11" x14ac:dyDescent="0.2">
      <c r="B1170" s="26" t="str">
        <f>_xlfn.XLOOKUP(Total[[#This Row],[Metodo]],TbSolver[Metodo],TbSolver[Solver])</f>
        <v>Adams Bashford Moulton</v>
      </c>
      <c r="C1170" s="26" t="str">
        <f>_xlfn.XLOOKUP(Total[[#This Row],[Hebras]],TbTecnologia[Hebras],TbTecnologia[Tecnología])</f>
        <v>CUDA</v>
      </c>
      <c r="D1170" s="15" t="str" cm="1">
        <f t="array" ref="D1170">_xlfn.XLOOKUP(Total[[#This Row],[Tecnología]]&amp;Total[[#This Row],[Metodo]],TbTipos[Tecnología]&amp;TbTipos[Metodo],TbTipos[Tipo])</f>
        <v>CUDA sin graph</v>
      </c>
      <c r="E1170" s="15" t="str" cm="1">
        <f t="array" ref="E1170">_xlfn.XLOOKUP(Total[[#This Row],[Tecnología]]&amp;Total[[#This Row],[Problema]],TbNombres[Tecnología]&amp;TbNombres[Problema],TbNombres[Nombre])</f>
        <v>Simple Advdiff</v>
      </c>
      <c r="F1170" s="1">
        <v>5</v>
      </c>
      <c r="G1170" s="1">
        <v>1</v>
      </c>
      <c r="H1170" s="1">
        <v>256</v>
      </c>
      <c r="I1170" s="1">
        <v>15000</v>
      </c>
      <c r="J1170" s="1">
        <v>15000</v>
      </c>
      <c r="K1170" s="1">
        <v>13.9414</v>
      </c>
    </row>
    <row r="1171" spans="2:11" x14ac:dyDescent="0.2">
      <c r="B1171" s="26" t="str">
        <f>_xlfn.XLOOKUP(Total[[#This Row],[Metodo]],TbSolver[Metodo],TbSolver[Solver])</f>
        <v>Adams Bashford Moulton</v>
      </c>
      <c r="C1171" s="26" t="str">
        <f>_xlfn.XLOOKUP(Total[[#This Row],[Hebras]],TbTecnologia[Hebras],TbTecnologia[Tecnología])</f>
        <v>CUDA</v>
      </c>
      <c r="D1171" s="15" t="str" cm="1">
        <f t="array" ref="D1171">_xlfn.XLOOKUP(Total[[#This Row],[Tecnología]]&amp;Total[[#This Row],[Metodo]],TbTipos[Tecnología]&amp;TbTipos[Metodo],TbTipos[Tipo])</f>
        <v>CUDA sin graph</v>
      </c>
      <c r="E1171" s="15" t="str" cm="1">
        <f t="array" ref="E1171">_xlfn.XLOOKUP(Total[[#This Row],[Tecnología]]&amp;Total[[#This Row],[Problema]],TbNombres[Tecnología]&amp;TbNombres[Problema],TbNombres[Nombre])</f>
        <v>Simple Advdiff</v>
      </c>
      <c r="F1171" s="1">
        <v>5</v>
      </c>
      <c r="G1171" s="1">
        <v>1</v>
      </c>
      <c r="H1171" s="1">
        <v>256</v>
      </c>
      <c r="I1171" s="1">
        <v>20000</v>
      </c>
      <c r="J1171" s="1">
        <v>20000</v>
      </c>
      <c r="K1171" s="1">
        <v>17.355599999999999</v>
      </c>
    </row>
    <row r="1172" spans="2:11" x14ac:dyDescent="0.2">
      <c r="B1172" s="26" t="str">
        <f>_xlfn.XLOOKUP(Total[[#This Row],[Metodo]],TbSolver[Metodo],TbSolver[Solver])</f>
        <v>Adams Bashford Moulton</v>
      </c>
      <c r="C1172" s="26" t="str">
        <f>_xlfn.XLOOKUP(Total[[#This Row],[Hebras]],TbTecnologia[Hebras],TbTecnologia[Tecnología])</f>
        <v>CUDA</v>
      </c>
      <c r="D1172" s="15" t="str" cm="1">
        <f t="array" ref="D1172">_xlfn.XLOOKUP(Total[[#This Row],[Tecnología]]&amp;Total[[#This Row],[Metodo]],TbTipos[Tecnología]&amp;TbTipos[Metodo],TbTipos[Tipo])</f>
        <v>CUDA sin graph</v>
      </c>
      <c r="E1172" s="15" t="str" cm="1">
        <f t="array" ref="E1172">_xlfn.XLOOKUP(Total[[#This Row],[Tecnología]]&amp;Total[[#This Row],[Problema]],TbNombres[Tecnología]&amp;TbNombres[Problema],TbNombres[Nombre])</f>
        <v>Simple Advdiff</v>
      </c>
      <c r="F1172" s="1">
        <v>5</v>
      </c>
      <c r="G1172" s="1">
        <v>1</v>
      </c>
      <c r="H1172" s="1">
        <v>256</v>
      </c>
      <c r="I1172" s="1">
        <v>30000</v>
      </c>
      <c r="J1172" s="1">
        <v>30000</v>
      </c>
      <c r="K1172" s="1">
        <v>17.9925</v>
      </c>
    </row>
    <row r="1173" spans="2:11" x14ac:dyDescent="0.2">
      <c r="B1173" s="26" t="str">
        <f>_xlfn.XLOOKUP(Total[[#This Row],[Metodo]],TbSolver[Metodo],TbSolver[Solver])</f>
        <v>Adams Bashford Moulton</v>
      </c>
      <c r="C1173" s="26" t="str">
        <f>_xlfn.XLOOKUP(Total[[#This Row],[Hebras]],TbTecnologia[Hebras],TbTecnologia[Tecnología])</f>
        <v>CUDA</v>
      </c>
      <c r="D1173" s="15" t="str" cm="1">
        <f t="array" ref="D1173">_xlfn.XLOOKUP(Total[[#This Row],[Tecnología]]&amp;Total[[#This Row],[Metodo]],TbTipos[Tecnología]&amp;TbTipos[Metodo],TbTipos[Tipo])</f>
        <v>CUDA sin graph</v>
      </c>
      <c r="E1173" s="15" t="str" cm="1">
        <f t="array" ref="E1173">_xlfn.XLOOKUP(Total[[#This Row],[Tecnología]]&amp;Total[[#This Row],[Problema]],TbNombres[Tecnología]&amp;TbNombres[Problema],TbNombres[Nombre])</f>
        <v>Simple Advdiff</v>
      </c>
      <c r="F1173" s="1">
        <v>5</v>
      </c>
      <c r="G1173" s="1">
        <v>1</v>
      </c>
      <c r="H1173" s="1">
        <v>256</v>
      </c>
      <c r="I1173" s="1">
        <v>40000</v>
      </c>
      <c r="J1173" s="1">
        <v>40000</v>
      </c>
      <c r="K1173" s="1">
        <v>21.642499999999998</v>
      </c>
    </row>
    <row r="1174" spans="2:11" x14ac:dyDescent="0.2">
      <c r="B1174" s="26" t="str">
        <f>_xlfn.XLOOKUP(Total[[#This Row],[Metodo]],TbSolver[Metodo],TbSolver[Solver])</f>
        <v>Adams Bashford Moulton</v>
      </c>
      <c r="C1174" s="26" t="str">
        <f>_xlfn.XLOOKUP(Total[[#This Row],[Hebras]],TbTecnologia[Hebras],TbTecnologia[Tecnología])</f>
        <v>CUDA</v>
      </c>
      <c r="D1174" s="15" t="str" cm="1">
        <f t="array" ref="D1174">_xlfn.XLOOKUP(Total[[#This Row],[Tecnología]]&amp;Total[[#This Row],[Metodo]],TbTipos[Tecnología]&amp;TbTipos[Metodo],TbTipos[Tipo])</f>
        <v>CUDA sin graph</v>
      </c>
      <c r="E1174" s="15" t="str" cm="1">
        <f t="array" ref="E1174">_xlfn.XLOOKUP(Total[[#This Row],[Tecnología]]&amp;Total[[#This Row],[Problema]],TbNombres[Tecnología]&amp;TbNombres[Problema],TbNombres[Nombre])</f>
        <v>Simple Advdiff</v>
      </c>
      <c r="F1174" s="1">
        <v>5</v>
      </c>
      <c r="G1174" s="1">
        <v>1</v>
      </c>
      <c r="H1174" s="1">
        <v>256</v>
      </c>
      <c r="I1174" s="1">
        <v>75000</v>
      </c>
      <c r="J1174" s="1">
        <v>75000</v>
      </c>
      <c r="K1174" s="1">
        <v>28.554600000000001</v>
      </c>
    </row>
    <row r="1175" spans="2:11" x14ac:dyDescent="0.2">
      <c r="B1175" s="26" t="str">
        <f>_xlfn.XLOOKUP(Total[[#This Row],[Metodo]],TbSolver[Metodo],TbSolver[Solver])</f>
        <v>Adams Bashford Moulton</v>
      </c>
      <c r="C1175" s="26" t="str">
        <f>_xlfn.XLOOKUP(Total[[#This Row],[Hebras]],TbTecnologia[Hebras],TbTecnologia[Tecnología])</f>
        <v>CUDA</v>
      </c>
      <c r="D1175" s="15" t="str" cm="1">
        <f t="array" ref="D1175">_xlfn.XLOOKUP(Total[[#This Row],[Tecnología]]&amp;Total[[#This Row],[Metodo]],TbTipos[Tecnología]&amp;TbTipos[Metodo],TbTipos[Tipo])</f>
        <v>CUDA sin graph</v>
      </c>
      <c r="E1175" s="15" t="str" cm="1">
        <f t="array" ref="E1175">_xlfn.XLOOKUP(Total[[#This Row],[Tecnología]]&amp;Total[[#This Row],[Problema]],TbNombres[Tecnología]&amp;TbNombres[Problema],TbNombres[Nombre])</f>
        <v>Simple Advdiff</v>
      </c>
      <c r="F1175" s="1">
        <v>5</v>
      </c>
      <c r="G1175" s="1">
        <v>1</v>
      </c>
      <c r="H1175" s="1">
        <v>256</v>
      </c>
      <c r="I1175" s="1">
        <v>125000</v>
      </c>
      <c r="J1175" s="1">
        <v>125000</v>
      </c>
      <c r="K1175" s="1">
        <v>60.575099999999999</v>
      </c>
    </row>
    <row r="1176" spans="2:11" x14ac:dyDescent="0.2">
      <c r="B1176" s="26" t="str">
        <f>_xlfn.XLOOKUP(Total[[#This Row],[Metodo]],TbSolver[Metodo],TbSolver[Solver])</f>
        <v>Adams Bashford Moulton</v>
      </c>
      <c r="C1176" s="26" t="str">
        <f>_xlfn.XLOOKUP(Total[[#This Row],[Hebras]],TbTecnologia[Hebras],TbTecnologia[Tecnología])</f>
        <v>CUDA</v>
      </c>
      <c r="D1176" s="15" t="str" cm="1">
        <f t="array" ref="D1176">_xlfn.XLOOKUP(Total[[#This Row],[Tecnología]]&amp;Total[[#This Row],[Metodo]],TbTipos[Tecnología]&amp;TbTipos[Metodo],TbTipos[Tipo])</f>
        <v>CUDA sin graph</v>
      </c>
      <c r="E1176" s="15" t="str" cm="1">
        <f t="array" ref="E1176">_xlfn.XLOOKUP(Total[[#This Row],[Tecnología]]&amp;Total[[#This Row],[Problema]],TbNombres[Tecnología]&amp;TbNombres[Problema],TbNombres[Nombre])</f>
        <v>Simple Advdiff</v>
      </c>
      <c r="F1176" s="1">
        <v>5</v>
      </c>
      <c r="G1176" s="1">
        <v>1</v>
      </c>
      <c r="H1176" s="1">
        <v>256</v>
      </c>
      <c r="I1176" s="1">
        <v>175000</v>
      </c>
      <c r="J1176" s="1">
        <v>175000</v>
      </c>
      <c r="K1176" s="1">
        <v>84.310500000000005</v>
      </c>
    </row>
    <row r="1177" spans="2:11" x14ac:dyDescent="0.2">
      <c r="B1177" s="26" t="str">
        <f>_xlfn.XLOOKUP(Total[[#This Row],[Metodo]],TbSolver[Metodo],TbSolver[Solver])</f>
        <v>Adams Bashford Moulton</v>
      </c>
      <c r="C1177" s="26" t="str">
        <f>_xlfn.XLOOKUP(Total[[#This Row],[Hebras]],TbTecnologia[Hebras],TbTecnologia[Tecnología])</f>
        <v>CUDA</v>
      </c>
      <c r="D1177" s="15" t="str" cm="1">
        <f t="array" ref="D1177">_xlfn.XLOOKUP(Total[[#This Row],[Tecnología]]&amp;Total[[#This Row],[Metodo]],TbTipos[Tecnología]&amp;TbTipos[Metodo],TbTipos[Tipo])</f>
        <v>CUDA sin graph</v>
      </c>
      <c r="E1177" s="15" t="str" cm="1">
        <f t="array" ref="E1177">_xlfn.XLOOKUP(Total[[#This Row],[Tecnología]]&amp;Total[[#This Row],[Problema]],TbNombres[Tecnología]&amp;TbNombres[Problema],TbNombres[Nombre])</f>
        <v>Simple Advdiff</v>
      </c>
      <c r="F1177" s="1">
        <v>5</v>
      </c>
      <c r="G1177" s="1">
        <v>1</v>
      </c>
      <c r="H1177" s="1">
        <v>256</v>
      </c>
      <c r="I1177" s="1">
        <v>750000</v>
      </c>
      <c r="J1177" s="1">
        <v>750000</v>
      </c>
      <c r="K1177" s="1">
        <v>342.39699999999999</v>
      </c>
    </row>
    <row r="1178" spans="2:11" x14ac:dyDescent="0.2">
      <c r="B1178" s="26" t="str">
        <f>_xlfn.XLOOKUP(Total[[#This Row],[Metodo]],TbSolver[Metodo],TbSolver[Solver])</f>
        <v>Adams Bashford Moulton</v>
      </c>
      <c r="C1178" s="26" t="str">
        <f>_xlfn.XLOOKUP(Total[[#This Row],[Hebras]],TbTecnologia[Hebras],TbTecnologia[Tecnología])</f>
        <v>CUDA</v>
      </c>
      <c r="D1178" s="15" t="str" cm="1">
        <f t="array" ref="D1178">_xlfn.XLOOKUP(Total[[#This Row],[Tecnología]]&amp;Total[[#This Row],[Metodo]],TbTipos[Tecnología]&amp;TbTipos[Metodo],TbTipos[Tipo])</f>
        <v>CUDA sin graph</v>
      </c>
      <c r="E1178" s="15" t="str" cm="1">
        <f t="array" ref="E1178">_xlfn.XLOOKUP(Total[[#This Row],[Tecnología]]&amp;Total[[#This Row],[Problema]],TbNombres[Tecnología]&amp;TbNombres[Problema],TbNombres[Nombre])</f>
        <v>Simple Advdiff</v>
      </c>
      <c r="F1178" s="1">
        <v>5</v>
      </c>
      <c r="G1178" s="1">
        <v>1</v>
      </c>
      <c r="H1178" s="1">
        <v>256</v>
      </c>
      <c r="I1178" s="1">
        <v>1000000</v>
      </c>
      <c r="J1178" s="1">
        <v>1000000</v>
      </c>
      <c r="K1178" s="1">
        <v>447.18900000000002</v>
      </c>
    </row>
    <row r="1179" spans="2:11" x14ac:dyDescent="0.2">
      <c r="B1179" s="26" t="str">
        <f>_xlfn.XLOOKUP(Total[[#This Row],[Metodo]],TbSolver[Metodo],TbSolver[Solver])</f>
        <v>Adams Bashford Moulton</v>
      </c>
      <c r="C1179" s="26" t="str">
        <f>_xlfn.XLOOKUP(Total[[#This Row],[Hebras]],TbTecnologia[Hebras],TbTecnologia[Tecnología])</f>
        <v>CUDA</v>
      </c>
      <c r="D1179" s="15" t="str" cm="1">
        <f t="array" ref="D1179">_xlfn.XLOOKUP(Total[[#This Row],[Tecnología]]&amp;Total[[#This Row],[Metodo]],TbTipos[Tecnología]&amp;TbTipos[Metodo],TbTipos[Tipo])</f>
        <v>CUDA sin graph</v>
      </c>
      <c r="E1179" s="15" t="str" cm="1">
        <f t="array" ref="E1179">_xlfn.XLOOKUP(Total[[#This Row],[Tecnología]]&amp;Total[[#This Row],[Problema]],TbNombres[Tecnología]&amp;TbNombres[Problema],TbNombres[Nombre])</f>
        <v>Advdiff1d</v>
      </c>
      <c r="F1179" s="1">
        <v>5</v>
      </c>
      <c r="G1179" s="1">
        <v>3</v>
      </c>
      <c r="H1179" s="1">
        <v>256</v>
      </c>
      <c r="I1179" s="1">
        <v>15000</v>
      </c>
      <c r="J1179" s="1">
        <v>15000</v>
      </c>
      <c r="K1179" s="1">
        <v>25.7163</v>
      </c>
    </row>
    <row r="1180" spans="2:11" x14ac:dyDescent="0.2">
      <c r="B1180" s="26" t="str">
        <f>_xlfn.XLOOKUP(Total[[#This Row],[Metodo]],TbSolver[Metodo],TbSolver[Solver])</f>
        <v>Adams Bashford Moulton</v>
      </c>
      <c r="C1180" s="26" t="str">
        <f>_xlfn.XLOOKUP(Total[[#This Row],[Hebras]],TbTecnologia[Hebras],TbTecnologia[Tecnología])</f>
        <v>CUDA</v>
      </c>
      <c r="D1180" s="15" t="str" cm="1">
        <f t="array" ref="D1180">_xlfn.XLOOKUP(Total[[#This Row],[Tecnología]]&amp;Total[[#This Row],[Metodo]],TbTipos[Tecnología]&amp;TbTipos[Metodo],TbTipos[Tipo])</f>
        <v>CUDA sin graph</v>
      </c>
      <c r="E1180" s="15" t="str" cm="1">
        <f t="array" ref="E1180">_xlfn.XLOOKUP(Total[[#This Row],[Tecnología]]&amp;Total[[#This Row],[Problema]],TbNombres[Tecnología]&amp;TbNombres[Problema],TbNombres[Nombre])</f>
        <v>Advdiff1d</v>
      </c>
      <c r="F1180" s="1">
        <v>5</v>
      </c>
      <c r="G1180" s="1">
        <v>3</v>
      </c>
      <c r="H1180" s="1">
        <v>256</v>
      </c>
      <c r="I1180" s="1">
        <v>20000</v>
      </c>
      <c r="J1180" s="1">
        <v>20000</v>
      </c>
      <c r="K1180" s="1">
        <v>41.485300000000002</v>
      </c>
    </row>
    <row r="1181" spans="2:11" x14ac:dyDescent="0.2">
      <c r="B1181" s="26" t="str">
        <f>_xlfn.XLOOKUP(Total[[#This Row],[Metodo]],TbSolver[Metodo],TbSolver[Solver])</f>
        <v>Adams Bashford Moulton</v>
      </c>
      <c r="C1181" s="26" t="str">
        <f>_xlfn.XLOOKUP(Total[[#This Row],[Hebras]],TbTecnologia[Hebras],TbTecnologia[Tecnología])</f>
        <v>CUDA</v>
      </c>
      <c r="D1181" s="15" t="str" cm="1">
        <f t="array" ref="D1181">_xlfn.XLOOKUP(Total[[#This Row],[Tecnología]]&amp;Total[[#This Row],[Metodo]],TbTipos[Tecnología]&amp;TbTipos[Metodo],TbTipos[Tipo])</f>
        <v>CUDA sin graph</v>
      </c>
      <c r="E1181" s="15" t="str" cm="1">
        <f t="array" ref="E1181">_xlfn.XLOOKUP(Total[[#This Row],[Tecnología]]&amp;Total[[#This Row],[Problema]],TbNombres[Tecnología]&amp;TbNombres[Problema],TbNombres[Nombre])</f>
        <v>Advdiff1d</v>
      </c>
      <c r="F1181" s="1">
        <v>5</v>
      </c>
      <c r="G1181" s="1">
        <v>3</v>
      </c>
      <c r="H1181" s="1">
        <v>256</v>
      </c>
      <c r="I1181" s="1">
        <v>30000</v>
      </c>
      <c r="J1181" s="1">
        <v>30000</v>
      </c>
      <c r="K1181" s="1">
        <v>42.121200000000002</v>
      </c>
    </row>
    <row r="1182" spans="2:11" x14ac:dyDescent="0.2">
      <c r="B1182" s="26" t="str">
        <f>_xlfn.XLOOKUP(Total[[#This Row],[Metodo]],TbSolver[Metodo],TbSolver[Solver])</f>
        <v>Adams Bashford Moulton</v>
      </c>
      <c r="C1182" s="26" t="str">
        <f>_xlfn.XLOOKUP(Total[[#This Row],[Hebras]],TbTecnologia[Hebras],TbTecnologia[Tecnología])</f>
        <v>CUDA</v>
      </c>
      <c r="D1182" s="15" t="str" cm="1">
        <f t="array" ref="D1182">_xlfn.XLOOKUP(Total[[#This Row],[Tecnología]]&amp;Total[[#This Row],[Metodo]],TbTipos[Tecnología]&amp;TbTipos[Metodo],TbTipos[Tipo])</f>
        <v>CUDA sin graph</v>
      </c>
      <c r="E1182" s="15" t="str" cm="1">
        <f t="array" ref="E1182">_xlfn.XLOOKUP(Total[[#This Row],[Tecnología]]&amp;Total[[#This Row],[Problema]],TbNombres[Tecnología]&amp;TbNombres[Problema],TbNombres[Nombre])</f>
        <v>Advdiff1d</v>
      </c>
      <c r="F1182" s="1">
        <v>5</v>
      </c>
      <c r="G1182" s="1">
        <v>3</v>
      </c>
      <c r="H1182" s="1">
        <v>256</v>
      </c>
      <c r="I1182" s="1">
        <v>40000</v>
      </c>
      <c r="J1182" s="1">
        <v>40000</v>
      </c>
      <c r="K1182" s="1">
        <v>57.9129</v>
      </c>
    </row>
    <row r="1183" spans="2:11" x14ac:dyDescent="0.2">
      <c r="B1183" s="26" t="str">
        <f>_xlfn.XLOOKUP(Total[[#This Row],[Metodo]],TbSolver[Metodo],TbSolver[Solver])</f>
        <v>Adams Bashford Moulton</v>
      </c>
      <c r="C1183" s="26" t="str">
        <f>_xlfn.XLOOKUP(Total[[#This Row],[Hebras]],TbTecnologia[Hebras],TbTecnologia[Tecnología])</f>
        <v>CUDA</v>
      </c>
      <c r="D1183" s="15" t="str" cm="1">
        <f t="array" ref="D1183">_xlfn.XLOOKUP(Total[[#This Row],[Tecnología]]&amp;Total[[#This Row],[Metodo]],TbTipos[Tecnología]&amp;TbTipos[Metodo],TbTipos[Tipo])</f>
        <v>CUDA sin graph</v>
      </c>
      <c r="E1183" s="15" t="str" cm="1">
        <f t="array" ref="E1183">_xlfn.XLOOKUP(Total[[#This Row],[Tecnología]]&amp;Total[[#This Row],[Problema]],TbNombres[Tecnología]&amp;TbNombres[Problema],TbNombres[Nombre])</f>
        <v>Advdiff1d</v>
      </c>
      <c r="F1183" s="1">
        <v>5</v>
      </c>
      <c r="G1183" s="1">
        <v>3</v>
      </c>
      <c r="H1183" s="1">
        <v>256</v>
      </c>
      <c r="I1183" s="1">
        <v>75000</v>
      </c>
      <c r="J1183" s="1">
        <v>75000</v>
      </c>
      <c r="K1183" s="1">
        <v>91.398099999999999</v>
      </c>
    </row>
    <row r="1184" spans="2:11" x14ac:dyDescent="0.2">
      <c r="B1184" s="26" t="str">
        <f>_xlfn.XLOOKUP(Total[[#This Row],[Metodo]],TbSolver[Metodo],TbSolver[Solver])</f>
        <v>Adams Bashford Moulton</v>
      </c>
      <c r="C1184" s="26" t="str">
        <f>_xlfn.XLOOKUP(Total[[#This Row],[Hebras]],TbTecnologia[Hebras],TbTecnologia[Tecnología])</f>
        <v>CUDA</v>
      </c>
      <c r="D1184" s="15" t="str" cm="1">
        <f t="array" ref="D1184">_xlfn.XLOOKUP(Total[[#This Row],[Tecnología]]&amp;Total[[#This Row],[Metodo]],TbTipos[Tecnología]&amp;TbTipos[Metodo],TbTipos[Tipo])</f>
        <v>CUDA sin graph</v>
      </c>
      <c r="E1184" s="15" t="str" cm="1">
        <f t="array" ref="E1184">_xlfn.XLOOKUP(Total[[#This Row],[Tecnología]]&amp;Total[[#This Row],[Problema]],TbNombres[Tecnología]&amp;TbNombres[Problema],TbNombres[Nombre])</f>
        <v>Advdiff1d</v>
      </c>
      <c r="F1184" s="1">
        <v>5</v>
      </c>
      <c r="G1184" s="1">
        <v>3</v>
      </c>
      <c r="H1184" s="1">
        <v>256</v>
      </c>
      <c r="I1184" s="1">
        <v>125000</v>
      </c>
      <c r="J1184" s="1">
        <v>125000</v>
      </c>
      <c r="K1184" s="1">
        <v>160.917</v>
      </c>
    </row>
    <row r="1185" spans="2:11" x14ac:dyDescent="0.2">
      <c r="B1185" s="26" t="str">
        <f>_xlfn.XLOOKUP(Total[[#This Row],[Metodo]],TbSolver[Metodo],TbSolver[Solver])</f>
        <v>Adams Bashford Moulton</v>
      </c>
      <c r="C1185" s="26" t="str">
        <f>_xlfn.XLOOKUP(Total[[#This Row],[Hebras]],TbTecnologia[Hebras],TbTecnologia[Tecnología])</f>
        <v>CUDA</v>
      </c>
      <c r="D1185" s="15" t="str" cm="1">
        <f t="array" ref="D1185">_xlfn.XLOOKUP(Total[[#This Row],[Tecnología]]&amp;Total[[#This Row],[Metodo]],TbTipos[Tecnología]&amp;TbTipos[Metodo],TbTipos[Tipo])</f>
        <v>CUDA sin graph</v>
      </c>
      <c r="E1185" s="15" t="str" cm="1">
        <f t="array" ref="E1185">_xlfn.XLOOKUP(Total[[#This Row],[Tecnología]]&amp;Total[[#This Row],[Problema]],TbNombres[Tecnología]&amp;TbNombres[Problema],TbNombres[Nombre])</f>
        <v>Advdiff1d</v>
      </c>
      <c r="F1185" s="1">
        <v>5</v>
      </c>
      <c r="G1185" s="1">
        <v>3</v>
      </c>
      <c r="H1185" s="1">
        <v>256</v>
      </c>
      <c r="I1185" s="1">
        <v>175000</v>
      </c>
      <c r="J1185" s="1">
        <v>175000</v>
      </c>
      <c r="K1185" s="1">
        <v>220.03800000000001</v>
      </c>
    </row>
    <row r="1186" spans="2:11" x14ac:dyDescent="0.2">
      <c r="B1186" s="26" t="str">
        <f>_xlfn.XLOOKUP(Total[[#This Row],[Metodo]],TbSolver[Metodo],TbSolver[Solver])</f>
        <v>Adams Bashford Moulton</v>
      </c>
      <c r="C1186" s="26" t="str">
        <f>_xlfn.XLOOKUP(Total[[#This Row],[Hebras]],TbTecnologia[Hebras],TbTecnologia[Tecnología])</f>
        <v>CUDA</v>
      </c>
      <c r="D1186" s="15" t="str" cm="1">
        <f t="array" ref="D1186">_xlfn.XLOOKUP(Total[[#This Row],[Tecnología]]&amp;Total[[#This Row],[Metodo]],TbTipos[Tecnología]&amp;TbTipos[Metodo],TbTipos[Tipo])</f>
        <v>CUDA sin graph</v>
      </c>
      <c r="E1186" s="15" t="str" cm="1">
        <f t="array" ref="E1186">_xlfn.XLOOKUP(Total[[#This Row],[Tecnología]]&amp;Total[[#This Row],[Problema]],TbNombres[Tecnología]&amp;TbNombres[Problema],TbNombres[Nombre])</f>
        <v>Advdiff1d</v>
      </c>
      <c r="F1186" s="1">
        <v>5</v>
      </c>
      <c r="G1186" s="1">
        <v>3</v>
      </c>
      <c r="H1186" s="1">
        <v>256</v>
      </c>
      <c r="I1186" s="1">
        <v>750000</v>
      </c>
      <c r="J1186" s="1">
        <v>750000</v>
      </c>
      <c r="K1186" s="1">
        <v>890.24800000000005</v>
      </c>
    </row>
    <row r="1187" spans="2:11" x14ac:dyDescent="0.2">
      <c r="B1187" s="26" t="str">
        <f>_xlfn.XLOOKUP(Total[[#This Row],[Metodo]],TbSolver[Metodo],TbSolver[Solver])</f>
        <v>Adams Bashford Moulton</v>
      </c>
      <c r="C1187" s="26" t="str">
        <f>_xlfn.XLOOKUP(Total[[#This Row],[Hebras]],TbTecnologia[Hebras],TbTecnologia[Tecnología])</f>
        <v>CUDA</v>
      </c>
      <c r="D1187" s="15" t="str" cm="1">
        <f t="array" ref="D1187">_xlfn.XLOOKUP(Total[[#This Row],[Tecnología]]&amp;Total[[#This Row],[Metodo]],TbTipos[Tecnología]&amp;TbTipos[Metodo],TbTipos[Tipo])</f>
        <v>CUDA sin graph</v>
      </c>
      <c r="E1187" s="15" t="str" cm="1">
        <f t="array" ref="E1187">_xlfn.XLOOKUP(Total[[#This Row],[Tecnología]]&amp;Total[[#This Row],[Problema]],TbNombres[Tecnología]&amp;TbNombres[Problema],TbNombres[Nombre])</f>
        <v>Advdiff1d</v>
      </c>
      <c r="F1187" s="1">
        <v>5</v>
      </c>
      <c r="G1187" s="1">
        <v>3</v>
      </c>
      <c r="H1187" s="1">
        <v>256</v>
      </c>
      <c r="I1187" s="1">
        <v>1000000</v>
      </c>
      <c r="J1187" s="1">
        <v>1000000</v>
      </c>
      <c r="K1187" s="1">
        <v>1172.73</v>
      </c>
    </row>
    <row r="1188" spans="2:11" x14ac:dyDescent="0.2">
      <c r="B1188" s="26" t="str">
        <f>_xlfn.XLOOKUP(Total[[#This Row],[Metodo]],TbSolver[Metodo],TbSolver[Solver])</f>
        <v>Adams Bashford Moulton</v>
      </c>
      <c r="C1188" s="26" t="str">
        <f>_xlfn.XLOOKUP(Total[[#This Row],[Hebras]],TbTecnologia[Hebras],TbTecnologia[Tecnología])</f>
        <v>CUDA</v>
      </c>
      <c r="D1188" s="15" t="str" cm="1">
        <f t="array" ref="D1188">_xlfn.XLOOKUP(Total[[#This Row],[Tecnología]]&amp;Total[[#This Row],[Metodo]],TbTipos[Tecnología]&amp;TbTipos[Metodo],TbTipos[Tipo])</f>
        <v>CUDA sin graph</v>
      </c>
      <c r="E1188" s="15" t="str" cm="1">
        <f t="array" ref="E1188">_xlfn.XLOOKUP(Total[[#This Row],[Tecnología]]&amp;Total[[#This Row],[Problema]],TbNombres[Tecnología]&amp;TbNombres[Problema],TbNombres[Nombre])</f>
        <v>Brusselator1d</v>
      </c>
      <c r="F1188" s="1">
        <v>5</v>
      </c>
      <c r="G1188" s="1">
        <v>5</v>
      </c>
      <c r="H1188" s="1">
        <v>256</v>
      </c>
      <c r="I1188" s="1">
        <v>15000</v>
      </c>
      <c r="J1188" s="1">
        <v>30000</v>
      </c>
      <c r="K1188" s="1">
        <v>19.7819</v>
      </c>
    </row>
    <row r="1189" spans="2:11" x14ac:dyDescent="0.2">
      <c r="B1189" s="26" t="str">
        <f>_xlfn.XLOOKUP(Total[[#This Row],[Metodo]],TbSolver[Metodo],TbSolver[Solver])</f>
        <v>Adams Bashford Moulton</v>
      </c>
      <c r="C1189" s="26" t="str">
        <f>_xlfn.XLOOKUP(Total[[#This Row],[Hebras]],TbTecnologia[Hebras],TbTecnologia[Tecnología])</f>
        <v>CUDA</v>
      </c>
      <c r="D1189" s="15" t="str" cm="1">
        <f t="array" ref="D1189">_xlfn.XLOOKUP(Total[[#This Row],[Tecnología]]&amp;Total[[#This Row],[Metodo]],TbTipos[Tecnología]&amp;TbTipos[Metodo],TbTipos[Tipo])</f>
        <v>CUDA sin graph</v>
      </c>
      <c r="E1189" s="15" t="str" cm="1">
        <f t="array" ref="E1189">_xlfn.XLOOKUP(Total[[#This Row],[Tecnología]]&amp;Total[[#This Row],[Problema]],TbNombres[Tecnología]&amp;TbNombres[Problema],TbNombres[Nombre])</f>
        <v>Brusselator1d</v>
      </c>
      <c r="F1189" s="1">
        <v>5</v>
      </c>
      <c r="G1189" s="1">
        <v>5</v>
      </c>
      <c r="H1189" s="1">
        <v>256</v>
      </c>
      <c r="I1189" s="1">
        <v>20000</v>
      </c>
      <c r="J1189" s="1">
        <v>40000</v>
      </c>
      <c r="K1189" s="1">
        <v>24.1877</v>
      </c>
    </row>
    <row r="1190" spans="2:11" x14ac:dyDescent="0.2">
      <c r="B1190" s="26" t="str">
        <f>_xlfn.XLOOKUP(Total[[#This Row],[Metodo]],TbSolver[Metodo],TbSolver[Solver])</f>
        <v>Adams Bashford Moulton</v>
      </c>
      <c r="C1190" s="26" t="str">
        <f>_xlfn.XLOOKUP(Total[[#This Row],[Hebras]],TbTecnologia[Hebras],TbTecnologia[Tecnología])</f>
        <v>CUDA</v>
      </c>
      <c r="D1190" s="15" t="str" cm="1">
        <f t="array" ref="D1190">_xlfn.XLOOKUP(Total[[#This Row],[Tecnología]]&amp;Total[[#This Row],[Metodo]],TbTipos[Tecnología]&amp;TbTipos[Metodo],TbTipos[Tipo])</f>
        <v>CUDA sin graph</v>
      </c>
      <c r="E1190" s="15" t="str" cm="1">
        <f t="array" ref="E1190">_xlfn.XLOOKUP(Total[[#This Row],[Tecnología]]&amp;Total[[#This Row],[Problema]],TbNombres[Tecnología]&amp;TbNombres[Problema],TbNombres[Nombre])</f>
        <v>Brusselator1d</v>
      </c>
      <c r="F1190" s="1">
        <v>5</v>
      </c>
      <c r="G1190" s="1">
        <v>5</v>
      </c>
      <c r="H1190" s="1">
        <v>256</v>
      </c>
      <c r="I1190" s="1">
        <v>30000</v>
      </c>
      <c r="J1190" s="1">
        <v>60000</v>
      </c>
      <c r="K1190" s="1">
        <v>29.398900000000001</v>
      </c>
    </row>
    <row r="1191" spans="2:11" x14ac:dyDescent="0.2">
      <c r="B1191" s="26" t="str">
        <f>_xlfn.XLOOKUP(Total[[#This Row],[Metodo]],TbSolver[Metodo],TbSolver[Solver])</f>
        <v>Adams Bashford Moulton</v>
      </c>
      <c r="C1191" s="26" t="str">
        <f>_xlfn.XLOOKUP(Total[[#This Row],[Hebras]],TbTecnologia[Hebras],TbTecnologia[Tecnología])</f>
        <v>CUDA</v>
      </c>
      <c r="D1191" s="15" t="str" cm="1">
        <f t="array" ref="D1191">_xlfn.XLOOKUP(Total[[#This Row],[Tecnología]]&amp;Total[[#This Row],[Metodo]],TbTipos[Tecnología]&amp;TbTipos[Metodo],TbTipos[Tipo])</f>
        <v>CUDA sin graph</v>
      </c>
      <c r="E1191" s="15" t="str" cm="1">
        <f t="array" ref="E1191">_xlfn.XLOOKUP(Total[[#This Row],[Tecnología]]&amp;Total[[#This Row],[Problema]],TbNombres[Tecnología]&amp;TbNombres[Problema],TbNombres[Nombre])</f>
        <v>Brusselator1d</v>
      </c>
      <c r="F1191" s="1">
        <v>5</v>
      </c>
      <c r="G1191" s="1">
        <v>5</v>
      </c>
      <c r="H1191" s="1">
        <v>256</v>
      </c>
      <c r="I1191" s="1">
        <v>40000</v>
      </c>
      <c r="J1191" s="1">
        <v>80000</v>
      </c>
      <c r="K1191" s="1">
        <v>37.430100000000003</v>
      </c>
    </row>
    <row r="1192" spans="2:11" x14ac:dyDescent="0.2">
      <c r="B1192" s="26" t="str">
        <f>_xlfn.XLOOKUP(Total[[#This Row],[Metodo]],TbSolver[Metodo],TbSolver[Solver])</f>
        <v>Adams Bashford Moulton</v>
      </c>
      <c r="C1192" s="26" t="str">
        <f>_xlfn.XLOOKUP(Total[[#This Row],[Hebras]],TbTecnologia[Hebras],TbTecnologia[Tecnología])</f>
        <v>CUDA</v>
      </c>
      <c r="D1192" s="15" t="str" cm="1">
        <f t="array" ref="D1192">_xlfn.XLOOKUP(Total[[#This Row],[Tecnología]]&amp;Total[[#This Row],[Metodo]],TbTipos[Tecnología]&amp;TbTipos[Metodo],TbTipos[Tipo])</f>
        <v>CUDA sin graph</v>
      </c>
      <c r="E1192" s="15" t="str" cm="1">
        <f t="array" ref="E1192">_xlfn.XLOOKUP(Total[[#This Row],[Tecnología]]&amp;Total[[#This Row],[Problema]],TbNombres[Tecnología]&amp;TbNombres[Problema],TbNombres[Nombre])</f>
        <v>Brusselator1d</v>
      </c>
      <c r="F1192" s="1">
        <v>5</v>
      </c>
      <c r="G1192" s="1">
        <v>5</v>
      </c>
      <c r="H1192" s="1">
        <v>256</v>
      </c>
      <c r="I1192" s="1">
        <v>75000</v>
      </c>
      <c r="J1192" s="1">
        <v>150000</v>
      </c>
      <c r="K1192" s="1">
        <v>80.215500000000006</v>
      </c>
    </row>
    <row r="1193" spans="2:11" x14ac:dyDescent="0.2">
      <c r="B1193" s="26" t="str">
        <f>_xlfn.XLOOKUP(Total[[#This Row],[Metodo]],TbSolver[Metodo],TbSolver[Solver])</f>
        <v>Adams Bashford Moulton</v>
      </c>
      <c r="C1193" s="26" t="str">
        <f>_xlfn.XLOOKUP(Total[[#This Row],[Hebras]],TbTecnologia[Hebras],TbTecnologia[Tecnología])</f>
        <v>CUDA</v>
      </c>
      <c r="D1193" s="15" t="str" cm="1">
        <f t="array" ref="D1193">_xlfn.XLOOKUP(Total[[#This Row],[Tecnología]]&amp;Total[[#This Row],[Metodo]],TbTipos[Tecnología]&amp;TbTipos[Metodo],TbTipos[Tipo])</f>
        <v>CUDA sin graph</v>
      </c>
      <c r="E1193" s="15" t="str" cm="1">
        <f t="array" ref="E1193">_xlfn.XLOOKUP(Total[[#This Row],[Tecnología]]&amp;Total[[#This Row],[Problema]],TbNombres[Tecnología]&amp;TbNombres[Problema],TbNombres[Nombre])</f>
        <v>Brusselator1d</v>
      </c>
      <c r="F1193" s="1">
        <v>5</v>
      </c>
      <c r="G1193" s="1">
        <v>5</v>
      </c>
      <c r="H1193" s="1">
        <v>256</v>
      </c>
      <c r="I1193" s="1">
        <v>125000</v>
      </c>
      <c r="J1193" s="1">
        <v>250000</v>
      </c>
      <c r="K1193" s="1">
        <v>135.49299999999999</v>
      </c>
    </row>
    <row r="1194" spans="2:11" x14ac:dyDescent="0.2">
      <c r="B1194" s="26" t="str">
        <f>_xlfn.XLOOKUP(Total[[#This Row],[Metodo]],TbSolver[Metodo],TbSolver[Solver])</f>
        <v>Adams Bashford Moulton</v>
      </c>
      <c r="C1194" s="26" t="str">
        <f>_xlfn.XLOOKUP(Total[[#This Row],[Hebras]],TbTecnologia[Hebras],TbTecnologia[Tecnología])</f>
        <v>CUDA</v>
      </c>
      <c r="D1194" s="15" t="str" cm="1">
        <f t="array" ref="D1194">_xlfn.XLOOKUP(Total[[#This Row],[Tecnología]]&amp;Total[[#This Row],[Metodo]],TbTipos[Tecnología]&amp;TbTipos[Metodo],TbTipos[Tipo])</f>
        <v>CUDA sin graph</v>
      </c>
      <c r="E1194" s="15" t="str" cm="1">
        <f t="array" ref="E1194">_xlfn.XLOOKUP(Total[[#This Row],[Tecnología]]&amp;Total[[#This Row],[Problema]],TbNombres[Tecnología]&amp;TbNombres[Problema],TbNombres[Nombre])</f>
        <v>Brusselator1d</v>
      </c>
      <c r="F1194" s="1">
        <v>5</v>
      </c>
      <c r="G1194" s="1">
        <v>5</v>
      </c>
      <c r="H1194" s="1">
        <v>256</v>
      </c>
      <c r="I1194" s="1">
        <v>175000</v>
      </c>
      <c r="J1194" s="1">
        <v>350000</v>
      </c>
      <c r="K1194" s="1">
        <v>188.30500000000001</v>
      </c>
    </row>
    <row r="1195" spans="2:11" x14ac:dyDescent="0.2">
      <c r="B1195" s="26" t="str">
        <f>_xlfn.XLOOKUP(Total[[#This Row],[Metodo]],TbSolver[Metodo],TbSolver[Solver])</f>
        <v>Adams Bashford Moulton</v>
      </c>
      <c r="C1195" s="26" t="str">
        <f>_xlfn.XLOOKUP(Total[[#This Row],[Hebras]],TbTecnologia[Hebras],TbTecnologia[Tecnología])</f>
        <v>CUDA</v>
      </c>
      <c r="D1195" s="15" t="str" cm="1">
        <f t="array" ref="D1195">_xlfn.XLOOKUP(Total[[#This Row],[Tecnología]]&amp;Total[[#This Row],[Metodo]],TbTipos[Tecnología]&amp;TbTipos[Metodo],TbTipos[Tipo])</f>
        <v>CUDA sin graph</v>
      </c>
      <c r="E1195" s="15" t="str" cm="1">
        <f t="array" ref="E1195">_xlfn.XLOOKUP(Total[[#This Row],[Tecnología]]&amp;Total[[#This Row],[Problema]],TbNombres[Tecnología]&amp;TbNombres[Problema],TbNombres[Nombre])</f>
        <v>Brusselator1d</v>
      </c>
      <c r="F1195" s="1">
        <v>5</v>
      </c>
      <c r="G1195" s="1">
        <v>5</v>
      </c>
      <c r="H1195" s="1">
        <v>256</v>
      </c>
      <c r="I1195" s="1">
        <v>750000</v>
      </c>
      <c r="J1195" s="1">
        <v>1500000</v>
      </c>
      <c r="K1195" s="1">
        <v>728.73500000000001</v>
      </c>
    </row>
    <row r="1196" spans="2:11" x14ac:dyDescent="0.2">
      <c r="B1196" s="26" t="str">
        <f>_xlfn.XLOOKUP(Total[[#This Row],[Metodo]],TbSolver[Metodo],TbSolver[Solver])</f>
        <v>Adams Bashford Moulton</v>
      </c>
      <c r="C1196" s="26" t="str">
        <f>_xlfn.XLOOKUP(Total[[#This Row],[Hebras]],TbTecnologia[Hebras],TbTecnologia[Tecnología])</f>
        <v>CUDA</v>
      </c>
      <c r="D1196" s="15" t="str" cm="1">
        <f t="array" ref="D1196">_xlfn.XLOOKUP(Total[[#This Row],[Tecnología]]&amp;Total[[#This Row],[Metodo]],TbTipos[Tecnología]&amp;TbTipos[Metodo],TbTipos[Tipo])</f>
        <v>CUDA sin graph</v>
      </c>
      <c r="E1196" s="15" t="str" cm="1">
        <f t="array" ref="E1196">_xlfn.XLOOKUP(Total[[#This Row],[Tecnología]]&amp;Total[[#This Row],[Problema]],TbNombres[Tecnología]&amp;TbNombres[Problema],TbNombres[Nombre])</f>
        <v>Brusselator1d</v>
      </c>
      <c r="F1196" s="1">
        <v>5</v>
      </c>
      <c r="G1196" s="1">
        <v>5</v>
      </c>
      <c r="H1196" s="1">
        <v>256</v>
      </c>
      <c r="I1196" s="1">
        <v>1000000</v>
      </c>
      <c r="J1196" s="1">
        <v>2000000</v>
      </c>
      <c r="K1196" s="1">
        <v>962.81100000000004</v>
      </c>
    </row>
    <row r="1197" spans="2:11" x14ac:dyDescent="0.2">
      <c r="B1197" s="26" t="str">
        <f>_xlfn.XLOOKUP(Total[[#This Row],[Metodo]],TbSolver[Metodo],TbSolver[Solver])</f>
        <v>Adams Bashford Moulton</v>
      </c>
      <c r="C1197" s="26" t="str">
        <f>_xlfn.XLOOKUP(Total[[#This Row],[Hebras]],TbTecnologia[Hebras],TbTecnologia[Tecnología])</f>
        <v>CUDA</v>
      </c>
      <c r="D1197" s="15" t="str" cm="1">
        <f t="array" ref="D1197">_xlfn.XLOOKUP(Total[[#This Row],[Tecnología]]&amp;Total[[#This Row],[Metodo]],TbTipos[Tecnología]&amp;TbTipos[Metodo],TbTipos[Tipo])</f>
        <v>CUDA con graph</v>
      </c>
      <c r="E1197" s="15" t="str" cm="1">
        <f t="array" ref="E1197">_xlfn.XLOOKUP(Total[[#This Row],[Tecnología]]&amp;Total[[#This Row],[Problema]],TbNombres[Tecnología]&amp;TbNombres[Problema],TbNombres[Nombre])</f>
        <v>Simple Advdiff</v>
      </c>
      <c r="F1197" s="1">
        <v>6</v>
      </c>
      <c r="G1197" s="1">
        <v>1</v>
      </c>
      <c r="H1197" s="1">
        <v>256</v>
      </c>
      <c r="I1197" s="1">
        <v>15000</v>
      </c>
      <c r="J1197" s="1">
        <v>15000</v>
      </c>
      <c r="K1197" s="1">
        <v>13.454800000000001</v>
      </c>
    </row>
    <row r="1198" spans="2:11" x14ac:dyDescent="0.2">
      <c r="B1198" s="26" t="str">
        <f>_xlfn.XLOOKUP(Total[[#This Row],[Metodo]],TbSolver[Metodo],TbSolver[Solver])</f>
        <v>Adams Bashford Moulton</v>
      </c>
      <c r="C1198" s="26" t="str">
        <f>_xlfn.XLOOKUP(Total[[#This Row],[Hebras]],TbTecnologia[Hebras],TbTecnologia[Tecnología])</f>
        <v>CUDA</v>
      </c>
      <c r="D1198" s="15" t="str" cm="1">
        <f t="array" ref="D1198">_xlfn.XLOOKUP(Total[[#This Row],[Tecnología]]&amp;Total[[#This Row],[Metodo]],TbTipos[Tecnología]&amp;TbTipos[Metodo],TbTipos[Tipo])</f>
        <v>CUDA con graph</v>
      </c>
      <c r="E1198" s="15" t="str" cm="1">
        <f t="array" ref="E1198">_xlfn.XLOOKUP(Total[[#This Row],[Tecnología]]&amp;Total[[#This Row],[Problema]],TbNombres[Tecnología]&amp;TbNombres[Problema],TbNombres[Nombre])</f>
        <v>Simple Advdiff</v>
      </c>
      <c r="F1198" s="1">
        <v>6</v>
      </c>
      <c r="G1198" s="1">
        <v>1</v>
      </c>
      <c r="H1198" s="1">
        <v>256</v>
      </c>
      <c r="I1198" s="1">
        <v>20000</v>
      </c>
      <c r="J1198" s="1">
        <v>20000</v>
      </c>
      <c r="K1198" s="1">
        <v>16.897099999999998</v>
      </c>
    </row>
    <row r="1199" spans="2:11" x14ac:dyDescent="0.2">
      <c r="B1199" s="26" t="str">
        <f>_xlfn.XLOOKUP(Total[[#This Row],[Metodo]],TbSolver[Metodo],TbSolver[Solver])</f>
        <v>Adams Bashford Moulton</v>
      </c>
      <c r="C1199" s="26" t="str">
        <f>_xlfn.XLOOKUP(Total[[#This Row],[Hebras]],TbTecnologia[Hebras],TbTecnologia[Tecnología])</f>
        <v>CUDA</v>
      </c>
      <c r="D1199" s="15" t="str" cm="1">
        <f t="array" ref="D1199">_xlfn.XLOOKUP(Total[[#This Row],[Tecnología]]&amp;Total[[#This Row],[Metodo]],TbTipos[Tecnología]&amp;TbTipos[Metodo],TbTipos[Tipo])</f>
        <v>CUDA con graph</v>
      </c>
      <c r="E1199" s="15" t="str" cm="1">
        <f t="array" ref="E1199">_xlfn.XLOOKUP(Total[[#This Row],[Tecnología]]&amp;Total[[#This Row],[Problema]],TbNombres[Tecnología]&amp;TbNombres[Problema],TbNombres[Nombre])</f>
        <v>Simple Advdiff</v>
      </c>
      <c r="F1199" s="1">
        <v>6</v>
      </c>
      <c r="G1199" s="1">
        <v>1</v>
      </c>
      <c r="H1199" s="1">
        <v>256</v>
      </c>
      <c r="I1199" s="1">
        <v>30000</v>
      </c>
      <c r="J1199" s="1">
        <v>30000</v>
      </c>
      <c r="K1199" s="1">
        <v>17.755800000000001</v>
      </c>
    </row>
    <row r="1200" spans="2:11" x14ac:dyDescent="0.2">
      <c r="B1200" s="26" t="str">
        <f>_xlfn.XLOOKUP(Total[[#This Row],[Metodo]],TbSolver[Metodo],TbSolver[Solver])</f>
        <v>Adams Bashford Moulton</v>
      </c>
      <c r="C1200" s="26" t="str">
        <f>_xlfn.XLOOKUP(Total[[#This Row],[Hebras]],TbTecnologia[Hebras],TbTecnologia[Tecnología])</f>
        <v>CUDA</v>
      </c>
      <c r="D1200" s="15" t="str" cm="1">
        <f t="array" ref="D1200">_xlfn.XLOOKUP(Total[[#This Row],[Tecnología]]&amp;Total[[#This Row],[Metodo]],TbTipos[Tecnología]&amp;TbTipos[Metodo],TbTipos[Tipo])</f>
        <v>CUDA con graph</v>
      </c>
      <c r="E1200" s="15" t="str" cm="1">
        <f t="array" ref="E1200">_xlfn.XLOOKUP(Total[[#This Row],[Tecnología]]&amp;Total[[#This Row],[Problema]],TbNombres[Tecnología]&amp;TbNombres[Problema],TbNombres[Nombre])</f>
        <v>Simple Advdiff</v>
      </c>
      <c r="F1200" s="1">
        <v>6</v>
      </c>
      <c r="G1200" s="1">
        <v>1</v>
      </c>
      <c r="H1200" s="1">
        <v>256</v>
      </c>
      <c r="I1200" s="1">
        <v>40000</v>
      </c>
      <c r="J1200" s="1">
        <v>40000</v>
      </c>
      <c r="K1200" s="1">
        <v>21.314699999999998</v>
      </c>
    </row>
    <row r="1201" spans="2:11" x14ac:dyDescent="0.2">
      <c r="B1201" s="26" t="str">
        <f>_xlfn.XLOOKUP(Total[[#This Row],[Metodo]],TbSolver[Metodo],TbSolver[Solver])</f>
        <v>Adams Bashford Moulton</v>
      </c>
      <c r="C1201" s="26" t="str">
        <f>_xlfn.XLOOKUP(Total[[#This Row],[Hebras]],TbTecnologia[Hebras],TbTecnologia[Tecnología])</f>
        <v>CUDA</v>
      </c>
      <c r="D1201" s="15" t="str" cm="1">
        <f t="array" ref="D1201">_xlfn.XLOOKUP(Total[[#This Row],[Tecnología]]&amp;Total[[#This Row],[Metodo]],TbTipos[Tecnología]&amp;TbTipos[Metodo],TbTipos[Tipo])</f>
        <v>CUDA con graph</v>
      </c>
      <c r="E1201" s="15" t="str" cm="1">
        <f t="array" ref="E1201">_xlfn.XLOOKUP(Total[[#This Row],[Tecnología]]&amp;Total[[#This Row],[Problema]],TbNombres[Tecnología]&amp;TbNombres[Problema],TbNombres[Nombre])</f>
        <v>Simple Advdiff</v>
      </c>
      <c r="F1201" s="1">
        <v>6</v>
      </c>
      <c r="G1201" s="1">
        <v>1</v>
      </c>
      <c r="H1201" s="1">
        <v>256</v>
      </c>
      <c r="I1201" s="1">
        <v>75000</v>
      </c>
      <c r="J1201" s="1">
        <v>75000</v>
      </c>
      <c r="K1201" s="1">
        <v>30.4209</v>
      </c>
    </row>
    <row r="1202" spans="2:11" x14ac:dyDescent="0.2">
      <c r="B1202" s="26" t="str">
        <f>_xlfn.XLOOKUP(Total[[#This Row],[Metodo]],TbSolver[Metodo],TbSolver[Solver])</f>
        <v>Adams Bashford Moulton</v>
      </c>
      <c r="C1202" s="26" t="str">
        <f>_xlfn.XLOOKUP(Total[[#This Row],[Hebras]],TbTecnologia[Hebras],TbTecnologia[Tecnología])</f>
        <v>CUDA</v>
      </c>
      <c r="D1202" s="15" t="str" cm="1">
        <f t="array" ref="D1202">_xlfn.XLOOKUP(Total[[#This Row],[Tecnología]]&amp;Total[[#This Row],[Metodo]],TbTipos[Tecnología]&amp;TbTipos[Metodo],TbTipos[Tipo])</f>
        <v>CUDA con graph</v>
      </c>
      <c r="E1202" s="15" t="str" cm="1">
        <f t="array" ref="E1202">_xlfn.XLOOKUP(Total[[#This Row],[Tecnología]]&amp;Total[[#This Row],[Problema]],TbNombres[Tecnología]&amp;TbNombres[Problema],TbNombres[Nombre])</f>
        <v>Simple Advdiff</v>
      </c>
      <c r="F1202" s="1">
        <v>6</v>
      </c>
      <c r="G1202" s="1">
        <v>1</v>
      </c>
      <c r="H1202" s="1">
        <v>256</v>
      </c>
      <c r="I1202" s="1">
        <v>125000</v>
      </c>
      <c r="J1202" s="1">
        <v>125000</v>
      </c>
      <c r="K1202" s="1">
        <v>71.941299999999998</v>
      </c>
    </row>
    <row r="1203" spans="2:11" x14ac:dyDescent="0.2">
      <c r="B1203" s="26" t="str">
        <f>_xlfn.XLOOKUP(Total[[#This Row],[Metodo]],TbSolver[Metodo],TbSolver[Solver])</f>
        <v>Adams Bashford Moulton</v>
      </c>
      <c r="C1203" s="26" t="str">
        <f>_xlfn.XLOOKUP(Total[[#This Row],[Hebras]],TbTecnologia[Hebras],TbTecnologia[Tecnología])</f>
        <v>CUDA</v>
      </c>
      <c r="D1203" s="15" t="str" cm="1">
        <f t="array" ref="D1203">_xlfn.XLOOKUP(Total[[#This Row],[Tecnología]]&amp;Total[[#This Row],[Metodo]],TbTipos[Tecnología]&amp;TbTipos[Metodo],TbTipos[Tipo])</f>
        <v>CUDA con graph</v>
      </c>
      <c r="E1203" s="15" t="str" cm="1">
        <f t="array" ref="E1203">_xlfn.XLOOKUP(Total[[#This Row],[Tecnología]]&amp;Total[[#This Row],[Problema]],TbNombres[Tecnología]&amp;TbNombres[Problema],TbNombres[Nombre])</f>
        <v>Simple Advdiff</v>
      </c>
      <c r="F1203" s="1">
        <v>6</v>
      </c>
      <c r="G1203" s="1">
        <v>1</v>
      </c>
      <c r="H1203" s="1">
        <v>256</v>
      </c>
      <c r="I1203" s="1">
        <v>175000</v>
      </c>
      <c r="J1203" s="1">
        <v>175000</v>
      </c>
      <c r="K1203" s="1">
        <v>106.67</v>
      </c>
    </row>
    <row r="1204" spans="2:11" x14ac:dyDescent="0.2">
      <c r="B1204" s="26" t="str">
        <f>_xlfn.XLOOKUP(Total[[#This Row],[Metodo]],TbSolver[Metodo],TbSolver[Solver])</f>
        <v>Adams Bashford Moulton</v>
      </c>
      <c r="C1204" s="26" t="str">
        <f>_xlfn.XLOOKUP(Total[[#This Row],[Hebras]],TbTecnologia[Hebras],TbTecnologia[Tecnología])</f>
        <v>CUDA</v>
      </c>
      <c r="D1204" s="15" t="str" cm="1">
        <f t="array" ref="D1204">_xlfn.XLOOKUP(Total[[#This Row],[Tecnología]]&amp;Total[[#This Row],[Metodo]],TbTipos[Tecnología]&amp;TbTipos[Metodo],TbTipos[Tipo])</f>
        <v>CUDA con graph</v>
      </c>
      <c r="E1204" s="15" t="str" cm="1">
        <f t="array" ref="E1204">_xlfn.XLOOKUP(Total[[#This Row],[Tecnología]]&amp;Total[[#This Row],[Problema]],TbNombres[Tecnología]&amp;TbNombres[Problema],TbNombres[Nombre])</f>
        <v>Simple Advdiff</v>
      </c>
      <c r="F1204" s="1">
        <v>6</v>
      </c>
      <c r="G1204" s="1">
        <v>1</v>
      </c>
      <c r="H1204" s="1">
        <v>256</v>
      </c>
      <c r="I1204" s="1">
        <v>750000</v>
      </c>
      <c r="J1204" s="1">
        <v>750000</v>
      </c>
      <c r="K1204" s="1">
        <v>449.80099999999999</v>
      </c>
    </row>
    <row r="1205" spans="2:11" x14ac:dyDescent="0.2">
      <c r="B1205" s="26" t="str">
        <f>_xlfn.XLOOKUP(Total[[#This Row],[Metodo]],TbSolver[Metodo],TbSolver[Solver])</f>
        <v>Adams Bashford Moulton</v>
      </c>
      <c r="C1205" s="26" t="str">
        <f>_xlfn.XLOOKUP(Total[[#This Row],[Hebras]],TbTecnologia[Hebras],TbTecnologia[Tecnología])</f>
        <v>CUDA</v>
      </c>
      <c r="D1205" s="15" t="str" cm="1">
        <f t="array" ref="D1205">_xlfn.XLOOKUP(Total[[#This Row],[Tecnología]]&amp;Total[[#This Row],[Metodo]],TbTipos[Tecnología]&amp;TbTipos[Metodo],TbTipos[Tipo])</f>
        <v>CUDA con graph</v>
      </c>
      <c r="E1205" s="15" t="str" cm="1">
        <f t="array" ref="E1205">_xlfn.XLOOKUP(Total[[#This Row],[Tecnología]]&amp;Total[[#This Row],[Problema]],TbNombres[Tecnología]&amp;TbNombres[Problema],TbNombres[Nombre])</f>
        <v>Simple Advdiff</v>
      </c>
      <c r="F1205" s="1">
        <v>6</v>
      </c>
      <c r="G1205" s="1">
        <v>1</v>
      </c>
      <c r="H1205" s="1">
        <v>256</v>
      </c>
      <c r="I1205" s="1">
        <v>1000000</v>
      </c>
      <c r="J1205" s="1">
        <v>1000000</v>
      </c>
      <c r="K1205" s="1">
        <v>592.77099999999996</v>
      </c>
    </row>
    <row r="1206" spans="2:11" x14ac:dyDescent="0.2">
      <c r="B1206" s="26" t="str">
        <f>_xlfn.XLOOKUP(Total[[#This Row],[Metodo]],TbSolver[Metodo],TbSolver[Solver])</f>
        <v>Adams Bashford Moulton</v>
      </c>
      <c r="C1206" s="26" t="str">
        <f>_xlfn.XLOOKUP(Total[[#This Row],[Hebras]],TbTecnologia[Hebras],TbTecnologia[Tecnología])</f>
        <v>CUDA</v>
      </c>
      <c r="D1206" s="15" t="str" cm="1">
        <f t="array" ref="D1206">_xlfn.XLOOKUP(Total[[#This Row],[Tecnología]]&amp;Total[[#This Row],[Metodo]],TbTipos[Tecnología]&amp;TbTipos[Metodo],TbTipos[Tipo])</f>
        <v>CUDA con graph</v>
      </c>
      <c r="E1206" s="15" t="str" cm="1">
        <f t="array" ref="E1206">_xlfn.XLOOKUP(Total[[#This Row],[Tecnología]]&amp;Total[[#This Row],[Problema]],TbNombres[Tecnología]&amp;TbNombres[Problema],TbNombres[Nombre])</f>
        <v>Advdiff1d</v>
      </c>
      <c r="F1206" s="1">
        <v>6</v>
      </c>
      <c r="G1206" s="1">
        <v>3</v>
      </c>
      <c r="H1206" s="1">
        <v>256</v>
      </c>
      <c r="I1206" s="1">
        <v>15000</v>
      </c>
      <c r="J1206" s="1">
        <v>15000</v>
      </c>
      <c r="K1206" s="1">
        <v>25.3888</v>
      </c>
    </row>
    <row r="1207" spans="2:11" x14ac:dyDescent="0.2">
      <c r="B1207" s="26" t="str">
        <f>_xlfn.XLOOKUP(Total[[#This Row],[Metodo]],TbSolver[Metodo],TbSolver[Solver])</f>
        <v>Adams Bashford Moulton</v>
      </c>
      <c r="C1207" s="26" t="str">
        <f>_xlfn.XLOOKUP(Total[[#This Row],[Hebras]],TbTecnologia[Hebras],TbTecnologia[Tecnología])</f>
        <v>CUDA</v>
      </c>
      <c r="D1207" s="15" t="str" cm="1">
        <f t="array" ref="D1207">_xlfn.XLOOKUP(Total[[#This Row],[Tecnología]]&amp;Total[[#This Row],[Metodo]],TbTipos[Tecnología]&amp;TbTipos[Metodo],TbTipos[Tipo])</f>
        <v>CUDA con graph</v>
      </c>
      <c r="E1207" s="15" t="str" cm="1">
        <f t="array" ref="E1207">_xlfn.XLOOKUP(Total[[#This Row],[Tecnología]]&amp;Total[[#This Row],[Problema]],TbNombres[Tecnología]&amp;TbNombres[Problema],TbNombres[Nombre])</f>
        <v>Advdiff1d</v>
      </c>
      <c r="F1207" s="1">
        <v>6</v>
      </c>
      <c r="G1207" s="1">
        <v>3</v>
      </c>
      <c r="H1207" s="1">
        <v>256</v>
      </c>
      <c r="I1207" s="1">
        <v>20000</v>
      </c>
      <c r="J1207" s="1">
        <v>20000</v>
      </c>
      <c r="K1207" s="1">
        <v>41.355699999999999</v>
      </c>
    </row>
    <row r="1208" spans="2:11" x14ac:dyDescent="0.2">
      <c r="B1208" s="26" t="str">
        <f>_xlfn.XLOOKUP(Total[[#This Row],[Metodo]],TbSolver[Metodo],TbSolver[Solver])</f>
        <v>Adams Bashford Moulton</v>
      </c>
      <c r="C1208" s="26" t="str">
        <f>_xlfn.XLOOKUP(Total[[#This Row],[Hebras]],TbTecnologia[Hebras],TbTecnologia[Tecnología])</f>
        <v>CUDA</v>
      </c>
      <c r="D1208" s="15" t="str" cm="1">
        <f t="array" ref="D1208">_xlfn.XLOOKUP(Total[[#This Row],[Tecnología]]&amp;Total[[#This Row],[Metodo]],TbTipos[Tecnología]&amp;TbTipos[Metodo],TbTipos[Tipo])</f>
        <v>CUDA con graph</v>
      </c>
      <c r="E1208" s="15" t="str" cm="1">
        <f t="array" ref="E1208">_xlfn.XLOOKUP(Total[[#This Row],[Tecnología]]&amp;Total[[#This Row],[Problema]],TbNombres[Tecnología]&amp;TbNombres[Problema],TbNombres[Nombre])</f>
        <v>Advdiff1d</v>
      </c>
      <c r="F1208" s="1">
        <v>6</v>
      </c>
      <c r="G1208" s="1">
        <v>3</v>
      </c>
      <c r="H1208" s="1">
        <v>256</v>
      </c>
      <c r="I1208" s="1">
        <v>30000</v>
      </c>
      <c r="J1208" s="1">
        <v>30000</v>
      </c>
      <c r="K1208" s="1">
        <v>42.280500000000004</v>
      </c>
    </row>
    <row r="1209" spans="2:11" x14ac:dyDescent="0.2">
      <c r="B1209" s="26" t="str">
        <f>_xlfn.XLOOKUP(Total[[#This Row],[Metodo]],TbSolver[Metodo],TbSolver[Solver])</f>
        <v>Adams Bashford Moulton</v>
      </c>
      <c r="C1209" s="26" t="str">
        <f>_xlfn.XLOOKUP(Total[[#This Row],[Hebras]],TbTecnologia[Hebras],TbTecnologia[Tecnología])</f>
        <v>CUDA</v>
      </c>
      <c r="D1209" s="15" t="str" cm="1">
        <f t="array" ref="D1209">_xlfn.XLOOKUP(Total[[#This Row],[Tecnología]]&amp;Total[[#This Row],[Metodo]],TbTipos[Tecnología]&amp;TbTipos[Metodo],TbTipos[Tipo])</f>
        <v>CUDA con graph</v>
      </c>
      <c r="E1209" s="15" t="str" cm="1">
        <f t="array" ref="E1209">_xlfn.XLOOKUP(Total[[#This Row],[Tecnología]]&amp;Total[[#This Row],[Problema]],TbNombres[Tecnología]&amp;TbNombres[Problema],TbNombres[Nombre])</f>
        <v>Advdiff1d</v>
      </c>
      <c r="F1209" s="1">
        <v>6</v>
      </c>
      <c r="G1209" s="1">
        <v>3</v>
      </c>
      <c r="H1209" s="1">
        <v>256</v>
      </c>
      <c r="I1209" s="1">
        <v>40000</v>
      </c>
      <c r="J1209" s="1">
        <v>40000</v>
      </c>
      <c r="K1209" s="1">
        <v>58.735199999999999</v>
      </c>
    </row>
    <row r="1210" spans="2:11" x14ac:dyDescent="0.2">
      <c r="B1210" s="26" t="str">
        <f>_xlfn.XLOOKUP(Total[[#This Row],[Metodo]],TbSolver[Metodo],TbSolver[Solver])</f>
        <v>Adams Bashford Moulton</v>
      </c>
      <c r="C1210" s="26" t="str">
        <f>_xlfn.XLOOKUP(Total[[#This Row],[Hebras]],TbTecnologia[Hebras],TbTecnologia[Tecnología])</f>
        <v>CUDA</v>
      </c>
      <c r="D1210" s="15" t="str" cm="1">
        <f t="array" ref="D1210">_xlfn.XLOOKUP(Total[[#This Row],[Tecnología]]&amp;Total[[#This Row],[Metodo]],TbTipos[Tecnología]&amp;TbTipos[Metodo],TbTipos[Tipo])</f>
        <v>CUDA con graph</v>
      </c>
      <c r="E1210" s="15" t="str" cm="1">
        <f t="array" ref="E1210">_xlfn.XLOOKUP(Total[[#This Row],[Tecnología]]&amp;Total[[#This Row],[Problema]],TbNombres[Tecnología]&amp;TbNombres[Problema],TbNombres[Nombre])</f>
        <v>Advdiff1d</v>
      </c>
      <c r="F1210" s="1">
        <v>6</v>
      </c>
      <c r="G1210" s="1">
        <v>3</v>
      </c>
      <c r="H1210" s="1">
        <v>256</v>
      </c>
      <c r="I1210" s="1">
        <v>75000</v>
      </c>
      <c r="J1210" s="1">
        <v>75000</v>
      </c>
      <c r="K1210" s="1">
        <v>95.493700000000004</v>
      </c>
    </row>
    <row r="1211" spans="2:11" x14ac:dyDescent="0.2">
      <c r="B1211" s="26" t="str">
        <f>_xlfn.XLOOKUP(Total[[#This Row],[Metodo]],TbSolver[Metodo],TbSolver[Solver])</f>
        <v>Adams Bashford Moulton</v>
      </c>
      <c r="C1211" s="26" t="str">
        <f>_xlfn.XLOOKUP(Total[[#This Row],[Hebras]],TbTecnologia[Hebras],TbTecnologia[Tecnología])</f>
        <v>CUDA</v>
      </c>
      <c r="D1211" s="15" t="str" cm="1">
        <f t="array" ref="D1211">_xlfn.XLOOKUP(Total[[#This Row],[Tecnología]]&amp;Total[[#This Row],[Metodo]],TbTipos[Tecnología]&amp;TbTipos[Metodo],TbTipos[Tipo])</f>
        <v>CUDA con graph</v>
      </c>
      <c r="E1211" s="15" t="str" cm="1">
        <f t="array" ref="E1211">_xlfn.XLOOKUP(Total[[#This Row],[Tecnología]]&amp;Total[[#This Row],[Problema]],TbNombres[Tecnología]&amp;TbNombres[Problema],TbNombres[Nombre])</f>
        <v>Advdiff1d</v>
      </c>
      <c r="F1211" s="1">
        <v>6</v>
      </c>
      <c r="G1211" s="1">
        <v>3</v>
      </c>
      <c r="H1211" s="1">
        <v>256</v>
      </c>
      <c r="I1211" s="1">
        <v>125000</v>
      </c>
      <c r="J1211" s="1">
        <v>125000</v>
      </c>
      <c r="K1211" s="1">
        <v>174.541</v>
      </c>
    </row>
    <row r="1212" spans="2:11" x14ac:dyDescent="0.2">
      <c r="B1212" s="26" t="str">
        <f>_xlfn.XLOOKUP(Total[[#This Row],[Metodo]],TbSolver[Metodo],TbSolver[Solver])</f>
        <v>Adams Bashford Moulton</v>
      </c>
      <c r="C1212" s="26" t="str">
        <f>_xlfn.XLOOKUP(Total[[#This Row],[Hebras]],TbTecnologia[Hebras],TbTecnologia[Tecnología])</f>
        <v>CUDA</v>
      </c>
      <c r="D1212" s="15" t="str" cm="1">
        <f t="array" ref="D1212">_xlfn.XLOOKUP(Total[[#This Row],[Tecnología]]&amp;Total[[#This Row],[Metodo]],TbTipos[Tecnología]&amp;TbTipos[Metodo],TbTipos[Tipo])</f>
        <v>CUDA con graph</v>
      </c>
      <c r="E1212" s="15" t="str" cm="1">
        <f t="array" ref="E1212">_xlfn.XLOOKUP(Total[[#This Row],[Tecnología]]&amp;Total[[#This Row],[Problema]],TbNombres[Tecnología]&amp;TbNombres[Problema],TbNombres[Nombre])</f>
        <v>Advdiff1d</v>
      </c>
      <c r="F1212" s="1">
        <v>6</v>
      </c>
      <c r="G1212" s="1">
        <v>3</v>
      </c>
      <c r="H1212" s="1">
        <v>256</v>
      </c>
      <c r="I1212" s="1">
        <v>175000</v>
      </c>
      <c r="J1212" s="1">
        <v>175000</v>
      </c>
      <c r="K1212" s="1">
        <v>246.24100000000001</v>
      </c>
    </row>
    <row r="1213" spans="2:11" x14ac:dyDescent="0.2">
      <c r="B1213" s="26" t="str">
        <f>_xlfn.XLOOKUP(Total[[#This Row],[Metodo]],TbSolver[Metodo],TbSolver[Solver])</f>
        <v>Adams Bashford Moulton</v>
      </c>
      <c r="C1213" s="26" t="str">
        <f>_xlfn.XLOOKUP(Total[[#This Row],[Hebras]],TbTecnologia[Hebras],TbTecnologia[Tecnología])</f>
        <v>CUDA</v>
      </c>
      <c r="D1213" s="15" t="str" cm="1">
        <f t="array" ref="D1213">_xlfn.XLOOKUP(Total[[#This Row],[Tecnología]]&amp;Total[[#This Row],[Metodo]],TbTipos[Tecnología]&amp;TbTipos[Metodo],TbTipos[Tipo])</f>
        <v>CUDA con graph</v>
      </c>
      <c r="E1213" s="15" t="str" cm="1">
        <f t="array" ref="E1213">_xlfn.XLOOKUP(Total[[#This Row],[Tecnología]]&amp;Total[[#This Row],[Problema]],TbNombres[Tecnología]&amp;TbNombres[Problema],TbNombres[Nombre])</f>
        <v>Advdiff1d</v>
      </c>
      <c r="F1213" s="1">
        <v>6</v>
      </c>
      <c r="G1213" s="1">
        <v>3</v>
      </c>
      <c r="H1213" s="1">
        <v>256</v>
      </c>
      <c r="I1213" s="1">
        <v>750000</v>
      </c>
      <c r="J1213" s="1">
        <v>750000</v>
      </c>
      <c r="K1213" s="1">
        <v>1009.62</v>
      </c>
    </row>
    <row r="1214" spans="2:11" x14ac:dyDescent="0.2">
      <c r="B1214" s="26" t="str">
        <f>_xlfn.XLOOKUP(Total[[#This Row],[Metodo]],TbSolver[Metodo],TbSolver[Solver])</f>
        <v>Adams Bashford Moulton</v>
      </c>
      <c r="C1214" s="26" t="str">
        <f>_xlfn.XLOOKUP(Total[[#This Row],[Hebras]],TbTecnologia[Hebras],TbTecnologia[Tecnología])</f>
        <v>CUDA</v>
      </c>
      <c r="D1214" s="15" t="str" cm="1">
        <f t="array" ref="D1214">_xlfn.XLOOKUP(Total[[#This Row],[Tecnología]]&amp;Total[[#This Row],[Metodo]],TbTipos[Tecnología]&amp;TbTipos[Metodo],TbTipos[Tipo])</f>
        <v>CUDA con graph</v>
      </c>
      <c r="E1214" s="15" t="str" cm="1">
        <f t="array" ref="E1214">_xlfn.XLOOKUP(Total[[#This Row],[Tecnología]]&amp;Total[[#This Row],[Problema]],TbNombres[Tecnología]&amp;TbNombres[Problema],TbNombres[Nombre])</f>
        <v>Advdiff1d</v>
      </c>
      <c r="F1214" s="1">
        <v>6</v>
      </c>
      <c r="G1214" s="1">
        <v>3</v>
      </c>
      <c r="H1214" s="1">
        <v>256</v>
      </c>
      <c r="I1214" s="1">
        <v>1000000</v>
      </c>
      <c r="J1214" s="1">
        <v>1000000</v>
      </c>
      <c r="K1214" s="1">
        <v>1333.37</v>
      </c>
    </row>
    <row r="1215" spans="2:11" x14ac:dyDescent="0.2">
      <c r="B1215" s="26" t="str">
        <f>_xlfn.XLOOKUP(Total[[#This Row],[Metodo]],TbSolver[Metodo],TbSolver[Solver])</f>
        <v>Adams Bashford Moulton</v>
      </c>
      <c r="C1215" s="26" t="str">
        <f>_xlfn.XLOOKUP(Total[[#This Row],[Hebras]],TbTecnologia[Hebras],TbTecnologia[Tecnología])</f>
        <v>CUDA</v>
      </c>
      <c r="D1215" s="15" t="str" cm="1">
        <f t="array" ref="D1215">_xlfn.XLOOKUP(Total[[#This Row],[Tecnología]]&amp;Total[[#This Row],[Metodo]],TbTipos[Tecnología]&amp;TbTipos[Metodo],TbTipos[Tipo])</f>
        <v>CUDA con graph</v>
      </c>
      <c r="E1215" s="15" t="str" cm="1">
        <f t="array" ref="E1215">_xlfn.XLOOKUP(Total[[#This Row],[Tecnología]]&amp;Total[[#This Row],[Problema]],TbNombres[Tecnología]&amp;TbNombres[Problema],TbNombres[Nombre])</f>
        <v>Brusselator1d</v>
      </c>
      <c r="F1215" s="1">
        <v>6</v>
      </c>
      <c r="G1215" s="1">
        <v>5</v>
      </c>
      <c r="H1215" s="1">
        <v>256</v>
      </c>
      <c r="I1215" s="1">
        <v>15000</v>
      </c>
      <c r="J1215" s="1">
        <v>30000</v>
      </c>
      <c r="K1215" s="1">
        <v>19.460799999999999</v>
      </c>
    </row>
    <row r="1216" spans="2:11" x14ac:dyDescent="0.2">
      <c r="B1216" s="26" t="str">
        <f>_xlfn.XLOOKUP(Total[[#This Row],[Metodo]],TbSolver[Metodo],TbSolver[Solver])</f>
        <v>Adams Bashford Moulton</v>
      </c>
      <c r="C1216" s="26" t="str">
        <f>_xlfn.XLOOKUP(Total[[#This Row],[Hebras]],TbTecnologia[Hebras],TbTecnologia[Tecnología])</f>
        <v>CUDA</v>
      </c>
      <c r="D1216" s="15" t="str" cm="1">
        <f t="array" ref="D1216">_xlfn.XLOOKUP(Total[[#This Row],[Tecnología]]&amp;Total[[#This Row],[Metodo]],TbTipos[Tecnología]&amp;TbTipos[Metodo],TbTipos[Tipo])</f>
        <v>CUDA con graph</v>
      </c>
      <c r="E1216" s="15" t="str" cm="1">
        <f t="array" ref="E1216">_xlfn.XLOOKUP(Total[[#This Row],[Tecnología]]&amp;Total[[#This Row],[Problema]],TbNombres[Tecnología]&amp;TbNombres[Problema],TbNombres[Nombre])</f>
        <v>Brusselator1d</v>
      </c>
      <c r="F1216" s="1">
        <v>6</v>
      </c>
      <c r="G1216" s="1">
        <v>5</v>
      </c>
      <c r="H1216" s="1">
        <v>256</v>
      </c>
      <c r="I1216" s="1">
        <v>20000</v>
      </c>
      <c r="J1216" s="1">
        <v>40000</v>
      </c>
      <c r="K1216" s="1">
        <v>24.120799999999999</v>
      </c>
    </row>
    <row r="1217" spans="2:11" x14ac:dyDescent="0.2">
      <c r="B1217" s="26" t="str">
        <f>_xlfn.XLOOKUP(Total[[#This Row],[Metodo]],TbSolver[Metodo],TbSolver[Solver])</f>
        <v>Adams Bashford Moulton</v>
      </c>
      <c r="C1217" s="26" t="str">
        <f>_xlfn.XLOOKUP(Total[[#This Row],[Hebras]],TbTecnologia[Hebras],TbTecnologia[Tecnología])</f>
        <v>CUDA</v>
      </c>
      <c r="D1217" s="15" t="str" cm="1">
        <f t="array" ref="D1217">_xlfn.XLOOKUP(Total[[#This Row],[Tecnología]]&amp;Total[[#This Row],[Metodo]],TbTipos[Tecnología]&amp;TbTipos[Metodo],TbTipos[Tipo])</f>
        <v>CUDA con graph</v>
      </c>
      <c r="E1217" s="15" t="str" cm="1">
        <f t="array" ref="E1217">_xlfn.XLOOKUP(Total[[#This Row],[Tecnología]]&amp;Total[[#This Row],[Problema]],TbNombres[Tecnología]&amp;TbNombres[Problema],TbNombres[Nombre])</f>
        <v>Brusselator1d</v>
      </c>
      <c r="F1217" s="1">
        <v>6</v>
      </c>
      <c r="G1217" s="1">
        <v>5</v>
      </c>
      <c r="H1217" s="1">
        <v>256</v>
      </c>
      <c r="I1217" s="1">
        <v>30000</v>
      </c>
      <c r="J1217" s="1">
        <v>60000</v>
      </c>
      <c r="K1217" s="1">
        <v>30.172699999999999</v>
      </c>
    </row>
    <row r="1218" spans="2:11" x14ac:dyDescent="0.2">
      <c r="B1218" s="26" t="str">
        <f>_xlfn.XLOOKUP(Total[[#This Row],[Metodo]],TbSolver[Metodo],TbSolver[Solver])</f>
        <v>Adams Bashford Moulton</v>
      </c>
      <c r="C1218" s="26" t="str">
        <f>_xlfn.XLOOKUP(Total[[#This Row],[Hebras]],TbTecnologia[Hebras],TbTecnologia[Tecnología])</f>
        <v>CUDA</v>
      </c>
      <c r="D1218" s="15" t="str" cm="1">
        <f t="array" ref="D1218">_xlfn.XLOOKUP(Total[[#This Row],[Tecnología]]&amp;Total[[#This Row],[Metodo]],TbTipos[Tecnología]&amp;TbTipos[Metodo],TbTipos[Tipo])</f>
        <v>CUDA con graph</v>
      </c>
      <c r="E1218" s="15" t="str" cm="1">
        <f t="array" ref="E1218">_xlfn.XLOOKUP(Total[[#This Row],[Tecnología]]&amp;Total[[#This Row],[Problema]],TbNombres[Tecnología]&amp;TbNombres[Problema],TbNombres[Nombre])</f>
        <v>Brusselator1d</v>
      </c>
      <c r="F1218" s="1">
        <v>6</v>
      </c>
      <c r="G1218" s="1">
        <v>5</v>
      </c>
      <c r="H1218" s="1">
        <v>256</v>
      </c>
      <c r="I1218" s="1">
        <v>40000</v>
      </c>
      <c r="J1218" s="1">
        <v>80000</v>
      </c>
      <c r="K1218" s="1">
        <v>42.276600000000002</v>
      </c>
    </row>
    <row r="1219" spans="2:11" x14ac:dyDescent="0.2">
      <c r="B1219" s="26" t="str">
        <f>_xlfn.XLOOKUP(Total[[#This Row],[Metodo]],TbSolver[Metodo],TbSolver[Solver])</f>
        <v>Adams Bashford Moulton</v>
      </c>
      <c r="C1219" s="26" t="str">
        <f>_xlfn.XLOOKUP(Total[[#This Row],[Hebras]],TbTecnologia[Hebras],TbTecnologia[Tecnología])</f>
        <v>CUDA</v>
      </c>
      <c r="D1219" s="15" t="str" cm="1">
        <f t="array" ref="D1219">_xlfn.XLOOKUP(Total[[#This Row],[Tecnología]]&amp;Total[[#This Row],[Metodo]],TbTipos[Tecnología]&amp;TbTipos[Metodo],TbTipos[Tipo])</f>
        <v>CUDA con graph</v>
      </c>
      <c r="E1219" s="15" t="str" cm="1">
        <f t="array" ref="E1219">_xlfn.XLOOKUP(Total[[#This Row],[Tecnología]]&amp;Total[[#This Row],[Problema]],TbNombres[Tecnología]&amp;TbNombres[Problema],TbNombres[Nombre])</f>
        <v>Brusselator1d</v>
      </c>
      <c r="F1219" s="1">
        <v>6</v>
      </c>
      <c r="G1219" s="1">
        <v>5</v>
      </c>
      <c r="H1219" s="1">
        <v>256</v>
      </c>
      <c r="I1219" s="1">
        <v>75000</v>
      </c>
      <c r="J1219" s="1">
        <v>150000</v>
      </c>
      <c r="K1219" s="1">
        <v>97.3352</v>
      </c>
    </row>
    <row r="1220" spans="2:11" x14ac:dyDescent="0.2">
      <c r="B1220" s="26" t="str">
        <f>_xlfn.XLOOKUP(Total[[#This Row],[Metodo]],TbSolver[Metodo],TbSolver[Solver])</f>
        <v>Adams Bashford Moulton</v>
      </c>
      <c r="C1220" s="26" t="str">
        <f>_xlfn.XLOOKUP(Total[[#This Row],[Hebras]],TbTecnologia[Hebras],TbTecnologia[Tecnología])</f>
        <v>CUDA</v>
      </c>
      <c r="D1220" s="15" t="str" cm="1">
        <f t="array" ref="D1220">_xlfn.XLOOKUP(Total[[#This Row],[Tecnología]]&amp;Total[[#This Row],[Metodo]],TbTipos[Tecnología]&amp;TbTipos[Metodo],TbTipos[Tipo])</f>
        <v>CUDA con graph</v>
      </c>
      <c r="E1220" s="15" t="str" cm="1">
        <f t="array" ref="E1220">_xlfn.XLOOKUP(Total[[#This Row],[Tecnología]]&amp;Total[[#This Row],[Problema]],TbNombres[Tecnología]&amp;TbNombres[Problema],TbNombres[Nombre])</f>
        <v>Brusselator1d</v>
      </c>
      <c r="F1220" s="1">
        <v>6</v>
      </c>
      <c r="G1220" s="1">
        <v>5</v>
      </c>
      <c r="H1220" s="1">
        <v>256</v>
      </c>
      <c r="I1220" s="1">
        <v>125000</v>
      </c>
      <c r="J1220" s="1">
        <v>250000</v>
      </c>
      <c r="K1220" s="1">
        <v>170.86500000000001</v>
      </c>
    </row>
    <row r="1221" spans="2:11" x14ac:dyDescent="0.2">
      <c r="B1221" s="26" t="str">
        <f>_xlfn.XLOOKUP(Total[[#This Row],[Metodo]],TbSolver[Metodo],TbSolver[Solver])</f>
        <v>Adams Bashford Moulton</v>
      </c>
      <c r="C1221" s="26" t="str">
        <f>_xlfn.XLOOKUP(Total[[#This Row],[Hebras]],TbTecnologia[Hebras],TbTecnologia[Tecnología])</f>
        <v>CUDA</v>
      </c>
      <c r="D1221" s="15" t="str" cm="1">
        <f t="array" ref="D1221">_xlfn.XLOOKUP(Total[[#This Row],[Tecnología]]&amp;Total[[#This Row],[Metodo]],TbTipos[Tecnología]&amp;TbTipos[Metodo],TbTipos[Tipo])</f>
        <v>CUDA con graph</v>
      </c>
      <c r="E1221" s="15" t="str" cm="1">
        <f t="array" ref="E1221">_xlfn.XLOOKUP(Total[[#This Row],[Tecnología]]&amp;Total[[#This Row],[Problema]],TbNombres[Tecnología]&amp;TbNombres[Problema],TbNombres[Nombre])</f>
        <v>Brusselator1d</v>
      </c>
      <c r="F1221" s="1">
        <v>6</v>
      </c>
      <c r="G1221" s="1">
        <v>5</v>
      </c>
      <c r="H1221" s="1">
        <v>256</v>
      </c>
      <c r="I1221" s="1">
        <v>175000</v>
      </c>
      <c r="J1221" s="1">
        <v>350000</v>
      </c>
      <c r="K1221" s="1">
        <v>237.79400000000001</v>
      </c>
    </row>
    <row r="1222" spans="2:11" x14ac:dyDescent="0.2">
      <c r="B1222" s="26" t="str">
        <f>_xlfn.XLOOKUP(Total[[#This Row],[Metodo]],TbSolver[Metodo],TbSolver[Solver])</f>
        <v>Adams Bashford Moulton</v>
      </c>
      <c r="C1222" s="26" t="str">
        <f>_xlfn.XLOOKUP(Total[[#This Row],[Hebras]],TbTecnologia[Hebras],TbTecnologia[Tecnología])</f>
        <v>CUDA</v>
      </c>
      <c r="D1222" s="15" t="str" cm="1">
        <f t="array" ref="D1222">_xlfn.XLOOKUP(Total[[#This Row],[Tecnología]]&amp;Total[[#This Row],[Metodo]],TbTipos[Tecnología]&amp;TbTipos[Metodo],TbTipos[Tipo])</f>
        <v>CUDA con graph</v>
      </c>
      <c r="E1222" s="15" t="str" cm="1">
        <f t="array" ref="E1222">_xlfn.XLOOKUP(Total[[#This Row],[Tecnología]]&amp;Total[[#This Row],[Problema]],TbNombres[Tecnología]&amp;TbNombres[Problema],TbNombres[Nombre])</f>
        <v>Brusselator1d</v>
      </c>
      <c r="F1222" s="1">
        <v>6</v>
      </c>
      <c r="G1222" s="1">
        <v>5</v>
      </c>
      <c r="H1222" s="1">
        <v>256</v>
      </c>
      <c r="I1222" s="1">
        <v>750000</v>
      </c>
      <c r="J1222" s="1">
        <v>1500000</v>
      </c>
      <c r="K1222" s="1">
        <v>946.94100000000003</v>
      </c>
    </row>
    <row r="1223" spans="2:11" x14ac:dyDescent="0.2">
      <c r="B1223" s="26" t="str">
        <f>_xlfn.XLOOKUP(Total[[#This Row],[Metodo]],TbSolver[Metodo],TbSolver[Solver])</f>
        <v>Adams Bashford Moulton</v>
      </c>
      <c r="C1223" s="26" t="str">
        <f>_xlfn.XLOOKUP(Total[[#This Row],[Hebras]],TbTecnologia[Hebras],TbTecnologia[Tecnología])</f>
        <v>CUDA</v>
      </c>
      <c r="D1223" s="15" t="str" cm="1">
        <f t="array" ref="D1223">_xlfn.XLOOKUP(Total[[#This Row],[Tecnología]]&amp;Total[[#This Row],[Metodo]],TbTipos[Tecnología]&amp;TbTipos[Metodo],TbTipos[Tipo])</f>
        <v>CUDA con graph</v>
      </c>
      <c r="E1223" s="15" t="str" cm="1">
        <f t="array" ref="E1223">_xlfn.XLOOKUP(Total[[#This Row],[Tecnología]]&amp;Total[[#This Row],[Problema]],TbNombres[Tecnología]&amp;TbNombres[Problema],TbNombres[Nombre])</f>
        <v>Brusselator1d</v>
      </c>
      <c r="F1223" s="1">
        <v>6</v>
      </c>
      <c r="G1223" s="1">
        <v>5</v>
      </c>
      <c r="H1223" s="1">
        <v>256</v>
      </c>
      <c r="I1223" s="1">
        <v>1000000</v>
      </c>
      <c r="J1223" s="1">
        <v>2000000</v>
      </c>
      <c r="K1223" s="1">
        <v>1254.5999999999999</v>
      </c>
    </row>
    <row r="1224" spans="2:11" x14ac:dyDescent="0.2">
      <c r="B1224" s="26" t="str">
        <f>_xlfn.XLOOKUP(Total[[#This Row],[Metodo]],TbSolver[Metodo],TbSolver[Solver])</f>
        <v>Runge Kutta</v>
      </c>
      <c r="C1224" s="26" t="str">
        <f>_xlfn.XLOOKUP(Total[[#This Row],[Hebras]],TbTecnologia[Hebras],TbTecnologia[Tecnología])</f>
        <v>CUDA</v>
      </c>
      <c r="D1224" s="15" t="str" cm="1">
        <f t="array" ref="D1224">_xlfn.XLOOKUP(Total[[#This Row],[Tecnología]]&amp;Total[[#This Row],[Metodo]],TbTipos[Tecnología]&amp;TbTipos[Metodo],TbTipos[Tipo])</f>
        <v>CUDA sin graph</v>
      </c>
      <c r="E1224" s="15" t="str" cm="1">
        <f t="array" ref="E1224">_xlfn.XLOOKUP(Total[[#This Row],[Tecnología]]&amp;Total[[#This Row],[Problema]],TbNombres[Tecnología]&amp;TbNombres[Problema],TbNombres[Nombre])</f>
        <v>Brusselator2d</v>
      </c>
      <c r="F1224" s="1">
        <v>1</v>
      </c>
      <c r="G1224" s="1">
        <v>8</v>
      </c>
      <c r="H1224" s="1">
        <v>256</v>
      </c>
      <c r="I1224" s="1">
        <v>25</v>
      </c>
      <c r="J1224" s="1">
        <v>1250</v>
      </c>
      <c r="K1224" s="1">
        <v>19.946899999999999</v>
      </c>
    </row>
    <row r="1225" spans="2:11" x14ac:dyDescent="0.2">
      <c r="B1225" s="26" t="str">
        <f>_xlfn.XLOOKUP(Total[[#This Row],[Metodo]],TbSolver[Metodo],TbSolver[Solver])</f>
        <v>Runge Kutta</v>
      </c>
      <c r="C1225" s="26" t="str">
        <f>_xlfn.XLOOKUP(Total[[#This Row],[Hebras]],TbTecnologia[Hebras],TbTecnologia[Tecnología])</f>
        <v>CUDA</v>
      </c>
      <c r="D1225" s="15" t="str" cm="1">
        <f t="array" ref="D1225">_xlfn.XLOOKUP(Total[[#This Row],[Tecnología]]&amp;Total[[#This Row],[Metodo]],TbTipos[Tecnología]&amp;TbTipos[Metodo],TbTipos[Tipo])</f>
        <v>CUDA sin graph</v>
      </c>
      <c r="E1225" s="15" t="str" cm="1">
        <f t="array" ref="E1225">_xlfn.XLOOKUP(Total[[#This Row],[Tecnología]]&amp;Total[[#This Row],[Problema]],TbNombres[Tecnología]&amp;TbNombres[Problema],TbNombres[Nombre])</f>
        <v>Brusselator2d</v>
      </c>
      <c r="F1225" s="1">
        <v>1</v>
      </c>
      <c r="G1225" s="1">
        <v>8</v>
      </c>
      <c r="H1225" s="1">
        <v>256</v>
      </c>
      <c r="I1225" s="1">
        <v>75</v>
      </c>
      <c r="J1225" s="1">
        <v>11250</v>
      </c>
      <c r="K1225" s="1">
        <v>20.36</v>
      </c>
    </row>
    <row r="1226" spans="2:11" x14ac:dyDescent="0.2">
      <c r="B1226" s="26" t="str">
        <f>_xlfn.XLOOKUP(Total[[#This Row],[Metodo]],TbSolver[Metodo],TbSolver[Solver])</f>
        <v>Runge Kutta</v>
      </c>
      <c r="C1226" s="26" t="str">
        <f>_xlfn.XLOOKUP(Total[[#This Row],[Hebras]],TbTecnologia[Hebras],TbTecnologia[Tecnología])</f>
        <v>CUDA</v>
      </c>
      <c r="D1226" s="15" t="str" cm="1">
        <f t="array" ref="D1226">_xlfn.XLOOKUP(Total[[#This Row],[Tecnología]]&amp;Total[[#This Row],[Metodo]],TbTipos[Tecnología]&amp;TbTipos[Metodo],TbTipos[Tipo])</f>
        <v>CUDA sin graph</v>
      </c>
      <c r="E1226" s="15" t="str" cm="1">
        <f t="array" ref="E1226">_xlfn.XLOOKUP(Total[[#This Row],[Tecnología]]&amp;Total[[#This Row],[Problema]],TbNombres[Tecnología]&amp;TbNombres[Problema],TbNombres[Nombre])</f>
        <v>Brusselator2d</v>
      </c>
      <c r="F1226" s="1">
        <v>1</v>
      </c>
      <c r="G1226" s="1">
        <v>8</v>
      </c>
      <c r="H1226" s="1">
        <v>256</v>
      </c>
      <c r="I1226" s="1">
        <v>125</v>
      </c>
      <c r="J1226" s="1">
        <v>31250</v>
      </c>
      <c r="K1226" s="1">
        <v>28.642199999999999</v>
      </c>
    </row>
    <row r="1227" spans="2:11" x14ac:dyDescent="0.2">
      <c r="B1227" s="26" t="str">
        <f>_xlfn.XLOOKUP(Total[[#This Row],[Metodo]],TbSolver[Metodo],TbSolver[Solver])</f>
        <v>Runge Kutta</v>
      </c>
      <c r="C1227" s="26" t="str">
        <f>_xlfn.XLOOKUP(Total[[#This Row],[Hebras]],TbTecnologia[Hebras],TbTecnologia[Tecnología])</f>
        <v>CUDA</v>
      </c>
      <c r="D1227" s="15" t="str" cm="1">
        <f t="array" ref="D1227">_xlfn.XLOOKUP(Total[[#This Row],[Tecnología]]&amp;Total[[#This Row],[Metodo]],TbTipos[Tecnología]&amp;TbTipos[Metodo],TbTipos[Tipo])</f>
        <v>CUDA sin graph</v>
      </c>
      <c r="E1227" s="15" t="str" cm="1">
        <f t="array" ref="E1227">_xlfn.XLOOKUP(Total[[#This Row],[Tecnología]]&amp;Total[[#This Row],[Problema]],TbNombres[Tecnología]&amp;TbNombres[Problema],TbNombres[Nombre])</f>
        <v>Brusselator2d</v>
      </c>
      <c r="F1227" s="1">
        <v>1</v>
      </c>
      <c r="G1227" s="1">
        <v>8</v>
      </c>
      <c r="H1227" s="1">
        <v>256</v>
      </c>
      <c r="I1227" s="1">
        <v>150</v>
      </c>
      <c r="J1227" s="1">
        <v>45000</v>
      </c>
      <c r="K1227" s="1">
        <v>36.383000000000003</v>
      </c>
    </row>
    <row r="1228" spans="2:11" x14ac:dyDescent="0.2">
      <c r="B1228" s="26" t="str">
        <f>_xlfn.XLOOKUP(Total[[#This Row],[Metodo]],TbSolver[Metodo],TbSolver[Solver])</f>
        <v>Runge Kutta</v>
      </c>
      <c r="C1228" s="26" t="str">
        <f>_xlfn.XLOOKUP(Total[[#This Row],[Hebras]],TbTecnologia[Hebras],TbTecnologia[Tecnología])</f>
        <v>CUDA</v>
      </c>
      <c r="D1228" s="15" t="str" cm="1">
        <f t="array" ref="D1228">_xlfn.XLOOKUP(Total[[#This Row],[Tecnología]]&amp;Total[[#This Row],[Metodo]],TbTipos[Tecnología]&amp;TbTipos[Metodo],TbTipos[Tipo])</f>
        <v>CUDA sin graph</v>
      </c>
      <c r="E1228" s="15" t="str" cm="1">
        <f t="array" ref="E1228">_xlfn.XLOOKUP(Total[[#This Row],[Tecnología]]&amp;Total[[#This Row],[Problema]],TbNombres[Tecnología]&amp;TbNombres[Problema],TbNombres[Nombre])</f>
        <v>Brusselator2d</v>
      </c>
      <c r="F1228" s="1">
        <v>1</v>
      </c>
      <c r="G1228" s="1">
        <v>8</v>
      </c>
      <c r="H1228" s="1">
        <v>256</v>
      </c>
      <c r="I1228" s="1">
        <v>175</v>
      </c>
      <c r="J1228" s="1">
        <v>61250</v>
      </c>
      <c r="K1228" s="1">
        <v>44.959899999999998</v>
      </c>
    </row>
    <row r="1229" spans="2:11" x14ac:dyDescent="0.2">
      <c r="B1229" s="26" t="str">
        <f>_xlfn.XLOOKUP(Total[[#This Row],[Metodo]],TbSolver[Metodo],TbSolver[Solver])</f>
        <v>Runge Kutta</v>
      </c>
      <c r="C1229" s="26" t="str">
        <f>_xlfn.XLOOKUP(Total[[#This Row],[Hebras]],TbTecnologia[Hebras],TbTecnologia[Tecnología])</f>
        <v>CUDA</v>
      </c>
      <c r="D1229" s="15" t="str" cm="1">
        <f t="array" ref="D1229">_xlfn.XLOOKUP(Total[[#This Row],[Tecnología]]&amp;Total[[#This Row],[Metodo]],TbTipos[Tecnología]&amp;TbTipos[Metodo],TbTipos[Tipo])</f>
        <v>CUDA sin graph</v>
      </c>
      <c r="E1229" s="15" t="str" cm="1">
        <f t="array" ref="E1229">_xlfn.XLOOKUP(Total[[#This Row],[Tecnología]]&amp;Total[[#This Row],[Problema]],TbNombres[Tecnología]&amp;TbNombres[Problema],TbNombres[Nombre])</f>
        <v>Brusselator2d</v>
      </c>
      <c r="F1229" s="1">
        <v>1</v>
      </c>
      <c r="G1229" s="1">
        <v>8</v>
      </c>
      <c r="H1229" s="1">
        <v>256</v>
      </c>
      <c r="I1229" s="1">
        <v>225</v>
      </c>
      <c r="J1229" s="1">
        <v>101250</v>
      </c>
      <c r="K1229" s="1">
        <v>61.4313</v>
      </c>
    </row>
    <row r="1230" spans="2:11" x14ac:dyDescent="0.2">
      <c r="B1230" s="26" t="str">
        <f>_xlfn.XLOOKUP(Total[[#This Row],[Metodo]],TbSolver[Metodo],TbSolver[Solver])</f>
        <v>Runge Kutta</v>
      </c>
      <c r="C1230" s="26" t="str">
        <f>_xlfn.XLOOKUP(Total[[#This Row],[Hebras]],TbTecnologia[Hebras],TbTecnologia[Tecnología])</f>
        <v>CUDA</v>
      </c>
      <c r="D1230" s="15" t="str" cm="1">
        <f t="array" ref="D1230">_xlfn.XLOOKUP(Total[[#This Row],[Tecnología]]&amp;Total[[#This Row],[Metodo]],TbTipos[Tecnología]&amp;TbTipos[Metodo],TbTipos[Tipo])</f>
        <v>CUDA sin graph</v>
      </c>
      <c r="E1230" s="15" t="str" cm="1">
        <f t="array" ref="E1230">_xlfn.XLOOKUP(Total[[#This Row],[Tecnología]]&amp;Total[[#This Row],[Problema]],TbNombres[Tecnología]&amp;TbNombres[Problema],TbNombres[Nombre])</f>
        <v>Brusselator2d</v>
      </c>
      <c r="F1230" s="1">
        <v>1</v>
      </c>
      <c r="G1230" s="1">
        <v>8</v>
      </c>
      <c r="H1230" s="1">
        <v>256</v>
      </c>
      <c r="I1230" s="1">
        <v>250</v>
      </c>
      <c r="J1230" s="1">
        <v>125000</v>
      </c>
      <c r="K1230" s="1">
        <v>77.1447</v>
      </c>
    </row>
    <row r="1231" spans="2:11" x14ac:dyDescent="0.2">
      <c r="B1231" s="26" t="str">
        <f>_xlfn.XLOOKUP(Total[[#This Row],[Metodo]],TbSolver[Metodo],TbSolver[Solver])</f>
        <v>Runge Kutta</v>
      </c>
      <c r="C1231" s="26" t="str">
        <f>_xlfn.XLOOKUP(Total[[#This Row],[Hebras]],TbTecnologia[Hebras],TbTecnologia[Tecnología])</f>
        <v>CUDA</v>
      </c>
      <c r="D1231" s="15" t="str" cm="1">
        <f t="array" ref="D1231">_xlfn.XLOOKUP(Total[[#This Row],[Tecnología]]&amp;Total[[#This Row],[Metodo]],TbTipos[Tecnología]&amp;TbTipos[Metodo],TbTipos[Tipo])</f>
        <v>CUDA sin graph</v>
      </c>
      <c r="E1231" s="15" t="str" cm="1">
        <f t="array" ref="E1231">_xlfn.XLOOKUP(Total[[#This Row],[Tecnología]]&amp;Total[[#This Row],[Problema]],TbNombres[Tecnología]&amp;TbNombres[Problema],TbNombres[Nombre])</f>
        <v>Brusselator2d</v>
      </c>
      <c r="F1231" s="1">
        <v>1</v>
      </c>
      <c r="G1231" s="1">
        <v>8</v>
      </c>
      <c r="H1231" s="1">
        <v>256</v>
      </c>
      <c r="I1231" s="1">
        <v>300</v>
      </c>
      <c r="J1231" s="1">
        <v>180000</v>
      </c>
      <c r="K1231" s="1">
        <v>111.788</v>
      </c>
    </row>
    <row r="1232" spans="2:11" x14ac:dyDescent="0.2">
      <c r="B1232" s="26" t="str">
        <f>_xlfn.XLOOKUP(Total[[#This Row],[Metodo]],TbSolver[Metodo],TbSolver[Solver])</f>
        <v>Runge Kutta</v>
      </c>
      <c r="C1232" s="26" t="str">
        <f>_xlfn.XLOOKUP(Total[[#This Row],[Hebras]],TbTecnologia[Hebras],TbTecnologia[Tecnología])</f>
        <v>CUDA</v>
      </c>
      <c r="D1232" s="15" t="str" cm="1">
        <f t="array" ref="D1232">_xlfn.XLOOKUP(Total[[#This Row],[Tecnología]]&amp;Total[[#This Row],[Metodo]],TbTipos[Tecnología]&amp;TbTipos[Metodo],TbTipos[Tipo])</f>
        <v>CUDA sin graph</v>
      </c>
      <c r="E1232" s="15" t="str" cm="1">
        <f t="array" ref="E1232">_xlfn.XLOOKUP(Total[[#This Row],[Tecnología]]&amp;Total[[#This Row],[Problema]],TbNombres[Tecnología]&amp;TbNombres[Problema],TbNombres[Nombre])</f>
        <v>Brusselator2d</v>
      </c>
      <c r="F1232" s="1">
        <v>1</v>
      </c>
      <c r="G1232" s="1">
        <v>8</v>
      </c>
      <c r="H1232" s="1">
        <v>256</v>
      </c>
      <c r="I1232" s="1">
        <v>400</v>
      </c>
      <c r="J1232" s="1">
        <v>320000</v>
      </c>
      <c r="K1232" s="1">
        <v>200.74600000000001</v>
      </c>
    </row>
    <row r="1233" spans="2:11" x14ac:dyDescent="0.2">
      <c r="B1233" s="26" t="str">
        <f>_xlfn.XLOOKUP(Total[[#This Row],[Metodo]],TbSolver[Metodo],TbSolver[Solver])</f>
        <v>Runge Kutta</v>
      </c>
      <c r="C1233" s="26" t="str">
        <f>_xlfn.XLOOKUP(Total[[#This Row],[Hebras]],TbTecnologia[Hebras],TbTecnologia[Tecnología])</f>
        <v>CUDA</v>
      </c>
      <c r="D1233" s="15" t="str" cm="1">
        <f t="array" ref="D1233">_xlfn.XLOOKUP(Total[[#This Row],[Tecnología]]&amp;Total[[#This Row],[Metodo]],TbTipos[Tecnología]&amp;TbTipos[Metodo],TbTipos[Tipo])</f>
        <v>CUDA sin graph</v>
      </c>
      <c r="E1233" s="15" t="str" cm="1">
        <f t="array" ref="E1233">_xlfn.XLOOKUP(Total[[#This Row],[Tecnología]]&amp;Total[[#This Row],[Problema]],TbNombres[Tecnología]&amp;TbNombres[Problema],TbNombres[Nombre])</f>
        <v>Brusselator2d</v>
      </c>
      <c r="F1233" s="1">
        <v>1</v>
      </c>
      <c r="G1233" s="1">
        <v>8</v>
      </c>
      <c r="H1233" s="1">
        <v>256</v>
      </c>
      <c r="I1233" s="1">
        <v>600</v>
      </c>
      <c r="J1233" s="1">
        <v>720000</v>
      </c>
      <c r="K1233" s="1">
        <v>473.55599999999998</v>
      </c>
    </row>
    <row r="1234" spans="2:11" x14ac:dyDescent="0.2">
      <c r="B1234" s="26" t="str">
        <f>_xlfn.XLOOKUP(Total[[#This Row],[Metodo]],TbSolver[Metodo],TbSolver[Solver])</f>
        <v>Runge Kutta</v>
      </c>
      <c r="C1234" s="26" t="str">
        <f>_xlfn.XLOOKUP(Total[[#This Row],[Hebras]],TbTecnologia[Hebras],TbTecnologia[Tecnología])</f>
        <v>CUDA</v>
      </c>
      <c r="D1234" s="15" t="str" cm="1">
        <f t="array" ref="D1234">_xlfn.XLOOKUP(Total[[#This Row],[Tecnología]]&amp;Total[[#This Row],[Metodo]],TbTipos[Tecnología]&amp;TbTipos[Metodo],TbTipos[Tipo])</f>
        <v>CUDA sin graph</v>
      </c>
      <c r="E1234" s="15" t="str" cm="1">
        <f t="array" ref="E1234">_xlfn.XLOOKUP(Total[[#This Row],[Tecnología]]&amp;Total[[#This Row],[Problema]],TbNombres[Tecnología]&amp;TbNombres[Problema],TbNombres[Nombre])</f>
        <v>Brusselator2d</v>
      </c>
      <c r="F1234" s="1">
        <v>1</v>
      </c>
      <c r="G1234" s="1">
        <v>8</v>
      </c>
      <c r="H1234" s="1">
        <v>256</v>
      </c>
      <c r="I1234" s="1">
        <v>700</v>
      </c>
      <c r="J1234" s="1">
        <v>980000</v>
      </c>
      <c r="K1234" s="1">
        <v>635.83399999999995</v>
      </c>
    </row>
    <row r="1235" spans="2:11" x14ac:dyDescent="0.2">
      <c r="B1235" s="26" t="str">
        <f>_xlfn.XLOOKUP(Total[[#This Row],[Metodo]],TbSolver[Metodo],TbSolver[Solver])</f>
        <v>Runge Kutta</v>
      </c>
      <c r="C1235" s="26" t="str">
        <f>_xlfn.XLOOKUP(Total[[#This Row],[Hebras]],TbTecnologia[Hebras],TbTecnologia[Tecnología])</f>
        <v>CUDA</v>
      </c>
      <c r="D1235" s="15" t="str" cm="1">
        <f t="array" ref="D1235">_xlfn.XLOOKUP(Total[[#This Row],[Tecnología]]&amp;Total[[#This Row],[Metodo]],TbTipos[Tecnología]&amp;TbTipos[Metodo],TbTipos[Tipo])</f>
        <v>CUDA con graph</v>
      </c>
      <c r="E1235" s="15" t="str" cm="1">
        <f t="array" ref="E1235">_xlfn.XLOOKUP(Total[[#This Row],[Tecnología]]&amp;Total[[#This Row],[Problema]],TbNombres[Tecnología]&amp;TbNombres[Problema],TbNombres[Nombre])</f>
        <v>Brusselator2d</v>
      </c>
      <c r="F1235" s="1">
        <v>2</v>
      </c>
      <c r="G1235" s="1">
        <v>8</v>
      </c>
      <c r="H1235" s="1">
        <v>256</v>
      </c>
      <c r="I1235" s="1">
        <v>25</v>
      </c>
      <c r="J1235" s="1">
        <v>1250</v>
      </c>
      <c r="K1235" s="1">
        <v>17.0261</v>
      </c>
    </row>
    <row r="1236" spans="2:11" x14ac:dyDescent="0.2">
      <c r="B1236" s="26" t="str">
        <f>_xlfn.XLOOKUP(Total[[#This Row],[Metodo]],TbSolver[Metodo],TbSolver[Solver])</f>
        <v>Runge Kutta</v>
      </c>
      <c r="C1236" s="26" t="str">
        <f>_xlfn.XLOOKUP(Total[[#This Row],[Hebras]],TbTecnologia[Hebras],TbTecnologia[Tecnología])</f>
        <v>CUDA</v>
      </c>
      <c r="D1236" s="15" t="str" cm="1">
        <f t="array" ref="D1236">_xlfn.XLOOKUP(Total[[#This Row],[Tecnología]]&amp;Total[[#This Row],[Metodo]],TbTipos[Tecnología]&amp;TbTipos[Metodo],TbTipos[Tipo])</f>
        <v>CUDA con graph</v>
      </c>
      <c r="E1236" s="15" t="str" cm="1">
        <f t="array" ref="E1236">_xlfn.XLOOKUP(Total[[#This Row],[Tecnología]]&amp;Total[[#This Row],[Problema]],TbNombres[Tecnología]&amp;TbNombres[Problema],TbNombres[Nombre])</f>
        <v>Brusselator2d</v>
      </c>
      <c r="F1236" s="1">
        <v>2</v>
      </c>
      <c r="G1236" s="1">
        <v>8</v>
      </c>
      <c r="H1236" s="1">
        <v>256</v>
      </c>
      <c r="I1236" s="1">
        <v>75</v>
      </c>
      <c r="J1236" s="1">
        <v>11250</v>
      </c>
      <c r="K1236" s="1">
        <v>17.444199999999999</v>
      </c>
    </row>
    <row r="1237" spans="2:11" x14ac:dyDescent="0.2">
      <c r="B1237" s="26" t="str">
        <f>_xlfn.XLOOKUP(Total[[#This Row],[Metodo]],TbSolver[Metodo],TbSolver[Solver])</f>
        <v>Runge Kutta</v>
      </c>
      <c r="C1237" s="26" t="str">
        <f>_xlfn.XLOOKUP(Total[[#This Row],[Hebras]],TbTecnologia[Hebras],TbTecnologia[Tecnología])</f>
        <v>CUDA</v>
      </c>
      <c r="D1237" s="15" t="str" cm="1">
        <f t="array" ref="D1237">_xlfn.XLOOKUP(Total[[#This Row],[Tecnología]]&amp;Total[[#This Row],[Metodo]],TbTipos[Tecnología]&amp;TbTipos[Metodo],TbTipos[Tipo])</f>
        <v>CUDA con graph</v>
      </c>
      <c r="E1237" s="15" t="str" cm="1">
        <f t="array" ref="E1237">_xlfn.XLOOKUP(Total[[#This Row],[Tecnología]]&amp;Total[[#This Row],[Problema]],TbNombres[Tecnología]&amp;TbNombres[Problema],TbNombres[Nombre])</f>
        <v>Brusselator2d</v>
      </c>
      <c r="F1237" s="1">
        <v>2</v>
      </c>
      <c r="G1237" s="1">
        <v>8</v>
      </c>
      <c r="H1237" s="1">
        <v>256</v>
      </c>
      <c r="I1237" s="1">
        <v>125</v>
      </c>
      <c r="J1237" s="1">
        <v>31250</v>
      </c>
      <c r="K1237" s="1">
        <v>25.8644</v>
      </c>
    </row>
    <row r="1238" spans="2:11" x14ac:dyDescent="0.2">
      <c r="B1238" s="26" t="str">
        <f>_xlfn.XLOOKUP(Total[[#This Row],[Metodo]],TbSolver[Metodo],TbSolver[Solver])</f>
        <v>Runge Kutta</v>
      </c>
      <c r="C1238" s="26" t="str">
        <f>_xlfn.XLOOKUP(Total[[#This Row],[Hebras]],TbTecnologia[Hebras],TbTecnologia[Tecnología])</f>
        <v>CUDA</v>
      </c>
      <c r="D1238" s="15" t="str" cm="1">
        <f t="array" ref="D1238">_xlfn.XLOOKUP(Total[[#This Row],[Tecnología]]&amp;Total[[#This Row],[Metodo]],TbTipos[Tecnología]&amp;TbTipos[Metodo],TbTipos[Tipo])</f>
        <v>CUDA con graph</v>
      </c>
      <c r="E1238" s="15" t="str" cm="1">
        <f t="array" ref="E1238">_xlfn.XLOOKUP(Total[[#This Row],[Tecnología]]&amp;Total[[#This Row],[Problema]],TbNombres[Tecnología]&amp;TbNombres[Problema],TbNombres[Nombre])</f>
        <v>Brusselator2d</v>
      </c>
      <c r="F1238" s="1">
        <v>2</v>
      </c>
      <c r="G1238" s="1">
        <v>8</v>
      </c>
      <c r="H1238" s="1">
        <v>256</v>
      </c>
      <c r="I1238" s="1">
        <v>150</v>
      </c>
      <c r="J1238" s="1">
        <v>45000</v>
      </c>
      <c r="K1238" s="1">
        <v>33.9236</v>
      </c>
    </row>
    <row r="1239" spans="2:11" x14ac:dyDescent="0.2">
      <c r="B1239" s="26" t="str">
        <f>_xlfn.XLOOKUP(Total[[#This Row],[Metodo]],TbSolver[Metodo],TbSolver[Solver])</f>
        <v>Runge Kutta</v>
      </c>
      <c r="C1239" s="26" t="str">
        <f>_xlfn.XLOOKUP(Total[[#This Row],[Hebras]],TbTecnologia[Hebras],TbTecnologia[Tecnología])</f>
        <v>CUDA</v>
      </c>
      <c r="D1239" s="15" t="str" cm="1">
        <f t="array" ref="D1239">_xlfn.XLOOKUP(Total[[#This Row],[Tecnología]]&amp;Total[[#This Row],[Metodo]],TbTipos[Tecnología]&amp;TbTipos[Metodo],TbTipos[Tipo])</f>
        <v>CUDA con graph</v>
      </c>
      <c r="E1239" s="15" t="str" cm="1">
        <f t="array" ref="E1239">_xlfn.XLOOKUP(Total[[#This Row],[Tecnología]]&amp;Total[[#This Row],[Problema]],TbNombres[Tecnología]&amp;TbNombres[Problema],TbNombres[Nombre])</f>
        <v>Brusselator2d</v>
      </c>
      <c r="F1239" s="1">
        <v>2</v>
      </c>
      <c r="G1239" s="1">
        <v>8</v>
      </c>
      <c r="H1239" s="1">
        <v>256</v>
      </c>
      <c r="I1239" s="1">
        <v>175</v>
      </c>
      <c r="J1239" s="1">
        <v>61250</v>
      </c>
      <c r="K1239" s="1">
        <v>42.475999999999999</v>
      </c>
    </row>
    <row r="1240" spans="2:11" x14ac:dyDescent="0.2">
      <c r="B1240" s="26" t="str">
        <f>_xlfn.XLOOKUP(Total[[#This Row],[Metodo]],TbSolver[Metodo],TbSolver[Solver])</f>
        <v>Runge Kutta</v>
      </c>
      <c r="C1240" s="26" t="str">
        <f>_xlfn.XLOOKUP(Total[[#This Row],[Hebras]],TbTecnologia[Hebras],TbTecnologia[Tecnología])</f>
        <v>CUDA</v>
      </c>
      <c r="D1240" s="15" t="str" cm="1">
        <f t="array" ref="D1240">_xlfn.XLOOKUP(Total[[#This Row],[Tecnología]]&amp;Total[[#This Row],[Metodo]],TbTipos[Tecnología]&amp;TbTipos[Metodo],TbTipos[Tipo])</f>
        <v>CUDA con graph</v>
      </c>
      <c r="E1240" s="15" t="str" cm="1">
        <f t="array" ref="E1240">_xlfn.XLOOKUP(Total[[#This Row],[Tecnología]]&amp;Total[[#This Row],[Problema]],TbNombres[Tecnología]&amp;TbNombres[Problema],TbNombres[Nombre])</f>
        <v>Brusselator2d</v>
      </c>
      <c r="F1240" s="1">
        <v>2</v>
      </c>
      <c r="G1240" s="1">
        <v>8</v>
      </c>
      <c r="H1240" s="1">
        <v>256</v>
      </c>
      <c r="I1240" s="1">
        <v>225</v>
      </c>
      <c r="J1240" s="1">
        <v>101250</v>
      </c>
      <c r="K1240" s="1">
        <v>59.8003</v>
      </c>
    </row>
    <row r="1241" spans="2:11" x14ac:dyDescent="0.2">
      <c r="B1241" s="26" t="str">
        <f>_xlfn.XLOOKUP(Total[[#This Row],[Metodo]],TbSolver[Metodo],TbSolver[Solver])</f>
        <v>Runge Kutta</v>
      </c>
      <c r="C1241" s="26" t="str">
        <f>_xlfn.XLOOKUP(Total[[#This Row],[Hebras]],TbTecnologia[Hebras],TbTecnologia[Tecnología])</f>
        <v>CUDA</v>
      </c>
      <c r="D1241" s="15" t="str" cm="1">
        <f t="array" ref="D1241">_xlfn.XLOOKUP(Total[[#This Row],[Tecnología]]&amp;Total[[#This Row],[Metodo]],TbTipos[Tecnología]&amp;TbTipos[Metodo],TbTipos[Tipo])</f>
        <v>CUDA con graph</v>
      </c>
      <c r="E1241" s="15" t="str" cm="1">
        <f t="array" ref="E1241">_xlfn.XLOOKUP(Total[[#This Row],[Tecnología]]&amp;Total[[#This Row],[Problema]],TbNombres[Tecnología]&amp;TbNombres[Problema],TbNombres[Nombre])</f>
        <v>Brusselator2d</v>
      </c>
      <c r="F1241" s="1">
        <v>2</v>
      </c>
      <c r="G1241" s="1">
        <v>8</v>
      </c>
      <c r="H1241" s="1">
        <v>256</v>
      </c>
      <c r="I1241" s="1">
        <v>250</v>
      </c>
      <c r="J1241" s="1">
        <v>125000</v>
      </c>
      <c r="K1241" s="1">
        <v>76.344099999999997</v>
      </c>
    </row>
    <row r="1242" spans="2:11" x14ac:dyDescent="0.2">
      <c r="B1242" s="26" t="str">
        <f>_xlfn.XLOOKUP(Total[[#This Row],[Metodo]],TbSolver[Metodo],TbSolver[Solver])</f>
        <v>Runge Kutta</v>
      </c>
      <c r="C1242" s="26" t="str">
        <f>_xlfn.XLOOKUP(Total[[#This Row],[Hebras]],TbTecnologia[Hebras],TbTecnologia[Tecnología])</f>
        <v>CUDA</v>
      </c>
      <c r="D1242" s="15" t="str" cm="1">
        <f t="array" ref="D1242">_xlfn.XLOOKUP(Total[[#This Row],[Tecnología]]&amp;Total[[#This Row],[Metodo]],TbTipos[Tecnología]&amp;TbTipos[Metodo],TbTipos[Tipo])</f>
        <v>CUDA con graph</v>
      </c>
      <c r="E1242" s="15" t="str" cm="1">
        <f t="array" ref="E1242">_xlfn.XLOOKUP(Total[[#This Row],[Tecnología]]&amp;Total[[#This Row],[Problema]],TbNombres[Tecnología]&amp;TbNombres[Problema],TbNombres[Nombre])</f>
        <v>Brusselator2d</v>
      </c>
      <c r="F1242" s="1">
        <v>2</v>
      </c>
      <c r="G1242" s="1">
        <v>8</v>
      </c>
      <c r="H1242" s="1">
        <v>256</v>
      </c>
      <c r="I1242" s="1">
        <v>300</v>
      </c>
      <c r="J1242" s="1">
        <v>180000</v>
      </c>
      <c r="K1242" s="1">
        <v>111.846</v>
      </c>
    </row>
    <row r="1243" spans="2:11" x14ac:dyDescent="0.2">
      <c r="B1243" s="26" t="str">
        <f>_xlfn.XLOOKUP(Total[[#This Row],[Metodo]],TbSolver[Metodo],TbSolver[Solver])</f>
        <v>Runge Kutta</v>
      </c>
      <c r="C1243" s="26" t="str">
        <f>_xlfn.XLOOKUP(Total[[#This Row],[Hebras]],TbTecnologia[Hebras],TbTecnologia[Tecnología])</f>
        <v>CUDA</v>
      </c>
      <c r="D1243" s="15" t="str" cm="1">
        <f t="array" ref="D1243">_xlfn.XLOOKUP(Total[[#This Row],[Tecnología]]&amp;Total[[#This Row],[Metodo]],TbTipos[Tecnología]&amp;TbTipos[Metodo],TbTipos[Tipo])</f>
        <v>CUDA con graph</v>
      </c>
      <c r="E1243" s="15" t="str" cm="1">
        <f t="array" ref="E1243">_xlfn.XLOOKUP(Total[[#This Row],[Tecnología]]&amp;Total[[#This Row],[Problema]],TbNombres[Tecnología]&amp;TbNombres[Problema],TbNombres[Nombre])</f>
        <v>Brusselator2d</v>
      </c>
      <c r="F1243" s="1">
        <v>2</v>
      </c>
      <c r="G1243" s="1">
        <v>8</v>
      </c>
      <c r="H1243" s="1">
        <v>256</v>
      </c>
      <c r="I1243" s="1">
        <v>400</v>
      </c>
      <c r="J1243" s="1">
        <v>320000</v>
      </c>
      <c r="K1243" s="1">
        <v>202.398</v>
      </c>
    </row>
    <row r="1244" spans="2:11" x14ac:dyDescent="0.2">
      <c r="B1244" s="26" t="str">
        <f>_xlfn.XLOOKUP(Total[[#This Row],[Metodo]],TbSolver[Metodo],TbSolver[Solver])</f>
        <v>Runge Kutta</v>
      </c>
      <c r="C1244" s="26" t="str">
        <f>_xlfn.XLOOKUP(Total[[#This Row],[Hebras]],TbTecnologia[Hebras],TbTecnologia[Tecnología])</f>
        <v>CUDA</v>
      </c>
      <c r="D1244" s="15" t="str" cm="1">
        <f t="array" ref="D1244">_xlfn.XLOOKUP(Total[[#This Row],[Tecnología]]&amp;Total[[#This Row],[Metodo]],TbTipos[Tecnología]&amp;TbTipos[Metodo],TbTipos[Tipo])</f>
        <v>CUDA con graph</v>
      </c>
      <c r="E1244" s="15" t="str" cm="1">
        <f t="array" ref="E1244">_xlfn.XLOOKUP(Total[[#This Row],[Tecnología]]&amp;Total[[#This Row],[Problema]],TbNombres[Tecnología]&amp;TbNombres[Problema],TbNombres[Nombre])</f>
        <v>Brusselator2d</v>
      </c>
      <c r="F1244" s="1">
        <v>2</v>
      </c>
      <c r="G1244" s="1">
        <v>8</v>
      </c>
      <c r="H1244" s="1">
        <v>256</v>
      </c>
      <c r="I1244" s="1">
        <v>600</v>
      </c>
      <c r="J1244" s="1">
        <v>720000</v>
      </c>
      <c r="K1244" s="1">
        <v>482.14800000000002</v>
      </c>
    </row>
    <row r="1245" spans="2:11" x14ac:dyDescent="0.2">
      <c r="B1245" s="26" t="str">
        <f>_xlfn.XLOOKUP(Total[[#This Row],[Metodo]],TbSolver[Metodo],TbSolver[Solver])</f>
        <v>Runge Kutta</v>
      </c>
      <c r="C1245" s="26" t="str">
        <f>_xlfn.XLOOKUP(Total[[#This Row],[Hebras]],TbTecnologia[Hebras],TbTecnologia[Tecnología])</f>
        <v>CUDA</v>
      </c>
      <c r="D1245" s="15" t="str" cm="1">
        <f t="array" ref="D1245">_xlfn.XLOOKUP(Total[[#This Row],[Tecnología]]&amp;Total[[#This Row],[Metodo]],TbTipos[Tecnología]&amp;TbTipos[Metodo],TbTipos[Tipo])</f>
        <v>CUDA con graph</v>
      </c>
      <c r="E1245" s="15" t="str" cm="1">
        <f t="array" ref="E1245">_xlfn.XLOOKUP(Total[[#This Row],[Tecnología]]&amp;Total[[#This Row],[Problema]],TbNombres[Tecnología]&amp;TbNombres[Problema],TbNombres[Nombre])</f>
        <v>Brusselator2d</v>
      </c>
      <c r="F1245" s="1">
        <v>2</v>
      </c>
      <c r="G1245" s="1">
        <v>8</v>
      </c>
      <c r="H1245" s="1">
        <v>256</v>
      </c>
      <c r="I1245" s="1">
        <v>700</v>
      </c>
      <c r="J1245" s="1">
        <v>980000</v>
      </c>
      <c r="K1245" s="1">
        <v>648.99900000000002</v>
      </c>
    </row>
    <row r="1246" spans="2:11" x14ac:dyDescent="0.2">
      <c r="B1246" s="26" t="str">
        <f>_xlfn.XLOOKUP(Total[[#This Row],[Metodo]],TbSolver[Metodo],TbSolver[Solver])</f>
        <v>Adams Bashford</v>
      </c>
      <c r="C1246" s="26" t="str">
        <f>_xlfn.XLOOKUP(Total[[#This Row],[Hebras]],TbTecnologia[Hebras],TbTecnologia[Tecnología])</f>
        <v>CUDA</v>
      </c>
      <c r="D1246" s="15" t="str" cm="1">
        <f t="array" ref="D1246">_xlfn.XLOOKUP(Total[[#This Row],[Tecnología]]&amp;Total[[#This Row],[Metodo]],TbTipos[Tecnología]&amp;TbTipos[Metodo],TbTipos[Tipo])</f>
        <v>CUDA sin graph</v>
      </c>
      <c r="E1246" s="15" t="str" cm="1">
        <f t="array" ref="E1246">_xlfn.XLOOKUP(Total[[#This Row],[Tecnología]]&amp;Total[[#This Row],[Problema]],TbNombres[Tecnología]&amp;TbNombres[Problema],TbNombres[Nombre])</f>
        <v>Brusselator2d</v>
      </c>
      <c r="F1246" s="1">
        <v>3</v>
      </c>
      <c r="G1246" s="1">
        <v>8</v>
      </c>
      <c r="H1246" s="1">
        <v>256</v>
      </c>
      <c r="I1246" s="1">
        <v>25</v>
      </c>
      <c r="J1246" s="1">
        <v>1250</v>
      </c>
      <c r="K1246" s="1">
        <v>5.25162</v>
      </c>
    </row>
    <row r="1247" spans="2:11" x14ac:dyDescent="0.2">
      <c r="B1247" s="26" t="str">
        <f>_xlfn.XLOOKUP(Total[[#This Row],[Metodo]],TbSolver[Metodo],TbSolver[Solver])</f>
        <v>Adams Bashford</v>
      </c>
      <c r="C1247" s="26" t="str">
        <f>_xlfn.XLOOKUP(Total[[#This Row],[Hebras]],TbTecnologia[Hebras],TbTecnologia[Tecnología])</f>
        <v>CUDA</v>
      </c>
      <c r="D1247" s="15" t="str" cm="1">
        <f t="array" ref="D1247">_xlfn.XLOOKUP(Total[[#This Row],[Tecnología]]&amp;Total[[#This Row],[Metodo]],TbTipos[Tecnología]&amp;TbTipos[Metodo],TbTipos[Tipo])</f>
        <v>CUDA sin graph</v>
      </c>
      <c r="E1247" s="15" t="str" cm="1">
        <f t="array" ref="E1247">_xlfn.XLOOKUP(Total[[#This Row],[Tecnología]]&amp;Total[[#This Row],[Problema]],TbNombres[Tecnología]&amp;TbNombres[Problema],TbNombres[Nombre])</f>
        <v>Brusselator2d</v>
      </c>
      <c r="F1247" s="1">
        <v>3</v>
      </c>
      <c r="G1247" s="1">
        <v>8</v>
      </c>
      <c r="H1247" s="1">
        <v>256</v>
      </c>
      <c r="I1247" s="1">
        <v>75</v>
      </c>
      <c r="J1247" s="1">
        <v>11250</v>
      </c>
      <c r="K1247" s="1">
        <v>5.3583999999999996</v>
      </c>
    </row>
    <row r="1248" spans="2:11" x14ac:dyDescent="0.2">
      <c r="B1248" s="26" t="str">
        <f>_xlfn.XLOOKUP(Total[[#This Row],[Metodo]],TbSolver[Metodo],TbSolver[Solver])</f>
        <v>Adams Bashford</v>
      </c>
      <c r="C1248" s="26" t="str">
        <f>_xlfn.XLOOKUP(Total[[#This Row],[Hebras]],TbTecnologia[Hebras],TbTecnologia[Tecnología])</f>
        <v>CUDA</v>
      </c>
      <c r="D1248" s="15" t="str" cm="1">
        <f t="array" ref="D1248">_xlfn.XLOOKUP(Total[[#This Row],[Tecnología]]&amp;Total[[#This Row],[Metodo]],TbTipos[Tecnología]&amp;TbTipos[Metodo],TbTipos[Tipo])</f>
        <v>CUDA sin graph</v>
      </c>
      <c r="E1248" s="15" t="str" cm="1">
        <f t="array" ref="E1248">_xlfn.XLOOKUP(Total[[#This Row],[Tecnología]]&amp;Total[[#This Row],[Problema]],TbNombres[Tecnología]&amp;TbNombres[Problema],TbNombres[Nombre])</f>
        <v>Brusselator2d</v>
      </c>
      <c r="F1248" s="1">
        <v>3</v>
      </c>
      <c r="G1248" s="1">
        <v>8</v>
      </c>
      <c r="H1248" s="1">
        <v>256</v>
      </c>
      <c r="I1248" s="1">
        <v>125</v>
      </c>
      <c r="J1248" s="1">
        <v>31250</v>
      </c>
      <c r="K1248" s="1">
        <v>7.7056500000000003</v>
      </c>
    </row>
    <row r="1249" spans="2:11" x14ac:dyDescent="0.2">
      <c r="B1249" s="26" t="str">
        <f>_xlfn.XLOOKUP(Total[[#This Row],[Metodo]],TbSolver[Metodo],TbSolver[Solver])</f>
        <v>Adams Bashford</v>
      </c>
      <c r="C1249" s="26" t="str">
        <f>_xlfn.XLOOKUP(Total[[#This Row],[Hebras]],TbTecnologia[Hebras],TbTecnologia[Tecnología])</f>
        <v>CUDA</v>
      </c>
      <c r="D1249" s="15" t="str" cm="1">
        <f t="array" ref="D1249">_xlfn.XLOOKUP(Total[[#This Row],[Tecnología]]&amp;Total[[#This Row],[Metodo]],TbTipos[Tecnología]&amp;TbTipos[Metodo],TbTipos[Tipo])</f>
        <v>CUDA sin graph</v>
      </c>
      <c r="E1249" s="15" t="str" cm="1">
        <f t="array" ref="E1249">_xlfn.XLOOKUP(Total[[#This Row],[Tecnología]]&amp;Total[[#This Row],[Problema]],TbNombres[Tecnología]&amp;TbNombres[Problema],TbNombres[Nombre])</f>
        <v>Brusselator2d</v>
      </c>
      <c r="F1249" s="1">
        <v>3</v>
      </c>
      <c r="G1249" s="1">
        <v>8</v>
      </c>
      <c r="H1249" s="1">
        <v>256</v>
      </c>
      <c r="I1249" s="1">
        <v>150</v>
      </c>
      <c r="J1249" s="1">
        <v>45000</v>
      </c>
      <c r="K1249" s="1">
        <v>9.8013499999999993</v>
      </c>
    </row>
    <row r="1250" spans="2:11" x14ac:dyDescent="0.2">
      <c r="B1250" s="26" t="str">
        <f>_xlfn.XLOOKUP(Total[[#This Row],[Metodo]],TbSolver[Metodo],TbSolver[Solver])</f>
        <v>Adams Bashford</v>
      </c>
      <c r="C1250" s="26" t="str">
        <f>_xlfn.XLOOKUP(Total[[#This Row],[Hebras]],TbTecnologia[Hebras],TbTecnologia[Tecnología])</f>
        <v>CUDA</v>
      </c>
      <c r="D1250" s="15" t="str" cm="1">
        <f t="array" ref="D1250">_xlfn.XLOOKUP(Total[[#This Row],[Tecnología]]&amp;Total[[#This Row],[Metodo]],TbTipos[Tecnología]&amp;TbTipos[Metodo],TbTipos[Tipo])</f>
        <v>CUDA sin graph</v>
      </c>
      <c r="E1250" s="15" t="str" cm="1">
        <f t="array" ref="E1250">_xlfn.XLOOKUP(Total[[#This Row],[Tecnología]]&amp;Total[[#This Row],[Problema]],TbNombres[Tecnología]&amp;TbNombres[Problema],TbNombres[Nombre])</f>
        <v>Brusselator2d</v>
      </c>
      <c r="F1250" s="1">
        <v>3</v>
      </c>
      <c r="G1250" s="1">
        <v>8</v>
      </c>
      <c r="H1250" s="1">
        <v>256</v>
      </c>
      <c r="I1250" s="1">
        <v>175</v>
      </c>
      <c r="J1250" s="1">
        <v>61250</v>
      </c>
      <c r="K1250" s="1">
        <v>12.1713</v>
      </c>
    </row>
    <row r="1251" spans="2:11" x14ac:dyDescent="0.2">
      <c r="B1251" s="26" t="str">
        <f>_xlfn.XLOOKUP(Total[[#This Row],[Metodo]],TbSolver[Metodo],TbSolver[Solver])</f>
        <v>Adams Bashford</v>
      </c>
      <c r="C1251" s="26" t="str">
        <f>_xlfn.XLOOKUP(Total[[#This Row],[Hebras]],TbTecnologia[Hebras],TbTecnologia[Tecnología])</f>
        <v>CUDA</v>
      </c>
      <c r="D1251" s="15" t="str" cm="1">
        <f t="array" ref="D1251">_xlfn.XLOOKUP(Total[[#This Row],[Tecnología]]&amp;Total[[#This Row],[Metodo]],TbTipos[Tecnología]&amp;TbTipos[Metodo],TbTipos[Tipo])</f>
        <v>CUDA sin graph</v>
      </c>
      <c r="E1251" s="15" t="str" cm="1">
        <f t="array" ref="E1251">_xlfn.XLOOKUP(Total[[#This Row],[Tecnología]]&amp;Total[[#This Row],[Problema]],TbNombres[Tecnología]&amp;TbNombres[Problema],TbNombres[Nombre])</f>
        <v>Brusselator2d</v>
      </c>
      <c r="F1251" s="1">
        <v>3</v>
      </c>
      <c r="G1251" s="1">
        <v>8</v>
      </c>
      <c r="H1251" s="1">
        <v>256</v>
      </c>
      <c r="I1251" s="1">
        <v>225</v>
      </c>
      <c r="J1251" s="1">
        <v>101250</v>
      </c>
      <c r="K1251" s="1">
        <v>17.229700000000001</v>
      </c>
    </row>
    <row r="1252" spans="2:11" x14ac:dyDescent="0.2">
      <c r="B1252" s="26" t="str">
        <f>_xlfn.XLOOKUP(Total[[#This Row],[Metodo]],TbSolver[Metodo],TbSolver[Solver])</f>
        <v>Adams Bashford</v>
      </c>
      <c r="C1252" s="26" t="str">
        <f>_xlfn.XLOOKUP(Total[[#This Row],[Hebras]],TbTecnologia[Hebras],TbTecnologia[Tecnología])</f>
        <v>CUDA</v>
      </c>
      <c r="D1252" s="15" t="str" cm="1">
        <f t="array" ref="D1252">_xlfn.XLOOKUP(Total[[#This Row],[Tecnología]]&amp;Total[[#This Row],[Metodo]],TbTipos[Tecnología]&amp;TbTipos[Metodo],TbTipos[Tipo])</f>
        <v>CUDA sin graph</v>
      </c>
      <c r="E1252" s="15" t="str" cm="1">
        <f t="array" ref="E1252">_xlfn.XLOOKUP(Total[[#This Row],[Tecnología]]&amp;Total[[#This Row],[Problema]],TbNombres[Tecnología]&amp;TbNombres[Problema],TbNombres[Nombre])</f>
        <v>Brusselator2d</v>
      </c>
      <c r="F1252" s="1">
        <v>3</v>
      </c>
      <c r="G1252" s="1">
        <v>8</v>
      </c>
      <c r="H1252" s="1">
        <v>256</v>
      </c>
      <c r="I1252" s="1">
        <v>250</v>
      </c>
      <c r="J1252" s="1">
        <v>125000</v>
      </c>
      <c r="K1252" s="1">
        <v>23.554400000000001</v>
      </c>
    </row>
    <row r="1253" spans="2:11" x14ac:dyDescent="0.2">
      <c r="B1253" s="26" t="str">
        <f>_xlfn.XLOOKUP(Total[[#This Row],[Metodo]],TbSolver[Metodo],TbSolver[Solver])</f>
        <v>Adams Bashford</v>
      </c>
      <c r="C1253" s="26" t="str">
        <f>_xlfn.XLOOKUP(Total[[#This Row],[Hebras]],TbTecnologia[Hebras],TbTecnologia[Tecnología])</f>
        <v>CUDA</v>
      </c>
      <c r="D1253" s="15" t="str" cm="1">
        <f t="array" ref="D1253">_xlfn.XLOOKUP(Total[[#This Row],[Tecnología]]&amp;Total[[#This Row],[Metodo]],TbTipos[Tecnología]&amp;TbTipos[Metodo],TbTipos[Tipo])</f>
        <v>CUDA sin graph</v>
      </c>
      <c r="E1253" s="15" t="str" cm="1">
        <f t="array" ref="E1253">_xlfn.XLOOKUP(Total[[#This Row],[Tecnología]]&amp;Total[[#This Row],[Problema]],TbNombres[Tecnología]&amp;TbNombres[Problema],TbNombres[Nombre])</f>
        <v>Brusselator2d</v>
      </c>
      <c r="F1253" s="1">
        <v>3</v>
      </c>
      <c r="G1253" s="1">
        <v>8</v>
      </c>
      <c r="H1253" s="1">
        <v>256</v>
      </c>
      <c r="I1253" s="1">
        <v>300</v>
      </c>
      <c r="J1253" s="1">
        <v>180000</v>
      </c>
      <c r="K1253" s="1">
        <v>35.656799999999997</v>
      </c>
    </row>
    <row r="1254" spans="2:11" x14ac:dyDescent="0.2">
      <c r="B1254" s="26" t="str">
        <f>_xlfn.XLOOKUP(Total[[#This Row],[Metodo]],TbSolver[Metodo],TbSolver[Solver])</f>
        <v>Adams Bashford</v>
      </c>
      <c r="C1254" s="26" t="str">
        <f>_xlfn.XLOOKUP(Total[[#This Row],[Hebras]],TbTecnologia[Hebras],TbTecnologia[Tecnología])</f>
        <v>CUDA</v>
      </c>
      <c r="D1254" s="15" t="str" cm="1">
        <f t="array" ref="D1254">_xlfn.XLOOKUP(Total[[#This Row],[Tecnología]]&amp;Total[[#This Row],[Metodo]],TbTipos[Tecnología]&amp;TbTipos[Metodo],TbTipos[Tipo])</f>
        <v>CUDA sin graph</v>
      </c>
      <c r="E1254" s="15" t="str" cm="1">
        <f t="array" ref="E1254">_xlfn.XLOOKUP(Total[[#This Row],[Tecnología]]&amp;Total[[#This Row],[Problema]],TbNombres[Tecnología]&amp;TbNombres[Problema],TbNombres[Nombre])</f>
        <v>Brusselator2d</v>
      </c>
      <c r="F1254" s="1">
        <v>3</v>
      </c>
      <c r="G1254" s="1">
        <v>8</v>
      </c>
      <c r="H1254" s="1">
        <v>256</v>
      </c>
      <c r="I1254" s="1">
        <v>400</v>
      </c>
      <c r="J1254" s="1">
        <v>320000</v>
      </c>
      <c r="K1254" s="1">
        <v>66.658699999999996</v>
      </c>
    </row>
    <row r="1255" spans="2:11" x14ac:dyDescent="0.2">
      <c r="B1255" s="26" t="str">
        <f>_xlfn.XLOOKUP(Total[[#This Row],[Metodo]],TbSolver[Metodo],TbSolver[Solver])</f>
        <v>Adams Bashford</v>
      </c>
      <c r="C1255" s="26" t="str">
        <f>_xlfn.XLOOKUP(Total[[#This Row],[Hebras]],TbTecnologia[Hebras],TbTecnologia[Tecnología])</f>
        <v>CUDA</v>
      </c>
      <c r="D1255" s="15" t="str" cm="1">
        <f t="array" ref="D1255">_xlfn.XLOOKUP(Total[[#This Row],[Tecnología]]&amp;Total[[#This Row],[Metodo]],TbTipos[Tecnología]&amp;TbTipos[Metodo],TbTipos[Tipo])</f>
        <v>CUDA sin graph</v>
      </c>
      <c r="E1255" s="15" t="str" cm="1">
        <f t="array" ref="E1255">_xlfn.XLOOKUP(Total[[#This Row],[Tecnología]]&amp;Total[[#This Row],[Problema]],TbNombres[Tecnología]&amp;TbNombres[Problema],TbNombres[Nombre])</f>
        <v>Brusselator2d</v>
      </c>
      <c r="F1255" s="1">
        <v>3</v>
      </c>
      <c r="G1255" s="1">
        <v>8</v>
      </c>
      <c r="H1255" s="1">
        <v>256</v>
      </c>
      <c r="I1255" s="1">
        <v>600</v>
      </c>
      <c r="J1255" s="1">
        <v>720000</v>
      </c>
      <c r="K1255" s="1">
        <v>144.696</v>
      </c>
    </row>
    <row r="1256" spans="2:11" x14ac:dyDescent="0.2">
      <c r="B1256" s="26" t="str">
        <f>_xlfn.XLOOKUP(Total[[#This Row],[Metodo]],TbSolver[Metodo],TbSolver[Solver])</f>
        <v>Adams Bashford</v>
      </c>
      <c r="C1256" s="26" t="str">
        <f>_xlfn.XLOOKUP(Total[[#This Row],[Hebras]],TbTecnologia[Hebras],TbTecnologia[Tecnología])</f>
        <v>CUDA</v>
      </c>
      <c r="D1256" s="15" t="str" cm="1">
        <f t="array" ref="D1256">_xlfn.XLOOKUP(Total[[#This Row],[Tecnología]]&amp;Total[[#This Row],[Metodo]],TbTipos[Tecnología]&amp;TbTipos[Metodo],TbTipos[Tipo])</f>
        <v>CUDA sin graph</v>
      </c>
      <c r="E1256" s="15" t="str" cm="1">
        <f t="array" ref="E1256">_xlfn.XLOOKUP(Total[[#This Row],[Tecnología]]&amp;Total[[#This Row],[Problema]],TbNombres[Tecnología]&amp;TbNombres[Problema],TbNombres[Nombre])</f>
        <v>Brusselator2d</v>
      </c>
      <c r="F1256" s="1">
        <v>3</v>
      </c>
      <c r="G1256" s="1">
        <v>8</v>
      </c>
      <c r="H1256" s="1">
        <v>256</v>
      </c>
      <c r="I1256" s="1">
        <v>700</v>
      </c>
      <c r="J1256" s="1">
        <v>980000</v>
      </c>
      <c r="K1256" s="1">
        <v>194.453</v>
      </c>
    </row>
    <row r="1257" spans="2:11" x14ac:dyDescent="0.2">
      <c r="B1257" s="26" t="str">
        <f>_xlfn.XLOOKUP(Total[[#This Row],[Metodo]],TbSolver[Metodo],TbSolver[Solver])</f>
        <v>Adams Bashford Moulton</v>
      </c>
      <c r="C1257" s="26" t="str">
        <f>_xlfn.XLOOKUP(Total[[#This Row],[Hebras]],TbTecnologia[Hebras],TbTecnologia[Tecnología])</f>
        <v>CUDA</v>
      </c>
      <c r="D1257" s="15" t="str" cm="1">
        <f t="array" ref="D1257">_xlfn.XLOOKUP(Total[[#This Row],[Tecnología]]&amp;Total[[#This Row],[Metodo]],TbTipos[Tecnología]&amp;TbTipos[Metodo],TbTipos[Tipo])</f>
        <v>CUDA sin graph</v>
      </c>
      <c r="E1257" s="15" t="str" cm="1">
        <f t="array" ref="E1257">_xlfn.XLOOKUP(Total[[#This Row],[Tecnología]]&amp;Total[[#This Row],[Problema]],TbNombres[Tecnología]&amp;TbNombres[Problema],TbNombres[Nombre])</f>
        <v>Brusselator2d</v>
      </c>
      <c r="F1257" s="1">
        <v>5</v>
      </c>
      <c r="G1257" s="1">
        <v>8</v>
      </c>
      <c r="H1257" s="1">
        <v>256</v>
      </c>
      <c r="I1257" s="1">
        <v>25</v>
      </c>
      <c r="J1257" s="1">
        <v>1250</v>
      </c>
      <c r="K1257" s="1">
        <v>15.772399999999999</v>
      </c>
    </row>
    <row r="1258" spans="2:11" x14ac:dyDescent="0.2">
      <c r="B1258" s="26" t="str">
        <f>_xlfn.XLOOKUP(Total[[#This Row],[Metodo]],TbSolver[Metodo],TbSolver[Solver])</f>
        <v>Adams Bashford Moulton</v>
      </c>
      <c r="C1258" s="26" t="str">
        <f>_xlfn.XLOOKUP(Total[[#This Row],[Hebras]],TbTecnologia[Hebras],TbTecnologia[Tecnología])</f>
        <v>CUDA</v>
      </c>
      <c r="D1258" s="15" t="str" cm="1">
        <f t="array" ref="D1258">_xlfn.XLOOKUP(Total[[#This Row],[Tecnología]]&amp;Total[[#This Row],[Metodo]],TbTipos[Tecnología]&amp;TbTipos[Metodo],TbTipos[Tipo])</f>
        <v>CUDA sin graph</v>
      </c>
      <c r="E1258" s="15" t="str" cm="1">
        <f t="array" ref="E1258">_xlfn.XLOOKUP(Total[[#This Row],[Tecnología]]&amp;Total[[#This Row],[Problema]],TbNombres[Tecnología]&amp;TbNombres[Problema],TbNombres[Nombre])</f>
        <v>Brusselator2d</v>
      </c>
      <c r="F1258" s="1">
        <v>5</v>
      </c>
      <c r="G1258" s="1">
        <v>8</v>
      </c>
      <c r="H1258" s="1">
        <v>256</v>
      </c>
      <c r="I1258" s="1">
        <v>75</v>
      </c>
      <c r="J1258" s="1">
        <v>11250</v>
      </c>
      <c r="K1258" s="1">
        <v>16.156099999999999</v>
      </c>
    </row>
    <row r="1259" spans="2:11" x14ac:dyDescent="0.2">
      <c r="B1259" s="26" t="str">
        <f>_xlfn.XLOOKUP(Total[[#This Row],[Metodo]],TbSolver[Metodo],TbSolver[Solver])</f>
        <v>Adams Bashford Moulton</v>
      </c>
      <c r="C1259" s="26" t="str">
        <f>_xlfn.XLOOKUP(Total[[#This Row],[Hebras]],TbTecnologia[Hebras],TbTecnologia[Tecnología])</f>
        <v>CUDA</v>
      </c>
      <c r="D1259" s="15" t="str" cm="1">
        <f t="array" ref="D1259">_xlfn.XLOOKUP(Total[[#This Row],[Tecnología]]&amp;Total[[#This Row],[Metodo]],TbTipos[Tecnología]&amp;TbTipos[Metodo],TbTipos[Tipo])</f>
        <v>CUDA sin graph</v>
      </c>
      <c r="E1259" s="15" t="str" cm="1">
        <f t="array" ref="E1259">_xlfn.XLOOKUP(Total[[#This Row],[Tecnología]]&amp;Total[[#This Row],[Problema]],TbNombres[Tecnología]&amp;TbNombres[Problema],TbNombres[Nombre])</f>
        <v>Brusselator2d</v>
      </c>
      <c r="F1259" s="1">
        <v>5</v>
      </c>
      <c r="G1259" s="1">
        <v>8</v>
      </c>
      <c r="H1259" s="1">
        <v>256</v>
      </c>
      <c r="I1259" s="1">
        <v>125</v>
      </c>
      <c r="J1259" s="1">
        <v>31250</v>
      </c>
      <c r="K1259" s="1">
        <v>23.604900000000001</v>
      </c>
    </row>
    <row r="1260" spans="2:11" x14ac:dyDescent="0.2">
      <c r="B1260" s="26" t="str">
        <f>_xlfn.XLOOKUP(Total[[#This Row],[Metodo]],TbSolver[Metodo],TbSolver[Solver])</f>
        <v>Adams Bashford Moulton</v>
      </c>
      <c r="C1260" s="26" t="str">
        <f>_xlfn.XLOOKUP(Total[[#This Row],[Hebras]],TbTecnologia[Hebras],TbTecnologia[Tecnología])</f>
        <v>CUDA</v>
      </c>
      <c r="D1260" s="15" t="str" cm="1">
        <f t="array" ref="D1260">_xlfn.XLOOKUP(Total[[#This Row],[Tecnología]]&amp;Total[[#This Row],[Metodo]],TbTipos[Tecnología]&amp;TbTipos[Metodo],TbTipos[Tipo])</f>
        <v>CUDA sin graph</v>
      </c>
      <c r="E1260" s="15" t="str" cm="1">
        <f t="array" ref="E1260">_xlfn.XLOOKUP(Total[[#This Row],[Tecnología]]&amp;Total[[#This Row],[Problema]],TbNombres[Tecnología]&amp;TbNombres[Problema],TbNombres[Nombre])</f>
        <v>Brusselator2d</v>
      </c>
      <c r="F1260" s="1">
        <v>5</v>
      </c>
      <c r="G1260" s="1">
        <v>8</v>
      </c>
      <c r="H1260" s="1">
        <v>256</v>
      </c>
      <c r="I1260" s="1">
        <v>150</v>
      </c>
      <c r="J1260" s="1">
        <v>45000</v>
      </c>
      <c r="K1260" s="1">
        <v>30.777699999999999</v>
      </c>
    </row>
    <row r="1261" spans="2:11" x14ac:dyDescent="0.2">
      <c r="B1261" s="26" t="str">
        <f>_xlfn.XLOOKUP(Total[[#This Row],[Metodo]],TbSolver[Metodo],TbSolver[Solver])</f>
        <v>Adams Bashford Moulton</v>
      </c>
      <c r="C1261" s="26" t="str">
        <f>_xlfn.XLOOKUP(Total[[#This Row],[Hebras]],TbTecnologia[Hebras],TbTecnologia[Tecnología])</f>
        <v>CUDA</v>
      </c>
      <c r="D1261" s="15" t="str" cm="1">
        <f t="array" ref="D1261">_xlfn.XLOOKUP(Total[[#This Row],[Tecnología]]&amp;Total[[#This Row],[Metodo]],TbTipos[Tecnología]&amp;TbTipos[Metodo],TbTipos[Tipo])</f>
        <v>CUDA sin graph</v>
      </c>
      <c r="E1261" s="15" t="str" cm="1">
        <f t="array" ref="E1261">_xlfn.XLOOKUP(Total[[#This Row],[Tecnología]]&amp;Total[[#This Row],[Problema]],TbNombres[Tecnología]&amp;TbNombres[Problema],TbNombres[Nombre])</f>
        <v>Brusselator2d</v>
      </c>
      <c r="F1261" s="1">
        <v>5</v>
      </c>
      <c r="G1261" s="1">
        <v>8</v>
      </c>
      <c r="H1261" s="1">
        <v>256</v>
      </c>
      <c r="I1261" s="1">
        <v>175</v>
      </c>
      <c r="J1261" s="1">
        <v>61250</v>
      </c>
      <c r="K1261" s="1">
        <v>39.1357</v>
      </c>
    </row>
    <row r="1262" spans="2:11" x14ac:dyDescent="0.2">
      <c r="B1262" s="26" t="str">
        <f>_xlfn.XLOOKUP(Total[[#This Row],[Metodo]],TbSolver[Metodo],TbSolver[Solver])</f>
        <v>Adams Bashford Moulton</v>
      </c>
      <c r="C1262" s="26" t="str">
        <f>_xlfn.XLOOKUP(Total[[#This Row],[Hebras]],TbTecnologia[Hebras],TbTecnologia[Tecnología])</f>
        <v>CUDA</v>
      </c>
      <c r="D1262" s="15" t="str" cm="1">
        <f t="array" ref="D1262">_xlfn.XLOOKUP(Total[[#This Row],[Tecnología]]&amp;Total[[#This Row],[Metodo]],TbTipos[Tecnología]&amp;TbTipos[Metodo],TbTipos[Tipo])</f>
        <v>CUDA sin graph</v>
      </c>
      <c r="E1262" s="15" t="str" cm="1">
        <f t="array" ref="E1262">_xlfn.XLOOKUP(Total[[#This Row],[Tecnología]]&amp;Total[[#This Row],[Problema]],TbNombres[Tecnología]&amp;TbNombres[Problema],TbNombres[Nombre])</f>
        <v>Brusselator2d</v>
      </c>
      <c r="F1262" s="1">
        <v>5</v>
      </c>
      <c r="G1262" s="1">
        <v>8</v>
      </c>
      <c r="H1262" s="1">
        <v>256</v>
      </c>
      <c r="I1262" s="1">
        <v>225</v>
      </c>
      <c r="J1262" s="1">
        <v>101250</v>
      </c>
      <c r="K1262" s="1">
        <v>62.0139</v>
      </c>
    </row>
    <row r="1263" spans="2:11" x14ac:dyDescent="0.2">
      <c r="B1263" s="26" t="str">
        <f>_xlfn.XLOOKUP(Total[[#This Row],[Metodo]],TbSolver[Metodo],TbSolver[Solver])</f>
        <v>Adams Bashford Moulton</v>
      </c>
      <c r="C1263" s="26" t="str">
        <f>_xlfn.XLOOKUP(Total[[#This Row],[Hebras]],TbTecnologia[Hebras],TbTecnologia[Tecnología])</f>
        <v>CUDA</v>
      </c>
      <c r="D1263" s="15" t="str" cm="1">
        <f t="array" ref="D1263">_xlfn.XLOOKUP(Total[[#This Row],[Tecnología]]&amp;Total[[#This Row],[Metodo]],TbTipos[Tecnología]&amp;TbTipos[Metodo],TbTipos[Tipo])</f>
        <v>CUDA sin graph</v>
      </c>
      <c r="E1263" s="15" t="str" cm="1">
        <f t="array" ref="E1263">_xlfn.XLOOKUP(Total[[#This Row],[Tecnología]]&amp;Total[[#This Row],[Problema]],TbNombres[Tecnología]&amp;TbNombres[Problema],TbNombres[Nombre])</f>
        <v>Brusselator2d</v>
      </c>
      <c r="F1263" s="1">
        <v>5</v>
      </c>
      <c r="G1263" s="1">
        <v>8</v>
      </c>
      <c r="H1263" s="1">
        <v>256</v>
      </c>
      <c r="I1263" s="1">
        <v>250</v>
      </c>
      <c r="J1263" s="1">
        <v>125000</v>
      </c>
      <c r="K1263" s="1">
        <v>86.291600000000003</v>
      </c>
    </row>
    <row r="1264" spans="2:11" x14ac:dyDescent="0.2">
      <c r="B1264" s="26" t="str">
        <f>_xlfn.XLOOKUP(Total[[#This Row],[Metodo]],TbSolver[Metodo],TbSolver[Solver])</f>
        <v>Adams Bashford Moulton</v>
      </c>
      <c r="C1264" s="26" t="str">
        <f>_xlfn.XLOOKUP(Total[[#This Row],[Hebras]],TbTecnologia[Hebras],TbTecnologia[Tecnología])</f>
        <v>CUDA</v>
      </c>
      <c r="D1264" s="15" t="str" cm="1">
        <f t="array" ref="D1264">_xlfn.XLOOKUP(Total[[#This Row],[Tecnología]]&amp;Total[[#This Row],[Metodo]],TbTipos[Tecnología]&amp;TbTipos[Metodo],TbTipos[Tipo])</f>
        <v>CUDA sin graph</v>
      </c>
      <c r="E1264" s="15" t="str" cm="1">
        <f t="array" ref="E1264">_xlfn.XLOOKUP(Total[[#This Row],[Tecnología]]&amp;Total[[#This Row],[Problema]],TbNombres[Tecnología]&amp;TbNombres[Problema],TbNombres[Nombre])</f>
        <v>Brusselator2d</v>
      </c>
      <c r="F1264" s="1">
        <v>5</v>
      </c>
      <c r="G1264" s="1">
        <v>8</v>
      </c>
      <c r="H1264" s="1">
        <v>256</v>
      </c>
      <c r="I1264" s="1">
        <v>300</v>
      </c>
      <c r="J1264" s="1">
        <v>180000</v>
      </c>
      <c r="K1264" s="1">
        <v>120.547</v>
      </c>
    </row>
    <row r="1265" spans="2:11" x14ac:dyDescent="0.2">
      <c r="B1265" s="26" t="str">
        <f>_xlfn.XLOOKUP(Total[[#This Row],[Metodo]],TbSolver[Metodo],TbSolver[Solver])</f>
        <v>Adams Bashford Moulton</v>
      </c>
      <c r="C1265" s="26" t="str">
        <f>_xlfn.XLOOKUP(Total[[#This Row],[Hebras]],TbTecnologia[Hebras],TbTecnologia[Tecnología])</f>
        <v>CUDA</v>
      </c>
      <c r="D1265" s="15" t="str" cm="1">
        <f t="array" ref="D1265">_xlfn.XLOOKUP(Total[[#This Row],[Tecnología]]&amp;Total[[#This Row],[Metodo]],TbTipos[Tecnología]&amp;TbTipos[Metodo],TbTipos[Tipo])</f>
        <v>CUDA sin graph</v>
      </c>
      <c r="E1265" s="15" t="str" cm="1">
        <f t="array" ref="E1265">_xlfn.XLOOKUP(Total[[#This Row],[Tecnología]]&amp;Total[[#This Row],[Problema]],TbNombres[Tecnología]&amp;TbNombres[Problema],TbNombres[Nombre])</f>
        <v>Brusselator2d</v>
      </c>
      <c r="F1265" s="1">
        <v>5</v>
      </c>
      <c r="G1265" s="1">
        <v>8</v>
      </c>
      <c r="H1265" s="1">
        <v>256</v>
      </c>
      <c r="I1265" s="1">
        <v>400</v>
      </c>
      <c r="J1265" s="1">
        <v>320000</v>
      </c>
      <c r="K1265" s="1">
        <v>213.41800000000001</v>
      </c>
    </row>
    <row r="1266" spans="2:11" x14ac:dyDescent="0.2">
      <c r="B1266" s="26" t="str">
        <f>_xlfn.XLOOKUP(Total[[#This Row],[Metodo]],TbSolver[Metodo],TbSolver[Solver])</f>
        <v>Adams Bashford Moulton</v>
      </c>
      <c r="C1266" s="26" t="str">
        <f>_xlfn.XLOOKUP(Total[[#This Row],[Hebras]],TbTecnologia[Hebras],TbTecnologia[Tecnología])</f>
        <v>CUDA</v>
      </c>
      <c r="D1266" s="15" t="str" cm="1">
        <f t="array" ref="D1266">_xlfn.XLOOKUP(Total[[#This Row],[Tecnología]]&amp;Total[[#This Row],[Metodo]],TbTipos[Tecnología]&amp;TbTipos[Metodo],TbTipos[Tipo])</f>
        <v>CUDA sin graph</v>
      </c>
      <c r="E1266" s="15" t="str" cm="1">
        <f t="array" ref="E1266">_xlfn.XLOOKUP(Total[[#This Row],[Tecnología]]&amp;Total[[#This Row],[Problema]],TbNombres[Tecnología]&amp;TbNombres[Problema],TbNombres[Nombre])</f>
        <v>Brusselator2d</v>
      </c>
      <c r="F1266" s="1">
        <v>5</v>
      </c>
      <c r="G1266" s="1">
        <v>8</v>
      </c>
      <c r="H1266" s="1">
        <v>256</v>
      </c>
      <c r="I1266" s="1">
        <v>600</v>
      </c>
      <c r="J1266" s="1">
        <v>720000</v>
      </c>
      <c r="K1266" s="1">
        <v>458.03</v>
      </c>
    </row>
    <row r="1267" spans="2:11" x14ac:dyDescent="0.2">
      <c r="B1267" s="26" t="str">
        <f>_xlfn.XLOOKUP(Total[[#This Row],[Metodo]],TbSolver[Metodo],TbSolver[Solver])</f>
        <v>Adams Bashford Moulton</v>
      </c>
      <c r="C1267" s="26" t="str">
        <f>_xlfn.XLOOKUP(Total[[#This Row],[Hebras]],TbTecnologia[Hebras],TbTecnologia[Tecnología])</f>
        <v>CUDA</v>
      </c>
      <c r="D1267" s="15" t="str" cm="1">
        <f t="array" ref="D1267">_xlfn.XLOOKUP(Total[[#This Row],[Tecnología]]&amp;Total[[#This Row],[Metodo]],TbTipos[Tecnología]&amp;TbTipos[Metodo],TbTipos[Tipo])</f>
        <v>CUDA sin graph</v>
      </c>
      <c r="E1267" s="15" t="str" cm="1">
        <f t="array" ref="E1267">_xlfn.XLOOKUP(Total[[#This Row],[Tecnología]]&amp;Total[[#This Row],[Problema]],TbNombres[Tecnología]&amp;TbNombres[Problema],TbNombres[Nombre])</f>
        <v>Brusselator2d</v>
      </c>
      <c r="F1267" s="1">
        <v>5</v>
      </c>
      <c r="G1267" s="1">
        <v>8</v>
      </c>
      <c r="H1267" s="1">
        <v>256</v>
      </c>
      <c r="I1267" s="1">
        <v>700</v>
      </c>
      <c r="J1267" s="1">
        <v>980000</v>
      </c>
      <c r="K1267" s="1">
        <v>615.16499999999996</v>
      </c>
    </row>
    <row r="1268" spans="2:11" x14ac:dyDescent="0.2">
      <c r="B1268" s="26" t="str">
        <f>_xlfn.XLOOKUP(Total[[#This Row],[Metodo]],TbSolver[Metodo],TbSolver[Solver])</f>
        <v>Adams Bashford Moulton</v>
      </c>
      <c r="C1268" s="26" t="str">
        <f>_xlfn.XLOOKUP(Total[[#This Row],[Hebras]],TbTecnologia[Hebras],TbTecnologia[Tecnología])</f>
        <v>CUDA</v>
      </c>
      <c r="D1268" s="15" t="str" cm="1">
        <f t="array" ref="D1268">_xlfn.XLOOKUP(Total[[#This Row],[Tecnología]]&amp;Total[[#This Row],[Metodo]],TbTipos[Tecnología]&amp;TbTipos[Metodo],TbTipos[Tipo])</f>
        <v>CUDA con graph</v>
      </c>
      <c r="E1268" s="15" t="str" cm="1">
        <f t="array" ref="E1268">_xlfn.XLOOKUP(Total[[#This Row],[Tecnología]]&amp;Total[[#This Row],[Problema]],TbNombres[Tecnología]&amp;TbNombres[Problema],TbNombres[Nombre])</f>
        <v>Brusselator2d</v>
      </c>
      <c r="F1268" s="1">
        <v>6</v>
      </c>
      <c r="G1268" s="1">
        <v>8</v>
      </c>
      <c r="H1268" s="1">
        <v>256</v>
      </c>
      <c r="I1268" s="1">
        <v>25</v>
      </c>
      <c r="J1268" s="1">
        <v>1250</v>
      </c>
      <c r="K1268" s="1">
        <v>15.6045</v>
      </c>
    </row>
    <row r="1269" spans="2:11" x14ac:dyDescent="0.2">
      <c r="B1269" s="26" t="str">
        <f>_xlfn.XLOOKUP(Total[[#This Row],[Metodo]],TbSolver[Metodo],TbSolver[Solver])</f>
        <v>Adams Bashford Moulton</v>
      </c>
      <c r="C1269" s="26" t="str">
        <f>_xlfn.XLOOKUP(Total[[#This Row],[Hebras]],TbTecnologia[Hebras],TbTecnologia[Tecnología])</f>
        <v>CUDA</v>
      </c>
      <c r="D1269" s="15" t="str" cm="1">
        <f t="array" ref="D1269">_xlfn.XLOOKUP(Total[[#This Row],[Tecnología]]&amp;Total[[#This Row],[Metodo]],TbTipos[Tecnología]&amp;TbTipos[Metodo],TbTipos[Tipo])</f>
        <v>CUDA con graph</v>
      </c>
      <c r="E1269" s="15" t="str" cm="1">
        <f t="array" ref="E1269">_xlfn.XLOOKUP(Total[[#This Row],[Tecnología]]&amp;Total[[#This Row],[Problema]],TbNombres[Tecnología]&amp;TbNombres[Problema],TbNombres[Nombre])</f>
        <v>Brusselator2d</v>
      </c>
      <c r="F1269" s="1">
        <v>6</v>
      </c>
      <c r="G1269" s="1">
        <v>8</v>
      </c>
      <c r="H1269" s="1">
        <v>256</v>
      </c>
      <c r="I1269" s="1">
        <v>75</v>
      </c>
      <c r="J1269" s="1">
        <v>11250</v>
      </c>
      <c r="K1269" s="1">
        <v>15.9351</v>
      </c>
    </row>
    <row r="1270" spans="2:11" x14ac:dyDescent="0.2">
      <c r="B1270" s="26" t="str">
        <f>_xlfn.XLOOKUP(Total[[#This Row],[Metodo]],TbSolver[Metodo],TbSolver[Solver])</f>
        <v>Adams Bashford Moulton</v>
      </c>
      <c r="C1270" s="26" t="str">
        <f>_xlfn.XLOOKUP(Total[[#This Row],[Hebras]],TbTecnologia[Hebras],TbTecnologia[Tecnología])</f>
        <v>CUDA</v>
      </c>
      <c r="D1270" s="15" t="str" cm="1">
        <f t="array" ref="D1270">_xlfn.XLOOKUP(Total[[#This Row],[Tecnología]]&amp;Total[[#This Row],[Metodo]],TbTipos[Tecnología]&amp;TbTipos[Metodo],TbTipos[Tipo])</f>
        <v>CUDA con graph</v>
      </c>
      <c r="E1270" s="15" t="str" cm="1">
        <f t="array" ref="E1270">_xlfn.XLOOKUP(Total[[#This Row],[Tecnología]]&amp;Total[[#This Row],[Problema]],TbNombres[Tecnología]&amp;TbNombres[Problema],TbNombres[Nombre])</f>
        <v>Brusselator2d</v>
      </c>
      <c r="F1270" s="1">
        <v>6</v>
      </c>
      <c r="G1270" s="1">
        <v>8</v>
      </c>
      <c r="H1270" s="1">
        <v>256</v>
      </c>
      <c r="I1270" s="1">
        <v>125</v>
      </c>
      <c r="J1270" s="1">
        <v>31250</v>
      </c>
      <c r="K1270" s="1">
        <v>23.816099999999999</v>
      </c>
    </row>
    <row r="1271" spans="2:11" x14ac:dyDescent="0.2">
      <c r="B1271" s="26" t="str">
        <f>_xlfn.XLOOKUP(Total[[#This Row],[Metodo]],TbSolver[Metodo],TbSolver[Solver])</f>
        <v>Adams Bashford Moulton</v>
      </c>
      <c r="C1271" s="26" t="str">
        <f>_xlfn.XLOOKUP(Total[[#This Row],[Hebras]],TbTecnologia[Hebras],TbTecnologia[Tecnología])</f>
        <v>CUDA</v>
      </c>
      <c r="D1271" s="15" t="str" cm="1">
        <f t="array" ref="D1271">_xlfn.XLOOKUP(Total[[#This Row],[Tecnología]]&amp;Total[[#This Row],[Metodo]],TbTipos[Tecnología]&amp;TbTipos[Metodo],TbTipos[Tipo])</f>
        <v>CUDA con graph</v>
      </c>
      <c r="E1271" s="15" t="str" cm="1">
        <f t="array" ref="E1271">_xlfn.XLOOKUP(Total[[#This Row],[Tecnología]]&amp;Total[[#This Row],[Problema]],TbNombres[Tecnología]&amp;TbNombres[Problema],TbNombres[Nombre])</f>
        <v>Brusselator2d</v>
      </c>
      <c r="F1271" s="1">
        <v>6</v>
      </c>
      <c r="G1271" s="1">
        <v>8</v>
      </c>
      <c r="H1271" s="1">
        <v>256</v>
      </c>
      <c r="I1271" s="1">
        <v>150</v>
      </c>
      <c r="J1271" s="1">
        <v>45000</v>
      </c>
      <c r="K1271" s="1">
        <v>31.638100000000001</v>
      </c>
    </row>
    <row r="1272" spans="2:11" x14ac:dyDescent="0.2">
      <c r="B1272" s="26" t="str">
        <f>_xlfn.XLOOKUP(Total[[#This Row],[Metodo]],TbSolver[Metodo],TbSolver[Solver])</f>
        <v>Adams Bashford Moulton</v>
      </c>
      <c r="C1272" s="26" t="str">
        <f>_xlfn.XLOOKUP(Total[[#This Row],[Hebras]],TbTecnologia[Hebras],TbTecnologia[Tecnología])</f>
        <v>CUDA</v>
      </c>
      <c r="D1272" s="15" t="str" cm="1">
        <f t="array" ref="D1272">_xlfn.XLOOKUP(Total[[#This Row],[Tecnología]]&amp;Total[[#This Row],[Metodo]],TbTipos[Tecnología]&amp;TbTipos[Metodo],TbTipos[Tipo])</f>
        <v>CUDA con graph</v>
      </c>
      <c r="E1272" s="15" t="str" cm="1">
        <f t="array" ref="E1272">_xlfn.XLOOKUP(Total[[#This Row],[Tecnología]]&amp;Total[[#This Row],[Problema]],TbNombres[Tecnología]&amp;TbNombres[Problema],TbNombres[Nombre])</f>
        <v>Brusselator2d</v>
      </c>
      <c r="F1272" s="1">
        <v>6</v>
      </c>
      <c r="G1272" s="1">
        <v>8</v>
      </c>
      <c r="H1272" s="1">
        <v>256</v>
      </c>
      <c r="I1272" s="1">
        <v>175</v>
      </c>
      <c r="J1272" s="1">
        <v>61250</v>
      </c>
      <c r="K1272" s="1">
        <v>39.993499999999997</v>
      </c>
    </row>
    <row r="1273" spans="2:11" x14ac:dyDescent="0.2">
      <c r="B1273" s="26" t="str">
        <f>_xlfn.XLOOKUP(Total[[#This Row],[Metodo]],TbSolver[Metodo],TbSolver[Solver])</f>
        <v>Adams Bashford Moulton</v>
      </c>
      <c r="C1273" s="26" t="str">
        <f>_xlfn.XLOOKUP(Total[[#This Row],[Hebras]],TbTecnologia[Hebras],TbTecnologia[Tecnología])</f>
        <v>CUDA</v>
      </c>
      <c r="D1273" s="15" t="str" cm="1">
        <f t="array" ref="D1273">_xlfn.XLOOKUP(Total[[#This Row],[Tecnología]]&amp;Total[[#This Row],[Metodo]],TbTipos[Tecnología]&amp;TbTipos[Metodo],TbTipos[Tipo])</f>
        <v>CUDA con graph</v>
      </c>
      <c r="E1273" s="15" t="str" cm="1">
        <f t="array" ref="E1273">_xlfn.XLOOKUP(Total[[#This Row],[Tecnología]]&amp;Total[[#This Row],[Problema]],TbNombres[Tecnología]&amp;TbNombres[Problema],TbNombres[Nombre])</f>
        <v>Brusselator2d</v>
      </c>
      <c r="F1273" s="1">
        <v>6</v>
      </c>
      <c r="G1273" s="1">
        <v>8</v>
      </c>
      <c r="H1273" s="1">
        <v>256</v>
      </c>
      <c r="I1273" s="1">
        <v>225</v>
      </c>
      <c r="J1273" s="1">
        <v>101250</v>
      </c>
      <c r="K1273" s="1">
        <v>69.774000000000001</v>
      </c>
    </row>
    <row r="1274" spans="2:11" x14ac:dyDescent="0.2">
      <c r="B1274" s="26" t="str">
        <f>_xlfn.XLOOKUP(Total[[#This Row],[Metodo]],TbSolver[Metodo],TbSolver[Solver])</f>
        <v>Adams Bashford Moulton</v>
      </c>
      <c r="C1274" s="26" t="str">
        <f>_xlfn.XLOOKUP(Total[[#This Row],[Hebras]],TbTecnologia[Hebras],TbTecnologia[Tecnología])</f>
        <v>CUDA</v>
      </c>
      <c r="D1274" s="15" t="str" cm="1">
        <f t="array" ref="D1274">_xlfn.XLOOKUP(Total[[#This Row],[Tecnología]]&amp;Total[[#This Row],[Metodo]],TbTipos[Tecnología]&amp;TbTipos[Metodo],TbTipos[Tipo])</f>
        <v>CUDA con graph</v>
      </c>
      <c r="E1274" s="15" t="str" cm="1">
        <f t="array" ref="E1274">_xlfn.XLOOKUP(Total[[#This Row],[Tecnología]]&amp;Total[[#This Row],[Problema]],TbNombres[Tecnología]&amp;TbNombres[Problema],TbNombres[Nombre])</f>
        <v>Brusselator2d</v>
      </c>
      <c r="F1274" s="1">
        <v>6</v>
      </c>
      <c r="G1274" s="1">
        <v>8</v>
      </c>
      <c r="H1274" s="1">
        <v>256</v>
      </c>
      <c r="I1274" s="1">
        <v>250</v>
      </c>
      <c r="J1274" s="1">
        <v>125000</v>
      </c>
      <c r="K1274" s="1">
        <v>99.3</v>
      </c>
    </row>
    <row r="1275" spans="2:11" x14ac:dyDescent="0.2">
      <c r="B1275" s="26" t="str">
        <f>_xlfn.XLOOKUP(Total[[#This Row],[Metodo]],TbSolver[Metodo],TbSolver[Solver])</f>
        <v>Adams Bashford Moulton</v>
      </c>
      <c r="C1275" s="26" t="str">
        <f>_xlfn.XLOOKUP(Total[[#This Row],[Hebras]],TbTecnologia[Hebras],TbTecnologia[Tecnología])</f>
        <v>CUDA</v>
      </c>
      <c r="D1275" s="15" t="str" cm="1">
        <f t="array" ref="D1275">_xlfn.XLOOKUP(Total[[#This Row],[Tecnología]]&amp;Total[[#This Row],[Metodo]],TbTipos[Tecnología]&amp;TbTipos[Metodo],TbTipos[Tipo])</f>
        <v>CUDA con graph</v>
      </c>
      <c r="E1275" s="15" t="str" cm="1">
        <f t="array" ref="E1275">_xlfn.XLOOKUP(Total[[#This Row],[Tecnología]]&amp;Total[[#This Row],[Problema]],TbNombres[Tecnología]&amp;TbNombres[Problema],TbNombres[Nombre])</f>
        <v>Brusselator2d</v>
      </c>
      <c r="F1275" s="1">
        <v>6</v>
      </c>
      <c r="G1275" s="1">
        <v>8</v>
      </c>
      <c r="H1275" s="1">
        <v>256</v>
      </c>
      <c r="I1275" s="1">
        <v>300</v>
      </c>
      <c r="J1275" s="1">
        <v>180000</v>
      </c>
      <c r="K1275" s="1">
        <v>147.21700000000001</v>
      </c>
    </row>
    <row r="1276" spans="2:11" x14ac:dyDescent="0.2">
      <c r="B1276" s="26" t="str">
        <f>_xlfn.XLOOKUP(Total[[#This Row],[Metodo]],TbSolver[Metodo],TbSolver[Solver])</f>
        <v>Adams Bashford Moulton</v>
      </c>
      <c r="C1276" s="26" t="str">
        <f>_xlfn.XLOOKUP(Total[[#This Row],[Hebras]],TbTecnologia[Hebras],TbTecnologia[Tecnología])</f>
        <v>CUDA</v>
      </c>
      <c r="D1276" s="15" t="str" cm="1">
        <f t="array" ref="D1276">_xlfn.XLOOKUP(Total[[#This Row],[Tecnología]]&amp;Total[[#This Row],[Metodo]],TbTipos[Tecnología]&amp;TbTipos[Metodo],TbTipos[Tipo])</f>
        <v>CUDA con graph</v>
      </c>
      <c r="E1276" s="15" t="str" cm="1">
        <f t="array" ref="E1276">_xlfn.XLOOKUP(Total[[#This Row],[Tecnología]]&amp;Total[[#This Row],[Problema]],TbNombres[Tecnología]&amp;TbNombres[Problema],TbNombres[Nombre])</f>
        <v>Brusselator2d</v>
      </c>
      <c r="F1276" s="1">
        <v>6</v>
      </c>
      <c r="G1276" s="1">
        <v>8</v>
      </c>
      <c r="H1276" s="1">
        <v>256</v>
      </c>
      <c r="I1276" s="1">
        <v>400</v>
      </c>
      <c r="J1276" s="1">
        <v>320000</v>
      </c>
      <c r="K1276" s="1">
        <v>264.62400000000002</v>
      </c>
    </row>
    <row r="1277" spans="2:11" x14ac:dyDescent="0.2">
      <c r="B1277" s="26" t="str">
        <f>_xlfn.XLOOKUP(Total[[#This Row],[Metodo]],TbSolver[Metodo],TbSolver[Solver])</f>
        <v>Adams Bashford Moulton</v>
      </c>
      <c r="C1277" s="26" t="str">
        <f>_xlfn.XLOOKUP(Total[[#This Row],[Hebras]],TbTecnologia[Hebras],TbTecnologia[Tecnología])</f>
        <v>CUDA</v>
      </c>
      <c r="D1277" s="15" t="str" cm="1">
        <f t="array" ref="D1277">_xlfn.XLOOKUP(Total[[#This Row],[Tecnología]]&amp;Total[[#This Row],[Metodo]],TbTipos[Tecnología]&amp;TbTipos[Metodo],TbTipos[Tipo])</f>
        <v>CUDA con graph</v>
      </c>
      <c r="E1277" s="15" t="str" cm="1">
        <f t="array" ref="E1277">_xlfn.XLOOKUP(Total[[#This Row],[Tecnología]]&amp;Total[[#This Row],[Problema]],TbNombres[Tecnología]&amp;TbNombres[Problema],TbNombres[Nombre])</f>
        <v>Brusselator2d</v>
      </c>
      <c r="F1277" s="1">
        <v>6</v>
      </c>
      <c r="G1277" s="1">
        <v>8</v>
      </c>
      <c r="H1277" s="1">
        <v>256</v>
      </c>
      <c r="I1277" s="1">
        <v>600</v>
      </c>
      <c r="J1277" s="1">
        <v>720000</v>
      </c>
      <c r="K1277" s="1">
        <v>573.024</v>
      </c>
    </row>
    <row r="1278" spans="2:11" x14ac:dyDescent="0.2">
      <c r="B1278" s="26" t="str">
        <f>_xlfn.XLOOKUP(Total[[#This Row],[Metodo]],TbSolver[Metodo],TbSolver[Solver])</f>
        <v>Adams Bashford Moulton</v>
      </c>
      <c r="C1278" s="26" t="str">
        <f>_xlfn.XLOOKUP(Total[[#This Row],[Hebras]],TbTecnologia[Hebras],TbTecnologia[Tecnología])</f>
        <v>CUDA</v>
      </c>
      <c r="D1278" s="15" t="str" cm="1">
        <f t="array" ref="D1278">_xlfn.XLOOKUP(Total[[#This Row],[Tecnología]]&amp;Total[[#This Row],[Metodo]],TbTipos[Tecnología]&amp;TbTipos[Metodo],TbTipos[Tipo])</f>
        <v>CUDA con graph</v>
      </c>
      <c r="E1278" s="15" t="str" cm="1">
        <f t="array" ref="E1278">_xlfn.XLOOKUP(Total[[#This Row],[Tecnología]]&amp;Total[[#This Row],[Problema]],TbNombres[Tecnología]&amp;TbNombres[Problema],TbNombres[Nombre])</f>
        <v>Brusselator2d</v>
      </c>
      <c r="F1278" s="1">
        <v>6</v>
      </c>
      <c r="G1278" s="1">
        <v>8</v>
      </c>
      <c r="H1278" s="1">
        <v>256</v>
      </c>
      <c r="I1278" s="1">
        <v>700</v>
      </c>
      <c r="J1278" s="1">
        <v>980000</v>
      </c>
      <c r="K1278" s="1">
        <v>772.95399999999995</v>
      </c>
    </row>
    <row r="1279" spans="2:11" x14ac:dyDescent="0.2">
      <c r="B1279" s="26" t="str">
        <f>_xlfn.XLOOKUP(Total[[#This Row],[Metodo]],TbSolver[Metodo],TbSolver[Solver])</f>
        <v>Adams Bashford</v>
      </c>
      <c r="C1279" s="26" t="str">
        <f>_xlfn.XLOOKUP(Total[[#This Row],[Hebras]],TbTecnologia[Hebras],TbTecnologia[Tecnología])</f>
        <v>CUDA</v>
      </c>
      <c r="D1279" s="15" t="str" cm="1">
        <f t="array" ref="D1279">_xlfn.XLOOKUP(Total[[#This Row],[Tecnología]]&amp;Total[[#This Row],[Metodo]],TbTipos[Tecnología]&amp;TbTipos[Metodo],TbTipos[Tipo])</f>
        <v>CUDA con graph</v>
      </c>
      <c r="E1279" s="15" t="str" cm="1">
        <f t="array" ref="E1279">_xlfn.XLOOKUP(Total[[#This Row],[Tecnología]]&amp;Total[[#This Row],[Problema]],TbNombres[Tecnología]&amp;TbNombres[Problema],TbNombres[Nombre])</f>
        <v>Simple Advdiff</v>
      </c>
      <c r="F1279" s="1">
        <v>4</v>
      </c>
      <c r="G1279" s="1">
        <v>1</v>
      </c>
      <c r="H1279" s="1">
        <v>256</v>
      </c>
      <c r="I1279" s="1">
        <v>15000</v>
      </c>
      <c r="J1279" s="1">
        <v>15000</v>
      </c>
      <c r="K1279" s="1">
        <v>6.1726000000000001</v>
      </c>
    </row>
    <row r="1280" spans="2:11" x14ac:dyDescent="0.2">
      <c r="B1280" s="26" t="str">
        <f>_xlfn.XLOOKUP(Total[[#This Row],[Metodo]],TbSolver[Metodo],TbSolver[Solver])</f>
        <v>Adams Bashford</v>
      </c>
      <c r="C1280" s="26" t="str">
        <f>_xlfn.XLOOKUP(Total[[#This Row],[Hebras]],TbTecnologia[Hebras],TbTecnologia[Tecnología])</f>
        <v>CUDA</v>
      </c>
      <c r="D1280" s="15" t="str" cm="1">
        <f t="array" ref="D1280">_xlfn.XLOOKUP(Total[[#This Row],[Tecnología]]&amp;Total[[#This Row],[Metodo]],TbTipos[Tecnología]&amp;TbTipos[Metodo],TbTipos[Tipo])</f>
        <v>CUDA con graph</v>
      </c>
      <c r="E1280" s="15" t="str" cm="1">
        <f t="array" ref="E1280">_xlfn.XLOOKUP(Total[[#This Row],[Tecnología]]&amp;Total[[#This Row],[Problema]],TbNombres[Tecnología]&amp;TbNombres[Problema],TbNombres[Nombre])</f>
        <v>Simple Advdiff</v>
      </c>
      <c r="F1280" s="1">
        <v>4</v>
      </c>
      <c r="G1280" s="1">
        <v>1</v>
      </c>
      <c r="H1280" s="1">
        <v>256</v>
      </c>
      <c r="I1280" s="1">
        <v>20000</v>
      </c>
      <c r="J1280" s="1">
        <v>20000</v>
      </c>
      <c r="K1280" s="1">
        <v>7.2895399999999997</v>
      </c>
    </row>
    <row r="1281" spans="2:11" x14ac:dyDescent="0.2">
      <c r="B1281" s="26" t="str">
        <f>_xlfn.XLOOKUP(Total[[#This Row],[Metodo]],TbSolver[Metodo],TbSolver[Solver])</f>
        <v>Adams Bashford</v>
      </c>
      <c r="C1281" s="26" t="str">
        <f>_xlfn.XLOOKUP(Total[[#This Row],[Hebras]],TbTecnologia[Hebras],TbTecnologia[Tecnología])</f>
        <v>CUDA</v>
      </c>
      <c r="D1281" s="15" t="str" cm="1">
        <f t="array" ref="D1281">_xlfn.XLOOKUP(Total[[#This Row],[Tecnología]]&amp;Total[[#This Row],[Metodo]],TbTipos[Tecnología]&amp;TbTipos[Metodo],TbTipos[Tipo])</f>
        <v>CUDA con graph</v>
      </c>
      <c r="E1281" s="15" t="str" cm="1">
        <f t="array" ref="E1281">_xlfn.XLOOKUP(Total[[#This Row],[Tecnología]]&amp;Total[[#This Row],[Problema]],TbNombres[Tecnología]&amp;TbNombres[Problema],TbNombres[Nombre])</f>
        <v>Simple Advdiff</v>
      </c>
      <c r="F1281" s="1">
        <v>4</v>
      </c>
      <c r="G1281" s="1">
        <v>1</v>
      </c>
      <c r="H1281" s="1">
        <v>256</v>
      </c>
      <c r="I1281" s="1">
        <v>30000</v>
      </c>
      <c r="J1281" s="1">
        <v>30000</v>
      </c>
      <c r="K1281" s="1">
        <v>7.8008199999999999</v>
      </c>
    </row>
    <row r="1282" spans="2:11" x14ac:dyDescent="0.2">
      <c r="B1282" s="26" t="str">
        <f>_xlfn.XLOOKUP(Total[[#This Row],[Metodo]],TbSolver[Metodo],TbSolver[Solver])</f>
        <v>Adams Bashford</v>
      </c>
      <c r="C1282" s="26" t="str">
        <f>_xlfn.XLOOKUP(Total[[#This Row],[Hebras]],TbTecnologia[Hebras],TbTecnologia[Tecnología])</f>
        <v>CUDA</v>
      </c>
      <c r="D1282" s="15" t="str" cm="1">
        <f t="array" ref="D1282">_xlfn.XLOOKUP(Total[[#This Row],[Tecnología]]&amp;Total[[#This Row],[Metodo]],TbTipos[Tecnología]&amp;TbTipos[Metodo],TbTipos[Tipo])</f>
        <v>CUDA con graph</v>
      </c>
      <c r="E1282" s="15" t="str" cm="1">
        <f t="array" ref="E1282">_xlfn.XLOOKUP(Total[[#This Row],[Tecnología]]&amp;Total[[#This Row],[Problema]],TbNombres[Tecnología]&amp;TbNombres[Problema],TbNombres[Nombre])</f>
        <v>Simple Advdiff</v>
      </c>
      <c r="F1282" s="1">
        <v>4</v>
      </c>
      <c r="G1282" s="1">
        <v>1</v>
      </c>
      <c r="H1282" s="1">
        <v>256</v>
      </c>
      <c r="I1282" s="1">
        <v>40000</v>
      </c>
      <c r="J1282" s="1">
        <v>40000</v>
      </c>
      <c r="K1282" s="1">
        <v>9.0206</v>
      </c>
    </row>
    <row r="1283" spans="2:11" x14ac:dyDescent="0.2">
      <c r="B1283" s="26" t="str">
        <f>_xlfn.XLOOKUP(Total[[#This Row],[Metodo]],TbSolver[Metodo],TbSolver[Solver])</f>
        <v>Adams Bashford</v>
      </c>
      <c r="C1283" s="26" t="str">
        <f>_xlfn.XLOOKUP(Total[[#This Row],[Hebras]],TbTecnologia[Hebras],TbTecnologia[Tecnología])</f>
        <v>CUDA</v>
      </c>
      <c r="D1283" s="15" t="str" cm="1">
        <f t="array" ref="D1283">_xlfn.XLOOKUP(Total[[#This Row],[Tecnología]]&amp;Total[[#This Row],[Metodo]],TbTipos[Tecnología]&amp;TbTipos[Metodo],TbTipos[Tipo])</f>
        <v>CUDA con graph</v>
      </c>
      <c r="E1283" s="15" t="str" cm="1">
        <f t="array" ref="E1283">_xlfn.XLOOKUP(Total[[#This Row],[Tecnología]]&amp;Total[[#This Row],[Problema]],TbNombres[Tecnología]&amp;TbNombres[Problema],TbNombres[Nombre])</f>
        <v>Simple Advdiff</v>
      </c>
      <c r="F1283" s="1">
        <v>4</v>
      </c>
      <c r="G1283" s="1">
        <v>1</v>
      </c>
      <c r="H1283" s="1">
        <v>256</v>
      </c>
      <c r="I1283" s="1">
        <v>75000</v>
      </c>
      <c r="J1283" s="1">
        <v>75000</v>
      </c>
      <c r="K1283" s="1">
        <v>12.3706</v>
      </c>
    </row>
    <row r="1284" spans="2:11" x14ac:dyDescent="0.2">
      <c r="B1284" s="26" t="str">
        <f>_xlfn.XLOOKUP(Total[[#This Row],[Metodo]],TbSolver[Metodo],TbSolver[Solver])</f>
        <v>Adams Bashford</v>
      </c>
      <c r="C1284" s="26" t="str">
        <f>_xlfn.XLOOKUP(Total[[#This Row],[Hebras]],TbTecnologia[Hebras],TbTecnologia[Tecnología])</f>
        <v>CUDA</v>
      </c>
      <c r="D1284" s="15" t="str" cm="1">
        <f t="array" ref="D1284">_xlfn.XLOOKUP(Total[[#This Row],[Tecnología]]&amp;Total[[#This Row],[Metodo]],TbTipos[Tecnología]&amp;TbTipos[Metodo],TbTipos[Tipo])</f>
        <v>CUDA con graph</v>
      </c>
      <c r="E1284" s="15" t="str" cm="1">
        <f t="array" ref="E1284">_xlfn.XLOOKUP(Total[[#This Row],[Tecnología]]&amp;Total[[#This Row],[Problema]],TbNombres[Tecnología]&amp;TbNombres[Problema],TbNombres[Nombre])</f>
        <v>Simple Advdiff</v>
      </c>
      <c r="F1284" s="1">
        <v>4</v>
      </c>
      <c r="G1284" s="1">
        <v>1</v>
      </c>
      <c r="H1284" s="1">
        <v>256</v>
      </c>
      <c r="I1284" s="1">
        <v>125000</v>
      </c>
      <c r="J1284" s="1">
        <v>125000</v>
      </c>
      <c r="K1284" s="1">
        <v>30.149899999999999</v>
      </c>
    </row>
    <row r="1285" spans="2:11" x14ac:dyDescent="0.2">
      <c r="B1285" s="26" t="str">
        <f>_xlfn.XLOOKUP(Total[[#This Row],[Metodo]],TbSolver[Metodo],TbSolver[Solver])</f>
        <v>Adams Bashford</v>
      </c>
      <c r="C1285" s="26" t="str">
        <f>_xlfn.XLOOKUP(Total[[#This Row],[Hebras]],TbTecnologia[Hebras],TbTecnologia[Tecnología])</f>
        <v>CUDA</v>
      </c>
      <c r="D1285" s="15" t="str" cm="1">
        <f t="array" ref="D1285">_xlfn.XLOOKUP(Total[[#This Row],[Tecnología]]&amp;Total[[#This Row],[Metodo]],TbTipos[Tecnología]&amp;TbTipos[Metodo],TbTipos[Tipo])</f>
        <v>CUDA con graph</v>
      </c>
      <c r="E1285" s="15" t="str" cm="1">
        <f t="array" ref="E1285">_xlfn.XLOOKUP(Total[[#This Row],[Tecnología]]&amp;Total[[#This Row],[Problema]],TbNombres[Tecnología]&amp;TbNombres[Problema],TbNombres[Nombre])</f>
        <v>Simple Advdiff</v>
      </c>
      <c r="F1285" s="1">
        <v>4</v>
      </c>
      <c r="G1285" s="1">
        <v>1</v>
      </c>
      <c r="H1285" s="1">
        <v>256</v>
      </c>
      <c r="I1285" s="1">
        <v>175000</v>
      </c>
      <c r="J1285" s="1">
        <v>175000</v>
      </c>
      <c r="K1285" s="1">
        <v>49.551499999999997</v>
      </c>
    </row>
    <row r="1286" spans="2:11" x14ac:dyDescent="0.2">
      <c r="B1286" s="26" t="str">
        <f>_xlfn.XLOOKUP(Total[[#This Row],[Metodo]],TbSolver[Metodo],TbSolver[Solver])</f>
        <v>Adams Bashford</v>
      </c>
      <c r="C1286" s="26" t="str">
        <f>_xlfn.XLOOKUP(Total[[#This Row],[Hebras]],TbTecnologia[Hebras],TbTecnologia[Tecnología])</f>
        <v>CUDA</v>
      </c>
      <c r="D1286" s="15" t="str" cm="1">
        <f t="array" ref="D1286">_xlfn.XLOOKUP(Total[[#This Row],[Tecnología]]&amp;Total[[#This Row],[Metodo]],TbTipos[Tecnología]&amp;TbTipos[Metodo],TbTipos[Tipo])</f>
        <v>CUDA con graph</v>
      </c>
      <c r="E1286" s="15" t="str" cm="1">
        <f t="array" ref="E1286">_xlfn.XLOOKUP(Total[[#This Row],[Tecnología]]&amp;Total[[#This Row],[Problema]],TbNombres[Tecnología]&amp;TbNombres[Problema],TbNombres[Nombre])</f>
        <v>Simple Advdiff</v>
      </c>
      <c r="F1286" s="1">
        <v>4</v>
      </c>
      <c r="G1286" s="1">
        <v>1</v>
      </c>
      <c r="H1286" s="1">
        <v>256</v>
      </c>
      <c r="I1286" s="1">
        <v>750000</v>
      </c>
      <c r="J1286" s="1">
        <v>750000</v>
      </c>
      <c r="K1286" s="1">
        <v>217.596</v>
      </c>
    </row>
    <row r="1287" spans="2:11" x14ac:dyDescent="0.2">
      <c r="B1287" s="26" t="str">
        <f>_xlfn.XLOOKUP(Total[[#This Row],[Metodo]],TbSolver[Metodo],TbSolver[Solver])</f>
        <v>Adams Bashford</v>
      </c>
      <c r="C1287" s="26" t="str">
        <f>_xlfn.XLOOKUP(Total[[#This Row],[Hebras]],TbTecnologia[Hebras],TbTecnologia[Tecnología])</f>
        <v>CUDA</v>
      </c>
      <c r="D1287" s="15" t="str" cm="1">
        <f t="array" ref="D1287">_xlfn.XLOOKUP(Total[[#This Row],[Tecnología]]&amp;Total[[#This Row],[Metodo]],TbTipos[Tecnología]&amp;TbTipos[Metodo],TbTipos[Tipo])</f>
        <v>CUDA con graph</v>
      </c>
      <c r="E1287" s="15" t="str" cm="1">
        <f t="array" ref="E1287">_xlfn.XLOOKUP(Total[[#This Row],[Tecnología]]&amp;Total[[#This Row],[Problema]],TbNombres[Tecnología]&amp;TbNombres[Problema],TbNombres[Nombre])</f>
        <v>Simple Advdiff</v>
      </c>
      <c r="F1287" s="1">
        <v>4</v>
      </c>
      <c r="G1287" s="1">
        <v>1</v>
      </c>
      <c r="H1287" s="1">
        <v>256</v>
      </c>
      <c r="I1287" s="1">
        <v>1000000</v>
      </c>
      <c r="J1287" s="1">
        <v>1000000</v>
      </c>
      <c r="K1287" s="1">
        <v>287.529</v>
      </c>
    </row>
    <row r="1288" spans="2:11" x14ac:dyDescent="0.2">
      <c r="B1288" s="26" t="str">
        <f>_xlfn.XLOOKUP(Total[[#This Row],[Metodo]],TbSolver[Metodo],TbSolver[Solver])</f>
        <v>Adams Bashford</v>
      </c>
      <c r="C1288" s="26" t="str">
        <f>_xlfn.XLOOKUP(Total[[#This Row],[Hebras]],TbTecnologia[Hebras],TbTecnologia[Tecnología])</f>
        <v>CUDA</v>
      </c>
      <c r="D1288" s="15" t="str" cm="1">
        <f t="array" ref="D1288">_xlfn.XLOOKUP(Total[[#This Row],[Tecnología]]&amp;Total[[#This Row],[Metodo]],TbTipos[Tecnología]&amp;TbTipos[Metodo],TbTipos[Tipo])</f>
        <v>CUDA con graph</v>
      </c>
      <c r="E1288" s="15" t="str" cm="1">
        <f t="array" ref="E1288">_xlfn.XLOOKUP(Total[[#This Row],[Tecnología]]&amp;Total[[#This Row],[Problema]],TbNombres[Tecnología]&amp;TbNombres[Problema],TbNombres[Nombre])</f>
        <v>Advdiff1d</v>
      </c>
      <c r="F1288" s="1">
        <v>4</v>
      </c>
      <c r="G1288" s="1">
        <v>3</v>
      </c>
      <c r="H1288" s="1">
        <v>256</v>
      </c>
      <c r="I1288" s="1">
        <v>15000</v>
      </c>
      <c r="J1288" s="1">
        <v>15000</v>
      </c>
      <c r="K1288" s="1">
        <v>10.321099999999999</v>
      </c>
    </row>
    <row r="1289" spans="2:11" x14ac:dyDescent="0.2">
      <c r="B1289" s="26" t="str">
        <f>_xlfn.XLOOKUP(Total[[#This Row],[Metodo]],TbSolver[Metodo],TbSolver[Solver])</f>
        <v>Adams Bashford</v>
      </c>
      <c r="C1289" s="26" t="str">
        <f>_xlfn.XLOOKUP(Total[[#This Row],[Hebras]],TbTecnologia[Hebras],TbTecnologia[Tecnología])</f>
        <v>CUDA</v>
      </c>
      <c r="D1289" s="15" t="str" cm="1">
        <f t="array" ref="D1289">_xlfn.XLOOKUP(Total[[#This Row],[Tecnología]]&amp;Total[[#This Row],[Metodo]],TbTipos[Tecnología]&amp;TbTipos[Metodo],TbTipos[Tipo])</f>
        <v>CUDA con graph</v>
      </c>
      <c r="E1289" s="15" t="str" cm="1">
        <f t="array" ref="E1289">_xlfn.XLOOKUP(Total[[#This Row],[Tecnología]]&amp;Total[[#This Row],[Problema]],TbNombres[Tecnología]&amp;TbNombres[Problema],TbNombres[Nombre])</f>
        <v>Advdiff1d</v>
      </c>
      <c r="F1289" s="1">
        <v>4</v>
      </c>
      <c r="G1289" s="1">
        <v>3</v>
      </c>
      <c r="H1289" s="1">
        <v>256</v>
      </c>
      <c r="I1289" s="1">
        <v>20000</v>
      </c>
      <c r="J1289" s="1">
        <v>20000</v>
      </c>
      <c r="K1289" s="1">
        <v>15.6219</v>
      </c>
    </row>
    <row r="1290" spans="2:11" x14ac:dyDescent="0.2">
      <c r="B1290" s="26" t="str">
        <f>_xlfn.XLOOKUP(Total[[#This Row],[Metodo]],TbSolver[Metodo],TbSolver[Solver])</f>
        <v>Adams Bashford</v>
      </c>
      <c r="C1290" s="26" t="str">
        <f>_xlfn.XLOOKUP(Total[[#This Row],[Hebras]],TbTecnologia[Hebras],TbTecnologia[Tecnología])</f>
        <v>CUDA</v>
      </c>
      <c r="D1290" s="15" t="str" cm="1">
        <f t="array" ref="D1290">_xlfn.XLOOKUP(Total[[#This Row],[Tecnología]]&amp;Total[[#This Row],[Metodo]],TbTipos[Tecnología]&amp;TbTipos[Metodo],TbTipos[Tipo])</f>
        <v>CUDA con graph</v>
      </c>
      <c r="E1290" s="15" t="str" cm="1">
        <f t="array" ref="E1290">_xlfn.XLOOKUP(Total[[#This Row],[Tecnología]]&amp;Total[[#This Row],[Problema]],TbNombres[Tecnología]&amp;TbNombres[Problema],TbNombres[Nombre])</f>
        <v>Advdiff1d</v>
      </c>
      <c r="F1290" s="1">
        <v>4</v>
      </c>
      <c r="G1290" s="1">
        <v>3</v>
      </c>
      <c r="H1290" s="1">
        <v>256</v>
      </c>
      <c r="I1290" s="1">
        <v>30000</v>
      </c>
      <c r="J1290" s="1">
        <v>30000</v>
      </c>
      <c r="K1290" s="1">
        <v>16.043800000000001</v>
      </c>
    </row>
    <row r="1291" spans="2:11" x14ac:dyDescent="0.2">
      <c r="B1291" s="26" t="str">
        <f>_xlfn.XLOOKUP(Total[[#This Row],[Metodo]],TbSolver[Metodo],TbSolver[Solver])</f>
        <v>Adams Bashford</v>
      </c>
      <c r="C1291" s="26" t="str">
        <f>_xlfn.XLOOKUP(Total[[#This Row],[Hebras]],TbTecnologia[Hebras],TbTecnologia[Tecnología])</f>
        <v>CUDA</v>
      </c>
      <c r="D1291" s="15" t="str" cm="1">
        <f t="array" ref="D1291">_xlfn.XLOOKUP(Total[[#This Row],[Tecnología]]&amp;Total[[#This Row],[Metodo]],TbTipos[Tecnología]&amp;TbTipos[Metodo],TbTipos[Tipo])</f>
        <v>CUDA con graph</v>
      </c>
      <c r="E1291" s="15" t="str" cm="1">
        <f t="array" ref="E1291">_xlfn.XLOOKUP(Total[[#This Row],[Tecnología]]&amp;Total[[#This Row],[Problema]],TbNombres[Tecnología]&amp;TbNombres[Problema],TbNombres[Nombre])</f>
        <v>Advdiff1d</v>
      </c>
      <c r="F1291" s="1">
        <v>4</v>
      </c>
      <c r="G1291" s="1">
        <v>3</v>
      </c>
      <c r="H1291" s="1">
        <v>256</v>
      </c>
      <c r="I1291" s="1">
        <v>40000</v>
      </c>
      <c r="J1291" s="1">
        <v>40000</v>
      </c>
      <c r="K1291" s="1">
        <v>21.6327</v>
      </c>
    </row>
    <row r="1292" spans="2:11" x14ac:dyDescent="0.2">
      <c r="B1292" s="26" t="str">
        <f>_xlfn.XLOOKUP(Total[[#This Row],[Metodo]],TbSolver[Metodo],TbSolver[Solver])</f>
        <v>Adams Bashford</v>
      </c>
      <c r="C1292" s="26" t="str">
        <f>_xlfn.XLOOKUP(Total[[#This Row],[Hebras]],TbTecnologia[Hebras],TbTecnologia[Tecnología])</f>
        <v>CUDA</v>
      </c>
      <c r="D1292" s="15" t="str" cm="1">
        <f t="array" ref="D1292">_xlfn.XLOOKUP(Total[[#This Row],[Tecnología]]&amp;Total[[#This Row],[Metodo]],TbTipos[Tecnología]&amp;TbTipos[Metodo],TbTipos[Tipo])</f>
        <v>CUDA con graph</v>
      </c>
      <c r="E1292" s="15" t="str" cm="1">
        <f t="array" ref="E1292">_xlfn.XLOOKUP(Total[[#This Row],[Tecnología]]&amp;Total[[#This Row],[Problema]],TbNombres[Tecnología]&amp;TbNombres[Problema],TbNombres[Nombre])</f>
        <v>Advdiff1d</v>
      </c>
      <c r="F1292" s="1">
        <v>4</v>
      </c>
      <c r="G1292" s="1">
        <v>3</v>
      </c>
      <c r="H1292" s="1">
        <v>256</v>
      </c>
      <c r="I1292" s="1">
        <v>75000</v>
      </c>
      <c r="J1292" s="1">
        <v>75000</v>
      </c>
      <c r="K1292" s="1">
        <v>35.382199999999997</v>
      </c>
    </row>
    <row r="1293" spans="2:11" x14ac:dyDescent="0.2">
      <c r="B1293" s="26" t="str">
        <f>_xlfn.XLOOKUP(Total[[#This Row],[Metodo]],TbSolver[Metodo],TbSolver[Solver])</f>
        <v>Adams Bashford</v>
      </c>
      <c r="C1293" s="26" t="str">
        <f>_xlfn.XLOOKUP(Total[[#This Row],[Hebras]],TbTecnologia[Hebras],TbTecnologia[Tecnología])</f>
        <v>CUDA</v>
      </c>
      <c r="D1293" s="15" t="str" cm="1">
        <f t="array" ref="D1293">_xlfn.XLOOKUP(Total[[#This Row],[Tecnología]]&amp;Total[[#This Row],[Metodo]],TbTipos[Tecnología]&amp;TbTipos[Metodo],TbTipos[Tipo])</f>
        <v>CUDA con graph</v>
      </c>
      <c r="E1293" s="15" t="str" cm="1">
        <f t="array" ref="E1293">_xlfn.XLOOKUP(Total[[#This Row],[Tecnología]]&amp;Total[[#This Row],[Problema]],TbNombres[Tecnología]&amp;TbNombres[Problema],TbNombres[Nombre])</f>
        <v>Advdiff1d</v>
      </c>
      <c r="F1293" s="1">
        <v>4</v>
      </c>
      <c r="G1293" s="1">
        <v>3</v>
      </c>
      <c r="H1293" s="1">
        <v>256</v>
      </c>
      <c r="I1293" s="1">
        <v>125000</v>
      </c>
      <c r="J1293" s="1">
        <v>125000</v>
      </c>
      <c r="K1293" s="1">
        <v>64.570300000000003</v>
      </c>
    </row>
    <row r="1294" spans="2:11" x14ac:dyDescent="0.2">
      <c r="B1294" s="26" t="str">
        <f>_xlfn.XLOOKUP(Total[[#This Row],[Metodo]],TbSolver[Metodo],TbSolver[Solver])</f>
        <v>Adams Bashford</v>
      </c>
      <c r="C1294" s="26" t="str">
        <f>_xlfn.XLOOKUP(Total[[#This Row],[Hebras]],TbTecnologia[Hebras],TbTecnologia[Tecnología])</f>
        <v>CUDA</v>
      </c>
      <c r="D1294" s="15" t="str" cm="1">
        <f t="array" ref="D1294">_xlfn.XLOOKUP(Total[[#This Row],[Tecnología]]&amp;Total[[#This Row],[Metodo]],TbTipos[Tecnología]&amp;TbTipos[Metodo],TbTipos[Tipo])</f>
        <v>CUDA con graph</v>
      </c>
      <c r="E1294" s="15" t="str" cm="1">
        <f t="array" ref="E1294">_xlfn.XLOOKUP(Total[[#This Row],[Tecnología]]&amp;Total[[#This Row],[Problema]],TbNombres[Tecnología]&amp;TbNombres[Problema],TbNombres[Nombre])</f>
        <v>Advdiff1d</v>
      </c>
      <c r="F1294" s="1">
        <v>4</v>
      </c>
      <c r="G1294" s="1">
        <v>3</v>
      </c>
      <c r="H1294" s="1">
        <v>256</v>
      </c>
      <c r="I1294" s="1">
        <v>175000</v>
      </c>
      <c r="J1294" s="1">
        <v>175000</v>
      </c>
      <c r="K1294" s="1">
        <v>96.189300000000003</v>
      </c>
    </row>
    <row r="1295" spans="2:11" x14ac:dyDescent="0.2">
      <c r="B1295" s="26" t="str">
        <f>_xlfn.XLOOKUP(Total[[#This Row],[Metodo]],TbSolver[Metodo],TbSolver[Solver])</f>
        <v>Adams Bashford</v>
      </c>
      <c r="C1295" s="26" t="str">
        <f>_xlfn.XLOOKUP(Total[[#This Row],[Hebras]],TbTecnologia[Hebras],TbTecnologia[Tecnología])</f>
        <v>CUDA</v>
      </c>
      <c r="D1295" s="15" t="str" cm="1">
        <f t="array" ref="D1295">_xlfn.XLOOKUP(Total[[#This Row],[Tecnología]]&amp;Total[[#This Row],[Metodo]],TbTipos[Tecnología]&amp;TbTipos[Metodo],TbTipos[Tipo])</f>
        <v>CUDA con graph</v>
      </c>
      <c r="E1295" s="15" t="str" cm="1">
        <f t="array" ref="E1295">_xlfn.XLOOKUP(Total[[#This Row],[Tecnología]]&amp;Total[[#This Row],[Problema]],TbNombres[Tecnología]&amp;TbNombres[Problema],TbNombres[Nombre])</f>
        <v>Advdiff1d</v>
      </c>
      <c r="F1295" s="1">
        <v>4</v>
      </c>
      <c r="G1295" s="1">
        <v>3</v>
      </c>
      <c r="H1295" s="1">
        <v>256</v>
      </c>
      <c r="I1295" s="1">
        <v>750000</v>
      </c>
      <c r="J1295" s="1">
        <v>750000</v>
      </c>
      <c r="K1295" s="1">
        <v>403.53300000000002</v>
      </c>
    </row>
    <row r="1296" spans="2:11" x14ac:dyDescent="0.2">
      <c r="B1296" s="26" t="str">
        <f>_xlfn.XLOOKUP(Total[[#This Row],[Metodo]],TbSolver[Metodo],TbSolver[Solver])</f>
        <v>Adams Bashford</v>
      </c>
      <c r="C1296" s="26" t="str">
        <f>_xlfn.XLOOKUP(Total[[#This Row],[Hebras]],TbTecnologia[Hebras],TbTecnologia[Tecnología])</f>
        <v>CUDA</v>
      </c>
      <c r="D1296" s="15" t="str" cm="1">
        <f t="array" ref="D1296">_xlfn.XLOOKUP(Total[[#This Row],[Tecnología]]&amp;Total[[#This Row],[Metodo]],TbTipos[Tecnología]&amp;TbTipos[Metodo],TbTipos[Tipo])</f>
        <v>CUDA con graph</v>
      </c>
      <c r="E1296" s="15" t="str" cm="1">
        <f t="array" ref="E1296">_xlfn.XLOOKUP(Total[[#This Row],[Tecnología]]&amp;Total[[#This Row],[Problema]],TbNombres[Tecnología]&amp;TbNombres[Problema],TbNombres[Nombre])</f>
        <v>Advdiff1d</v>
      </c>
      <c r="F1296" s="1">
        <v>4</v>
      </c>
      <c r="G1296" s="1">
        <v>3</v>
      </c>
      <c r="H1296" s="1">
        <v>256</v>
      </c>
      <c r="I1296" s="1">
        <v>1000000</v>
      </c>
      <c r="J1296" s="1">
        <v>1000000</v>
      </c>
      <c r="K1296" s="1">
        <v>533.70600000000002</v>
      </c>
    </row>
    <row r="1297" spans="2:11" x14ac:dyDescent="0.2">
      <c r="B1297" s="26" t="str">
        <f>_xlfn.XLOOKUP(Total[[#This Row],[Metodo]],TbSolver[Metodo],TbSolver[Solver])</f>
        <v>Adams Bashford</v>
      </c>
      <c r="C1297" s="26" t="str">
        <f>_xlfn.XLOOKUP(Total[[#This Row],[Hebras]],TbTecnologia[Hebras],TbTecnologia[Tecnología])</f>
        <v>CUDA</v>
      </c>
      <c r="D1297" s="15" t="str" cm="1">
        <f t="array" ref="D1297">_xlfn.XLOOKUP(Total[[#This Row],[Tecnología]]&amp;Total[[#This Row],[Metodo]],TbTipos[Tecnología]&amp;TbTipos[Metodo],TbTipos[Tipo])</f>
        <v>CUDA con graph</v>
      </c>
      <c r="E1297" s="15" t="str" cm="1">
        <f t="array" ref="E1297">_xlfn.XLOOKUP(Total[[#This Row],[Tecnología]]&amp;Total[[#This Row],[Problema]],TbNombres[Tecnología]&amp;TbNombres[Problema],TbNombres[Nombre])</f>
        <v>Brusselator1d</v>
      </c>
      <c r="F1297" s="1">
        <v>4</v>
      </c>
      <c r="G1297" s="1">
        <v>5</v>
      </c>
      <c r="H1297" s="1">
        <v>256</v>
      </c>
      <c r="I1297" s="1">
        <v>15000</v>
      </c>
      <c r="J1297" s="1">
        <v>30000</v>
      </c>
      <c r="K1297" s="1">
        <v>8.4127500000000008</v>
      </c>
    </row>
    <row r="1298" spans="2:11" x14ac:dyDescent="0.2">
      <c r="B1298" s="26" t="str">
        <f>_xlfn.XLOOKUP(Total[[#This Row],[Metodo]],TbSolver[Metodo],TbSolver[Solver])</f>
        <v>Adams Bashford</v>
      </c>
      <c r="C1298" s="26" t="str">
        <f>_xlfn.XLOOKUP(Total[[#This Row],[Hebras]],TbTecnologia[Hebras],TbTecnologia[Tecnología])</f>
        <v>CUDA</v>
      </c>
      <c r="D1298" s="15" t="str" cm="1">
        <f t="array" ref="D1298">_xlfn.XLOOKUP(Total[[#This Row],[Tecnología]]&amp;Total[[#This Row],[Metodo]],TbTipos[Tecnología]&amp;TbTipos[Metodo],TbTipos[Tipo])</f>
        <v>CUDA con graph</v>
      </c>
      <c r="E1298" s="15" t="str" cm="1">
        <f t="array" ref="E1298">_xlfn.XLOOKUP(Total[[#This Row],[Tecnología]]&amp;Total[[#This Row],[Problema]],TbNombres[Tecnología]&amp;TbNombres[Problema],TbNombres[Nombre])</f>
        <v>Brusselator1d</v>
      </c>
      <c r="F1298" s="1">
        <v>4</v>
      </c>
      <c r="G1298" s="1">
        <v>5</v>
      </c>
      <c r="H1298" s="1">
        <v>256</v>
      </c>
      <c r="I1298" s="1">
        <v>20000</v>
      </c>
      <c r="J1298" s="1">
        <v>40000</v>
      </c>
      <c r="K1298" s="1">
        <v>10.1577</v>
      </c>
    </row>
    <row r="1299" spans="2:11" x14ac:dyDescent="0.2">
      <c r="B1299" s="26" t="str">
        <f>_xlfn.XLOOKUP(Total[[#This Row],[Metodo]],TbSolver[Metodo],TbSolver[Solver])</f>
        <v>Adams Bashford</v>
      </c>
      <c r="C1299" s="26" t="str">
        <f>_xlfn.XLOOKUP(Total[[#This Row],[Hebras]],TbTecnologia[Hebras],TbTecnologia[Tecnología])</f>
        <v>CUDA</v>
      </c>
      <c r="D1299" s="15" t="str" cm="1">
        <f t="array" ref="D1299">_xlfn.XLOOKUP(Total[[#This Row],[Tecnología]]&amp;Total[[#This Row],[Metodo]],TbTipos[Tecnología]&amp;TbTipos[Metodo],TbTipos[Tipo])</f>
        <v>CUDA con graph</v>
      </c>
      <c r="E1299" s="15" t="str" cm="1">
        <f t="array" ref="E1299">_xlfn.XLOOKUP(Total[[#This Row],[Tecnología]]&amp;Total[[#This Row],[Problema]],TbNombres[Tecnología]&amp;TbNombres[Problema],TbNombres[Nombre])</f>
        <v>Brusselator1d</v>
      </c>
      <c r="F1299" s="1">
        <v>4</v>
      </c>
      <c r="G1299" s="1">
        <v>5</v>
      </c>
      <c r="H1299" s="1">
        <v>256</v>
      </c>
      <c r="I1299" s="1">
        <v>30000</v>
      </c>
      <c r="J1299" s="1">
        <v>60000</v>
      </c>
      <c r="K1299" s="1">
        <v>12.481999999999999</v>
      </c>
    </row>
    <row r="1300" spans="2:11" x14ac:dyDescent="0.2">
      <c r="B1300" s="26" t="str">
        <f>_xlfn.XLOOKUP(Total[[#This Row],[Metodo]],TbSolver[Metodo],TbSolver[Solver])</f>
        <v>Adams Bashford</v>
      </c>
      <c r="C1300" s="26" t="str">
        <f>_xlfn.XLOOKUP(Total[[#This Row],[Hebras]],TbTecnologia[Hebras],TbTecnologia[Tecnología])</f>
        <v>CUDA</v>
      </c>
      <c r="D1300" s="15" t="str" cm="1">
        <f t="array" ref="D1300">_xlfn.XLOOKUP(Total[[#This Row],[Tecnología]]&amp;Total[[#This Row],[Metodo]],TbTipos[Tecnología]&amp;TbTipos[Metodo],TbTipos[Tipo])</f>
        <v>CUDA con graph</v>
      </c>
      <c r="E1300" s="15" t="str" cm="1">
        <f t="array" ref="E1300">_xlfn.XLOOKUP(Total[[#This Row],[Tecnología]]&amp;Total[[#This Row],[Problema]],TbNombres[Tecnología]&amp;TbNombres[Problema],TbNombres[Nombre])</f>
        <v>Brusselator1d</v>
      </c>
      <c r="F1300" s="1">
        <v>4</v>
      </c>
      <c r="G1300" s="1">
        <v>5</v>
      </c>
      <c r="H1300" s="1">
        <v>256</v>
      </c>
      <c r="I1300" s="1">
        <v>40000</v>
      </c>
      <c r="J1300" s="1">
        <v>80000</v>
      </c>
      <c r="K1300" s="1">
        <v>18.164999999999999</v>
      </c>
    </row>
    <row r="1301" spans="2:11" x14ac:dyDescent="0.2">
      <c r="B1301" s="26" t="str">
        <f>_xlfn.XLOOKUP(Total[[#This Row],[Metodo]],TbSolver[Metodo],TbSolver[Solver])</f>
        <v>Adams Bashford</v>
      </c>
      <c r="C1301" s="26" t="str">
        <f>_xlfn.XLOOKUP(Total[[#This Row],[Hebras]],TbTecnologia[Hebras],TbTecnologia[Tecnología])</f>
        <v>CUDA</v>
      </c>
      <c r="D1301" s="15" t="str" cm="1">
        <f t="array" ref="D1301">_xlfn.XLOOKUP(Total[[#This Row],[Tecnología]]&amp;Total[[#This Row],[Metodo]],TbTipos[Tecnología]&amp;TbTipos[Metodo],TbTipos[Tipo])</f>
        <v>CUDA con graph</v>
      </c>
      <c r="E1301" s="15" t="str" cm="1">
        <f t="array" ref="E1301">_xlfn.XLOOKUP(Total[[#This Row],[Tecnología]]&amp;Total[[#This Row],[Problema]],TbNombres[Tecnología]&amp;TbNombres[Problema],TbNombres[Nombre])</f>
        <v>Brusselator1d</v>
      </c>
      <c r="F1301" s="1">
        <v>4</v>
      </c>
      <c r="G1301" s="1">
        <v>5</v>
      </c>
      <c r="H1301" s="1">
        <v>256</v>
      </c>
      <c r="I1301" s="1">
        <v>75000</v>
      </c>
      <c r="J1301" s="1">
        <v>150000</v>
      </c>
      <c r="K1301" s="1">
        <v>42.592700000000001</v>
      </c>
    </row>
    <row r="1302" spans="2:11" x14ac:dyDescent="0.2">
      <c r="B1302" s="26" t="str">
        <f>_xlfn.XLOOKUP(Total[[#This Row],[Metodo]],TbSolver[Metodo],TbSolver[Solver])</f>
        <v>Adams Bashford</v>
      </c>
      <c r="C1302" s="26" t="str">
        <f>_xlfn.XLOOKUP(Total[[#This Row],[Hebras]],TbTecnologia[Hebras],TbTecnologia[Tecnología])</f>
        <v>CUDA</v>
      </c>
      <c r="D1302" s="15" t="str" cm="1">
        <f t="array" ref="D1302">_xlfn.XLOOKUP(Total[[#This Row],[Tecnología]]&amp;Total[[#This Row],[Metodo]],TbTipos[Tecnología]&amp;TbTipos[Metodo],TbTipos[Tipo])</f>
        <v>CUDA con graph</v>
      </c>
      <c r="E1302" s="15" t="str" cm="1">
        <f t="array" ref="E1302">_xlfn.XLOOKUP(Total[[#This Row],[Tecnología]]&amp;Total[[#This Row],[Problema]],TbNombres[Tecnología]&amp;TbNombres[Problema],TbNombres[Nombre])</f>
        <v>Brusselator1d</v>
      </c>
      <c r="F1302" s="1">
        <v>4</v>
      </c>
      <c r="G1302" s="1">
        <v>5</v>
      </c>
      <c r="H1302" s="1">
        <v>256</v>
      </c>
      <c r="I1302" s="1">
        <v>125000</v>
      </c>
      <c r="J1302" s="1">
        <v>250000</v>
      </c>
      <c r="K1302" s="1">
        <v>79.988299999999995</v>
      </c>
    </row>
    <row r="1303" spans="2:11" x14ac:dyDescent="0.2">
      <c r="B1303" s="26" t="str">
        <f>_xlfn.XLOOKUP(Total[[#This Row],[Metodo]],TbSolver[Metodo],TbSolver[Solver])</f>
        <v>Adams Bashford</v>
      </c>
      <c r="C1303" s="26" t="str">
        <f>_xlfn.XLOOKUP(Total[[#This Row],[Hebras]],TbTecnologia[Hebras],TbTecnologia[Tecnología])</f>
        <v>CUDA</v>
      </c>
      <c r="D1303" s="15" t="str" cm="1">
        <f t="array" ref="D1303">_xlfn.XLOOKUP(Total[[#This Row],[Tecnología]]&amp;Total[[#This Row],[Metodo]],TbTipos[Tecnología]&amp;TbTipos[Metodo],TbTipos[Tipo])</f>
        <v>CUDA con graph</v>
      </c>
      <c r="E1303" s="15" t="str" cm="1">
        <f t="array" ref="E1303">_xlfn.XLOOKUP(Total[[#This Row],[Tecnología]]&amp;Total[[#This Row],[Problema]],TbNombres[Tecnología]&amp;TbNombres[Problema],TbNombres[Nombre])</f>
        <v>Brusselator1d</v>
      </c>
      <c r="F1303" s="1">
        <v>4</v>
      </c>
      <c r="G1303" s="1">
        <v>5</v>
      </c>
      <c r="H1303" s="1">
        <v>256</v>
      </c>
      <c r="I1303" s="1">
        <v>175000</v>
      </c>
      <c r="J1303" s="1">
        <v>350000</v>
      </c>
      <c r="K1303" s="1">
        <v>111.56699999999999</v>
      </c>
    </row>
    <row r="1304" spans="2:11" x14ac:dyDescent="0.2">
      <c r="B1304" s="26" t="str">
        <f>_xlfn.XLOOKUP(Total[[#This Row],[Metodo]],TbSolver[Metodo],TbSolver[Solver])</f>
        <v>Adams Bashford</v>
      </c>
      <c r="C1304" s="26" t="str">
        <f>_xlfn.XLOOKUP(Total[[#This Row],[Hebras]],TbTecnologia[Hebras],TbTecnologia[Tecnología])</f>
        <v>CUDA</v>
      </c>
      <c r="D1304" s="15" t="str" cm="1">
        <f t="array" ref="D1304">_xlfn.XLOOKUP(Total[[#This Row],[Tecnología]]&amp;Total[[#This Row],[Metodo]],TbTipos[Tecnología]&amp;TbTipos[Metodo],TbTipos[Tipo])</f>
        <v>CUDA con graph</v>
      </c>
      <c r="E1304" s="15" t="str" cm="1">
        <f t="array" ref="E1304">_xlfn.XLOOKUP(Total[[#This Row],[Tecnología]]&amp;Total[[#This Row],[Problema]],TbNombres[Tecnología]&amp;TbNombres[Problema],TbNombres[Nombre])</f>
        <v>Brusselator1d</v>
      </c>
      <c r="F1304" s="1">
        <v>4</v>
      </c>
      <c r="G1304" s="1">
        <v>5</v>
      </c>
      <c r="H1304" s="1">
        <v>256</v>
      </c>
      <c r="I1304" s="1">
        <v>750000</v>
      </c>
      <c r="J1304" s="1">
        <v>1500000</v>
      </c>
      <c r="K1304" s="1">
        <v>448.678</v>
      </c>
    </row>
    <row r="1305" spans="2:11" x14ac:dyDescent="0.2">
      <c r="B1305" s="26" t="str">
        <f>_xlfn.XLOOKUP(Total[[#This Row],[Metodo]],TbSolver[Metodo],TbSolver[Solver])</f>
        <v>Adams Bashford</v>
      </c>
      <c r="C1305" s="26" t="str">
        <f>_xlfn.XLOOKUP(Total[[#This Row],[Hebras]],TbTecnologia[Hebras],TbTecnologia[Tecnología])</f>
        <v>CUDA</v>
      </c>
      <c r="D1305" s="15" t="str" cm="1">
        <f t="array" ref="D1305">_xlfn.XLOOKUP(Total[[#This Row],[Tecnología]]&amp;Total[[#This Row],[Metodo]],TbTipos[Tecnología]&amp;TbTipos[Metodo],TbTipos[Tipo])</f>
        <v>CUDA con graph</v>
      </c>
      <c r="E1305" s="15" t="str" cm="1">
        <f t="array" ref="E1305">_xlfn.XLOOKUP(Total[[#This Row],[Tecnología]]&amp;Total[[#This Row],[Problema]],TbNombres[Tecnología]&amp;TbNombres[Problema],TbNombres[Nombre])</f>
        <v>Brusselator1d</v>
      </c>
      <c r="F1305" s="1">
        <v>4</v>
      </c>
      <c r="G1305" s="1">
        <v>5</v>
      </c>
      <c r="H1305" s="1">
        <v>256</v>
      </c>
      <c r="I1305" s="1">
        <v>1000000</v>
      </c>
      <c r="J1305" s="1">
        <v>2000000</v>
      </c>
      <c r="K1305" s="1">
        <v>595.05700000000002</v>
      </c>
    </row>
    <row r="1306" spans="2:11" x14ac:dyDescent="0.2">
      <c r="B1306" s="26" t="str">
        <f>_xlfn.XLOOKUP(Total[[#This Row],[Metodo]],TbSolver[Metodo],TbSolver[Solver])</f>
        <v>Adams Bashford</v>
      </c>
      <c r="C1306" s="26" t="str">
        <f>_xlfn.XLOOKUP(Total[[#This Row],[Hebras]],TbTecnologia[Hebras],TbTecnologia[Tecnología])</f>
        <v>CUDA</v>
      </c>
      <c r="D1306" s="15" t="str" cm="1">
        <f t="array" ref="D1306">_xlfn.XLOOKUP(Total[[#This Row],[Tecnología]]&amp;Total[[#This Row],[Metodo]],TbTipos[Tecnología]&amp;TbTipos[Metodo],TbTipos[Tipo])</f>
        <v>CUDA con graph</v>
      </c>
      <c r="E1306" s="15" t="str" cm="1">
        <f t="array" ref="E1306">_xlfn.XLOOKUP(Total[[#This Row],[Tecnología]]&amp;Total[[#This Row],[Problema]],TbNombres[Tecnología]&amp;TbNombres[Problema],TbNombres[Nombre])</f>
        <v>Brusselator2d</v>
      </c>
      <c r="F1306" s="1">
        <v>4</v>
      </c>
      <c r="G1306" s="1">
        <v>8</v>
      </c>
      <c r="H1306" s="1">
        <v>256</v>
      </c>
      <c r="I1306" s="1">
        <v>25</v>
      </c>
      <c r="J1306" s="1">
        <v>1250</v>
      </c>
      <c r="K1306" s="1">
        <v>6.9494400000000001</v>
      </c>
    </row>
    <row r="1307" spans="2:11" x14ac:dyDescent="0.2">
      <c r="B1307" s="26" t="str">
        <f>_xlfn.XLOOKUP(Total[[#This Row],[Metodo]],TbSolver[Metodo],TbSolver[Solver])</f>
        <v>Adams Bashford</v>
      </c>
      <c r="C1307" s="26" t="str">
        <f>_xlfn.XLOOKUP(Total[[#This Row],[Hebras]],TbTecnologia[Hebras],TbTecnologia[Tecnología])</f>
        <v>CUDA</v>
      </c>
      <c r="D1307" s="15" t="str" cm="1">
        <f t="array" ref="D1307">_xlfn.XLOOKUP(Total[[#This Row],[Tecnología]]&amp;Total[[#This Row],[Metodo]],TbTipos[Tecnología]&amp;TbTipos[Metodo],TbTipos[Tipo])</f>
        <v>CUDA con graph</v>
      </c>
      <c r="E1307" s="15" t="str" cm="1">
        <f t="array" ref="E1307">_xlfn.XLOOKUP(Total[[#This Row],[Tecnología]]&amp;Total[[#This Row],[Problema]],TbNombres[Tecnología]&amp;TbNombres[Problema],TbNombres[Nombre])</f>
        <v>Brusselator2d</v>
      </c>
      <c r="F1307" s="1">
        <v>4</v>
      </c>
      <c r="G1307" s="1">
        <v>8</v>
      </c>
      <c r="H1307" s="1">
        <v>256</v>
      </c>
      <c r="I1307" s="1">
        <v>75</v>
      </c>
      <c r="J1307" s="1">
        <v>11250</v>
      </c>
      <c r="K1307" s="1">
        <v>7.1521100000000004</v>
      </c>
    </row>
    <row r="1308" spans="2:11" x14ac:dyDescent="0.2">
      <c r="B1308" s="26" t="str">
        <f>_xlfn.XLOOKUP(Total[[#This Row],[Metodo]],TbSolver[Metodo],TbSolver[Solver])</f>
        <v>Adams Bashford</v>
      </c>
      <c r="C1308" s="26" t="str">
        <f>_xlfn.XLOOKUP(Total[[#This Row],[Hebras]],TbTecnologia[Hebras],TbTecnologia[Tecnología])</f>
        <v>CUDA</v>
      </c>
      <c r="D1308" s="15" t="str" cm="1">
        <f t="array" ref="D1308">_xlfn.XLOOKUP(Total[[#This Row],[Tecnología]]&amp;Total[[#This Row],[Metodo]],TbTipos[Tecnología]&amp;TbTipos[Metodo],TbTipos[Tipo])</f>
        <v>CUDA con graph</v>
      </c>
      <c r="E1308" s="15" t="str" cm="1">
        <f t="array" ref="E1308">_xlfn.XLOOKUP(Total[[#This Row],[Tecnología]]&amp;Total[[#This Row],[Problema]],TbNombres[Tecnología]&amp;TbNombres[Problema],TbNombres[Nombre])</f>
        <v>Brusselator2d</v>
      </c>
      <c r="F1308" s="1">
        <v>4</v>
      </c>
      <c r="G1308" s="1">
        <v>8</v>
      </c>
      <c r="H1308" s="1">
        <v>256</v>
      </c>
      <c r="I1308" s="1">
        <v>125</v>
      </c>
      <c r="J1308" s="1">
        <v>31250</v>
      </c>
      <c r="K1308" s="1">
        <v>9.8665400000000005</v>
      </c>
    </row>
    <row r="1309" spans="2:11" x14ac:dyDescent="0.2">
      <c r="B1309" s="26" t="str">
        <f>_xlfn.XLOOKUP(Total[[#This Row],[Metodo]],TbSolver[Metodo],TbSolver[Solver])</f>
        <v>Adams Bashford</v>
      </c>
      <c r="C1309" s="26" t="str">
        <f>_xlfn.XLOOKUP(Total[[#This Row],[Hebras]],TbTecnologia[Hebras],TbTecnologia[Tecnología])</f>
        <v>CUDA</v>
      </c>
      <c r="D1309" s="15" t="str" cm="1">
        <f t="array" ref="D1309">_xlfn.XLOOKUP(Total[[#This Row],[Tecnología]]&amp;Total[[#This Row],[Metodo]],TbTipos[Tecnología]&amp;TbTipos[Metodo],TbTipos[Tipo])</f>
        <v>CUDA con graph</v>
      </c>
      <c r="E1309" s="15" t="str" cm="1">
        <f t="array" ref="E1309">_xlfn.XLOOKUP(Total[[#This Row],[Tecnología]]&amp;Total[[#This Row],[Problema]],TbNombres[Tecnología]&amp;TbNombres[Problema],TbNombres[Nombre])</f>
        <v>Brusselator2d</v>
      </c>
      <c r="F1309" s="1">
        <v>4</v>
      </c>
      <c r="G1309" s="1">
        <v>8</v>
      </c>
      <c r="H1309" s="1">
        <v>256</v>
      </c>
      <c r="I1309" s="1">
        <v>150</v>
      </c>
      <c r="J1309" s="1">
        <v>45000</v>
      </c>
      <c r="K1309" s="1">
        <v>12.4617</v>
      </c>
    </row>
    <row r="1310" spans="2:11" x14ac:dyDescent="0.2">
      <c r="B1310" s="26" t="str">
        <f>_xlfn.XLOOKUP(Total[[#This Row],[Metodo]],TbSolver[Metodo],TbSolver[Solver])</f>
        <v>Adams Bashford</v>
      </c>
      <c r="C1310" s="26" t="str">
        <f>_xlfn.XLOOKUP(Total[[#This Row],[Hebras]],TbTecnologia[Hebras],TbTecnologia[Tecnología])</f>
        <v>CUDA</v>
      </c>
      <c r="D1310" s="15" t="str" cm="1">
        <f t="array" ref="D1310">_xlfn.XLOOKUP(Total[[#This Row],[Tecnología]]&amp;Total[[#This Row],[Metodo]],TbTipos[Tecnología]&amp;TbTipos[Metodo],TbTipos[Tipo])</f>
        <v>CUDA con graph</v>
      </c>
      <c r="E1310" s="15" t="str" cm="1">
        <f t="array" ref="E1310">_xlfn.XLOOKUP(Total[[#This Row],[Tecnología]]&amp;Total[[#This Row],[Problema]],TbNombres[Tecnología]&amp;TbNombres[Problema],TbNombres[Nombre])</f>
        <v>Brusselator2d</v>
      </c>
      <c r="F1310" s="1">
        <v>4</v>
      </c>
      <c r="G1310" s="1">
        <v>8</v>
      </c>
      <c r="H1310" s="1">
        <v>256</v>
      </c>
      <c r="I1310" s="1">
        <v>175</v>
      </c>
      <c r="J1310" s="1">
        <v>61250</v>
      </c>
      <c r="K1310" s="1">
        <v>15.8169</v>
      </c>
    </row>
    <row r="1311" spans="2:11" x14ac:dyDescent="0.2">
      <c r="B1311" s="26" t="str">
        <f>_xlfn.XLOOKUP(Total[[#This Row],[Metodo]],TbSolver[Metodo],TbSolver[Solver])</f>
        <v>Adams Bashford</v>
      </c>
      <c r="C1311" s="26" t="str">
        <f>_xlfn.XLOOKUP(Total[[#This Row],[Hebras]],TbTecnologia[Hebras],TbTecnologia[Tecnología])</f>
        <v>CUDA</v>
      </c>
      <c r="D1311" s="15" t="str" cm="1">
        <f t="array" ref="D1311">_xlfn.XLOOKUP(Total[[#This Row],[Tecnología]]&amp;Total[[#This Row],[Metodo]],TbTipos[Tecnología]&amp;TbTipos[Metodo],TbTipos[Tipo])</f>
        <v>CUDA con graph</v>
      </c>
      <c r="E1311" s="15" t="str" cm="1">
        <f t="array" ref="E1311">_xlfn.XLOOKUP(Total[[#This Row],[Tecnología]]&amp;Total[[#This Row],[Problema]],TbNombres[Tecnología]&amp;TbNombres[Problema],TbNombres[Nombre])</f>
        <v>Brusselator2d</v>
      </c>
      <c r="F1311" s="1">
        <v>4</v>
      </c>
      <c r="G1311" s="1">
        <v>8</v>
      </c>
      <c r="H1311" s="1">
        <v>256</v>
      </c>
      <c r="I1311" s="1">
        <v>225</v>
      </c>
      <c r="J1311" s="1">
        <v>101250</v>
      </c>
      <c r="K1311" s="1">
        <v>28.749400000000001</v>
      </c>
    </row>
    <row r="1312" spans="2:11" x14ac:dyDescent="0.2">
      <c r="B1312" s="26" t="str">
        <f>_xlfn.XLOOKUP(Total[[#This Row],[Metodo]],TbSolver[Metodo],TbSolver[Solver])</f>
        <v>Adams Bashford</v>
      </c>
      <c r="C1312" s="26" t="str">
        <f>_xlfn.XLOOKUP(Total[[#This Row],[Hebras]],TbTecnologia[Hebras],TbTecnologia[Tecnología])</f>
        <v>CUDA</v>
      </c>
      <c r="D1312" s="15" t="str" cm="1">
        <f t="array" ref="D1312">_xlfn.XLOOKUP(Total[[#This Row],[Tecnología]]&amp;Total[[#This Row],[Metodo]],TbTipos[Tecnología]&amp;TbTipos[Metodo],TbTipos[Tipo])</f>
        <v>CUDA con graph</v>
      </c>
      <c r="E1312" s="15" t="str" cm="1">
        <f t="array" ref="E1312">_xlfn.XLOOKUP(Total[[#This Row],[Tecnología]]&amp;Total[[#This Row],[Problema]],TbNombres[Tecnología]&amp;TbNombres[Problema],TbNombres[Nombre])</f>
        <v>Brusselator2d</v>
      </c>
      <c r="F1312" s="1">
        <v>4</v>
      </c>
      <c r="G1312" s="1">
        <v>8</v>
      </c>
      <c r="H1312" s="1">
        <v>256</v>
      </c>
      <c r="I1312" s="1">
        <v>250</v>
      </c>
      <c r="J1312" s="1">
        <v>125000</v>
      </c>
      <c r="K1312" s="1">
        <v>39.870100000000001</v>
      </c>
    </row>
    <row r="1313" spans="2:11" x14ac:dyDescent="0.2">
      <c r="B1313" s="26" t="str">
        <f>_xlfn.XLOOKUP(Total[[#This Row],[Metodo]],TbSolver[Metodo],TbSolver[Solver])</f>
        <v>Adams Bashford</v>
      </c>
      <c r="C1313" s="26" t="str">
        <f>_xlfn.XLOOKUP(Total[[#This Row],[Hebras]],TbTecnologia[Hebras],TbTecnologia[Tecnología])</f>
        <v>CUDA</v>
      </c>
      <c r="D1313" s="15" t="str" cm="1">
        <f t="array" ref="D1313">_xlfn.XLOOKUP(Total[[#This Row],[Tecnología]]&amp;Total[[#This Row],[Metodo]],TbTipos[Tecnología]&amp;TbTipos[Metodo],TbTipos[Tipo])</f>
        <v>CUDA con graph</v>
      </c>
      <c r="E1313" s="15" t="str" cm="1">
        <f t="array" ref="E1313">_xlfn.XLOOKUP(Total[[#This Row],[Tecnología]]&amp;Total[[#This Row],[Problema]],TbNombres[Tecnología]&amp;TbNombres[Problema],TbNombres[Nombre])</f>
        <v>Brusselator2d</v>
      </c>
      <c r="F1313" s="1">
        <v>4</v>
      </c>
      <c r="G1313" s="1">
        <v>8</v>
      </c>
      <c r="H1313" s="1">
        <v>256</v>
      </c>
      <c r="I1313" s="1">
        <v>300</v>
      </c>
      <c r="J1313" s="1">
        <v>180000</v>
      </c>
      <c r="K1313" s="1">
        <v>64.261300000000006</v>
      </c>
    </row>
    <row r="1314" spans="2:11" x14ac:dyDescent="0.2">
      <c r="B1314" s="26" t="str">
        <f>_xlfn.XLOOKUP(Total[[#This Row],[Metodo]],TbSolver[Metodo],TbSolver[Solver])</f>
        <v>Adams Bashford</v>
      </c>
      <c r="C1314" s="26" t="str">
        <f>_xlfn.XLOOKUP(Total[[#This Row],[Hebras]],TbTecnologia[Hebras],TbTecnologia[Tecnología])</f>
        <v>CUDA</v>
      </c>
      <c r="D1314" s="15" t="str" cm="1">
        <f t="array" ref="D1314">_xlfn.XLOOKUP(Total[[#This Row],[Tecnología]]&amp;Total[[#This Row],[Metodo]],TbTipos[Tecnología]&amp;TbTipos[Metodo],TbTipos[Tipo])</f>
        <v>CUDA con graph</v>
      </c>
      <c r="E1314" s="15" t="str" cm="1">
        <f t="array" ref="E1314">_xlfn.XLOOKUP(Total[[#This Row],[Tecnología]]&amp;Total[[#This Row],[Problema]],TbNombres[Tecnología]&amp;TbNombres[Problema],TbNombres[Nombre])</f>
        <v>Brusselator2d</v>
      </c>
      <c r="F1314" s="1">
        <v>4</v>
      </c>
      <c r="G1314" s="1">
        <v>8</v>
      </c>
      <c r="H1314" s="1">
        <v>256</v>
      </c>
      <c r="I1314" s="1">
        <v>400</v>
      </c>
      <c r="J1314" s="1">
        <v>320000</v>
      </c>
      <c r="K1314" s="1">
        <v>118.05</v>
      </c>
    </row>
    <row r="1315" spans="2:11" x14ac:dyDescent="0.2">
      <c r="B1315" s="26" t="str">
        <f>_xlfn.XLOOKUP(Total[[#This Row],[Metodo]],TbSolver[Metodo],TbSolver[Solver])</f>
        <v>Adams Bashford</v>
      </c>
      <c r="C1315" s="26" t="str">
        <f>_xlfn.XLOOKUP(Total[[#This Row],[Hebras]],TbTecnologia[Hebras],TbTecnologia[Tecnología])</f>
        <v>CUDA</v>
      </c>
      <c r="D1315" s="15" t="str" cm="1">
        <f t="array" ref="D1315">_xlfn.XLOOKUP(Total[[#This Row],[Tecnología]]&amp;Total[[#This Row],[Metodo]],TbTipos[Tecnología]&amp;TbTipos[Metodo],TbTipos[Tipo])</f>
        <v>CUDA con graph</v>
      </c>
      <c r="E1315" s="15" t="str" cm="1">
        <f t="array" ref="E1315">_xlfn.XLOOKUP(Total[[#This Row],[Tecnología]]&amp;Total[[#This Row],[Problema]],TbNombres[Tecnología]&amp;TbNombres[Problema],TbNombres[Nombre])</f>
        <v>Brusselator2d</v>
      </c>
      <c r="F1315" s="1">
        <v>4</v>
      </c>
      <c r="G1315" s="1">
        <v>8</v>
      </c>
      <c r="H1315" s="1">
        <v>256</v>
      </c>
      <c r="I1315" s="1">
        <v>600</v>
      </c>
      <c r="J1315" s="1">
        <v>720000</v>
      </c>
      <c r="K1315" s="1">
        <v>255.54599999999999</v>
      </c>
    </row>
    <row r="1316" spans="2:11" x14ac:dyDescent="0.2">
      <c r="B1316" s="26" t="str">
        <f>_xlfn.XLOOKUP(Total[[#This Row],[Metodo]],TbSolver[Metodo],TbSolver[Solver])</f>
        <v>Adams Bashford</v>
      </c>
      <c r="C1316" s="26" t="str">
        <f>_xlfn.XLOOKUP(Total[[#This Row],[Hebras]],TbTecnologia[Hebras],TbTecnologia[Tecnología])</f>
        <v>CUDA</v>
      </c>
      <c r="D1316" s="15" t="str" cm="1">
        <f t="array" ref="D1316">_xlfn.XLOOKUP(Total[[#This Row],[Tecnología]]&amp;Total[[#This Row],[Metodo]],TbTipos[Tecnología]&amp;TbTipos[Metodo],TbTipos[Tipo])</f>
        <v>CUDA con graph</v>
      </c>
      <c r="E1316" s="15" t="str" cm="1">
        <f t="array" ref="E1316">_xlfn.XLOOKUP(Total[[#This Row],[Tecnología]]&amp;Total[[#This Row],[Problema]],TbNombres[Tecnología]&amp;TbNombres[Problema],TbNombres[Nombre])</f>
        <v>Brusselator2d</v>
      </c>
      <c r="F1316" s="1">
        <v>4</v>
      </c>
      <c r="G1316" s="1">
        <v>8</v>
      </c>
      <c r="H1316" s="1">
        <v>256</v>
      </c>
      <c r="I1316" s="1">
        <v>700</v>
      </c>
      <c r="J1316" s="1">
        <v>980000</v>
      </c>
      <c r="K1316" s="1">
        <v>344.67500000000001</v>
      </c>
    </row>
    <row r="1317" spans="2:11" x14ac:dyDescent="0.2">
      <c r="B1317" s="26" t="str">
        <f>_xlfn.XLOOKUP(Total[[#This Row],[Metodo]],TbSolver[Metodo],TbSolver[Solver])</f>
        <v>Runge Kutta</v>
      </c>
      <c r="C1317" s="26" t="str">
        <f>_xlfn.XLOOKUP(Total[[#This Row],[Hebras]],TbTecnologia[Hebras],TbTecnologia[Tecnología])</f>
        <v>OMP</v>
      </c>
      <c r="D1317" s="15" t="str" cm="1">
        <f t="array" ref="D1317">_xlfn.XLOOKUP(Total[[#This Row],[Tecnología]]&amp;Total[[#This Row],[Metodo]],TbTipos[Tecnología]&amp;TbTipos[Metodo],TbTipos[Tipo])</f>
        <v>OMP Operaciones</v>
      </c>
      <c r="E1317" s="15" t="str" cm="1">
        <f t="array" ref="E1317">_xlfn.XLOOKUP(Total[[#This Row],[Tecnología]]&amp;Total[[#This Row],[Problema]],TbNombres[Tecnología]&amp;TbNombres[Problema],TbNombres[Nombre])</f>
        <v>Simple Advdiff</v>
      </c>
      <c r="F1317" s="20">
        <v>1</v>
      </c>
      <c r="G1317" s="20">
        <v>1</v>
      </c>
      <c r="H1317" s="20">
        <v>1</v>
      </c>
      <c r="I1317" s="20">
        <v>20000</v>
      </c>
      <c r="J1317" s="20">
        <v>20000</v>
      </c>
      <c r="K1317" s="20">
        <v>113.746</v>
      </c>
    </row>
    <row r="1318" spans="2:11" x14ac:dyDescent="0.2">
      <c r="B1318" s="26" t="str">
        <f>_xlfn.XLOOKUP(Total[[#This Row],[Metodo]],TbSolver[Metodo],TbSolver[Solver])</f>
        <v>Runge Kutta</v>
      </c>
      <c r="C1318" s="26" t="str">
        <f>_xlfn.XLOOKUP(Total[[#This Row],[Hebras]],TbTecnologia[Hebras],TbTecnologia[Tecnología])</f>
        <v>OMP</v>
      </c>
      <c r="D1318" s="15" t="str" cm="1">
        <f t="array" ref="D1318">_xlfn.XLOOKUP(Total[[#This Row],[Tecnología]]&amp;Total[[#This Row],[Metodo]],TbTipos[Tecnología]&amp;TbTipos[Metodo],TbTipos[Tipo])</f>
        <v>OMP Operaciones</v>
      </c>
      <c r="E1318" s="15" t="str" cm="1">
        <f t="array" ref="E1318">_xlfn.XLOOKUP(Total[[#This Row],[Tecnología]]&amp;Total[[#This Row],[Problema]],TbNombres[Tecnología]&amp;TbNombres[Problema],TbNombres[Nombre])</f>
        <v>Simple Advdiff</v>
      </c>
      <c r="F1318" s="20">
        <v>1</v>
      </c>
      <c r="G1318" s="20">
        <v>1</v>
      </c>
      <c r="H1318" s="20">
        <v>4</v>
      </c>
      <c r="I1318" s="20">
        <v>20000</v>
      </c>
      <c r="J1318" s="20">
        <v>20000</v>
      </c>
      <c r="K1318" s="20">
        <v>52.239899999999999</v>
      </c>
    </row>
    <row r="1319" spans="2:11" x14ac:dyDescent="0.2">
      <c r="B1319" s="26" t="str">
        <f>_xlfn.XLOOKUP(Total[[#This Row],[Metodo]],TbSolver[Metodo],TbSolver[Solver])</f>
        <v>Runge Kutta</v>
      </c>
      <c r="C1319" s="26" t="str">
        <f>_xlfn.XLOOKUP(Total[[#This Row],[Hebras]],TbTecnologia[Hebras],TbTecnologia[Tecnología])</f>
        <v>OMP</v>
      </c>
      <c r="D1319" s="15" t="str" cm="1">
        <f t="array" ref="D1319">_xlfn.XLOOKUP(Total[[#This Row],[Tecnología]]&amp;Total[[#This Row],[Metodo]],TbTipos[Tecnología]&amp;TbTipos[Metodo],TbTipos[Tipo])</f>
        <v>OMP Operaciones</v>
      </c>
      <c r="E1319" s="15" t="str" cm="1">
        <f t="array" ref="E1319">_xlfn.XLOOKUP(Total[[#This Row],[Tecnología]]&amp;Total[[#This Row],[Problema]],TbNombres[Tecnología]&amp;TbNombres[Problema],TbNombres[Nombre])</f>
        <v>Simple Advdiff</v>
      </c>
      <c r="F1319" s="20">
        <v>1</v>
      </c>
      <c r="G1319" s="20">
        <v>1</v>
      </c>
      <c r="H1319" s="20">
        <v>16</v>
      </c>
      <c r="I1319" s="20">
        <v>20000</v>
      </c>
      <c r="J1319" s="20">
        <v>20000</v>
      </c>
      <c r="K1319" s="20">
        <v>70.548299999999998</v>
      </c>
    </row>
    <row r="1320" spans="2:11" x14ac:dyDescent="0.2">
      <c r="B1320" s="26" t="str">
        <f>_xlfn.XLOOKUP(Total[[#This Row],[Metodo]],TbSolver[Metodo],TbSolver[Solver])</f>
        <v>Runge Kutta</v>
      </c>
      <c r="C1320" s="26" t="str">
        <f>_xlfn.XLOOKUP(Total[[#This Row],[Hebras]],TbTecnologia[Hebras],TbTecnologia[Tecnología])</f>
        <v>OMP</v>
      </c>
      <c r="D1320" s="15" t="str" cm="1">
        <f t="array" ref="D1320">_xlfn.XLOOKUP(Total[[#This Row],[Tecnología]]&amp;Total[[#This Row],[Metodo]],TbTipos[Tecnología]&amp;TbTipos[Metodo],TbTipos[Tipo])</f>
        <v>OMP Operaciones</v>
      </c>
      <c r="E1320" s="15" t="str" cm="1">
        <f t="array" ref="E1320">_xlfn.XLOOKUP(Total[[#This Row],[Tecnología]]&amp;Total[[#This Row],[Problema]],TbNombres[Tecnología]&amp;TbNombres[Problema],TbNombres[Nombre])</f>
        <v>Simple Advdiff</v>
      </c>
      <c r="F1320" s="20">
        <v>1</v>
      </c>
      <c r="G1320" s="20">
        <v>1</v>
      </c>
      <c r="H1320" s="20">
        <v>1</v>
      </c>
      <c r="I1320" s="20">
        <v>25000</v>
      </c>
      <c r="J1320" s="20">
        <v>25000</v>
      </c>
      <c r="K1320" s="20">
        <v>146.047</v>
      </c>
    </row>
    <row r="1321" spans="2:11" x14ac:dyDescent="0.2">
      <c r="B1321" s="26" t="str">
        <f>_xlfn.XLOOKUP(Total[[#This Row],[Metodo]],TbSolver[Metodo],TbSolver[Solver])</f>
        <v>Runge Kutta</v>
      </c>
      <c r="C1321" s="26" t="str">
        <f>_xlfn.XLOOKUP(Total[[#This Row],[Hebras]],TbTecnologia[Hebras],TbTecnologia[Tecnología])</f>
        <v>OMP</v>
      </c>
      <c r="D1321" s="15" t="str" cm="1">
        <f t="array" ref="D1321">_xlfn.XLOOKUP(Total[[#This Row],[Tecnología]]&amp;Total[[#This Row],[Metodo]],TbTipos[Tecnología]&amp;TbTipos[Metodo],TbTipos[Tipo])</f>
        <v>OMP Operaciones</v>
      </c>
      <c r="E1321" s="15" t="str" cm="1">
        <f t="array" ref="E1321">_xlfn.XLOOKUP(Total[[#This Row],[Tecnología]]&amp;Total[[#This Row],[Problema]],TbNombres[Tecnología]&amp;TbNombres[Problema],TbNombres[Nombre])</f>
        <v>Simple Advdiff</v>
      </c>
      <c r="F1321" s="20">
        <v>1</v>
      </c>
      <c r="G1321" s="20">
        <v>1</v>
      </c>
      <c r="H1321" s="20">
        <v>4</v>
      </c>
      <c r="I1321" s="20">
        <v>25000</v>
      </c>
      <c r="J1321" s="20">
        <v>25000</v>
      </c>
      <c r="K1321" s="20">
        <v>59.502400000000002</v>
      </c>
    </row>
    <row r="1322" spans="2:11" x14ac:dyDescent="0.2">
      <c r="B1322" s="26" t="str">
        <f>_xlfn.XLOOKUP(Total[[#This Row],[Metodo]],TbSolver[Metodo],TbSolver[Solver])</f>
        <v>Runge Kutta</v>
      </c>
      <c r="C1322" s="26" t="str">
        <f>_xlfn.XLOOKUP(Total[[#This Row],[Hebras]],TbTecnologia[Hebras],TbTecnologia[Tecnología])</f>
        <v>OMP</v>
      </c>
      <c r="D1322" s="15" t="str" cm="1">
        <f t="array" ref="D1322">_xlfn.XLOOKUP(Total[[#This Row],[Tecnología]]&amp;Total[[#This Row],[Metodo]],TbTipos[Tecnología]&amp;TbTipos[Metodo],TbTipos[Tipo])</f>
        <v>OMP Operaciones</v>
      </c>
      <c r="E1322" s="15" t="str" cm="1">
        <f t="array" ref="E1322">_xlfn.XLOOKUP(Total[[#This Row],[Tecnología]]&amp;Total[[#This Row],[Problema]],TbNombres[Tecnología]&amp;TbNombres[Problema],TbNombres[Nombre])</f>
        <v>Simple Advdiff</v>
      </c>
      <c r="F1322" s="20">
        <v>1</v>
      </c>
      <c r="G1322" s="20">
        <v>1</v>
      </c>
      <c r="H1322" s="20">
        <v>16</v>
      </c>
      <c r="I1322" s="20">
        <v>25000</v>
      </c>
      <c r="J1322" s="20">
        <v>25000</v>
      </c>
      <c r="K1322" s="20">
        <v>74.73</v>
      </c>
    </row>
    <row r="1323" spans="2:11" x14ac:dyDescent="0.2">
      <c r="B1323" s="26" t="str">
        <f>_xlfn.XLOOKUP(Total[[#This Row],[Metodo]],TbSolver[Metodo],TbSolver[Solver])</f>
        <v>Runge Kutta</v>
      </c>
      <c r="C1323" s="26" t="str">
        <f>_xlfn.XLOOKUP(Total[[#This Row],[Hebras]],TbTecnologia[Hebras],TbTecnologia[Tecnología])</f>
        <v>OMP</v>
      </c>
      <c r="D1323" s="15" t="str" cm="1">
        <f t="array" ref="D1323">_xlfn.XLOOKUP(Total[[#This Row],[Tecnología]]&amp;Total[[#This Row],[Metodo]],TbTipos[Tecnología]&amp;TbTipos[Metodo],TbTipos[Tipo])</f>
        <v>OMP Operaciones</v>
      </c>
      <c r="E1323" s="15" t="str" cm="1">
        <f t="array" ref="E1323">_xlfn.XLOOKUP(Total[[#This Row],[Tecnología]]&amp;Total[[#This Row],[Problema]],TbNombres[Tecnología]&amp;TbNombres[Problema],TbNombres[Nombre])</f>
        <v>Simple Advdiff</v>
      </c>
      <c r="F1323" s="20">
        <v>1</v>
      </c>
      <c r="G1323" s="20">
        <v>1</v>
      </c>
      <c r="H1323" s="20">
        <v>1</v>
      </c>
      <c r="I1323" s="20">
        <v>30000</v>
      </c>
      <c r="J1323" s="20">
        <v>30000</v>
      </c>
      <c r="K1323" s="20">
        <v>179.00899999999999</v>
      </c>
    </row>
    <row r="1324" spans="2:11" x14ac:dyDescent="0.2">
      <c r="B1324" s="26" t="str">
        <f>_xlfn.XLOOKUP(Total[[#This Row],[Metodo]],TbSolver[Metodo],TbSolver[Solver])</f>
        <v>Runge Kutta</v>
      </c>
      <c r="C1324" s="26" t="str">
        <f>_xlfn.XLOOKUP(Total[[#This Row],[Hebras]],TbTecnologia[Hebras],TbTecnologia[Tecnología])</f>
        <v>OMP</v>
      </c>
      <c r="D1324" s="15" t="str" cm="1">
        <f t="array" ref="D1324">_xlfn.XLOOKUP(Total[[#This Row],[Tecnología]]&amp;Total[[#This Row],[Metodo]],TbTipos[Tecnología]&amp;TbTipos[Metodo],TbTipos[Tipo])</f>
        <v>OMP Operaciones</v>
      </c>
      <c r="E1324" s="15" t="str" cm="1">
        <f t="array" ref="E1324">_xlfn.XLOOKUP(Total[[#This Row],[Tecnología]]&amp;Total[[#This Row],[Problema]],TbNombres[Tecnología]&amp;TbNombres[Problema],TbNombres[Nombre])</f>
        <v>Simple Advdiff</v>
      </c>
      <c r="F1324" s="20">
        <v>1</v>
      </c>
      <c r="G1324" s="20">
        <v>1</v>
      </c>
      <c r="H1324" s="20">
        <v>4</v>
      </c>
      <c r="I1324" s="20">
        <v>30000</v>
      </c>
      <c r="J1324" s="20">
        <v>30000</v>
      </c>
      <c r="K1324" s="20">
        <v>68.375500000000002</v>
      </c>
    </row>
    <row r="1325" spans="2:11" x14ac:dyDescent="0.2">
      <c r="B1325" s="26" t="str">
        <f>_xlfn.XLOOKUP(Total[[#This Row],[Metodo]],TbSolver[Metodo],TbSolver[Solver])</f>
        <v>Runge Kutta</v>
      </c>
      <c r="C1325" s="26" t="str">
        <f>_xlfn.XLOOKUP(Total[[#This Row],[Hebras]],TbTecnologia[Hebras],TbTecnologia[Tecnología])</f>
        <v>OMP</v>
      </c>
      <c r="D1325" s="15" t="str" cm="1">
        <f t="array" ref="D1325">_xlfn.XLOOKUP(Total[[#This Row],[Tecnología]]&amp;Total[[#This Row],[Metodo]],TbTipos[Tecnología]&amp;TbTipos[Metodo],TbTipos[Tipo])</f>
        <v>OMP Operaciones</v>
      </c>
      <c r="E1325" s="15" t="str" cm="1">
        <f t="array" ref="E1325">_xlfn.XLOOKUP(Total[[#This Row],[Tecnología]]&amp;Total[[#This Row],[Problema]],TbNombres[Tecnología]&amp;TbNombres[Problema],TbNombres[Nombre])</f>
        <v>Simple Advdiff</v>
      </c>
      <c r="F1325" s="20">
        <v>1</v>
      </c>
      <c r="G1325" s="20">
        <v>1</v>
      </c>
      <c r="H1325" s="20">
        <v>16</v>
      </c>
      <c r="I1325" s="20">
        <v>30000</v>
      </c>
      <c r="J1325" s="20">
        <v>30000</v>
      </c>
      <c r="K1325" s="20">
        <v>70.474800000000002</v>
      </c>
    </row>
    <row r="1326" spans="2:11" x14ac:dyDescent="0.2">
      <c r="B1326" s="26" t="str">
        <f>_xlfn.XLOOKUP(Total[[#This Row],[Metodo]],TbSolver[Metodo],TbSolver[Solver])</f>
        <v>Runge Kutta</v>
      </c>
      <c r="C1326" s="26" t="str">
        <f>_xlfn.XLOOKUP(Total[[#This Row],[Hebras]],TbTecnologia[Hebras],TbTecnologia[Tecnología])</f>
        <v>OMP</v>
      </c>
      <c r="D1326" s="15" t="str" cm="1">
        <f t="array" ref="D1326">_xlfn.XLOOKUP(Total[[#This Row],[Tecnología]]&amp;Total[[#This Row],[Metodo]],TbTipos[Tecnología]&amp;TbTipos[Metodo],TbTipos[Tipo])</f>
        <v>OMP Operaciones</v>
      </c>
      <c r="E1326" s="15" t="str" cm="1">
        <f t="array" ref="E1326">_xlfn.XLOOKUP(Total[[#This Row],[Tecnología]]&amp;Total[[#This Row],[Problema]],TbNombres[Tecnología]&amp;TbNombres[Problema],TbNombres[Nombre])</f>
        <v>Simple Advdiff</v>
      </c>
      <c r="F1326" s="20">
        <v>1</v>
      </c>
      <c r="G1326" s="20">
        <v>1</v>
      </c>
      <c r="H1326" s="20">
        <v>1</v>
      </c>
      <c r="I1326" s="20">
        <v>40000</v>
      </c>
      <c r="J1326" s="20">
        <v>40000</v>
      </c>
      <c r="K1326" s="20">
        <v>254.44800000000001</v>
      </c>
    </row>
    <row r="1327" spans="2:11" x14ac:dyDescent="0.2">
      <c r="B1327" s="26" t="str">
        <f>_xlfn.XLOOKUP(Total[[#This Row],[Metodo]],TbSolver[Metodo],TbSolver[Solver])</f>
        <v>Runge Kutta</v>
      </c>
      <c r="C1327" s="26" t="str">
        <f>_xlfn.XLOOKUP(Total[[#This Row],[Hebras]],TbTecnologia[Hebras],TbTecnologia[Tecnología])</f>
        <v>OMP</v>
      </c>
      <c r="D1327" s="15" t="str" cm="1">
        <f t="array" ref="D1327">_xlfn.XLOOKUP(Total[[#This Row],[Tecnología]]&amp;Total[[#This Row],[Metodo]],TbTipos[Tecnología]&amp;TbTipos[Metodo],TbTipos[Tipo])</f>
        <v>OMP Operaciones</v>
      </c>
      <c r="E1327" s="15" t="str" cm="1">
        <f t="array" ref="E1327">_xlfn.XLOOKUP(Total[[#This Row],[Tecnología]]&amp;Total[[#This Row],[Problema]],TbNombres[Tecnología]&amp;TbNombres[Problema],TbNombres[Nombre])</f>
        <v>Simple Advdiff</v>
      </c>
      <c r="F1327" s="20">
        <v>1</v>
      </c>
      <c r="G1327" s="20">
        <v>1</v>
      </c>
      <c r="H1327" s="20">
        <v>4</v>
      </c>
      <c r="I1327" s="20">
        <v>40000</v>
      </c>
      <c r="J1327" s="20">
        <v>40000</v>
      </c>
      <c r="K1327" s="20">
        <v>83.683300000000003</v>
      </c>
    </row>
    <row r="1328" spans="2:11" x14ac:dyDescent="0.2">
      <c r="B1328" s="26" t="str">
        <f>_xlfn.XLOOKUP(Total[[#This Row],[Metodo]],TbSolver[Metodo],TbSolver[Solver])</f>
        <v>Runge Kutta</v>
      </c>
      <c r="C1328" s="26" t="str">
        <f>_xlfn.XLOOKUP(Total[[#This Row],[Hebras]],TbTecnologia[Hebras],TbTecnologia[Tecnología])</f>
        <v>OMP</v>
      </c>
      <c r="D1328" s="15" t="str" cm="1">
        <f t="array" ref="D1328">_xlfn.XLOOKUP(Total[[#This Row],[Tecnología]]&amp;Total[[#This Row],[Metodo]],TbTipos[Tecnología]&amp;TbTipos[Metodo],TbTipos[Tipo])</f>
        <v>OMP Operaciones</v>
      </c>
      <c r="E1328" s="15" t="str" cm="1">
        <f t="array" ref="E1328">_xlfn.XLOOKUP(Total[[#This Row],[Tecnología]]&amp;Total[[#This Row],[Problema]],TbNombres[Tecnología]&amp;TbNombres[Problema],TbNombres[Nombre])</f>
        <v>Simple Advdiff</v>
      </c>
      <c r="F1328" s="20">
        <v>1</v>
      </c>
      <c r="G1328" s="20">
        <v>1</v>
      </c>
      <c r="H1328" s="20">
        <v>16</v>
      </c>
      <c r="I1328" s="20">
        <v>40000</v>
      </c>
      <c r="J1328" s="20">
        <v>40000</v>
      </c>
      <c r="K1328" s="20">
        <v>80.447699999999998</v>
      </c>
    </row>
    <row r="1329" spans="2:11" x14ac:dyDescent="0.2">
      <c r="B1329" s="26" t="str">
        <f>_xlfn.XLOOKUP(Total[[#This Row],[Metodo]],TbSolver[Metodo],TbSolver[Solver])</f>
        <v>Runge Kutta</v>
      </c>
      <c r="C1329" s="26" t="str">
        <f>_xlfn.XLOOKUP(Total[[#This Row],[Hebras]],TbTecnologia[Hebras],TbTecnologia[Tecnología])</f>
        <v>OMP</v>
      </c>
      <c r="D1329" s="15" t="str" cm="1">
        <f t="array" ref="D1329">_xlfn.XLOOKUP(Total[[#This Row],[Tecnología]]&amp;Total[[#This Row],[Metodo]],TbTipos[Tecnología]&amp;TbTipos[Metodo],TbTipos[Tipo])</f>
        <v>OMP Operaciones</v>
      </c>
      <c r="E1329" s="15" t="str" cm="1">
        <f t="array" ref="E1329">_xlfn.XLOOKUP(Total[[#This Row],[Tecnología]]&amp;Total[[#This Row],[Problema]],TbNombres[Tecnología]&amp;TbNombres[Problema],TbNombres[Nombre])</f>
        <v>Simple Advdiff</v>
      </c>
      <c r="F1329" s="20">
        <v>1</v>
      </c>
      <c r="G1329" s="20">
        <v>1</v>
      </c>
      <c r="H1329" s="20">
        <v>1</v>
      </c>
      <c r="I1329" s="20">
        <v>50000</v>
      </c>
      <c r="J1329" s="20">
        <v>50000</v>
      </c>
      <c r="K1329" s="20">
        <v>345.55799999999999</v>
      </c>
    </row>
    <row r="1330" spans="2:11" x14ac:dyDescent="0.2">
      <c r="B1330" s="26" t="str">
        <f>_xlfn.XLOOKUP(Total[[#This Row],[Metodo]],TbSolver[Metodo],TbSolver[Solver])</f>
        <v>Runge Kutta</v>
      </c>
      <c r="C1330" s="26" t="str">
        <f>_xlfn.XLOOKUP(Total[[#This Row],[Hebras]],TbTecnologia[Hebras],TbTecnologia[Tecnología])</f>
        <v>OMP</v>
      </c>
      <c r="D1330" s="15" t="str" cm="1">
        <f t="array" ref="D1330">_xlfn.XLOOKUP(Total[[#This Row],[Tecnología]]&amp;Total[[#This Row],[Metodo]],TbTipos[Tecnología]&amp;TbTipos[Metodo],TbTipos[Tipo])</f>
        <v>OMP Operaciones</v>
      </c>
      <c r="E1330" s="15" t="str" cm="1">
        <f t="array" ref="E1330">_xlfn.XLOOKUP(Total[[#This Row],[Tecnología]]&amp;Total[[#This Row],[Problema]],TbNombres[Tecnología]&amp;TbNombres[Problema],TbNombres[Nombre])</f>
        <v>Simple Advdiff</v>
      </c>
      <c r="F1330" s="20">
        <v>1</v>
      </c>
      <c r="G1330" s="20">
        <v>1</v>
      </c>
      <c r="H1330" s="20">
        <v>4</v>
      </c>
      <c r="I1330" s="20">
        <v>50000</v>
      </c>
      <c r="J1330" s="20">
        <v>50000</v>
      </c>
      <c r="K1330" s="20">
        <v>98.190899999999999</v>
      </c>
    </row>
    <row r="1331" spans="2:11" x14ac:dyDescent="0.2">
      <c r="B1331" s="26" t="str">
        <f>_xlfn.XLOOKUP(Total[[#This Row],[Metodo]],TbSolver[Metodo],TbSolver[Solver])</f>
        <v>Runge Kutta</v>
      </c>
      <c r="C1331" s="26" t="str">
        <f>_xlfn.XLOOKUP(Total[[#This Row],[Hebras]],TbTecnologia[Hebras],TbTecnologia[Tecnología])</f>
        <v>OMP</v>
      </c>
      <c r="D1331" s="15" t="str" cm="1">
        <f t="array" ref="D1331">_xlfn.XLOOKUP(Total[[#This Row],[Tecnología]]&amp;Total[[#This Row],[Metodo]],TbTipos[Tecnología]&amp;TbTipos[Metodo],TbTipos[Tipo])</f>
        <v>OMP Operaciones</v>
      </c>
      <c r="E1331" s="15" t="str" cm="1">
        <f t="array" ref="E1331">_xlfn.XLOOKUP(Total[[#This Row],[Tecnología]]&amp;Total[[#This Row],[Problema]],TbNombres[Tecnología]&amp;TbNombres[Problema],TbNombres[Nombre])</f>
        <v>Simple Advdiff</v>
      </c>
      <c r="F1331" s="20">
        <v>1</v>
      </c>
      <c r="G1331" s="20">
        <v>1</v>
      </c>
      <c r="H1331" s="20">
        <v>16</v>
      </c>
      <c r="I1331" s="20">
        <v>50000</v>
      </c>
      <c r="J1331" s="20">
        <v>50000</v>
      </c>
      <c r="K1331" s="20">
        <v>78.525400000000005</v>
      </c>
    </row>
    <row r="1332" spans="2:11" x14ac:dyDescent="0.2">
      <c r="B1332" s="26" t="str">
        <f>_xlfn.XLOOKUP(Total[[#This Row],[Metodo]],TbSolver[Metodo],TbSolver[Solver])</f>
        <v>Runge Kutta</v>
      </c>
      <c r="C1332" s="26" t="str">
        <f>_xlfn.XLOOKUP(Total[[#This Row],[Hebras]],TbTecnologia[Hebras],TbTecnologia[Tecnología])</f>
        <v>OMP</v>
      </c>
      <c r="D1332" s="15" t="str" cm="1">
        <f t="array" ref="D1332">_xlfn.XLOOKUP(Total[[#This Row],[Tecnología]]&amp;Total[[#This Row],[Metodo]],TbTipos[Tecnología]&amp;TbTipos[Metodo],TbTipos[Tipo])</f>
        <v>OMP Operaciones</v>
      </c>
      <c r="E1332" s="15" t="str" cm="1">
        <f t="array" ref="E1332">_xlfn.XLOOKUP(Total[[#This Row],[Tecnología]]&amp;Total[[#This Row],[Problema]],TbNombres[Tecnología]&amp;TbNombres[Problema],TbNombres[Nombre])</f>
        <v>Advdiff1d</v>
      </c>
      <c r="F1332" s="20">
        <v>1</v>
      </c>
      <c r="G1332" s="20">
        <v>2</v>
      </c>
      <c r="H1332" s="20">
        <v>1</v>
      </c>
      <c r="I1332" s="20">
        <v>20000</v>
      </c>
      <c r="J1332" s="20">
        <v>20000</v>
      </c>
      <c r="K1332" s="20">
        <v>1764.32</v>
      </c>
    </row>
    <row r="1333" spans="2:11" x14ac:dyDescent="0.2">
      <c r="B1333" s="26" t="str">
        <f>_xlfn.XLOOKUP(Total[[#This Row],[Metodo]],TbSolver[Metodo],TbSolver[Solver])</f>
        <v>Runge Kutta</v>
      </c>
      <c r="C1333" s="26" t="str">
        <f>_xlfn.XLOOKUP(Total[[#This Row],[Hebras]],TbTecnologia[Hebras],TbTecnologia[Tecnología])</f>
        <v>OMP</v>
      </c>
      <c r="D1333" s="15" t="str" cm="1">
        <f t="array" ref="D1333">_xlfn.XLOOKUP(Total[[#This Row],[Tecnología]]&amp;Total[[#This Row],[Metodo]],TbTipos[Tecnología]&amp;TbTipos[Metodo],TbTipos[Tipo])</f>
        <v>OMP Operaciones</v>
      </c>
      <c r="E1333" s="15" t="str" cm="1">
        <f t="array" ref="E1333">_xlfn.XLOOKUP(Total[[#This Row],[Tecnología]]&amp;Total[[#This Row],[Problema]],TbNombres[Tecnología]&amp;TbNombres[Problema],TbNombres[Nombre])</f>
        <v>Advdiff1d</v>
      </c>
      <c r="F1333" s="20">
        <v>1</v>
      </c>
      <c r="G1333" s="20">
        <v>2</v>
      </c>
      <c r="H1333" s="20">
        <v>4</v>
      </c>
      <c r="I1333" s="20">
        <v>20000</v>
      </c>
      <c r="J1333" s="20">
        <v>20000</v>
      </c>
      <c r="K1333" s="20">
        <v>546.36300000000006</v>
      </c>
    </row>
    <row r="1334" spans="2:11" x14ac:dyDescent="0.2">
      <c r="B1334" s="26" t="str">
        <f>_xlfn.XLOOKUP(Total[[#This Row],[Metodo]],TbSolver[Metodo],TbSolver[Solver])</f>
        <v>Runge Kutta</v>
      </c>
      <c r="C1334" s="26" t="str">
        <f>_xlfn.XLOOKUP(Total[[#This Row],[Hebras]],TbTecnologia[Hebras],TbTecnologia[Tecnología])</f>
        <v>OMP</v>
      </c>
      <c r="D1334" s="15" t="str" cm="1">
        <f t="array" ref="D1334">_xlfn.XLOOKUP(Total[[#This Row],[Tecnología]]&amp;Total[[#This Row],[Metodo]],TbTipos[Tecnología]&amp;TbTipos[Metodo],TbTipos[Tipo])</f>
        <v>OMP Operaciones</v>
      </c>
      <c r="E1334" s="15" t="str" cm="1">
        <f t="array" ref="E1334">_xlfn.XLOOKUP(Total[[#This Row],[Tecnología]]&amp;Total[[#This Row],[Problema]],TbNombres[Tecnología]&amp;TbNombres[Problema],TbNombres[Nombre])</f>
        <v>Advdiff1d</v>
      </c>
      <c r="F1334" s="20">
        <v>1</v>
      </c>
      <c r="G1334" s="20">
        <v>2</v>
      </c>
      <c r="H1334" s="20">
        <v>16</v>
      </c>
      <c r="I1334" s="20">
        <v>20000</v>
      </c>
      <c r="J1334" s="20">
        <v>20000</v>
      </c>
      <c r="K1334" s="20">
        <v>226.643</v>
      </c>
    </row>
    <row r="1335" spans="2:11" x14ac:dyDescent="0.2">
      <c r="B1335" s="26" t="str">
        <f>_xlfn.XLOOKUP(Total[[#This Row],[Metodo]],TbSolver[Metodo],TbSolver[Solver])</f>
        <v>Runge Kutta</v>
      </c>
      <c r="C1335" s="26" t="str">
        <f>_xlfn.XLOOKUP(Total[[#This Row],[Hebras]],TbTecnologia[Hebras],TbTecnologia[Tecnología])</f>
        <v>OMP</v>
      </c>
      <c r="D1335" s="15" t="str" cm="1">
        <f t="array" ref="D1335">_xlfn.XLOOKUP(Total[[#This Row],[Tecnología]]&amp;Total[[#This Row],[Metodo]],TbTipos[Tecnología]&amp;TbTipos[Metodo],TbTipos[Tipo])</f>
        <v>OMP Operaciones</v>
      </c>
      <c r="E1335" s="15" t="str" cm="1">
        <f t="array" ref="E1335">_xlfn.XLOOKUP(Total[[#This Row],[Tecnología]]&amp;Total[[#This Row],[Problema]],TbNombres[Tecnología]&amp;TbNombres[Problema],TbNombres[Nombre])</f>
        <v>Advdiff1d</v>
      </c>
      <c r="F1335" s="20">
        <v>1</v>
      </c>
      <c r="G1335" s="20">
        <v>2</v>
      </c>
      <c r="H1335" s="20">
        <v>1</v>
      </c>
      <c r="I1335" s="20">
        <v>25000</v>
      </c>
      <c r="J1335" s="20">
        <v>25000</v>
      </c>
      <c r="K1335" s="20">
        <v>2209.62</v>
      </c>
    </row>
    <row r="1336" spans="2:11" x14ac:dyDescent="0.2">
      <c r="B1336" s="26" t="str">
        <f>_xlfn.XLOOKUP(Total[[#This Row],[Metodo]],TbSolver[Metodo],TbSolver[Solver])</f>
        <v>Runge Kutta</v>
      </c>
      <c r="C1336" s="26" t="str">
        <f>_xlfn.XLOOKUP(Total[[#This Row],[Hebras]],TbTecnologia[Hebras],TbTecnologia[Tecnología])</f>
        <v>OMP</v>
      </c>
      <c r="D1336" s="15" t="str" cm="1">
        <f t="array" ref="D1336">_xlfn.XLOOKUP(Total[[#This Row],[Tecnología]]&amp;Total[[#This Row],[Metodo]],TbTipos[Tecnología]&amp;TbTipos[Metodo],TbTipos[Tipo])</f>
        <v>OMP Operaciones</v>
      </c>
      <c r="E1336" s="15" t="str" cm="1">
        <f t="array" ref="E1336">_xlfn.XLOOKUP(Total[[#This Row],[Tecnología]]&amp;Total[[#This Row],[Problema]],TbNombres[Tecnología]&amp;TbNombres[Problema],TbNombres[Nombre])</f>
        <v>Advdiff1d</v>
      </c>
      <c r="F1336" s="20">
        <v>1</v>
      </c>
      <c r="G1336" s="20">
        <v>2</v>
      </c>
      <c r="H1336" s="20">
        <v>4</v>
      </c>
      <c r="I1336" s="20">
        <v>25000</v>
      </c>
      <c r="J1336" s="20">
        <v>25000</v>
      </c>
      <c r="K1336" s="20">
        <v>664.20799999999997</v>
      </c>
    </row>
    <row r="1337" spans="2:11" x14ac:dyDescent="0.2">
      <c r="B1337" s="26" t="str">
        <f>_xlfn.XLOOKUP(Total[[#This Row],[Metodo]],TbSolver[Metodo],TbSolver[Solver])</f>
        <v>Runge Kutta</v>
      </c>
      <c r="C1337" s="26" t="str">
        <f>_xlfn.XLOOKUP(Total[[#This Row],[Hebras]],TbTecnologia[Hebras],TbTecnologia[Tecnología])</f>
        <v>OMP</v>
      </c>
      <c r="D1337" s="15" t="str" cm="1">
        <f t="array" ref="D1337">_xlfn.XLOOKUP(Total[[#This Row],[Tecnología]]&amp;Total[[#This Row],[Metodo]],TbTipos[Tecnología]&amp;TbTipos[Metodo],TbTipos[Tipo])</f>
        <v>OMP Operaciones</v>
      </c>
      <c r="E1337" s="15" t="str" cm="1">
        <f t="array" ref="E1337">_xlfn.XLOOKUP(Total[[#This Row],[Tecnología]]&amp;Total[[#This Row],[Problema]],TbNombres[Tecnología]&amp;TbNombres[Problema],TbNombres[Nombre])</f>
        <v>Advdiff1d</v>
      </c>
      <c r="F1337" s="20">
        <v>1</v>
      </c>
      <c r="G1337" s="20">
        <v>2</v>
      </c>
      <c r="H1337" s="20">
        <v>16</v>
      </c>
      <c r="I1337" s="20">
        <v>25000</v>
      </c>
      <c r="J1337" s="20">
        <v>25000</v>
      </c>
      <c r="K1337" s="20">
        <v>261.68099999999998</v>
      </c>
    </row>
    <row r="1338" spans="2:11" x14ac:dyDescent="0.2">
      <c r="B1338" s="26" t="str">
        <f>_xlfn.XLOOKUP(Total[[#This Row],[Metodo]],TbSolver[Metodo],TbSolver[Solver])</f>
        <v>Runge Kutta</v>
      </c>
      <c r="C1338" s="26" t="str">
        <f>_xlfn.XLOOKUP(Total[[#This Row],[Hebras]],TbTecnologia[Hebras],TbTecnologia[Tecnología])</f>
        <v>OMP</v>
      </c>
      <c r="D1338" s="15" t="str" cm="1">
        <f t="array" ref="D1338">_xlfn.XLOOKUP(Total[[#This Row],[Tecnología]]&amp;Total[[#This Row],[Metodo]],TbTipos[Tecnología]&amp;TbTipos[Metodo],TbTipos[Tipo])</f>
        <v>OMP Operaciones</v>
      </c>
      <c r="E1338" s="15" t="str" cm="1">
        <f t="array" ref="E1338">_xlfn.XLOOKUP(Total[[#This Row],[Tecnología]]&amp;Total[[#This Row],[Problema]],TbNombres[Tecnología]&amp;TbNombres[Problema],TbNombres[Nombre])</f>
        <v>Advdiff1d</v>
      </c>
      <c r="F1338" s="20">
        <v>1</v>
      </c>
      <c r="G1338" s="20">
        <v>2</v>
      </c>
      <c r="H1338" s="20">
        <v>1</v>
      </c>
      <c r="I1338" s="20">
        <v>30000</v>
      </c>
      <c r="J1338" s="20">
        <v>30000</v>
      </c>
      <c r="K1338" s="20">
        <v>2667.08</v>
      </c>
    </row>
    <row r="1339" spans="2:11" x14ac:dyDescent="0.2">
      <c r="B1339" s="26" t="str">
        <f>_xlfn.XLOOKUP(Total[[#This Row],[Metodo]],TbSolver[Metodo],TbSolver[Solver])</f>
        <v>Runge Kutta</v>
      </c>
      <c r="C1339" s="26" t="str">
        <f>_xlfn.XLOOKUP(Total[[#This Row],[Hebras]],TbTecnologia[Hebras],TbTecnologia[Tecnología])</f>
        <v>OMP</v>
      </c>
      <c r="D1339" s="15" t="str" cm="1">
        <f t="array" ref="D1339">_xlfn.XLOOKUP(Total[[#This Row],[Tecnología]]&amp;Total[[#This Row],[Metodo]],TbTipos[Tecnología]&amp;TbTipos[Metodo],TbTipos[Tipo])</f>
        <v>OMP Operaciones</v>
      </c>
      <c r="E1339" s="15" t="str" cm="1">
        <f t="array" ref="E1339">_xlfn.XLOOKUP(Total[[#This Row],[Tecnología]]&amp;Total[[#This Row],[Problema]],TbNombres[Tecnología]&amp;TbNombres[Problema],TbNombres[Nombre])</f>
        <v>Advdiff1d</v>
      </c>
      <c r="F1339" s="20">
        <v>1</v>
      </c>
      <c r="G1339" s="20">
        <v>2</v>
      </c>
      <c r="H1339" s="20">
        <v>4</v>
      </c>
      <c r="I1339" s="20">
        <v>30000</v>
      </c>
      <c r="J1339" s="20">
        <v>30000</v>
      </c>
      <c r="K1339" s="20">
        <v>789.70500000000004</v>
      </c>
    </row>
    <row r="1340" spans="2:11" x14ac:dyDescent="0.2">
      <c r="B1340" s="26" t="str">
        <f>_xlfn.XLOOKUP(Total[[#This Row],[Metodo]],TbSolver[Metodo],TbSolver[Solver])</f>
        <v>Runge Kutta</v>
      </c>
      <c r="C1340" s="26" t="str">
        <f>_xlfn.XLOOKUP(Total[[#This Row],[Hebras]],TbTecnologia[Hebras],TbTecnologia[Tecnología])</f>
        <v>OMP</v>
      </c>
      <c r="D1340" s="15" t="str" cm="1">
        <f t="array" ref="D1340">_xlfn.XLOOKUP(Total[[#This Row],[Tecnología]]&amp;Total[[#This Row],[Metodo]],TbTipos[Tecnología]&amp;TbTipos[Metodo],TbTipos[Tipo])</f>
        <v>OMP Operaciones</v>
      </c>
      <c r="E1340" s="15" t="str" cm="1">
        <f t="array" ref="E1340">_xlfn.XLOOKUP(Total[[#This Row],[Tecnología]]&amp;Total[[#This Row],[Problema]],TbNombres[Tecnología]&amp;TbNombres[Problema],TbNombres[Nombre])</f>
        <v>Advdiff1d</v>
      </c>
      <c r="F1340" s="20">
        <v>1</v>
      </c>
      <c r="G1340" s="20">
        <v>2</v>
      </c>
      <c r="H1340" s="20">
        <v>16</v>
      </c>
      <c r="I1340" s="20">
        <v>30000</v>
      </c>
      <c r="J1340" s="20">
        <v>30000</v>
      </c>
      <c r="K1340" s="20">
        <v>293.91399999999999</v>
      </c>
    </row>
    <row r="1341" spans="2:11" x14ac:dyDescent="0.2">
      <c r="B1341" s="26" t="str">
        <f>_xlfn.XLOOKUP(Total[[#This Row],[Metodo]],TbSolver[Metodo],TbSolver[Solver])</f>
        <v>Runge Kutta</v>
      </c>
      <c r="C1341" s="26" t="str">
        <f>_xlfn.XLOOKUP(Total[[#This Row],[Hebras]],TbTecnologia[Hebras],TbTecnologia[Tecnología])</f>
        <v>OMP</v>
      </c>
      <c r="D1341" s="15" t="str" cm="1">
        <f t="array" ref="D1341">_xlfn.XLOOKUP(Total[[#This Row],[Tecnología]]&amp;Total[[#This Row],[Metodo]],TbTipos[Tecnología]&amp;TbTipos[Metodo],TbTipos[Tipo])</f>
        <v>OMP Operaciones</v>
      </c>
      <c r="E1341" s="15" t="str" cm="1">
        <f t="array" ref="E1341">_xlfn.XLOOKUP(Total[[#This Row],[Tecnología]]&amp;Total[[#This Row],[Problema]],TbNombres[Tecnología]&amp;TbNombres[Problema],TbNombres[Nombre])</f>
        <v>Advdiff1d</v>
      </c>
      <c r="F1341" s="20">
        <v>1</v>
      </c>
      <c r="G1341" s="20">
        <v>2</v>
      </c>
      <c r="H1341" s="20">
        <v>1</v>
      </c>
      <c r="I1341" s="20">
        <v>40000</v>
      </c>
      <c r="J1341" s="20">
        <v>40000</v>
      </c>
      <c r="K1341" s="20">
        <v>3562.96</v>
      </c>
    </row>
    <row r="1342" spans="2:11" x14ac:dyDescent="0.2">
      <c r="B1342" s="26" t="str">
        <f>_xlfn.XLOOKUP(Total[[#This Row],[Metodo]],TbSolver[Metodo],TbSolver[Solver])</f>
        <v>Runge Kutta</v>
      </c>
      <c r="C1342" s="26" t="str">
        <f>_xlfn.XLOOKUP(Total[[#This Row],[Hebras]],TbTecnologia[Hebras],TbTecnologia[Tecnología])</f>
        <v>OMP</v>
      </c>
      <c r="D1342" s="15" t="str" cm="1">
        <f t="array" ref="D1342">_xlfn.XLOOKUP(Total[[#This Row],[Tecnología]]&amp;Total[[#This Row],[Metodo]],TbTipos[Tecnología]&amp;TbTipos[Metodo],TbTipos[Tipo])</f>
        <v>OMP Operaciones</v>
      </c>
      <c r="E1342" s="15" t="str" cm="1">
        <f t="array" ref="E1342">_xlfn.XLOOKUP(Total[[#This Row],[Tecnología]]&amp;Total[[#This Row],[Problema]],TbNombres[Tecnología]&amp;TbNombres[Problema],TbNombres[Nombre])</f>
        <v>Advdiff1d</v>
      </c>
      <c r="F1342" s="20">
        <v>1</v>
      </c>
      <c r="G1342" s="20">
        <v>2</v>
      </c>
      <c r="H1342" s="20">
        <v>4</v>
      </c>
      <c r="I1342" s="20">
        <v>40000</v>
      </c>
      <c r="J1342" s="20">
        <v>40000</v>
      </c>
      <c r="K1342" s="20">
        <v>1050.72</v>
      </c>
    </row>
    <row r="1343" spans="2:11" x14ac:dyDescent="0.2">
      <c r="B1343" s="26" t="str">
        <f>_xlfn.XLOOKUP(Total[[#This Row],[Metodo]],TbSolver[Metodo],TbSolver[Solver])</f>
        <v>Runge Kutta</v>
      </c>
      <c r="C1343" s="26" t="str">
        <f>_xlfn.XLOOKUP(Total[[#This Row],[Hebras]],TbTecnologia[Hebras],TbTecnologia[Tecnología])</f>
        <v>OMP</v>
      </c>
      <c r="D1343" s="15" t="str" cm="1">
        <f t="array" ref="D1343">_xlfn.XLOOKUP(Total[[#This Row],[Tecnología]]&amp;Total[[#This Row],[Metodo]],TbTipos[Tecnología]&amp;TbTipos[Metodo],TbTipos[Tipo])</f>
        <v>OMP Operaciones</v>
      </c>
      <c r="E1343" s="15" t="str" cm="1">
        <f t="array" ref="E1343">_xlfn.XLOOKUP(Total[[#This Row],[Tecnología]]&amp;Total[[#This Row],[Problema]],TbNombres[Tecnología]&amp;TbNombres[Problema],TbNombres[Nombre])</f>
        <v>Advdiff1d</v>
      </c>
      <c r="F1343" s="20">
        <v>1</v>
      </c>
      <c r="G1343" s="20">
        <v>2</v>
      </c>
      <c r="H1343" s="20">
        <v>16</v>
      </c>
      <c r="I1343" s="20">
        <v>40000</v>
      </c>
      <c r="J1343" s="20">
        <v>40000</v>
      </c>
      <c r="K1343" s="20">
        <v>371.47500000000002</v>
      </c>
    </row>
    <row r="1344" spans="2:11" x14ac:dyDescent="0.2">
      <c r="B1344" s="26" t="str">
        <f>_xlfn.XLOOKUP(Total[[#This Row],[Metodo]],TbSolver[Metodo],TbSolver[Solver])</f>
        <v>Runge Kutta</v>
      </c>
      <c r="C1344" s="26" t="str">
        <f>_xlfn.XLOOKUP(Total[[#This Row],[Hebras]],TbTecnologia[Hebras],TbTecnologia[Tecnología])</f>
        <v>OMP</v>
      </c>
      <c r="D1344" s="15" t="str" cm="1">
        <f t="array" ref="D1344">_xlfn.XLOOKUP(Total[[#This Row],[Tecnología]]&amp;Total[[#This Row],[Metodo]],TbTipos[Tecnología]&amp;TbTipos[Metodo],TbTipos[Tipo])</f>
        <v>OMP Operaciones</v>
      </c>
      <c r="E1344" s="15" t="str" cm="1">
        <f t="array" ref="E1344">_xlfn.XLOOKUP(Total[[#This Row],[Tecnología]]&amp;Total[[#This Row],[Problema]],TbNombres[Tecnología]&amp;TbNombres[Problema],TbNombres[Nombre])</f>
        <v>Advdiff1d</v>
      </c>
      <c r="F1344" s="20">
        <v>1</v>
      </c>
      <c r="G1344" s="20">
        <v>2</v>
      </c>
      <c r="H1344" s="20">
        <v>1</v>
      </c>
      <c r="I1344" s="20">
        <v>50000</v>
      </c>
      <c r="J1344" s="20">
        <v>50000</v>
      </c>
      <c r="K1344" s="20">
        <v>4482.71</v>
      </c>
    </row>
    <row r="1345" spans="2:11" x14ac:dyDescent="0.2">
      <c r="B1345" s="26" t="str">
        <f>_xlfn.XLOOKUP(Total[[#This Row],[Metodo]],TbSolver[Metodo],TbSolver[Solver])</f>
        <v>Runge Kutta</v>
      </c>
      <c r="C1345" s="26" t="str">
        <f>_xlfn.XLOOKUP(Total[[#This Row],[Hebras]],TbTecnologia[Hebras],TbTecnologia[Tecnología])</f>
        <v>OMP</v>
      </c>
      <c r="D1345" s="15" t="str" cm="1">
        <f t="array" ref="D1345">_xlfn.XLOOKUP(Total[[#This Row],[Tecnología]]&amp;Total[[#This Row],[Metodo]],TbTipos[Tecnología]&amp;TbTipos[Metodo],TbTipos[Tipo])</f>
        <v>OMP Operaciones</v>
      </c>
      <c r="E1345" s="15" t="str" cm="1">
        <f t="array" ref="E1345">_xlfn.XLOOKUP(Total[[#This Row],[Tecnología]]&amp;Total[[#This Row],[Problema]],TbNombres[Tecnología]&amp;TbNombres[Problema],TbNombres[Nombre])</f>
        <v>Advdiff1d</v>
      </c>
      <c r="F1345" s="20">
        <v>1</v>
      </c>
      <c r="G1345" s="20">
        <v>2</v>
      </c>
      <c r="H1345" s="20">
        <v>4</v>
      </c>
      <c r="I1345" s="20">
        <v>50000</v>
      </c>
      <c r="J1345" s="20">
        <v>50000</v>
      </c>
      <c r="K1345" s="20">
        <v>1308.05</v>
      </c>
    </row>
    <row r="1346" spans="2:11" x14ac:dyDescent="0.2">
      <c r="B1346" s="26" t="str">
        <f>_xlfn.XLOOKUP(Total[[#This Row],[Metodo]],TbSolver[Metodo],TbSolver[Solver])</f>
        <v>Runge Kutta</v>
      </c>
      <c r="C1346" s="26" t="str">
        <f>_xlfn.XLOOKUP(Total[[#This Row],[Hebras]],TbTecnologia[Hebras],TbTecnologia[Tecnología])</f>
        <v>OMP</v>
      </c>
      <c r="D1346" s="15" t="str" cm="1">
        <f t="array" ref="D1346">_xlfn.XLOOKUP(Total[[#This Row],[Tecnología]]&amp;Total[[#This Row],[Metodo]],TbTipos[Tecnología]&amp;TbTipos[Metodo],TbTipos[Tipo])</f>
        <v>OMP Operaciones</v>
      </c>
      <c r="E1346" s="15" t="str" cm="1">
        <f t="array" ref="E1346">_xlfn.XLOOKUP(Total[[#This Row],[Tecnología]]&amp;Total[[#This Row],[Problema]],TbNombres[Tecnología]&amp;TbNombres[Problema],TbNombres[Nombre])</f>
        <v>Advdiff1d</v>
      </c>
      <c r="F1346" s="20">
        <v>1</v>
      </c>
      <c r="G1346" s="20">
        <v>2</v>
      </c>
      <c r="H1346" s="20">
        <v>16</v>
      </c>
      <c r="I1346" s="20">
        <v>50000</v>
      </c>
      <c r="J1346" s="20">
        <v>50000</v>
      </c>
      <c r="K1346" s="20">
        <v>630.00800000000004</v>
      </c>
    </row>
    <row r="1347" spans="2:11" x14ac:dyDescent="0.2">
      <c r="B1347" s="26" t="str">
        <f>_xlfn.XLOOKUP(Total[[#This Row],[Metodo]],TbSolver[Metodo],TbSolver[Solver])</f>
        <v>Runge Kutta</v>
      </c>
      <c r="C1347" s="26" t="str">
        <f>_xlfn.XLOOKUP(Total[[#This Row],[Hebras]],TbTecnologia[Hebras],TbTecnologia[Tecnología])</f>
        <v>OMP</v>
      </c>
      <c r="D1347" s="15" t="str" cm="1">
        <f t="array" ref="D1347">_xlfn.XLOOKUP(Total[[#This Row],[Tecnología]]&amp;Total[[#This Row],[Metodo]],TbTipos[Tecnología]&amp;TbTipos[Metodo],TbTipos[Tipo])</f>
        <v>OMP Operaciones</v>
      </c>
      <c r="E1347" s="15" t="str" cm="1">
        <f t="array" ref="E1347">_xlfn.XLOOKUP(Total[[#This Row],[Tecnología]]&amp;Total[[#This Row],[Problema]],TbNombres[Tecnología]&amp;TbNombres[Problema],TbNombres[Nombre])</f>
        <v>Brusselator1d</v>
      </c>
      <c r="F1347" s="20">
        <v>1</v>
      </c>
      <c r="G1347" s="20">
        <v>3</v>
      </c>
      <c r="H1347" s="20">
        <v>1</v>
      </c>
      <c r="I1347" s="20">
        <v>20000</v>
      </c>
      <c r="J1347" s="20">
        <v>40000</v>
      </c>
      <c r="K1347" s="20">
        <v>538.92999999999995</v>
      </c>
    </row>
    <row r="1348" spans="2:11" x14ac:dyDescent="0.2">
      <c r="B1348" s="26" t="str">
        <f>_xlfn.XLOOKUP(Total[[#This Row],[Metodo]],TbSolver[Metodo],TbSolver[Solver])</f>
        <v>Runge Kutta</v>
      </c>
      <c r="C1348" s="26" t="str">
        <f>_xlfn.XLOOKUP(Total[[#This Row],[Hebras]],TbTecnologia[Hebras],TbTecnologia[Tecnología])</f>
        <v>OMP</v>
      </c>
      <c r="D1348" s="15" t="str" cm="1">
        <f t="array" ref="D1348">_xlfn.XLOOKUP(Total[[#This Row],[Tecnología]]&amp;Total[[#This Row],[Metodo]],TbTipos[Tecnología]&amp;TbTipos[Metodo],TbTipos[Tipo])</f>
        <v>OMP Operaciones</v>
      </c>
      <c r="E1348" s="15" t="str" cm="1">
        <f t="array" ref="E1348">_xlfn.XLOOKUP(Total[[#This Row],[Tecnología]]&amp;Total[[#This Row],[Problema]],TbNombres[Tecnología]&amp;TbNombres[Problema],TbNombres[Nombre])</f>
        <v>Brusselator1d</v>
      </c>
      <c r="F1348" s="20">
        <v>1</v>
      </c>
      <c r="G1348" s="20">
        <v>3</v>
      </c>
      <c r="H1348" s="20">
        <v>4</v>
      </c>
      <c r="I1348" s="20">
        <v>20000</v>
      </c>
      <c r="J1348" s="20">
        <v>40000</v>
      </c>
      <c r="K1348" s="20">
        <v>164.84399999999999</v>
      </c>
    </row>
    <row r="1349" spans="2:11" x14ac:dyDescent="0.2">
      <c r="B1349" s="26" t="str">
        <f>_xlfn.XLOOKUP(Total[[#This Row],[Metodo]],TbSolver[Metodo],TbSolver[Solver])</f>
        <v>Runge Kutta</v>
      </c>
      <c r="C1349" s="26" t="str">
        <f>_xlfn.XLOOKUP(Total[[#This Row],[Hebras]],TbTecnologia[Hebras],TbTecnologia[Tecnología])</f>
        <v>OMP</v>
      </c>
      <c r="D1349" s="15" t="str" cm="1">
        <f t="array" ref="D1349">_xlfn.XLOOKUP(Total[[#This Row],[Tecnología]]&amp;Total[[#This Row],[Metodo]],TbTipos[Tecnología]&amp;TbTipos[Metodo],TbTipos[Tipo])</f>
        <v>OMP Operaciones</v>
      </c>
      <c r="E1349" s="15" t="str" cm="1">
        <f t="array" ref="E1349">_xlfn.XLOOKUP(Total[[#This Row],[Tecnología]]&amp;Total[[#This Row],[Problema]],TbNombres[Tecnología]&amp;TbNombres[Problema],TbNombres[Nombre])</f>
        <v>Brusselator1d</v>
      </c>
      <c r="F1349" s="20">
        <v>1</v>
      </c>
      <c r="G1349" s="20">
        <v>3</v>
      </c>
      <c r="H1349" s="20">
        <v>16</v>
      </c>
      <c r="I1349" s="20">
        <v>20000</v>
      </c>
      <c r="J1349" s="20">
        <v>40000</v>
      </c>
      <c r="K1349" s="20">
        <v>138.429</v>
      </c>
    </row>
    <row r="1350" spans="2:11" x14ac:dyDescent="0.2">
      <c r="B1350" s="26" t="str">
        <f>_xlfn.XLOOKUP(Total[[#This Row],[Metodo]],TbSolver[Metodo],TbSolver[Solver])</f>
        <v>Runge Kutta</v>
      </c>
      <c r="C1350" s="26" t="str">
        <f>_xlfn.XLOOKUP(Total[[#This Row],[Hebras]],TbTecnologia[Hebras],TbTecnologia[Tecnología])</f>
        <v>OMP</v>
      </c>
      <c r="D1350" s="15" t="str" cm="1">
        <f t="array" ref="D1350">_xlfn.XLOOKUP(Total[[#This Row],[Tecnología]]&amp;Total[[#This Row],[Metodo]],TbTipos[Tecnología]&amp;TbTipos[Metodo],TbTipos[Tipo])</f>
        <v>OMP Operaciones</v>
      </c>
      <c r="E1350" s="15" t="str" cm="1">
        <f t="array" ref="E1350">_xlfn.XLOOKUP(Total[[#This Row],[Tecnología]]&amp;Total[[#This Row],[Problema]],TbNombres[Tecnología]&amp;TbNombres[Problema],TbNombres[Nombre])</f>
        <v>Brusselator1d</v>
      </c>
      <c r="F1350" s="20">
        <v>1</v>
      </c>
      <c r="G1350" s="20">
        <v>3</v>
      </c>
      <c r="H1350" s="20">
        <v>1</v>
      </c>
      <c r="I1350" s="20">
        <v>25000</v>
      </c>
      <c r="J1350" s="20">
        <v>50000</v>
      </c>
      <c r="K1350" s="20">
        <v>700.17600000000004</v>
      </c>
    </row>
    <row r="1351" spans="2:11" x14ac:dyDescent="0.2">
      <c r="B1351" s="26" t="str">
        <f>_xlfn.XLOOKUP(Total[[#This Row],[Metodo]],TbSolver[Metodo],TbSolver[Solver])</f>
        <v>Runge Kutta</v>
      </c>
      <c r="C1351" s="26" t="str">
        <f>_xlfn.XLOOKUP(Total[[#This Row],[Hebras]],TbTecnologia[Hebras],TbTecnologia[Tecnología])</f>
        <v>OMP</v>
      </c>
      <c r="D1351" s="15" t="str" cm="1">
        <f t="array" ref="D1351">_xlfn.XLOOKUP(Total[[#This Row],[Tecnología]]&amp;Total[[#This Row],[Metodo]],TbTipos[Tecnología]&amp;TbTipos[Metodo],TbTipos[Tipo])</f>
        <v>OMP Operaciones</v>
      </c>
      <c r="E1351" s="15" t="str" cm="1">
        <f t="array" ref="E1351">_xlfn.XLOOKUP(Total[[#This Row],[Tecnología]]&amp;Total[[#This Row],[Problema]],TbNombres[Tecnología]&amp;TbNombres[Problema],TbNombres[Nombre])</f>
        <v>Brusselator1d</v>
      </c>
      <c r="F1351" s="20">
        <v>1</v>
      </c>
      <c r="G1351" s="20">
        <v>3</v>
      </c>
      <c r="H1351" s="20">
        <v>4</v>
      </c>
      <c r="I1351" s="20">
        <v>25000</v>
      </c>
      <c r="J1351" s="20">
        <v>50000</v>
      </c>
      <c r="K1351" s="20">
        <v>201.69800000000001</v>
      </c>
    </row>
    <row r="1352" spans="2:11" x14ac:dyDescent="0.2">
      <c r="B1352" s="26" t="str">
        <f>_xlfn.XLOOKUP(Total[[#This Row],[Metodo]],TbSolver[Metodo],TbSolver[Solver])</f>
        <v>Runge Kutta</v>
      </c>
      <c r="C1352" s="26" t="str">
        <f>_xlfn.XLOOKUP(Total[[#This Row],[Hebras]],TbTecnologia[Hebras],TbTecnologia[Tecnología])</f>
        <v>OMP</v>
      </c>
      <c r="D1352" s="15" t="str" cm="1">
        <f t="array" ref="D1352">_xlfn.XLOOKUP(Total[[#This Row],[Tecnología]]&amp;Total[[#This Row],[Metodo]],TbTipos[Tecnología]&amp;TbTipos[Metodo],TbTipos[Tipo])</f>
        <v>OMP Operaciones</v>
      </c>
      <c r="E1352" s="15" t="str" cm="1">
        <f t="array" ref="E1352">_xlfn.XLOOKUP(Total[[#This Row],[Tecnología]]&amp;Total[[#This Row],[Problema]],TbNombres[Tecnología]&amp;TbNombres[Problema],TbNombres[Nombre])</f>
        <v>Brusselator1d</v>
      </c>
      <c r="F1352" s="20">
        <v>1</v>
      </c>
      <c r="G1352" s="20">
        <v>3</v>
      </c>
      <c r="H1352" s="20">
        <v>16</v>
      </c>
      <c r="I1352" s="20">
        <v>25000</v>
      </c>
      <c r="J1352" s="20">
        <v>50000</v>
      </c>
      <c r="K1352" s="20">
        <v>138.42099999999999</v>
      </c>
    </row>
    <row r="1353" spans="2:11" x14ac:dyDescent="0.2">
      <c r="B1353" s="26" t="str">
        <f>_xlfn.XLOOKUP(Total[[#This Row],[Metodo]],TbSolver[Metodo],TbSolver[Solver])</f>
        <v>Runge Kutta</v>
      </c>
      <c r="C1353" s="26" t="str">
        <f>_xlfn.XLOOKUP(Total[[#This Row],[Hebras]],TbTecnologia[Hebras],TbTecnologia[Tecnología])</f>
        <v>OMP</v>
      </c>
      <c r="D1353" s="15" t="str" cm="1">
        <f t="array" ref="D1353">_xlfn.XLOOKUP(Total[[#This Row],[Tecnología]]&amp;Total[[#This Row],[Metodo]],TbTipos[Tecnología]&amp;TbTipos[Metodo],TbTipos[Tipo])</f>
        <v>OMP Operaciones</v>
      </c>
      <c r="E1353" s="15" t="str" cm="1">
        <f t="array" ref="E1353">_xlfn.XLOOKUP(Total[[#This Row],[Tecnología]]&amp;Total[[#This Row],[Problema]],TbNombres[Tecnología]&amp;TbNombres[Problema],TbNombres[Nombre])</f>
        <v>Brusselator1d</v>
      </c>
      <c r="F1353" s="20">
        <v>1</v>
      </c>
      <c r="G1353" s="20">
        <v>3</v>
      </c>
      <c r="H1353" s="20">
        <v>1</v>
      </c>
      <c r="I1353" s="20">
        <v>30000</v>
      </c>
      <c r="J1353" s="20">
        <v>60000</v>
      </c>
      <c r="K1353" s="20">
        <v>857.09</v>
      </c>
    </row>
    <row r="1354" spans="2:11" x14ac:dyDescent="0.2">
      <c r="B1354" s="26" t="str">
        <f>_xlfn.XLOOKUP(Total[[#This Row],[Metodo]],TbSolver[Metodo],TbSolver[Solver])</f>
        <v>Runge Kutta</v>
      </c>
      <c r="C1354" s="26" t="str">
        <f>_xlfn.XLOOKUP(Total[[#This Row],[Hebras]],TbTecnologia[Hebras],TbTecnologia[Tecnología])</f>
        <v>OMP</v>
      </c>
      <c r="D1354" s="15" t="str" cm="1">
        <f t="array" ref="D1354">_xlfn.XLOOKUP(Total[[#This Row],[Tecnología]]&amp;Total[[#This Row],[Metodo]],TbTipos[Tecnología]&amp;TbTipos[Metodo],TbTipos[Tipo])</f>
        <v>OMP Operaciones</v>
      </c>
      <c r="E1354" s="15" t="str" cm="1">
        <f t="array" ref="E1354">_xlfn.XLOOKUP(Total[[#This Row],[Tecnología]]&amp;Total[[#This Row],[Problema]],TbNombres[Tecnología]&amp;TbNombres[Problema],TbNombres[Nombre])</f>
        <v>Brusselator1d</v>
      </c>
      <c r="F1354" s="20">
        <v>1</v>
      </c>
      <c r="G1354" s="20">
        <v>3</v>
      </c>
      <c r="H1354" s="20">
        <v>4</v>
      </c>
      <c r="I1354" s="20">
        <v>30000</v>
      </c>
      <c r="J1354" s="20">
        <v>60000</v>
      </c>
      <c r="K1354" s="20">
        <v>233.30699999999999</v>
      </c>
    </row>
    <row r="1355" spans="2:11" x14ac:dyDescent="0.2">
      <c r="B1355" s="26" t="str">
        <f>_xlfn.XLOOKUP(Total[[#This Row],[Metodo]],TbSolver[Metodo],TbSolver[Solver])</f>
        <v>Runge Kutta</v>
      </c>
      <c r="C1355" s="26" t="str">
        <f>_xlfn.XLOOKUP(Total[[#This Row],[Hebras]],TbTecnologia[Hebras],TbTecnologia[Tecnología])</f>
        <v>OMP</v>
      </c>
      <c r="D1355" s="15" t="str" cm="1">
        <f t="array" ref="D1355">_xlfn.XLOOKUP(Total[[#This Row],[Tecnología]]&amp;Total[[#This Row],[Metodo]],TbTipos[Tecnología]&amp;TbTipos[Metodo],TbTipos[Tipo])</f>
        <v>OMP Operaciones</v>
      </c>
      <c r="E1355" s="15" t="str" cm="1">
        <f t="array" ref="E1355">_xlfn.XLOOKUP(Total[[#This Row],[Tecnología]]&amp;Total[[#This Row],[Problema]],TbNombres[Tecnología]&amp;TbNombres[Problema],TbNombres[Nombre])</f>
        <v>Brusselator1d</v>
      </c>
      <c r="F1355" s="20">
        <v>1</v>
      </c>
      <c r="G1355" s="20">
        <v>3</v>
      </c>
      <c r="H1355" s="20">
        <v>16</v>
      </c>
      <c r="I1355" s="20">
        <v>30000</v>
      </c>
      <c r="J1355" s="20">
        <v>60000</v>
      </c>
      <c r="K1355" s="20">
        <v>145.535</v>
      </c>
    </row>
    <row r="1356" spans="2:11" x14ac:dyDescent="0.2">
      <c r="B1356" s="26" t="str">
        <f>_xlfn.XLOOKUP(Total[[#This Row],[Metodo]],TbSolver[Metodo],TbSolver[Solver])</f>
        <v>Runge Kutta</v>
      </c>
      <c r="C1356" s="26" t="str">
        <f>_xlfn.XLOOKUP(Total[[#This Row],[Hebras]],TbTecnologia[Hebras],TbTecnologia[Tecnología])</f>
        <v>OMP</v>
      </c>
      <c r="D1356" s="15" t="str" cm="1">
        <f t="array" ref="D1356">_xlfn.XLOOKUP(Total[[#This Row],[Tecnología]]&amp;Total[[#This Row],[Metodo]],TbTipos[Tecnología]&amp;TbTipos[Metodo],TbTipos[Tipo])</f>
        <v>OMP Operaciones</v>
      </c>
      <c r="E1356" s="15" t="str" cm="1">
        <f t="array" ref="E1356">_xlfn.XLOOKUP(Total[[#This Row],[Tecnología]]&amp;Total[[#This Row],[Problema]],TbNombres[Tecnología]&amp;TbNombres[Problema],TbNombres[Nombre])</f>
        <v>Brusselator1d</v>
      </c>
      <c r="F1356" s="20">
        <v>1</v>
      </c>
      <c r="G1356" s="20">
        <v>3</v>
      </c>
      <c r="H1356" s="20">
        <v>1</v>
      </c>
      <c r="I1356" s="20">
        <v>40000</v>
      </c>
      <c r="J1356" s="20">
        <v>80000</v>
      </c>
      <c r="K1356" s="20">
        <v>1211.32</v>
      </c>
    </row>
    <row r="1357" spans="2:11" x14ac:dyDescent="0.2">
      <c r="B1357" s="26" t="str">
        <f>_xlfn.XLOOKUP(Total[[#This Row],[Metodo]],TbSolver[Metodo],TbSolver[Solver])</f>
        <v>Runge Kutta</v>
      </c>
      <c r="C1357" s="26" t="str">
        <f>_xlfn.XLOOKUP(Total[[#This Row],[Hebras]],TbTecnologia[Hebras],TbTecnologia[Tecnología])</f>
        <v>OMP</v>
      </c>
      <c r="D1357" s="15" t="str" cm="1">
        <f t="array" ref="D1357">_xlfn.XLOOKUP(Total[[#This Row],[Tecnología]]&amp;Total[[#This Row],[Metodo]],TbTipos[Tecnología]&amp;TbTipos[Metodo],TbTipos[Tipo])</f>
        <v>OMP Operaciones</v>
      </c>
      <c r="E1357" s="15" t="str" cm="1">
        <f t="array" ref="E1357">_xlfn.XLOOKUP(Total[[#This Row],[Tecnología]]&amp;Total[[#This Row],[Problema]],TbNombres[Tecnología]&amp;TbNombres[Problema],TbNombres[Nombre])</f>
        <v>Brusselator1d</v>
      </c>
      <c r="F1357" s="20">
        <v>1</v>
      </c>
      <c r="G1357" s="20">
        <v>3</v>
      </c>
      <c r="H1357" s="20">
        <v>4</v>
      </c>
      <c r="I1357" s="20">
        <v>40000</v>
      </c>
      <c r="J1357" s="20">
        <v>80000</v>
      </c>
      <c r="K1357" s="20">
        <v>299.74400000000003</v>
      </c>
    </row>
    <row r="1358" spans="2:11" x14ac:dyDescent="0.2">
      <c r="B1358" s="26" t="str">
        <f>_xlfn.XLOOKUP(Total[[#This Row],[Metodo]],TbSolver[Metodo],TbSolver[Solver])</f>
        <v>Runge Kutta</v>
      </c>
      <c r="C1358" s="26" t="str">
        <f>_xlfn.XLOOKUP(Total[[#This Row],[Hebras]],TbTecnologia[Hebras],TbTecnologia[Tecnología])</f>
        <v>OMP</v>
      </c>
      <c r="D1358" s="15" t="str" cm="1">
        <f t="array" ref="D1358">_xlfn.XLOOKUP(Total[[#This Row],[Tecnología]]&amp;Total[[#This Row],[Metodo]],TbTipos[Tecnología]&amp;TbTipos[Metodo],TbTipos[Tipo])</f>
        <v>OMP Operaciones</v>
      </c>
      <c r="E1358" s="15" t="str" cm="1">
        <f t="array" ref="E1358">_xlfn.XLOOKUP(Total[[#This Row],[Tecnología]]&amp;Total[[#This Row],[Problema]],TbNombres[Tecnología]&amp;TbNombres[Problema],TbNombres[Nombre])</f>
        <v>Brusselator1d</v>
      </c>
      <c r="F1358" s="20">
        <v>1</v>
      </c>
      <c r="G1358" s="20">
        <v>3</v>
      </c>
      <c r="H1358" s="20">
        <v>16</v>
      </c>
      <c r="I1358" s="20">
        <v>40000</v>
      </c>
      <c r="J1358" s="20">
        <v>80000</v>
      </c>
      <c r="K1358" s="20">
        <v>164.27199999999999</v>
      </c>
    </row>
    <row r="1359" spans="2:11" x14ac:dyDescent="0.2">
      <c r="B1359" s="26" t="str">
        <f>_xlfn.XLOOKUP(Total[[#This Row],[Metodo]],TbSolver[Metodo],TbSolver[Solver])</f>
        <v>Runge Kutta</v>
      </c>
      <c r="C1359" s="26" t="str">
        <f>_xlfn.XLOOKUP(Total[[#This Row],[Hebras]],TbTecnologia[Hebras],TbTecnologia[Tecnología])</f>
        <v>OMP</v>
      </c>
      <c r="D1359" s="15" t="str" cm="1">
        <f t="array" ref="D1359">_xlfn.XLOOKUP(Total[[#This Row],[Tecnología]]&amp;Total[[#This Row],[Metodo]],TbTipos[Tecnología]&amp;TbTipos[Metodo],TbTipos[Tipo])</f>
        <v>OMP Operaciones</v>
      </c>
      <c r="E1359" s="15" t="str" cm="1">
        <f t="array" ref="E1359">_xlfn.XLOOKUP(Total[[#This Row],[Tecnología]]&amp;Total[[#This Row],[Problema]],TbNombres[Tecnología]&amp;TbNombres[Problema],TbNombres[Nombre])</f>
        <v>Brusselator1d</v>
      </c>
      <c r="F1359" s="20">
        <v>1</v>
      </c>
      <c r="G1359" s="20">
        <v>3</v>
      </c>
      <c r="H1359" s="20">
        <v>1</v>
      </c>
      <c r="I1359" s="20">
        <v>50000</v>
      </c>
      <c r="J1359" s="20">
        <v>100000</v>
      </c>
      <c r="K1359" s="20">
        <v>1544.87</v>
      </c>
    </row>
    <row r="1360" spans="2:11" x14ac:dyDescent="0.2">
      <c r="B1360" s="26" t="str">
        <f>_xlfn.XLOOKUP(Total[[#This Row],[Metodo]],TbSolver[Metodo],TbSolver[Solver])</f>
        <v>Runge Kutta</v>
      </c>
      <c r="C1360" s="26" t="str">
        <f>_xlfn.XLOOKUP(Total[[#This Row],[Hebras]],TbTecnologia[Hebras],TbTecnologia[Tecnología])</f>
        <v>OMP</v>
      </c>
      <c r="D1360" s="15" t="str" cm="1">
        <f t="array" ref="D1360">_xlfn.XLOOKUP(Total[[#This Row],[Tecnología]]&amp;Total[[#This Row],[Metodo]],TbTipos[Tecnología]&amp;TbTipos[Metodo],TbTipos[Tipo])</f>
        <v>OMP Operaciones</v>
      </c>
      <c r="E1360" s="15" t="str" cm="1">
        <f t="array" ref="E1360">_xlfn.XLOOKUP(Total[[#This Row],[Tecnología]]&amp;Total[[#This Row],[Problema]],TbNombres[Tecnología]&amp;TbNombres[Problema],TbNombres[Nombre])</f>
        <v>Brusselator1d</v>
      </c>
      <c r="F1360" s="20">
        <v>1</v>
      </c>
      <c r="G1360" s="20">
        <v>3</v>
      </c>
      <c r="H1360" s="20">
        <v>4</v>
      </c>
      <c r="I1360" s="20">
        <v>50000</v>
      </c>
      <c r="J1360" s="20">
        <v>100000</v>
      </c>
      <c r="K1360" s="20">
        <v>371.93</v>
      </c>
    </row>
    <row r="1361" spans="2:11" x14ac:dyDescent="0.2">
      <c r="B1361" s="26" t="str">
        <f>_xlfn.XLOOKUP(Total[[#This Row],[Metodo]],TbSolver[Metodo],TbSolver[Solver])</f>
        <v>Runge Kutta</v>
      </c>
      <c r="C1361" s="26" t="str">
        <f>_xlfn.XLOOKUP(Total[[#This Row],[Hebras]],TbTecnologia[Hebras],TbTecnologia[Tecnología])</f>
        <v>OMP</v>
      </c>
      <c r="D1361" s="15" t="str" cm="1">
        <f t="array" ref="D1361">_xlfn.XLOOKUP(Total[[#This Row],[Tecnología]]&amp;Total[[#This Row],[Metodo]],TbTipos[Tecnología]&amp;TbTipos[Metodo],TbTipos[Tipo])</f>
        <v>OMP Operaciones</v>
      </c>
      <c r="E1361" s="15" t="str" cm="1">
        <f t="array" ref="E1361">_xlfn.XLOOKUP(Total[[#This Row],[Tecnología]]&amp;Total[[#This Row],[Problema]],TbNombres[Tecnología]&amp;TbNombres[Problema],TbNombres[Nombre])</f>
        <v>Brusselator1d</v>
      </c>
      <c r="F1361" s="20">
        <v>1</v>
      </c>
      <c r="G1361" s="20">
        <v>3</v>
      </c>
      <c r="H1361" s="20">
        <v>16</v>
      </c>
      <c r="I1361" s="20">
        <v>50000</v>
      </c>
      <c r="J1361" s="20">
        <v>100000</v>
      </c>
      <c r="K1361" s="20">
        <v>180.327</v>
      </c>
    </row>
    <row r="1362" spans="2:11" x14ac:dyDescent="0.2">
      <c r="B1362" s="26" t="str">
        <f>_xlfn.XLOOKUP(Total[[#This Row],[Metodo]],TbSolver[Metodo],TbSolver[Solver])</f>
        <v>Runge Kutta</v>
      </c>
      <c r="C1362" s="26" t="str">
        <f>_xlfn.XLOOKUP(Total[[#This Row],[Hebras]],TbTecnologia[Hebras],TbTecnologia[Tecnología])</f>
        <v>OMP</v>
      </c>
      <c r="D1362" s="15" t="str" cm="1">
        <f t="array" ref="D1362">_xlfn.XLOOKUP(Total[[#This Row],[Tecnología]]&amp;Total[[#This Row],[Metodo]],TbTipos[Tecnología]&amp;TbTipos[Metodo],TbTipos[Tipo])</f>
        <v>OMP Elementos</v>
      </c>
      <c r="E1362" s="15" t="str" cm="1">
        <f t="array" ref="E1362">_xlfn.XLOOKUP(Total[[#This Row],[Tecnología]]&amp;Total[[#This Row],[Problema]],TbNombres[Tecnología]&amp;TbNombres[Problema],TbNombres[Nombre])</f>
        <v>Simple Advdiff</v>
      </c>
      <c r="F1362" s="20">
        <v>2</v>
      </c>
      <c r="G1362" s="20">
        <v>1</v>
      </c>
      <c r="H1362" s="20">
        <v>1</v>
      </c>
      <c r="I1362" s="20">
        <v>20000</v>
      </c>
      <c r="J1362" s="20">
        <v>20000</v>
      </c>
      <c r="K1362" s="20">
        <v>634.53899999999999</v>
      </c>
    </row>
    <row r="1363" spans="2:11" x14ac:dyDescent="0.2">
      <c r="B1363" s="26" t="str">
        <f>_xlfn.XLOOKUP(Total[[#This Row],[Metodo]],TbSolver[Metodo],TbSolver[Solver])</f>
        <v>Runge Kutta</v>
      </c>
      <c r="C1363" s="26" t="str">
        <f>_xlfn.XLOOKUP(Total[[#This Row],[Hebras]],TbTecnologia[Hebras],TbTecnologia[Tecnología])</f>
        <v>OMP</v>
      </c>
      <c r="D1363" s="15" t="str" cm="1">
        <f t="array" ref="D1363">_xlfn.XLOOKUP(Total[[#This Row],[Tecnología]]&amp;Total[[#This Row],[Metodo]],TbTipos[Tecnología]&amp;TbTipos[Metodo],TbTipos[Tipo])</f>
        <v>OMP Elementos</v>
      </c>
      <c r="E1363" s="15" t="str" cm="1">
        <f t="array" ref="E1363">_xlfn.XLOOKUP(Total[[#This Row],[Tecnología]]&amp;Total[[#This Row],[Problema]],TbNombres[Tecnología]&amp;TbNombres[Problema],TbNombres[Nombre])</f>
        <v>Simple Advdiff</v>
      </c>
      <c r="F1363" s="20">
        <v>2</v>
      </c>
      <c r="G1363" s="20">
        <v>1</v>
      </c>
      <c r="H1363" s="20">
        <v>4</v>
      </c>
      <c r="I1363" s="20">
        <v>20000</v>
      </c>
      <c r="J1363" s="20">
        <v>20000</v>
      </c>
      <c r="K1363" s="20">
        <v>170.02099999999999</v>
      </c>
    </row>
    <row r="1364" spans="2:11" x14ac:dyDescent="0.2">
      <c r="B1364" s="26" t="str">
        <f>_xlfn.XLOOKUP(Total[[#This Row],[Metodo]],TbSolver[Metodo],TbSolver[Solver])</f>
        <v>Runge Kutta</v>
      </c>
      <c r="C1364" s="26" t="str">
        <f>_xlfn.XLOOKUP(Total[[#This Row],[Hebras]],TbTecnologia[Hebras],TbTecnologia[Tecnología])</f>
        <v>OMP</v>
      </c>
      <c r="D1364" s="15" t="str" cm="1">
        <f t="array" ref="D1364">_xlfn.XLOOKUP(Total[[#This Row],[Tecnología]]&amp;Total[[#This Row],[Metodo]],TbTipos[Tecnología]&amp;TbTipos[Metodo],TbTipos[Tipo])</f>
        <v>OMP Elementos</v>
      </c>
      <c r="E1364" s="15" t="str" cm="1">
        <f t="array" ref="E1364">_xlfn.XLOOKUP(Total[[#This Row],[Tecnología]]&amp;Total[[#This Row],[Problema]],TbNombres[Tecnología]&amp;TbNombres[Problema],TbNombres[Nombre])</f>
        <v>Simple Advdiff</v>
      </c>
      <c r="F1364" s="20">
        <v>2</v>
      </c>
      <c r="G1364" s="20">
        <v>1</v>
      </c>
      <c r="H1364" s="20">
        <v>16</v>
      </c>
      <c r="I1364" s="20">
        <v>20000</v>
      </c>
      <c r="J1364" s="20">
        <v>20000</v>
      </c>
      <c r="K1364" s="20">
        <v>57.260399999999997</v>
      </c>
    </row>
    <row r="1365" spans="2:11" x14ac:dyDescent="0.2">
      <c r="B1365" s="26" t="str">
        <f>_xlfn.XLOOKUP(Total[[#This Row],[Metodo]],TbSolver[Metodo],TbSolver[Solver])</f>
        <v>Runge Kutta</v>
      </c>
      <c r="C1365" s="26" t="str">
        <f>_xlfn.XLOOKUP(Total[[#This Row],[Hebras]],TbTecnologia[Hebras],TbTecnologia[Tecnología])</f>
        <v>OMP</v>
      </c>
      <c r="D1365" s="15" t="str" cm="1">
        <f t="array" ref="D1365">_xlfn.XLOOKUP(Total[[#This Row],[Tecnología]]&amp;Total[[#This Row],[Metodo]],TbTipos[Tecnología]&amp;TbTipos[Metodo],TbTipos[Tipo])</f>
        <v>OMP Elementos</v>
      </c>
      <c r="E1365" s="15" t="str" cm="1">
        <f t="array" ref="E1365">_xlfn.XLOOKUP(Total[[#This Row],[Tecnología]]&amp;Total[[#This Row],[Problema]],TbNombres[Tecnología]&amp;TbNombres[Problema],TbNombres[Nombre])</f>
        <v>Simple Advdiff</v>
      </c>
      <c r="F1365" s="20">
        <v>2</v>
      </c>
      <c r="G1365" s="20">
        <v>1</v>
      </c>
      <c r="H1365" s="20">
        <v>1</v>
      </c>
      <c r="I1365" s="20">
        <v>25000</v>
      </c>
      <c r="J1365" s="20">
        <v>25000</v>
      </c>
      <c r="K1365" s="20">
        <v>785.83600000000001</v>
      </c>
    </row>
    <row r="1366" spans="2:11" x14ac:dyDescent="0.2">
      <c r="B1366" s="26" t="str">
        <f>_xlfn.XLOOKUP(Total[[#This Row],[Metodo]],TbSolver[Metodo],TbSolver[Solver])</f>
        <v>Runge Kutta</v>
      </c>
      <c r="C1366" s="26" t="str">
        <f>_xlfn.XLOOKUP(Total[[#This Row],[Hebras]],TbTecnologia[Hebras],TbTecnologia[Tecnología])</f>
        <v>OMP</v>
      </c>
      <c r="D1366" s="15" t="str" cm="1">
        <f t="array" ref="D1366">_xlfn.XLOOKUP(Total[[#This Row],[Tecnología]]&amp;Total[[#This Row],[Metodo]],TbTipos[Tecnología]&amp;TbTipos[Metodo],TbTipos[Tipo])</f>
        <v>OMP Elementos</v>
      </c>
      <c r="E1366" s="15" t="str" cm="1">
        <f t="array" ref="E1366">_xlfn.XLOOKUP(Total[[#This Row],[Tecnología]]&amp;Total[[#This Row],[Problema]],TbNombres[Tecnología]&amp;TbNombres[Problema],TbNombres[Nombre])</f>
        <v>Simple Advdiff</v>
      </c>
      <c r="F1366" s="20">
        <v>2</v>
      </c>
      <c r="G1366" s="20">
        <v>1</v>
      </c>
      <c r="H1366" s="20">
        <v>4</v>
      </c>
      <c r="I1366" s="20">
        <v>25000</v>
      </c>
      <c r="J1366" s="20">
        <v>25000</v>
      </c>
      <c r="K1366" s="20">
        <v>211.755</v>
      </c>
    </row>
    <row r="1367" spans="2:11" x14ac:dyDescent="0.2">
      <c r="B1367" s="26" t="str">
        <f>_xlfn.XLOOKUP(Total[[#This Row],[Metodo]],TbSolver[Metodo],TbSolver[Solver])</f>
        <v>Runge Kutta</v>
      </c>
      <c r="C1367" s="26" t="str">
        <f>_xlfn.XLOOKUP(Total[[#This Row],[Hebras]],TbTecnologia[Hebras],TbTecnologia[Tecnología])</f>
        <v>OMP</v>
      </c>
      <c r="D1367" s="15" t="str" cm="1">
        <f t="array" ref="D1367">_xlfn.XLOOKUP(Total[[#This Row],[Tecnología]]&amp;Total[[#This Row],[Metodo]],TbTipos[Tecnología]&amp;TbTipos[Metodo],TbTipos[Tipo])</f>
        <v>OMP Elementos</v>
      </c>
      <c r="E1367" s="15" t="str" cm="1">
        <f t="array" ref="E1367">_xlfn.XLOOKUP(Total[[#This Row],[Tecnología]]&amp;Total[[#This Row],[Problema]],TbNombres[Tecnología]&amp;TbNombres[Problema],TbNombres[Nombre])</f>
        <v>Simple Advdiff</v>
      </c>
      <c r="F1367" s="20">
        <v>2</v>
      </c>
      <c r="G1367" s="20">
        <v>1</v>
      </c>
      <c r="H1367" s="20">
        <v>16</v>
      </c>
      <c r="I1367" s="20">
        <v>25000</v>
      </c>
      <c r="J1367" s="20">
        <v>25000</v>
      </c>
      <c r="K1367" s="20">
        <v>72.669799999999995</v>
      </c>
    </row>
    <row r="1368" spans="2:11" x14ac:dyDescent="0.2">
      <c r="B1368" s="26" t="str">
        <f>_xlfn.XLOOKUP(Total[[#This Row],[Metodo]],TbSolver[Metodo],TbSolver[Solver])</f>
        <v>Runge Kutta</v>
      </c>
      <c r="C1368" s="26" t="str">
        <f>_xlfn.XLOOKUP(Total[[#This Row],[Hebras]],TbTecnologia[Hebras],TbTecnologia[Tecnología])</f>
        <v>OMP</v>
      </c>
      <c r="D1368" s="15" t="str" cm="1">
        <f t="array" ref="D1368">_xlfn.XLOOKUP(Total[[#This Row],[Tecnología]]&amp;Total[[#This Row],[Metodo]],TbTipos[Tecnología]&amp;TbTipos[Metodo],TbTipos[Tipo])</f>
        <v>OMP Elementos</v>
      </c>
      <c r="E1368" s="15" t="str" cm="1">
        <f t="array" ref="E1368">_xlfn.XLOOKUP(Total[[#This Row],[Tecnología]]&amp;Total[[#This Row],[Problema]],TbNombres[Tecnología]&amp;TbNombres[Problema],TbNombres[Nombre])</f>
        <v>Simple Advdiff</v>
      </c>
      <c r="F1368" s="20">
        <v>2</v>
      </c>
      <c r="G1368" s="20">
        <v>1</v>
      </c>
      <c r="H1368" s="20">
        <v>1</v>
      </c>
      <c r="I1368" s="20">
        <v>30000</v>
      </c>
      <c r="J1368" s="20">
        <v>30000</v>
      </c>
      <c r="K1368" s="20">
        <v>948.65300000000002</v>
      </c>
    </row>
    <row r="1369" spans="2:11" x14ac:dyDescent="0.2">
      <c r="B1369" s="26" t="str">
        <f>_xlfn.XLOOKUP(Total[[#This Row],[Metodo]],TbSolver[Metodo],TbSolver[Solver])</f>
        <v>Runge Kutta</v>
      </c>
      <c r="C1369" s="26" t="str">
        <f>_xlfn.XLOOKUP(Total[[#This Row],[Hebras]],TbTecnologia[Hebras],TbTecnologia[Tecnología])</f>
        <v>OMP</v>
      </c>
      <c r="D1369" s="15" t="str" cm="1">
        <f t="array" ref="D1369">_xlfn.XLOOKUP(Total[[#This Row],[Tecnología]]&amp;Total[[#This Row],[Metodo]],TbTipos[Tecnología]&amp;TbTipos[Metodo],TbTipos[Tipo])</f>
        <v>OMP Elementos</v>
      </c>
      <c r="E1369" s="15" t="str" cm="1">
        <f t="array" ref="E1369">_xlfn.XLOOKUP(Total[[#This Row],[Tecnología]]&amp;Total[[#This Row],[Problema]],TbNombres[Tecnología]&amp;TbNombres[Problema],TbNombres[Nombre])</f>
        <v>Simple Advdiff</v>
      </c>
      <c r="F1369" s="20">
        <v>2</v>
      </c>
      <c r="G1369" s="20">
        <v>1</v>
      </c>
      <c r="H1369" s="20">
        <v>4</v>
      </c>
      <c r="I1369" s="20">
        <v>30000</v>
      </c>
      <c r="J1369" s="20">
        <v>30000</v>
      </c>
      <c r="K1369" s="20">
        <v>254.50899999999999</v>
      </c>
    </row>
    <row r="1370" spans="2:11" x14ac:dyDescent="0.2">
      <c r="B1370" s="26" t="str">
        <f>_xlfn.XLOOKUP(Total[[#This Row],[Metodo]],TbSolver[Metodo],TbSolver[Solver])</f>
        <v>Runge Kutta</v>
      </c>
      <c r="C1370" s="26" t="str">
        <f>_xlfn.XLOOKUP(Total[[#This Row],[Hebras]],TbTecnologia[Hebras],TbTecnologia[Tecnología])</f>
        <v>OMP</v>
      </c>
      <c r="D1370" s="15" t="str" cm="1">
        <f t="array" ref="D1370">_xlfn.XLOOKUP(Total[[#This Row],[Tecnología]]&amp;Total[[#This Row],[Metodo]],TbTipos[Tecnología]&amp;TbTipos[Metodo],TbTipos[Tipo])</f>
        <v>OMP Elementos</v>
      </c>
      <c r="E1370" s="15" t="str" cm="1">
        <f t="array" ref="E1370">_xlfn.XLOOKUP(Total[[#This Row],[Tecnología]]&amp;Total[[#This Row],[Problema]],TbNombres[Tecnología]&amp;TbNombres[Problema],TbNombres[Nombre])</f>
        <v>Simple Advdiff</v>
      </c>
      <c r="F1370" s="20">
        <v>2</v>
      </c>
      <c r="G1370" s="20">
        <v>1</v>
      </c>
      <c r="H1370" s="20">
        <v>16</v>
      </c>
      <c r="I1370" s="20">
        <v>30000</v>
      </c>
      <c r="J1370" s="20">
        <v>30000</v>
      </c>
      <c r="K1370" s="20">
        <v>83.917199999999994</v>
      </c>
    </row>
    <row r="1371" spans="2:11" x14ac:dyDescent="0.2">
      <c r="B1371" s="26" t="str">
        <f>_xlfn.XLOOKUP(Total[[#This Row],[Metodo]],TbSolver[Metodo],TbSolver[Solver])</f>
        <v>Runge Kutta</v>
      </c>
      <c r="C1371" s="26" t="str">
        <f>_xlfn.XLOOKUP(Total[[#This Row],[Hebras]],TbTecnologia[Hebras],TbTecnologia[Tecnología])</f>
        <v>OMP</v>
      </c>
      <c r="D1371" s="15" t="str" cm="1">
        <f t="array" ref="D1371">_xlfn.XLOOKUP(Total[[#This Row],[Tecnología]]&amp;Total[[#This Row],[Metodo]],TbTipos[Tecnología]&amp;TbTipos[Metodo],TbTipos[Tipo])</f>
        <v>OMP Elementos</v>
      </c>
      <c r="E1371" s="15" t="str" cm="1">
        <f t="array" ref="E1371">_xlfn.XLOOKUP(Total[[#This Row],[Tecnología]]&amp;Total[[#This Row],[Problema]],TbNombres[Tecnología]&amp;TbNombres[Problema],TbNombres[Nombre])</f>
        <v>Simple Advdiff</v>
      </c>
      <c r="F1371" s="20">
        <v>2</v>
      </c>
      <c r="G1371" s="20">
        <v>1</v>
      </c>
      <c r="H1371" s="20">
        <v>1</v>
      </c>
      <c r="I1371" s="20">
        <v>40000</v>
      </c>
      <c r="J1371" s="20">
        <v>40000</v>
      </c>
      <c r="K1371" s="20">
        <v>1266.6099999999999</v>
      </c>
    </row>
    <row r="1372" spans="2:11" x14ac:dyDescent="0.2">
      <c r="B1372" s="26" t="str">
        <f>_xlfn.XLOOKUP(Total[[#This Row],[Metodo]],TbSolver[Metodo],TbSolver[Solver])</f>
        <v>Runge Kutta</v>
      </c>
      <c r="C1372" s="26" t="str">
        <f>_xlfn.XLOOKUP(Total[[#This Row],[Hebras]],TbTecnologia[Hebras],TbTecnologia[Tecnología])</f>
        <v>OMP</v>
      </c>
      <c r="D1372" s="15" t="str" cm="1">
        <f t="array" ref="D1372">_xlfn.XLOOKUP(Total[[#This Row],[Tecnología]]&amp;Total[[#This Row],[Metodo]],TbTipos[Tecnología]&amp;TbTipos[Metodo],TbTipos[Tipo])</f>
        <v>OMP Elementos</v>
      </c>
      <c r="E1372" s="15" t="str" cm="1">
        <f t="array" ref="E1372">_xlfn.XLOOKUP(Total[[#This Row],[Tecnología]]&amp;Total[[#This Row],[Problema]],TbNombres[Tecnología]&amp;TbNombres[Problema],TbNombres[Nombre])</f>
        <v>Simple Advdiff</v>
      </c>
      <c r="F1372" s="20">
        <v>2</v>
      </c>
      <c r="G1372" s="20">
        <v>1</v>
      </c>
      <c r="H1372" s="20">
        <v>4</v>
      </c>
      <c r="I1372" s="20">
        <v>40000</v>
      </c>
      <c r="J1372" s="20">
        <v>40000</v>
      </c>
      <c r="K1372" s="20">
        <v>337.58300000000003</v>
      </c>
    </row>
    <row r="1373" spans="2:11" x14ac:dyDescent="0.2">
      <c r="B1373" s="26" t="str">
        <f>_xlfn.XLOOKUP(Total[[#This Row],[Metodo]],TbSolver[Metodo],TbSolver[Solver])</f>
        <v>Runge Kutta</v>
      </c>
      <c r="C1373" s="26" t="str">
        <f>_xlfn.XLOOKUP(Total[[#This Row],[Hebras]],TbTecnologia[Hebras],TbTecnologia[Tecnología])</f>
        <v>OMP</v>
      </c>
      <c r="D1373" s="15" t="str" cm="1">
        <f t="array" ref="D1373">_xlfn.XLOOKUP(Total[[#This Row],[Tecnología]]&amp;Total[[#This Row],[Metodo]],TbTipos[Tecnología]&amp;TbTipos[Metodo],TbTipos[Tipo])</f>
        <v>OMP Elementos</v>
      </c>
      <c r="E1373" s="15" t="str" cm="1">
        <f t="array" ref="E1373">_xlfn.XLOOKUP(Total[[#This Row],[Tecnología]]&amp;Total[[#This Row],[Problema]],TbNombres[Tecnología]&amp;TbNombres[Problema],TbNombres[Nombre])</f>
        <v>Simple Advdiff</v>
      </c>
      <c r="F1373" s="20">
        <v>2</v>
      </c>
      <c r="G1373" s="20">
        <v>1</v>
      </c>
      <c r="H1373" s="20">
        <v>16</v>
      </c>
      <c r="I1373" s="20">
        <v>40000</v>
      </c>
      <c r="J1373" s="20">
        <v>40000</v>
      </c>
      <c r="K1373" s="20">
        <v>110.502</v>
      </c>
    </row>
    <row r="1374" spans="2:11" x14ac:dyDescent="0.2">
      <c r="B1374" s="26" t="str">
        <f>_xlfn.XLOOKUP(Total[[#This Row],[Metodo]],TbSolver[Metodo],TbSolver[Solver])</f>
        <v>Runge Kutta</v>
      </c>
      <c r="C1374" s="26" t="str">
        <f>_xlfn.XLOOKUP(Total[[#This Row],[Hebras]],TbTecnologia[Hebras],TbTecnologia[Tecnología])</f>
        <v>OMP</v>
      </c>
      <c r="D1374" s="15" t="str" cm="1">
        <f t="array" ref="D1374">_xlfn.XLOOKUP(Total[[#This Row],[Tecnología]]&amp;Total[[#This Row],[Metodo]],TbTipos[Tecnología]&amp;TbTipos[Metodo],TbTipos[Tipo])</f>
        <v>OMP Elementos</v>
      </c>
      <c r="E1374" s="15" t="str" cm="1">
        <f t="array" ref="E1374">_xlfn.XLOOKUP(Total[[#This Row],[Tecnología]]&amp;Total[[#This Row],[Problema]],TbNombres[Tecnología]&amp;TbNombres[Problema],TbNombres[Nombre])</f>
        <v>Simple Advdiff</v>
      </c>
      <c r="F1374" s="20">
        <v>2</v>
      </c>
      <c r="G1374" s="20">
        <v>1</v>
      </c>
      <c r="H1374" s="20">
        <v>1</v>
      </c>
      <c r="I1374" s="20">
        <v>50000</v>
      </c>
      <c r="J1374" s="20">
        <v>50000</v>
      </c>
      <c r="K1374" s="20">
        <v>1568.93</v>
      </c>
    </row>
    <row r="1375" spans="2:11" x14ac:dyDescent="0.2">
      <c r="B1375" s="26" t="str">
        <f>_xlfn.XLOOKUP(Total[[#This Row],[Metodo]],TbSolver[Metodo],TbSolver[Solver])</f>
        <v>Runge Kutta</v>
      </c>
      <c r="C1375" s="26" t="str">
        <f>_xlfn.XLOOKUP(Total[[#This Row],[Hebras]],TbTecnologia[Hebras],TbTecnologia[Tecnología])</f>
        <v>OMP</v>
      </c>
      <c r="D1375" s="15" t="str" cm="1">
        <f t="array" ref="D1375">_xlfn.XLOOKUP(Total[[#This Row],[Tecnología]]&amp;Total[[#This Row],[Metodo]],TbTipos[Tecnología]&amp;TbTipos[Metodo],TbTipos[Tipo])</f>
        <v>OMP Elementos</v>
      </c>
      <c r="E1375" s="15" t="str" cm="1">
        <f t="array" ref="E1375">_xlfn.XLOOKUP(Total[[#This Row],[Tecnología]]&amp;Total[[#This Row],[Problema]],TbNombres[Tecnología]&amp;TbNombres[Problema],TbNombres[Nombre])</f>
        <v>Simple Advdiff</v>
      </c>
      <c r="F1375" s="20">
        <v>2</v>
      </c>
      <c r="G1375" s="20">
        <v>1</v>
      </c>
      <c r="H1375" s="20">
        <v>4</v>
      </c>
      <c r="I1375" s="20">
        <v>50000</v>
      </c>
      <c r="J1375" s="20">
        <v>50000</v>
      </c>
      <c r="K1375" s="20">
        <v>432.42099999999999</v>
      </c>
    </row>
    <row r="1376" spans="2:11" x14ac:dyDescent="0.2">
      <c r="B1376" s="26" t="str">
        <f>_xlfn.XLOOKUP(Total[[#This Row],[Metodo]],TbSolver[Metodo],TbSolver[Solver])</f>
        <v>Runge Kutta</v>
      </c>
      <c r="C1376" s="26" t="str">
        <f>_xlfn.XLOOKUP(Total[[#This Row],[Hebras]],TbTecnologia[Hebras],TbTecnologia[Tecnología])</f>
        <v>OMP</v>
      </c>
      <c r="D1376" s="15" t="str" cm="1">
        <f t="array" ref="D1376">_xlfn.XLOOKUP(Total[[#This Row],[Tecnología]]&amp;Total[[#This Row],[Metodo]],TbTipos[Tecnología]&amp;TbTipos[Metodo],TbTipos[Tipo])</f>
        <v>OMP Elementos</v>
      </c>
      <c r="E1376" s="15" t="str" cm="1">
        <f t="array" ref="E1376">_xlfn.XLOOKUP(Total[[#This Row],[Tecnología]]&amp;Total[[#This Row],[Problema]],TbNombres[Tecnología]&amp;TbNombres[Problema],TbNombres[Nombre])</f>
        <v>Simple Advdiff</v>
      </c>
      <c r="F1376" s="20">
        <v>2</v>
      </c>
      <c r="G1376" s="20">
        <v>1</v>
      </c>
      <c r="H1376" s="20">
        <v>16</v>
      </c>
      <c r="I1376" s="20">
        <v>50000</v>
      </c>
      <c r="J1376" s="20">
        <v>50000</v>
      </c>
      <c r="K1376" s="20">
        <v>134.35499999999999</v>
      </c>
    </row>
    <row r="1377" spans="2:11" x14ac:dyDescent="0.2">
      <c r="B1377" s="26" t="str">
        <f>_xlfn.XLOOKUP(Total[[#This Row],[Metodo]],TbSolver[Metodo],TbSolver[Solver])</f>
        <v>Runge Kutta</v>
      </c>
      <c r="C1377" s="26" t="str">
        <f>_xlfn.XLOOKUP(Total[[#This Row],[Hebras]],TbTecnologia[Hebras],TbTecnologia[Tecnología])</f>
        <v>OMP</v>
      </c>
      <c r="D1377" s="15" t="str" cm="1">
        <f t="array" ref="D1377">_xlfn.XLOOKUP(Total[[#This Row],[Tecnología]]&amp;Total[[#This Row],[Metodo]],TbTipos[Tecnología]&amp;TbTipos[Metodo],TbTipos[Tipo])</f>
        <v>OMP Elementos</v>
      </c>
      <c r="E1377" s="15" t="str" cm="1">
        <f t="array" ref="E1377">_xlfn.XLOOKUP(Total[[#This Row],[Tecnología]]&amp;Total[[#This Row],[Problema]],TbNombres[Tecnología]&amp;TbNombres[Problema],TbNombres[Nombre])</f>
        <v>Advdiff1d</v>
      </c>
      <c r="F1377" s="20">
        <v>2</v>
      </c>
      <c r="G1377" s="20">
        <v>2</v>
      </c>
      <c r="H1377" s="20">
        <v>1</v>
      </c>
      <c r="I1377" s="20">
        <v>20000</v>
      </c>
      <c r="J1377" s="20">
        <v>20000</v>
      </c>
      <c r="K1377" s="20">
        <v>2322.58</v>
      </c>
    </row>
    <row r="1378" spans="2:11" x14ac:dyDescent="0.2">
      <c r="B1378" s="26" t="str">
        <f>_xlfn.XLOOKUP(Total[[#This Row],[Metodo]],TbSolver[Metodo],TbSolver[Solver])</f>
        <v>Runge Kutta</v>
      </c>
      <c r="C1378" s="26" t="str">
        <f>_xlfn.XLOOKUP(Total[[#This Row],[Hebras]],TbTecnologia[Hebras],TbTecnologia[Tecnología])</f>
        <v>OMP</v>
      </c>
      <c r="D1378" s="15" t="str" cm="1">
        <f t="array" ref="D1378">_xlfn.XLOOKUP(Total[[#This Row],[Tecnología]]&amp;Total[[#This Row],[Metodo]],TbTipos[Tecnología]&amp;TbTipos[Metodo],TbTipos[Tipo])</f>
        <v>OMP Elementos</v>
      </c>
      <c r="E1378" s="15" t="str" cm="1">
        <f t="array" ref="E1378">_xlfn.XLOOKUP(Total[[#This Row],[Tecnología]]&amp;Total[[#This Row],[Problema]],TbNombres[Tecnología]&amp;TbNombres[Problema],TbNombres[Nombre])</f>
        <v>Advdiff1d</v>
      </c>
      <c r="F1378" s="20">
        <v>2</v>
      </c>
      <c r="G1378" s="20">
        <v>2</v>
      </c>
      <c r="H1378" s="20">
        <v>4</v>
      </c>
      <c r="I1378" s="20">
        <v>20000</v>
      </c>
      <c r="J1378" s="20">
        <v>20000</v>
      </c>
      <c r="K1378" s="20">
        <v>650.07500000000005</v>
      </c>
    </row>
    <row r="1379" spans="2:11" x14ac:dyDescent="0.2">
      <c r="B1379" s="26" t="str">
        <f>_xlfn.XLOOKUP(Total[[#This Row],[Metodo]],TbSolver[Metodo],TbSolver[Solver])</f>
        <v>Runge Kutta</v>
      </c>
      <c r="C1379" s="26" t="str">
        <f>_xlfn.XLOOKUP(Total[[#This Row],[Hebras]],TbTecnologia[Hebras],TbTecnologia[Tecnología])</f>
        <v>OMP</v>
      </c>
      <c r="D1379" s="15" t="str" cm="1">
        <f t="array" ref="D1379">_xlfn.XLOOKUP(Total[[#This Row],[Tecnología]]&amp;Total[[#This Row],[Metodo]],TbTipos[Tecnología]&amp;TbTipos[Metodo],TbTipos[Tipo])</f>
        <v>OMP Elementos</v>
      </c>
      <c r="E1379" s="15" t="str" cm="1">
        <f t="array" ref="E1379">_xlfn.XLOOKUP(Total[[#This Row],[Tecnología]]&amp;Total[[#This Row],[Problema]],TbNombres[Tecnología]&amp;TbNombres[Problema],TbNombres[Nombre])</f>
        <v>Advdiff1d</v>
      </c>
      <c r="F1379" s="20">
        <v>2</v>
      </c>
      <c r="G1379" s="20">
        <v>2</v>
      </c>
      <c r="H1379" s="20">
        <v>16</v>
      </c>
      <c r="I1379" s="20">
        <v>20000</v>
      </c>
      <c r="J1379" s="20">
        <v>20000</v>
      </c>
      <c r="K1379" s="20">
        <v>179.06299999999999</v>
      </c>
    </row>
    <row r="1380" spans="2:11" x14ac:dyDescent="0.2">
      <c r="B1380" s="26" t="str">
        <f>_xlfn.XLOOKUP(Total[[#This Row],[Metodo]],TbSolver[Metodo],TbSolver[Solver])</f>
        <v>Runge Kutta</v>
      </c>
      <c r="C1380" s="26" t="str">
        <f>_xlfn.XLOOKUP(Total[[#This Row],[Hebras]],TbTecnologia[Hebras],TbTecnologia[Tecnología])</f>
        <v>OMP</v>
      </c>
      <c r="D1380" s="15" t="str" cm="1">
        <f t="array" ref="D1380">_xlfn.XLOOKUP(Total[[#This Row],[Tecnología]]&amp;Total[[#This Row],[Metodo]],TbTipos[Tecnología]&amp;TbTipos[Metodo],TbTipos[Tipo])</f>
        <v>OMP Elementos</v>
      </c>
      <c r="E1380" s="15" t="str" cm="1">
        <f t="array" ref="E1380">_xlfn.XLOOKUP(Total[[#This Row],[Tecnología]]&amp;Total[[#This Row],[Problema]],TbNombres[Tecnología]&amp;TbNombres[Problema],TbNombres[Nombre])</f>
        <v>Advdiff1d</v>
      </c>
      <c r="F1380" s="20">
        <v>2</v>
      </c>
      <c r="G1380" s="20">
        <v>2</v>
      </c>
      <c r="H1380" s="20">
        <v>1</v>
      </c>
      <c r="I1380" s="20">
        <v>25000</v>
      </c>
      <c r="J1380" s="20">
        <v>25000</v>
      </c>
      <c r="K1380" s="20">
        <v>2900.48</v>
      </c>
    </row>
    <row r="1381" spans="2:11" x14ac:dyDescent="0.2">
      <c r="B1381" s="26" t="str">
        <f>_xlfn.XLOOKUP(Total[[#This Row],[Metodo]],TbSolver[Metodo],TbSolver[Solver])</f>
        <v>Runge Kutta</v>
      </c>
      <c r="C1381" s="26" t="str">
        <f>_xlfn.XLOOKUP(Total[[#This Row],[Hebras]],TbTecnologia[Hebras],TbTecnologia[Tecnología])</f>
        <v>OMP</v>
      </c>
      <c r="D1381" s="15" t="str" cm="1">
        <f t="array" ref="D1381">_xlfn.XLOOKUP(Total[[#This Row],[Tecnología]]&amp;Total[[#This Row],[Metodo]],TbTipos[Tecnología]&amp;TbTipos[Metodo],TbTipos[Tipo])</f>
        <v>OMP Elementos</v>
      </c>
      <c r="E1381" s="15" t="str" cm="1">
        <f t="array" ref="E1381">_xlfn.XLOOKUP(Total[[#This Row],[Tecnología]]&amp;Total[[#This Row],[Problema]],TbNombres[Tecnología]&amp;TbNombres[Problema],TbNombres[Nombre])</f>
        <v>Advdiff1d</v>
      </c>
      <c r="F1381" s="20">
        <v>2</v>
      </c>
      <c r="G1381" s="20">
        <v>2</v>
      </c>
      <c r="H1381" s="20">
        <v>4</v>
      </c>
      <c r="I1381" s="20">
        <v>25000</v>
      </c>
      <c r="J1381" s="20">
        <v>25000</v>
      </c>
      <c r="K1381" s="20">
        <v>816.93399999999997</v>
      </c>
    </row>
    <row r="1382" spans="2:11" x14ac:dyDescent="0.2">
      <c r="B1382" s="26" t="str">
        <f>_xlfn.XLOOKUP(Total[[#This Row],[Metodo]],TbSolver[Metodo],TbSolver[Solver])</f>
        <v>Runge Kutta</v>
      </c>
      <c r="C1382" s="26" t="str">
        <f>_xlfn.XLOOKUP(Total[[#This Row],[Hebras]],TbTecnologia[Hebras],TbTecnologia[Tecnología])</f>
        <v>OMP</v>
      </c>
      <c r="D1382" s="15" t="str" cm="1">
        <f t="array" ref="D1382">_xlfn.XLOOKUP(Total[[#This Row],[Tecnología]]&amp;Total[[#This Row],[Metodo]],TbTipos[Tecnología]&amp;TbTipos[Metodo],TbTipos[Tipo])</f>
        <v>OMP Elementos</v>
      </c>
      <c r="E1382" s="15" t="str" cm="1">
        <f t="array" ref="E1382">_xlfn.XLOOKUP(Total[[#This Row],[Tecnología]]&amp;Total[[#This Row],[Problema]],TbNombres[Tecnología]&amp;TbNombres[Problema],TbNombres[Nombre])</f>
        <v>Advdiff1d</v>
      </c>
      <c r="F1382" s="20">
        <v>2</v>
      </c>
      <c r="G1382" s="20">
        <v>2</v>
      </c>
      <c r="H1382" s="20">
        <v>16</v>
      </c>
      <c r="I1382" s="20">
        <v>25000</v>
      </c>
      <c r="J1382" s="20">
        <v>25000</v>
      </c>
      <c r="K1382" s="20">
        <v>232.34100000000001</v>
      </c>
    </row>
    <row r="1383" spans="2:11" x14ac:dyDescent="0.2">
      <c r="B1383" s="26" t="str">
        <f>_xlfn.XLOOKUP(Total[[#This Row],[Metodo]],TbSolver[Metodo],TbSolver[Solver])</f>
        <v>Runge Kutta</v>
      </c>
      <c r="C1383" s="26" t="str">
        <f>_xlfn.XLOOKUP(Total[[#This Row],[Hebras]],TbTecnologia[Hebras],TbTecnologia[Tecnología])</f>
        <v>OMP</v>
      </c>
      <c r="D1383" s="15" t="str" cm="1">
        <f t="array" ref="D1383">_xlfn.XLOOKUP(Total[[#This Row],[Tecnología]]&amp;Total[[#This Row],[Metodo]],TbTipos[Tecnología]&amp;TbTipos[Metodo],TbTipos[Tipo])</f>
        <v>OMP Elementos</v>
      </c>
      <c r="E1383" s="15" t="str" cm="1">
        <f t="array" ref="E1383">_xlfn.XLOOKUP(Total[[#This Row],[Tecnología]]&amp;Total[[#This Row],[Problema]],TbNombres[Tecnología]&amp;TbNombres[Problema],TbNombres[Nombre])</f>
        <v>Advdiff1d</v>
      </c>
      <c r="F1383" s="20">
        <v>2</v>
      </c>
      <c r="G1383" s="20">
        <v>2</v>
      </c>
      <c r="H1383" s="20">
        <v>1</v>
      </c>
      <c r="I1383" s="20">
        <v>30000</v>
      </c>
      <c r="J1383" s="20">
        <v>30000</v>
      </c>
      <c r="K1383" s="20">
        <v>3500.86</v>
      </c>
    </row>
    <row r="1384" spans="2:11" x14ac:dyDescent="0.2">
      <c r="B1384" s="26" t="str">
        <f>_xlfn.XLOOKUP(Total[[#This Row],[Metodo]],TbSolver[Metodo],TbSolver[Solver])</f>
        <v>Runge Kutta</v>
      </c>
      <c r="C1384" s="26" t="str">
        <f>_xlfn.XLOOKUP(Total[[#This Row],[Hebras]],TbTecnologia[Hebras],TbTecnologia[Tecnología])</f>
        <v>OMP</v>
      </c>
      <c r="D1384" s="15" t="str" cm="1">
        <f t="array" ref="D1384">_xlfn.XLOOKUP(Total[[#This Row],[Tecnología]]&amp;Total[[#This Row],[Metodo]],TbTipos[Tecnología]&amp;TbTipos[Metodo],TbTipos[Tipo])</f>
        <v>OMP Elementos</v>
      </c>
      <c r="E1384" s="15" t="str" cm="1">
        <f t="array" ref="E1384">_xlfn.XLOOKUP(Total[[#This Row],[Tecnología]]&amp;Total[[#This Row],[Problema]],TbNombres[Tecnología]&amp;TbNombres[Problema],TbNombres[Nombre])</f>
        <v>Advdiff1d</v>
      </c>
      <c r="F1384" s="20">
        <v>2</v>
      </c>
      <c r="G1384" s="20">
        <v>2</v>
      </c>
      <c r="H1384" s="20">
        <v>4</v>
      </c>
      <c r="I1384" s="20">
        <v>30000</v>
      </c>
      <c r="J1384" s="20">
        <v>30000</v>
      </c>
      <c r="K1384" s="20">
        <v>975.19</v>
      </c>
    </row>
    <row r="1385" spans="2:11" x14ac:dyDescent="0.2">
      <c r="B1385" s="26" t="str">
        <f>_xlfn.XLOOKUP(Total[[#This Row],[Metodo]],TbSolver[Metodo],TbSolver[Solver])</f>
        <v>Runge Kutta</v>
      </c>
      <c r="C1385" s="26" t="str">
        <f>_xlfn.XLOOKUP(Total[[#This Row],[Hebras]],TbTecnologia[Hebras],TbTecnologia[Tecnología])</f>
        <v>OMP</v>
      </c>
      <c r="D1385" s="15" t="str" cm="1">
        <f t="array" ref="D1385">_xlfn.XLOOKUP(Total[[#This Row],[Tecnología]]&amp;Total[[#This Row],[Metodo]],TbTipos[Tecnología]&amp;TbTipos[Metodo],TbTipos[Tipo])</f>
        <v>OMP Elementos</v>
      </c>
      <c r="E1385" s="15" t="str" cm="1">
        <f t="array" ref="E1385">_xlfn.XLOOKUP(Total[[#This Row],[Tecnología]]&amp;Total[[#This Row],[Problema]],TbNombres[Tecnología]&amp;TbNombres[Problema],TbNombres[Nombre])</f>
        <v>Advdiff1d</v>
      </c>
      <c r="F1385" s="20">
        <v>2</v>
      </c>
      <c r="G1385" s="20">
        <v>2</v>
      </c>
      <c r="H1385" s="20">
        <v>16</v>
      </c>
      <c r="I1385" s="20">
        <v>30000</v>
      </c>
      <c r="J1385" s="20">
        <v>30000</v>
      </c>
      <c r="K1385" s="20">
        <v>270.488</v>
      </c>
    </row>
    <row r="1386" spans="2:11" x14ac:dyDescent="0.2">
      <c r="B1386" s="26" t="str">
        <f>_xlfn.XLOOKUP(Total[[#This Row],[Metodo]],TbSolver[Metodo],TbSolver[Solver])</f>
        <v>Runge Kutta</v>
      </c>
      <c r="C1386" s="26" t="str">
        <f>_xlfn.XLOOKUP(Total[[#This Row],[Hebras]],TbTecnologia[Hebras],TbTecnologia[Tecnología])</f>
        <v>OMP</v>
      </c>
      <c r="D1386" s="15" t="str" cm="1">
        <f t="array" ref="D1386">_xlfn.XLOOKUP(Total[[#This Row],[Tecnología]]&amp;Total[[#This Row],[Metodo]],TbTipos[Tecnología]&amp;TbTipos[Metodo],TbTipos[Tipo])</f>
        <v>OMP Elementos</v>
      </c>
      <c r="E1386" s="15" t="str" cm="1">
        <f t="array" ref="E1386">_xlfn.XLOOKUP(Total[[#This Row],[Tecnología]]&amp;Total[[#This Row],[Problema]],TbNombres[Tecnología]&amp;TbNombres[Problema],TbNombres[Nombre])</f>
        <v>Advdiff1d</v>
      </c>
      <c r="F1386" s="20">
        <v>2</v>
      </c>
      <c r="G1386" s="20">
        <v>2</v>
      </c>
      <c r="H1386" s="20">
        <v>1</v>
      </c>
      <c r="I1386" s="20">
        <v>40000</v>
      </c>
      <c r="J1386" s="20">
        <v>40000</v>
      </c>
      <c r="K1386" s="20">
        <v>4648.47</v>
      </c>
    </row>
    <row r="1387" spans="2:11" x14ac:dyDescent="0.2">
      <c r="B1387" s="26" t="str">
        <f>_xlfn.XLOOKUP(Total[[#This Row],[Metodo]],TbSolver[Metodo],TbSolver[Solver])</f>
        <v>Runge Kutta</v>
      </c>
      <c r="C1387" s="26" t="str">
        <f>_xlfn.XLOOKUP(Total[[#This Row],[Hebras]],TbTecnologia[Hebras],TbTecnologia[Tecnología])</f>
        <v>OMP</v>
      </c>
      <c r="D1387" s="15" t="str" cm="1">
        <f t="array" ref="D1387">_xlfn.XLOOKUP(Total[[#This Row],[Tecnología]]&amp;Total[[#This Row],[Metodo]],TbTipos[Tecnología]&amp;TbTipos[Metodo],TbTipos[Tipo])</f>
        <v>OMP Elementos</v>
      </c>
      <c r="E1387" s="15" t="str" cm="1">
        <f t="array" ref="E1387">_xlfn.XLOOKUP(Total[[#This Row],[Tecnología]]&amp;Total[[#This Row],[Problema]],TbNombres[Tecnología]&amp;TbNombres[Problema],TbNombres[Nombre])</f>
        <v>Advdiff1d</v>
      </c>
      <c r="F1387" s="20">
        <v>2</v>
      </c>
      <c r="G1387" s="20">
        <v>2</v>
      </c>
      <c r="H1387" s="20">
        <v>4</v>
      </c>
      <c r="I1387" s="20">
        <v>40000</v>
      </c>
      <c r="J1387" s="20">
        <v>40000</v>
      </c>
      <c r="K1387" s="20">
        <v>1303.0999999999999</v>
      </c>
    </row>
    <row r="1388" spans="2:11" x14ac:dyDescent="0.2">
      <c r="B1388" s="26" t="str">
        <f>_xlfn.XLOOKUP(Total[[#This Row],[Metodo]],TbSolver[Metodo],TbSolver[Solver])</f>
        <v>Runge Kutta</v>
      </c>
      <c r="C1388" s="26" t="str">
        <f>_xlfn.XLOOKUP(Total[[#This Row],[Hebras]],TbTecnologia[Hebras],TbTecnologia[Tecnología])</f>
        <v>OMP</v>
      </c>
      <c r="D1388" s="15" t="str" cm="1">
        <f t="array" ref="D1388">_xlfn.XLOOKUP(Total[[#This Row],[Tecnología]]&amp;Total[[#This Row],[Metodo]],TbTipos[Tecnología]&amp;TbTipos[Metodo],TbTipos[Tipo])</f>
        <v>OMP Elementos</v>
      </c>
      <c r="E1388" s="15" t="str" cm="1">
        <f t="array" ref="E1388">_xlfn.XLOOKUP(Total[[#This Row],[Tecnología]]&amp;Total[[#This Row],[Problema]],TbNombres[Tecnología]&amp;TbNombres[Problema],TbNombres[Nombre])</f>
        <v>Advdiff1d</v>
      </c>
      <c r="F1388" s="20">
        <v>2</v>
      </c>
      <c r="G1388" s="20">
        <v>2</v>
      </c>
      <c r="H1388" s="20">
        <v>16</v>
      </c>
      <c r="I1388" s="20">
        <v>40000</v>
      </c>
      <c r="J1388" s="20">
        <v>40000</v>
      </c>
      <c r="K1388" s="20">
        <v>358.60899999999998</v>
      </c>
    </row>
    <row r="1389" spans="2:11" x14ac:dyDescent="0.2">
      <c r="B1389" s="26" t="str">
        <f>_xlfn.XLOOKUP(Total[[#This Row],[Metodo]],TbSolver[Metodo],TbSolver[Solver])</f>
        <v>Runge Kutta</v>
      </c>
      <c r="C1389" s="26" t="str">
        <f>_xlfn.XLOOKUP(Total[[#This Row],[Hebras]],TbTecnologia[Hebras],TbTecnologia[Tecnología])</f>
        <v>OMP</v>
      </c>
      <c r="D1389" s="15" t="str" cm="1">
        <f t="array" ref="D1389">_xlfn.XLOOKUP(Total[[#This Row],[Tecnología]]&amp;Total[[#This Row],[Metodo]],TbTipos[Tecnología]&amp;TbTipos[Metodo],TbTipos[Tipo])</f>
        <v>OMP Elementos</v>
      </c>
      <c r="E1389" s="15" t="str" cm="1">
        <f t="array" ref="E1389">_xlfn.XLOOKUP(Total[[#This Row],[Tecnología]]&amp;Total[[#This Row],[Problema]],TbNombres[Tecnología]&amp;TbNombres[Problema],TbNombres[Nombre])</f>
        <v>Advdiff1d</v>
      </c>
      <c r="F1389" s="20">
        <v>2</v>
      </c>
      <c r="G1389" s="20">
        <v>2</v>
      </c>
      <c r="H1389" s="20">
        <v>1</v>
      </c>
      <c r="I1389" s="20">
        <v>50000</v>
      </c>
      <c r="J1389" s="20">
        <v>50000</v>
      </c>
      <c r="K1389" s="20">
        <v>5879.78</v>
      </c>
    </row>
    <row r="1390" spans="2:11" x14ac:dyDescent="0.2">
      <c r="B1390" s="26" t="str">
        <f>_xlfn.XLOOKUP(Total[[#This Row],[Metodo]],TbSolver[Metodo],TbSolver[Solver])</f>
        <v>Runge Kutta</v>
      </c>
      <c r="C1390" s="26" t="str">
        <f>_xlfn.XLOOKUP(Total[[#This Row],[Hebras]],TbTecnologia[Hebras],TbTecnologia[Tecnología])</f>
        <v>OMP</v>
      </c>
      <c r="D1390" s="15" t="str" cm="1">
        <f t="array" ref="D1390">_xlfn.XLOOKUP(Total[[#This Row],[Tecnología]]&amp;Total[[#This Row],[Metodo]],TbTipos[Tecnología]&amp;TbTipos[Metodo],TbTipos[Tipo])</f>
        <v>OMP Elementos</v>
      </c>
      <c r="E1390" s="15" t="str" cm="1">
        <f t="array" ref="E1390">_xlfn.XLOOKUP(Total[[#This Row],[Tecnología]]&amp;Total[[#This Row],[Problema]],TbNombres[Tecnología]&amp;TbNombres[Problema],TbNombres[Nombre])</f>
        <v>Advdiff1d</v>
      </c>
      <c r="F1390" s="20">
        <v>2</v>
      </c>
      <c r="G1390" s="20">
        <v>2</v>
      </c>
      <c r="H1390" s="20">
        <v>4</v>
      </c>
      <c r="I1390" s="20">
        <v>50000</v>
      </c>
      <c r="J1390" s="20">
        <v>50000</v>
      </c>
      <c r="K1390" s="20">
        <v>1629.52</v>
      </c>
    </row>
    <row r="1391" spans="2:11" x14ac:dyDescent="0.2">
      <c r="B1391" s="26" t="str">
        <f>_xlfn.XLOOKUP(Total[[#This Row],[Metodo]],TbSolver[Metodo],TbSolver[Solver])</f>
        <v>Runge Kutta</v>
      </c>
      <c r="C1391" s="26" t="str">
        <f>_xlfn.XLOOKUP(Total[[#This Row],[Hebras]],TbTecnologia[Hebras],TbTecnologia[Tecnología])</f>
        <v>OMP</v>
      </c>
      <c r="D1391" s="15" t="str" cm="1">
        <f t="array" ref="D1391">_xlfn.XLOOKUP(Total[[#This Row],[Tecnología]]&amp;Total[[#This Row],[Metodo]],TbTipos[Tecnología]&amp;TbTipos[Metodo],TbTipos[Tipo])</f>
        <v>OMP Elementos</v>
      </c>
      <c r="E1391" s="15" t="str" cm="1">
        <f t="array" ref="E1391">_xlfn.XLOOKUP(Total[[#This Row],[Tecnología]]&amp;Total[[#This Row],[Problema]],TbNombres[Tecnología]&amp;TbNombres[Problema],TbNombres[Nombre])</f>
        <v>Advdiff1d</v>
      </c>
      <c r="F1391" s="20">
        <v>2</v>
      </c>
      <c r="G1391" s="20">
        <v>2</v>
      </c>
      <c r="H1391" s="20">
        <v>16</v>
      </c>
      <c r="I1391" s="20">
        <v>50000</v>
      </c>
      <c r="J1391" s="20">
        <v>50000</v>
      </c>
      <c r="K1391" s="20">
        <v>441.03699999999998</v>
      </c>
    </row>
    <row r="1392" spans="2:11" x14ac:dyDescent="0.2">
      <c r="B1392" s="26" t="str">
        <f>_xlfn.XLOOKUP(Total[[#This Row],[Metodo]],TbSolver[Metodo],TbSolver[Solver])</f>
        <v>Runge Kutta</v>
      </c>
      <c r="C1392" s="26" t="str">
        <f>_xlfn.XLOOKUP(Total[[#This Row],[Hebras]],TbTecnologia[Hebras],TbTecnologia[Tecnología])</f>
        <v>OMP</v>
      </c>
      <c r="D1392" s="15" t="str" cm="1">
        <f t="array" ref="D1392">_xlfn.XLOOKUP(Total[[#This Row],[Tecnología]]&amp;Total[[#This Row],[Metodo]],TbTipos[Tecnología]&amp;TbTipos[Metodo],TbTipos[Tipo])</f>
        <v>OMP Elementos</v>
      </c>
      <c r="E1392" s="15" t="str" cm="1">
        <f t="array" ref="E1392">_xlfn.XLOOKUP(Total[[#This Row],[Tecnología]]&amp;Total[[#This Row],[Problema]],TbNombres[Tecnología]&amp;TbNombres[Problema],TbNombres[Nombre])</f>
        <v>Brusselator1d</v>
      </c>
      <c r="F1392" s="20">
        <v>2</v>
      </c>
      <c r="G1392" s="20">
        <v>3</v>
      </c>
      <c r="H1392" s="20">
        <v>1</v>
      </c>
      <c r="I1392" s="20">
        <v>20000</v>
      </c>
      <c r="J1392" s="20">
        <v>40000</v>
      </c>
      <c r="K1392" s="20">
        <v>1001</v>
      </c>
    </row>
    <row r="1393" spans="2:11" x14ac:dyDescent="0.2">
      <c r="B1393" s="26" t="str">
        <f>_xlfn.XLOOKUP(Total[[#This Row],[Metodo]],TbSolver[Metodo],TbSolver[Solver])</f>
        <v>Runge Kutta</v>
      </c>
      <c r="C1393" s="26" t="str">
        <f>_xlfn.XLOOKUP(Total[[#This Row],[Hebras]],TbTecnologia[Hebras],TbTecnologia[Tecnología])</f>
        <v>OMP</v>
      </c>
      <c r="D1393" s="15" t="str" cm="1">
        <f t="array" ref="D1393">_xlfn.XLOOKUP(Total[[#This Row],[Tecnología]]&amp;Total[[#This Row],[Metodo]],TbTipos[Tecnología]&amp;TbTipos[Metodo],TbTipos[Tipo])</f>
        <v>OMP Elementos</v>
      </c>
      <c r="E1393" s="15" t="str" cm="1">
        <f t="array" ref="E1393">_xlfn.XLOOKUP(Total[[#This Row],[Tecnología]]&amp;Total[[#This Row],[Problema]],TbNombres[Tecnología]&amp;TbNombres[Problema],TbNombres[Nombre])</f>
        <v>Brusselator1d</v>
      </c>
      <c r="F1393" s="20">
        <v>2</v>
      </c>
      <c r="G1393" s="20">
        <v>3</v>
      </c>
      <c r="H1393" s="20">
        <v>4</v>
      </c>
      <c r="I1393" s="20">
        <v>20000</v>
      </c>
      <c r="J1393" s="20">
        <v>40000</v>
      </c>
      <c r="K1393" s="20">
        <v>269.01799999999997</v>
      </c>
    </row>
    <row r="1394" spans="2:11" x14ac:dyDescent="0.2">
      <c r="B1394" s="26" t="str">
        <f>_xlfn.XLOOKUP(Total[[#This Row],[Metodo]],TbSolver[Metodo],TbSolver[Solver])</f>
        <v>Runge Kutta</v>
      </c>
      <c r="C1394" s="26" t="str">
        <f>_xlfn.XLOOKUP(Total[[#This Row],[Hebras]],TbTecnologia[Hebras],TbTecnologia[Tecnología])</f>
        <v>OMP</v>
      </c>
      <c r="D1394" s="15" t="str" cm="1">
        <f t="array" ref="D1394">_xlfn.XLOOKUP(Total[[#This Row],[Tecnología]]&amp;Total[[#This Row],[Metodo]],TbTipos[Tecnología]&amp;TbTipos[Metodo],TbTipos[Tipo])</f>
        <v>OMP Elementos</v>
      </c>
      <c r="E1394" s="15" t="str" cm="1">
        <f t="array" ref="E1394">_xlfn.XLOOKUP(Total[[#This Row],[Tecnología]]&amp;Total[[#This Row],[Problema]],TbNombres[Tecnología]&amp;TbNombres[Problema],TbNombres[Nombre])</f>
        <v>Brusselator1d</v>
      </c>
      <c r="F1394" s="20">
        <v>2</v>
      </c>
      <c r="G1394" s="20">
        <v>3</v>
      </c>
      <c r="H1394" s="20">
        <v>16</v>
      </c>
      <c r="I1394" s="20">
        <v>20000</v>
      </c>
      <c r="J1394" s="20">
        <v>40000</v>
      </c>
      <c r="K1394" s="20">
        <v>90.072199999999995</v>
      </c>
    </row>
    <row r="1395" spans="2:11" x14ac:dyDescent="0.2">
      <c r="B1395" s="26" t="str">
        <f>_xlfn.XLOOKUP(Total[[#This Row],[Metodo]],TbSolver[Metodo],TbSolver[Solver])</f>
        <v>Runge Kutta</v>
      </c>
      <c r="C1395" s="26" t="str">
        <f>_xlfn.XLOOKUP(Total[[#This Row],[Hebras]],TbTecnologia[Hebras],TbTecnologia[Tecnología])</f>
        <v>OMP</v>
      </c>
      <c r="D1395" s="15" t="str" cm="1">
        <f t="array" ref="D1395">_xlfn.XLOOKUP(Total[[#This Row],[Tecnología]]&amp;Total[[#This Row],[Metodo]],TbTipos[Tecnología]&amp;TbTipos[Metodo],TbTipos[Tipo])</f>
        <v>OMP Elementos</v>
      </c>
      <c r="E1395" s="15" t="str" cm="1">
        <f t="array" ref="E1395">_xlfn.XLOOKUP(Total[[#This Row],[Tecnología]]&amp;Total[[#This Row],[Problema]],TbNombres[Tecnología]&amp;TbNombres[Problema],TbNombres[Nombre])</f>
        <v>Brusselator1d</v>
      </c>
      <c r="F1395" s="20">
        <v>2</v>
      </c>
      <c r="G1395" s="20">
        <v>3</v>
      </c>
      <c r="H1395" s="20">
        <v>1</v>
      </c>
      <c r="I1395" s="20">
        <v>25000</v>
      </c>
      <c r="J1395" s="20">
        <v>50000</v>
      </c>
      <c r="K1395" s="20">
        <v>1247.83</v>
      </c>
    </row>
    <row r="1396" spans="2:11" x14ac:dyDescent="0.2">
      <c r="B1396" s="26" t="str">
        <f>_xlfn.XLOOKUP(Total[[#This Row],[Metodo]],TbSolver[Metodo],TbSolver[Solver])</f>
        <v>Runge Kutta</v>
      </c>
      <c r="C1396" s="26" t="str">
        <f>_xlfn.XLOOKUP(Total[[#This Row],[Hebras]],TbTecnologia[Hebras],TbTecnologia[Tecnología])</f>
        <v>OMP</v>
      </c>
      <c r="D1396" s="15" t="str" cm="1">
        <f t="array" ref="D1396">_xlfn.XLOOKUP(Total[[#This Row],[Tecnología]]&amp;Total[[#This Row],[Metodo]],TbTipos[Tecnología]&amp;TbTipos[Metodo],TbTipos[Tipo])</f>
        <v>OMP Elementos</v>
      </c>
      <c r="E1396" s="15" t="str" cm="1">
        <f t="array" ref="E1396">_xlfn.XLOOKUP(Total[[#This Row],[Tecnología]]&amp;Total[[#This Row],[Problema]],TbNombres[Tecnología]&amp;TbNombres[Problema],TbNombres[Nombre])</f>
        <v>Brusselator1d</v>
      </c>
      <c r="F1396" s="20">
        <v>2</v>
      </c>
      <c r="G1396" s="20">
        <v>3</v>
      </c>
      <c r="H1396" s="20">
        <v>4</v>
      </c>
      <c r="I1396" s="20">
        <v>25000</v>
      </c>
      <c r="J1396" s="20">
        <v>50000</v>
      </c>
      <c r="K1396" s="20">
        <v>341.44</v>
      </c>
    </row>
    <row r="1397" spans="2:11" x14ac:dyDescent="0.2">
      <c r="B1397" s="26" t="str">
        <f>_xlfn.XLOOKUP(Total[[#This Row],[Metodo]],TbSolver[Metodo],TbSolver[Solver])</f>
        <v>Runge Kutta</v>
      </c>
      <c r="C1397" s="26" t="str">
        <f>_xlfn.XLOOKUP(Total[[#This Row],[Hebras]],TbTecnologia[Hebras],TbTecnologia[Tecnología])</f>
        <v>OMP</v>
      </c>
      <c r="D1397" s="15" t="str" cm="1">
        <f t="array" ref="D1397">_xlfn.XLOOKUP(Total[[#This Row],[Tecnología]]&amp;Total[[#This Row],[Metodo]],TbTipos[Tecnología]&amp;TbTipos[Metodo],TbTipos[Tipo])</f>
        <v>OMP Elementos</v>
      </c>
      <c r="E1397" s="15" t="str" cm="1">
        <f t="array" ref="E1397">_xlfn.XLOOKUP(Total[[#This Row],[Tecnología]]&amp;Total[[#This Row],[Problema]],TbNombres[Tecnología]&amp;TbNombres[Problema],TbNombres[Nombre])</f>
        <v>Brusselator1d</v>
      </c>
      <c r="F1397" s="20">
        <v>2</v>
      </c>
      <c r="G1397" s="20">
        <v>3</v>
      </c>
      <c r="H1397" s="20">
        <v>16</v>
      </c>
      <c r="I1397" s="20">
        <v>25000</v>
      </c>
      <c r="J1397" s="20">
        <v>50000</v>
      </c>
      <c r="K1397" s="20">
        <v>106.083</v>
      </c>
    </row>
    <row r="1398" spans="2:11" x14ac:dyDescent="0.2">
      <c r="B1398" s="26" t="str">
        <f>_xlfn.XLOOKUP(Total[[#This Row],[Metodo]],TbSolver[Metodo],TbSolver[Solver])</f>
        <v>Runge Kutta</v>
      </c>
      <c r="C1398" s="26" t="str">
        <f>_xlfn.XLOOKUP(Total[[#This Row],[Hebras]],TbTecnologia[Hebras],TbTecnologia[Tecnología])</f>
        <v>OMP</v>
      </c>
      <c r="D1398" s="15" t="str" cm="1">
        <f t="array" ref="D1398">_xlfn.XLOOKUP(Total[[#This Row],[Tecnología]]&amp;Total[[#This Row],[Metodo]],TbTipos[Tecnología]&amp;TbTipos[Metodo],TbTipos[Tipo])</f>
        <v>OMP Elementos</v>
      </c>
      <c r="E1398" s="15" t="str" cm="1">
        <f t="array" ref="E1398">_xlfn.XLOOKUP(Total[[#This Row],[Tecnología]]&amp;Total[[#This Row],[Problema]],TbNombres[Tecnología]&amp;TbNombres[Problema],TbNombres[Nombre])</f>
        <v>Brusselator1d</v>
      </c>
      <c r="F1398" s="20">
        <v>2</v>
      </c>
      <c r="G1398" s="20">
        <v>3</v>
      </c>
      <c r="H1398" s="20">
        <v>1</v>
      </c>
      <c r="I1398" s="20">
        <v>30000</v>
      </c>
      <c r="J1398" s="20">
        <v>60000</v>
      </c>
      <c r="K1398" s="20">
        <v>1504.08</v>
      </c>
    </row>
    <row r="1399" spans="2:11" x14ac:dyDescent="0.2">
      <c r="B1399" s="26" t="str">
        <f>_xlfn.XLOOKUP(Total[[#This Row],[Metodo]],TbSolver[Metodo],TbSolver[Solver])</f>
        <v>Runge Kutta</v>
      </c>
      <c r="C1399" s="26" t="str">
        <f>_xlfn.XLOOKUP(Total[[#This Row],[Hebras]],TbTecnologia[Hebras],TbTecnologia[Tecnología])</f>
        <v>OMP</v>
      </c>
      <c r="D1399" s="15" t="str" cm="1">
        <f t="array" ref="D1399">_xlfn.XLOOKUP(Total[[#This Row],[Tecnología]]&amp;Total[[#This Row],[Metodo]],TbTipos[Tecnología]&amp;TbTipos[Metodo],TbTipos[Tipo])</f>
        <v>OMP Elementos</v>
      </c>
      <c r="E1399" s="15" t="str" cm="1">
        <f t="array" ref="E1399">_xlfn.XLOOKUP(Total[[#This Row],[Tecnología]]&amp;Total[[#This Row],[Problema]],TbNombres[Tecnología]&amp;TbNombres[Problema],TbNombres[Nombre])</f>
        <v>Brusselator1d</v>
      </c>
      <c r="F1399" s="20">
        <v>2</v>
      </c>
      <c r="G1399" s="20">
        <v>3</v>
      </c>
      <c r="H1399" s="20">
        <v>4</v>
      </c>
      <c r="I1399" s="20">
        <v>30000</v>
      </c>
      <c r="J1399" s="20">
        <v>60000</v>
      </c>
      <c r="K1399" s="20">
        <v>407.02499999999998</v>
      </c>
    </row>
    <row r="1400" spans="2:11" x14ac:dyDescent="0.2">
      <c r="B1400" s="26" t="str">
        <f>_xlfn.XLOOKUP(Total[[#This Row],[Metodo]],TbSolver[Metodo],TbSolver[Solver])</f>
        <v>Runge Kutta</v>
      </c>
      <c r="C1400" s="26" t="str">
        <f>_xlfn.XLOOKUP(Total[[#This Row],[Hebras]],TbTecnologia[Hebras],TbTecnologia[Tecnología])</f>
        <v>OMP</v>
      </c>
      <c r="D1400" s="15" t="str" cm="1">
        <f t="array" ref="D1400">_xlfn.XLOOKUP(Total[[#This Row],[Tecnología]]&amp;Total[[#This Row],[Metodo]],TbTipos[Tecnología]&amp;TbTipos[Metodo],TbTipos[Tipo])</f>
        <v>OMP Elementos</v>
      </c>
      <c r="E1400" s="15" t="str" cm="1">
        <f t="array" ref="E1400">_xlfn.XLOOKUP(Total[[#This Row],[Tecnología]]&amp;Total[[#This Row],[Problema]],TbNombres[Tecnología]&amp;TbNombres[Problema],TbNombres[Nombre])</f>
        <v>Brusselator1d</v>
      </c>
      <c r="F1400" s="20">
        <v>2</v>
      </c>
      <c r="G1400" s="20">
        <v>3</v>
      </c>
      <c r="H1400" s="20">
        <v>16</v>
      </c>
      <c r="I1400" s="20">
        <v>30000</v>
      </c>
      <c r="J1400" s="20">
        <v>60000</v>
      </c>
      <c r="K1400" s="20">
        <v>120.941</v>
      </c>
    </row>
    <row r="1401" spans="2:11" x14ac:dyDescent="0.2">
      <c r="B1401" s="26" t="str">
        <f>_xlfn.XLOOKUP(Total[[#This Row],[Metodo]],TbSolver[Metodo],TbSolver[Solver])</f>
        <v>Runge Kutta</v>
      </c>
      <c r="C1401" s="26" t="str">
        <f>_xlfn.XLOOKUP(Total[[#This Row],[Hebras]],TbTecnologia[Hebras],TbTecnologia[Tecnología])</f>
        <v>OMP</v>
      </c>
      <c r="D1401" s="15" t="str" cm="1">
        <f t="array" ref="D1401">_xlfn.XLOOKUP(Total[[#This Row],[Tecnología]]&amp;Total[[#This Row],[Metodo]],TbTipos[Tecnología]&amp;TbTipos[Metodo],TbTipos[Tipo])</f>
        <v>OMP Elementos</v>
      </c>
      <c r="E1401" s="15" t="str" cm="1">
        <f t="array" ref="E1401">_xlfn.XLOOKUP(Total[[#This Row],[Tecnología]]&amp;Total[[#This Row],[Problema]],TbNombres[Tecnología]&amp;TbNombres[Problema],TbNombres[Nombre])</f>
        <v>Brusselator1d</v>
      </c>
      <c r="F1401" s="20">
        <v>2</v>
      </c>
      <c r="G1401" s="20">
        <v>3</v>
      </c>
      <c r="H1401" s="20">
        <v>1</v>
      </c>
      <c r="I1401" s="20">
        <v>40000</v>
      </c>
      <c r="J1401" s="20">
        <v>80000</v>
      </c>
      <c r="K1401" s="20">
        <v>1998.68</v>
      </c>
    </row>
    <row r="1402" spans="2:11" x14ac:dyDescent="0.2">
      <c r="B1402" s="26" t="str">
        <f>_xlfn.XLOOKUP(Total[[#This Row],[Metodo]],TbSolver[Metodo],TbSolver[Solver])</f>
        <v>Runge Kutta</v>
      </c>
      <c r="C1402" s="26" t="str">
        <f>_xlfn.XLOOKUP(Total[[#This Row],[Hebras]],TbTecnologia[Hebras],TbTecnologia[Tecnología])</f>
        <v>OMP</v>
      </c>
      <c r="D1402" s="15" t="str" cm="1">
        <f t="array" ref="D1402">_xlfn.XLOOKUP(Total[[#This Row],[Tecnología]]&amp;Total[[#This Row],[Metodo]],TbTipos[Tecnología]&amp;TbTipos[Metodo],TbTipos[Tipo])</f>
        <v>OMP Elementos</v>
      </c>
      <c r="E1402" s="15" t="str" cm="1">
        <f t="array" ref="E1402">_xlfn.XLOOKUP(Total[[#This Row],[Tecnología]]&amp;Total[[#This Row],[Problema]],TbNombres[Tecnología]&amp;TbNombres[Problema],TbNombres[Nombre])</f>
        <v>Brusselator1d</v>
      </c>
      <c r="F1402" s="20">
        <v>2</v>
      </c>
      <c r="G1402" s="20">
        <v>3</v>
      </c>
      <c r="H1402" s="20">
        <v>4</v>
      </c>
      <c r="I1402" s="20">
        <v>40000</v>
      </c>
      <c r="J1402" s="20">
        <v>80000</v>
      </c>
      <c r="K1402" s="20">
        <v>536.69299999999998</v>
      </c>
    </row>
    <row r="1403" spans="2:11" x14ac:dyDescent="0.2">
      <c r="B1403" s="26" t="str">
        <f>_xlfn.XLOOKUP(Total[[#This Row],[Metodo]],TbSolver[Metodo],TbSolver[Solver])</f>
        <v>Runge Kutta</v>
      </c>
      <c r="C1403" s="26" t="str">
        <f>_xlfn.XLOOKUP(Total[[#This Row],[Hebras]],TbTecnologia[Hebras],TbTecnologia[Tecnología])</f>
        <v>OMP</v>
      </c>
      <c r="D1403" s="15" t="str" cm="1">
        <f t="array" ref="D1403">_xlfn.XLOOKUP(Total[[#This Row],[Tecnología]]&amp;Total[[#This Row],[Metodo]],TbTipos[Tecnología]&amp;TbTipos[Metodo],TbTipos[Tipo])</f>
        <v>OMP Elementos</v>
      </c>
      <c r="E1403" s="15" t="str" cm="1">
        <f t="array" ref="E1403">_xlfn.XLOOKUP(Total[[#This Row],[Tecnología]]&amp;Total[[#This Row],[Problema]],TbNombres[Tecnología]&amp;TbNombres[Problema],TbNombres[Nombre])</f>
        <v>Brusselator1d</v>
      </c>
      <c r="F1403" s="20">
        <v>2</v>
      </c>
      <c r="G1403" s="20">
        <v>3</v>
      </c>
      <c r="H1403" s="20">
        <v>16</v>
      </c>
      <c r="I1403" s="20">
        <v>40000</v>
      </c>
      <c r="J1403" s="20">
        <v>80000</v>
      </c>
      <c r="K1403" s="20">
        <v>153.08500000000001</v>
      </c>
    </row>
    <row r="1404" spans="2:11" x14ac:dyDescent="0.2">
      <c r="B1404" s="26" t="str">
        <f>_xlfn.XLOOKUP(Total[[#This Row],[Metodo]],TbSolver[Metodo],TbSolver[Solver])</f>
        <v>Runge Kutta</v>
      </c>
      <c r="C1404" s="26" t="str">
        <f>_xlfn.XLOOKUP(Total[[#This Row],[Hebras]],TbTecnologia[Hebras],TbTecnologia[Tecnología])</f>
        <v>OMP</v>
      </c>
      <c r="D1404" s="15" t="str" cm="1">
        <f t="array" ref="D1404">_xlfn.XLOOKUP(Total[[#This Row],[Tecnología]]&amp;Total[[#This Row],[Metodo]],TbTipos[Tecnología]&amp;TbTipos[Metodo],TbTipos[Tipo])</f>
        <v>OMP Elementos</v>
      </c>
      <c r="E1404" s="15" t="str" cm="1">
        <f t="array" ref="E1404">_xlfn.XLOOKUP(Total[[#This Row],[Tecnología]]&amp;Total[[#This Row],[Problema]],TbNombres[Tecnología]&amp;TbNombres[Problema],TbNombres[Nombre])</f>
        <v>Brusselator1d</v>
      </c>
      <c r="F1404" s="20">
        <v>2</v>
      </c>
      <c r="G1404" s="20">
        <v>3</v>
      </c>
      <c r="H1404" s="20">
        <v>1</v>
      </c>
      <c r="I1404" s="20">
        <v>50000</v>
      </c>
      <c r="J1404" s="20">
        <v>100000</v>
      </c>
      <c r="K1404" s="20">
        <v>2501.84</v>
      </c>
    </row>
    <row r="1405" spans="2:11" x14ac:dyDescent="0.2">
      <c r="B1405" s="26" t="str">
        <f>_xlfn.XLOOKUP(Total[[#This Row],[Metodo]],TbSolver[Metodo],TbSolver[Solver])</f>
        <v>Runge Kutta</v>
      </c>
      <c r="C1405" s="26" t="str">
        <f>_xlfn.XLOOKUP(Total[[#This Row],[Hebras]],TbTecnologia[Hebras],TbTecnologia[Tecnología])</f>
        <v>OMP</v>
      </c>
      <c r="D1405" s="15" t="str" cm="1">
        <f t="array" ref="D1405">_xlfn.XLOOKUP(Total[[#This Row],[Tecnología]]&amp;Total[[#This Row],[Metodo]],TbTipos[Tecnología]&amp;TbTipos[Metodo],TbTipos[Tipo])</f>
        <v>OMP Elementos</v>
      </c>
      <c r="E1405" s="15" t="str" cm="1">
        <f t="array" ref="E1405">_xlfn.XLOOKUP(Total[[#This Row],[Tecnología]]&amp;Total[[#This Row],[Problema]],TbNombres[Tecnología]&amp;TbNombres[Problema],TbNombres[Nombre])</f>
        <v>Brusselator1d</v>
      </c>
      <c r="F1405" s="20">
        <v>2</v>
      </c>
      <c r="G1405" s="20">
        <v>3</v>
      </c>
      <c r="H1405" s="20">
        <v>4</v>
      </c>
      <c r="I1405" s="20">
        <v>50000</v>
      </c>
      <c r="J1405" s="20">
        <v>100000</v>
      </c>
      <c r="K1405" s="20">
        <v>670.50400000000002</v>
      </c>
    </row>
    <row r="1406" spans="2:11" x14ac:dyDescent="0.2">
      <c r="B1406" s="26" t="str">
        <f>_xlfn.XLOOKUP(Total[[#This Row],[Metodo]],TbSolver[Metodo],TbSolver[Solver])</f>
        <v>Runge Kutta</v>
      </c>
      <c r="C1406" s="26" t="str">
        <f>_xlfn.XLOOKUP(Total[[#This Row],[Hebras]],TbTecnologia[Hebras],TbTecnologia[Tecnología])</f>
        <v>OMP</v>
      </c>
      <c r="D1406" s="15" t="str" cm="1">
        <f t="array" ref="D1406">_xlfn.XLOOKUP(Total[[#This Row],[Tecnología]]&amp;Total[[#This Row],[Metodo]],TbTipos[Tecnología]&amp;TbTipos[Metodo],TbTipos[Tipo])</f>
        <v>OMP Elementos</v>
      </c>
      <c r="E1406" s="15" t="str" cm="1">
        <f t="array" ref="E1406">_xlfn.XLOOKUP(Total[[#This Row],[Tecnología]]&amp;Total[[#This Row],[Problema]],TbNombres[Tecnología]&amp;TbNombres[Problema],TbNombres[Nombre])</f>
        <v>Brusselator1d</v>
      </c>
      <c r="F1406" s="20">
        <v>2</v>
      </c>
      <c r="G1406" s="20">
        <v>3</v>
      </c>
      <c r="H1406" s="20">
        <v>16</v>
      </c>
      <c r="I1406" s="20">
        <v>50000</v>
      </c>
      <c r="J1406" s="20">
        <v>100000</v>
      </c>
      <c r="K1406" s="20">
        <v>197.065</v>
      </c>
    </row>
    <row r="1407" spans="2:11" x14ac:dyDescent="0.2">
      <c r="B1407" s="26" t="str">
        <f>_xlfn.XLOOKUP(Total[[#This Row],[Metodo]],TbSolver[Metodo],TbSolver[Solver])</f>
        <v>Adams Bashford</v>
      </c>
      <c r="C1407" s="26" t="str">
        <f>_xlfn.XLOOKUP(Total[[#This Row],[Hebras]],TbTecnologia[Hebras],TbTecnologia[Tecnología])</f>
        <v>OMP</v>
      </c>
      <c r="D1407" s="15" t="str" cm="1">
        <f t="array" ref="D1407">_xlfn.XLOOKUP(Total[[#This Row],[Tecnología]]&amp;Total[[#This Row],[Metodo]],TbTipos[Tecnología]&amp;TbTipos[Metodo],TbTipos[Tipo])</f>
        <v>OMP Operaciones</v>
      </c>
      <c r="E1407" s="15" t="str" cm="1">
        <f t="array" ref="E1407">_xlfn.XLOOKUP(Total[[#This Row],[Tecnología]]&amp;Total[[#This Row],[Problema]],TbNombres[Tecnología]&amp;TbNombres[Problema],TbNombres[Nombre])</f>
        <v>Simple Advdiff</v>
      </c>
      <c r="F1407" s="20">
        <v>3</v>
      </c>
      <c r="G1407" s="20">
        <v>1</v>
      </c>
      <c r="H1407" s="20">
        <v>1</v>
      </c>
      <c r="I1407" s="20">
        <v>20000</v>
      </c>
      <c r="J1407" s="20">
        <v>20000</v>
      </c>
      <c r="K1407" s="20">
        <v>50.032800000000002</v>
      </c>
    </row>
    <row r="1408" spans="2:11" x14ac:dyDescent="0.2">
      <c r="B1408" s="26" t="str">
        <f>_xlfn.XLOOKUP(Total[[#This Row],[Metodo]],TbSolver[Metodo],TbSolver[Solver])</f>
        <v>Adams Bashford</v>
      </c>
      <c r="C1408" s="26" t="str">
        <f>_xlfn.XLOOKUP(Total[[#This Row],[Hebras]],TbTecnologia[Hebras],TbTecnologia[Tecnología])</f>
        <v>OMP</v>
      </c>
      <c r="D1408" s="15" t="str" cm="1">
        <f t="array" ref="D1408">_xlfn.XLOOKUP(Total[[#This Row],[Tecnología]]&amp;Total[[#This Row],[Metodo]],TbTipos[Tecnología]&amp;TbTipos[Metodo],TbTipos[Tipo])</f>
        <v>OMP Operaciones</v>
      </c>
      <c r="E1408" s="15" t="str" cm="1">
        <f t="array" ref="E1408">_xlfn.XLOOKUP(Total[[#This Row],[Tecnología]]&amp;Total[[#This Row],[Problema]],TbNombres[Tecnología]&amp;TbNombres[Problema],TbNombres[Nombre])</f>
        <v>Simple Advdiff</v>
      </c>
      <c r="F1408" s="20">
        <v>3</v>
      </c>
      <c r="G1408" s="20">
        <v>1</v>
      </c>
      <c r="H1408" s="20">
        <v>4</v>
      </c>
      <c r="I1408" s="20">
        <v>20000</v>
      </c>
      <c r="J1408" s="20">
        <v>20000</v>
      </c>
      <c r="K1408" s="20">
        <v>22.814499999999999</v>
      </c>
    </row>
    <row r="1409" spans="2:11" x14ac:dyDescent="0.2">
      <c r="B1409" s="26" t="str">
        <f>_xlfn.XLOOKUP(Total[[#This Row],[Metodo]],TbSolver[Metodo],TbSolver[Solver])</f>
        <v>Adams Bashford</v>
      </c>
      <c r="C1409" s="26" t="str">
        <f>_xlfn.XLOOKUP(Total[[#This Row],[Hebras]],TbTecnologia[Hebras],TbTecnologia[Tecnología])</f>
        <v>OMP</v>
      </c>
      <c r="D1409" s="15" t="str" cm="1">
        <f t="array" ref="D1409">_xlfn.XLOOKUP(Total[[#This Row],[Tecnología]]&amp;Total[[#This Row],[Metodo]],TbTipos[Tecnología]&amp;TbTipos[Metodo],TbTipos[Tipo])</f>
        <v>OMP Operaciones</v>
      </c>
      <c r="E1409" s="15" t="str" cm="1">
        <f t="array" ref="E1409">_xlfn.XLOOKUP(Total[[#This Row],[Tecnología]]&amp;Total[[#This Row],[Problema]],TbNombres[Tecnología]&amp;TbNombres[Problema],TbNombres[Nombre])</f>
        <v>Simple Advdiff</v>
      </c>
      <c r="F1409" s="20">
        <v>3</v>
      </c>
      <c r="G1409" s="20">
        <v>1</v>
      </c>
      <c r="H1409" s="20">
        <v>16</v>
      </c>
      <c r="I1409" s="20">
        <v>20000</v>
      </c>
      <c r="J1409" s="20">
        <v>20000</v>
      </c>
      <c r="K1409" s="20">
        <v>35.2087</v>
      </c>
    </row>
    <row r="1410" spans="2:11" x14ac:dyDescent="0.2">
      <c r="B1410" s="26" t="str">
        <f>_xlfn.XLOOKUP(Total[[#This Row],[Metodo]],TbSolver[Metodo],TbSolver[Solver])</f>
        <v>Adams Bashford</v>
      </c>
      <c r="C1410" s="26" t="str">
        <f>_xlfn.XLOOKUP(Total[[#This Row],[Hebras]],TbTecnologia[Hebras],TbTecnologia[Tecnología])</f>
        <v>OMP</v>
      </c>
      <c r="D1410" s="15" t="str" cm="1">
        <f t="array" ref="D1410">_xlfn.XLOOKUP(Total[[#This Row],[Tecnología]]&amp;Total[[#This Row],[Metodo]],TbTipos[Tecnología]&amp;TbTipos[Metodo],TbTipos[Tipo])</f>
        <v>OMP Operaciones</v>
      </c>
      <c r="E1410" s="15" t="str" cm="1">
        <f t="array" ref="E1410">_xlfn.XLOOKUP(Total[[#This Row],[Tecnología]]&amp;Total[[#This Row],[Problema]],TbNombres[Tecnología]&amp;TbNombres[Problema],TbNombres[Nombre])</f>
        <v>Simple Advdiff</v>
      </c>
      <c r="F1410" s="20">
        <v>3</v>
      </c>
      <c r="G1410" s="20">
        <v>1</v>
      </c>
      <c r="H1410" s="20">
        <v>1</v>
      </c>
      <c r="I1410" s="20">
        <v>25000</v>
      </c>
      <c r="J1410" s="20">
        <v>25000</v>
      </c>
      <c r="K1410" s="20">
        <v>68.674400000000006</v>
      </c>
    </row>
    <row r="1411" spans="2:11" x14ac:dyDescent="0.2">
      <c r="B1411" s="26" t="str">
        <f>_xlfn.XLOOKUP(Total[[#This Row],[Metodo]],TbSolver[Metodo],TbSolver[Solver])</f>
        <v>Adams Bashford</v>
      </c>
      <c r="C1411" s="26" t="str">
        <f>_xlfn.XLOOKUP(Total[[#This Row],[Hebras]],TbTecnologia[Hebras],TbTecnologia[Tecnología])</f>
        <v>OMP</v>
      </c>
      <c r="D1411" s="15" t="str" cm="1">
        <f t="array" ref="D1411">_xlfn.XLOOKUP(Total[[#This Row],[Tecnología]]&amp;Total[[#This Row],[Metodo]],TbTipos[Tecnología]&amp;TbTipos[Metodo],TbTipos[Tipo])</f>
        <v>OMP Operaciones</v>
      </c>
      <c r="E1411" s="15" t="str" cm="1">
        <f t="array" ref="E1411">_xlfn.XLOOKUP(Total[[#This Row],[Tecnología]]&amp;Total[[#This Row],[Problema]],TbNombres[Tecnología]&amp;TbNombres[Problema],TbNombres[Nombre])</f>
        <v>Simple Advdiff</v>
      </c>
      <c r="F1411" s="20">
        <v>3</v>
      </c>
      <c r="G1411" s="20">
        <v>1</v>
      </c>
      <c r="H1411" s="20">
        <v>4</v>
      </c>
      <c r="I1411" s="20">
        <v>25000</v>
      </c>
      <c r="J1411" s="20">
        <v>25000</v>
      </c>
      <c r="K1411" s="20">
        <v>25.406300000000002</v>
      </c>
    </row>
    <row r="1412" spans="2:11" x14ac:dyDescent="0.2">
      <c r="B1412" s="26" t="str">
        <f>_xlfn.XLOOKUP(Total[[#This Row],[Metodo]],TbSolver[Metodo],TbSolver[Solver])</f>
        <v>Adams Bashford</v>
      </c>
      <c r="C1412" s="26" t="str">
        <f>_xlfn.XLOOKUP(Total[[#This Row],[Hebras]],TbTecnologia[Hebras],TbTecnologia[Tecnología])</f>
        <v>OMP</v>
      </c>
      <c r="D1412" s="15" t="str" cm="1">
        <f t="array" ref="D1412">_xlfn.XLOOKUP(Total[[#This Row],[Tecnología]]&amp;Total[[#This Row],[Metodo]],TbTipos[Tecnología]&amp;TbTipos[Metodo],TbTipos[Tipo])</f>
        <v>OMP Operaciones</v>
      </c>
      <c r="E1412" s="15" t="str" cm="1">
        <f t="array" ref="E1412">_xlfn.XLOOKUP(Total[[#This Row],[Tecnología]]&amp;Total[[#This Row],[Problema]],TbNombres[Tecnología]&amp;TbNombres[Problema],TbNombres[Nombre])</f>
        <v>Simple Advdiff</v>
      </c>
      <c r="F1412" s="20">
        <v>3</v>
      </c>
      <c r="G1412" s="20">
        <v>1</v>
      </c>
      <c r="H1412" s="20">
        <v>16</v>
      </c>
      <c r="I1412" s="20">
        <v>25000</v>
      </c>
      <c r="J1412" s="20">
        <v>25000</v>
      </c>
      <c r="K1412" s="20">
        <v>34.756799999999998</v>
      </c>
    </row>
    <row r="1413" spans="2:11" x14ac:dyDescent="0.2">
      <c r="B1413" s="26" t="str">
        <f>_xlfn.XLOOKUP(Total[[#This Row],[Metodo]],TbSolver[Metodo],TbSolver[Solver])</f>
        <v>Adams Bashford</v>
      </c>
      <c r="C1413" s="26" t="str">
        <f>_xlfn.XLOOKUP(Total[[#This Row],[Hebras]],TbTecnologia[Hebras],TbTecnologia[Tecnología])</f>
        <v>OMP</v>
      </c>
      <c r="D1413" s="15" t="str" cm="1">
        <f t="array" ref="D1413">_xlfn.XLOOKUP(Total[[#This Row],[Tecnología]]&amp;Total[[#This Row],[Metodo]],TbTipos[Tecnología]&amp;TbTipos[Metodo],TbTipos[Tipo])</f>
        <v>OMP Operaciones</v>
      </c>
      <c r="E1413" s="15" t="str" cm="1">
        <f t="array" ref="E1413">_xlfn.XLOOKUP(Total[[#This Row],[Tecnología]]&amp;Total[[#This Row],[Problema]],TbNombres[Tecnología]&amp;TbNombres[Problema],TbNombres[Nombre])</f>
        <v>Simple Advdiff</v>
      </c>
      <c r="F1413" s="20">
        <v>3</v>
      </c>
      <c r="G1413" s="20">
        <v>1</v>
      </c>
      <c r="H1413" s="20">
        <v>1</v>
      </c>
      <c r="I1413" s="20">
        <v>30000</v>
      </c>
      <c r="J1413" s="20">
        <v>30000</v>
      </c>
      <c r="K1413" s="20">
        <v>91.940600000000003</v>
      </c>
    </row>
    <row r="1414" spans="2:11" x14ac:dyDescent="0.2">
      <c r="B1414" s="26" t="str">
        <f>_xlfn.XLOOKUP(Total[[#This Row],[Metodo]],TbSolver[Metodo],TbSolver[Solver])</f>
        <v>Adams Bashford</v>
      </c>
      <c r="C1414" s="26" t="str">
        <f>_xlfn.XLOOKUP(Total[[#This Row],[Hebras]],TbTecnologia[Hebras],TbTecnologia[Tecnología])</f>
        <v>OMP</v>
      </c>
      <c r="D1414" s="15" t="str" cm="1">
        <f t="array" ref="D1414">_xlfn.XLOOKUP(Total[[#This Row],[Tecnología]]&amp;Total[[#This Row],[Metodo]],TbTipos[Tecnología]&amp;TbTipos[Metodo],TbTipos[Tipo])</f>
        <v>OMP Operaciones</v>
      </c>
      <c r="E1414" s="15" t="str" cm="1">
        <f t="array" ref="E1414">_xlfn.XLOOKUP(Total[[#This Row],[Tecnología]]&amp;Total[[#This Row],[Problema]],TbNombres[Tecnología]&amp;TbNombres[Problema],TbNombres[Nombre])</f>
        <v>Simple Advdiff</v>
      </c>
      <c r="F1414" s="20">
        <v>3</v>
      </c>
      <c r="G1414" s="20">
        <v>1</v>
      </c>
      <c r="H1414" s="20">
        <v>4</v>
      </c>
      <c r="I1414" s="20">
        <v>30000</v>
      </c>
      <c r="J1414" s="20">
        <v>30000</v>
      </c>
      <c r="K1414" s="20">
        <v>27.895399999999999</v>
      </c>
    </row>
    <row r="1415" spans="2:11" x14ac:dyDescent="0.2">
      <c r="B1415" s="26" t="str">
        <f>_xlfn.XLOOKUP(Total[[#This Row],[Metodo]],TbSolver[Metodo],TbSolver[Solver])</f>
        <v>Adams Bashford</v>
      </c>
      <c r="C1415" s="26" t="str">
        <f>_xlfn.XLOOKUP(Total[[#This Row],[Hebras]],TbTecnologia[Hebras],TbTecnologia[Tecnología])</f>
        <v>OMP</v>
      </c>
      <c r="D1415" s="15" t="str" cm="1">
        <f t="array" ref="D1415">_xlfn.XLOOKUP(Total[[#This Row],[Tecnología]]&amp;Total[[#This Row],[Metodo]],TbTipos[Tecnología]&amp;TbTipos[Metodo],TbTipos[Tipo])</f>
        <v>OMP Operaciones</v>
      </c>
      <c r="E1415" s="15" t="str" cm="1">
        <f t="array" ref="E1415">_xlfn.XLOOKUP(Total[[#This Row],[Tecnología]]&amp;Total[[#This Row],[Problema]],TbNombres[Tecnología]&amp;TbNombres[Problema],TbNombres[Nombre])</f>
        <v>Simple Advdiff</v>
      </c>
      <c r="F1415" s="20">
        <v>3</v>
      </c>
      <c r="G1415" s="20">
        <v>1</v>
      </c>
      <c r="H1415" s="20">
        <v>16</v>
      </c>
      <c r="I1415" s="20">
        <v>30000</v>
      </c>
      <c r="J1415" s="20">
        <v>30000</v>
      </c>
      <c r="K1415" s="20">
        <v>35.6571</v>
      </c>
    </row>
    <row r="1416" spans="2:11" x14ac:dyDescent="0.2">
      <c r="B1416" s="26" t="str">
        <f>_xlfn.XLOOKUP(Total[[#This Row],[Metodo]],TbSolver[Metodo],TbSolver[Solver])</f>
        <v>Adams Bashford</v>
      </c>
      <c r="C1416" s="26" t="str">
        <f>_xlfn.XLOOKUP(Total[[#This Row],[Hebras]],TbTecnologia[Hebras],TbTecnologia[Tecnología])</f>
        <v>OMP</v>
      </c>
      <c r="D1416" s="15" t="str" cm="1">
        <f t="array" ref="D1416">_xlfn.XLOOKUP(Total[[#This Row],[Tecnología]]&amp;Total[[#This Row],[Metodo]],TbTipos[Tecnología]&amp;TbTipos[Metodo],TbTipos[Tipo])</f>
        <v>OMP Operaciones</v>
      </c>
      <c r="E1416" s="15" t="str" cm="1">
        <f t="array" ref="E1416">_xlfn.XLOOKUP(Total[[#This Row],[Tecnología]]&amp;Total[[#This Row],[Problema]],TbNombres[Tecnología]&amp;TbNombres[Problema],TbNombres[Nombre])</f>
        <v>Simple Advdiff</v>
      </c>
      <c r="F1416" s="20">
        <v>3</v>
      </c>
      <c r="G1416" s="20">
        <v>1</v>
      </c>
      <c r="H1416" s="20">
        <v>1</v>
      </c>
      <c r="I1416" s="20">
        <v>40000</v>
      </c>
      <c r="J1416" s="20">
        <v>40000</v>
      </c>
      <c r="K1416" s="20">
        <v>129.809</v>
      </c>
    </row>
    <row r="1417" spans="2:11" x14ac:dyDescent="0.2">
      <c r="B1417" s="26" t="str">
        <f>_xlfn.XLOOKUP(Total[[#This Row],[Metodo]],TbSolver[Metodo],TbSolver[Solver])</f>
        <v>Adams Bashford</v>
      </c>
      <c r="C1417" s="26" t="str">
        <f>_xlfn.XLOOKUP(Total[[#This Row],[Hebras]],TbTecnologia[Hebras],TbTecnologia[Tecnología])</f>
        <v>OMP</v>
      </c>
      <c r="D1417" s="15" t="str" cm="1">
        <f t="array" ref="D1417">_xlfn.XLOOKUP(Total[[#This Row],[Tecnología]]&amp;Total[[#This Row],[Metodo]],TbTipos[Tecnología]&amp;TbTipos[Metodo],TbTipos[Tipo])</f>
        <v>OMP Operaciones</v>
      </c>
      <c r="E1417" s="15" t="str" cm="1">
        <f t="array" ref="E1417">_xlfn.XLOOKUP(Total[[#This Row],[Tecnología]]&amp;Total[[#This Row],[Problema]],TbNombres[Tecnología]&amp;TbNombres[Problema],TbNombres[Nombre])</f>
        <v>Simple Advdiff</v>
      </c>
      <c r="F1417" s="20">
        <v>3</v>
      </c>
      <c r="G1417" s="20">
        <v>1</v>
      </c>
      <c r="H1417" s="20">
        <v>4</v>
      </c>
      <c r="I1417" s="20">
        <v>40000</v>
      </c>
      <c r="J1417" s="20">
        <v>40000</v>
      </c>
      <c r="K1417" s="20">
        <v>34.0657</v>
      </c>
    </row>
    <row r="1418" spans="2:11" x14ac:dyDescent="0.2">
      <c r="B1418" s="26" t="str">
        <f>_xlfn.XLOOKUP(Total[[#This Row],[Metodo]],TbSolver[Metodo],TbSolver[Solver])</f>
        <v>Adams Bashford</v>
      </c>
      <c r="C1418" s="26" t="str">
        <f>_xlfn.XLOOKUP(Total[[#This Row],[Hebras]],TbTecnologia[Hebras],TbTecnologia[Tecnología])</f>
        <v>OMP</v>
      </c>
      <c r="D1418" s="15" t="str" cm="1">
        <f t="array" ref="D1418">_xlfn.XLOOKUP(Total[[#This Row],[Tecnología]]&amp;Total[[#This Row],[Metodo]],TbTipos[Tecnología]&amp;TbTipos[Metodo],TbTipos[Tipo])</f>
        <v>OMP Operaciones</v>
      </c>
      <c r="E1418" s="15" t="str" cm="1">
        <f t="array" ref="E1418">_xlfn.XLOOKUP(Total[[#This Row],[Tecnología]]&amp;Total[[#This Row],[Problema]],TbNombres[Tecnología]&amp;TbNombres[Problema],TbNombres[Nombre])</f>
        <v>Simple Advdiff</v>
      </c>
      <c r="F1418" s="20">
        <v>3</v>
      </c>
      <c r="G1418" s="20">
        <v>1</v>
      </c>
      <c r="H1418" s="20">
        <v>16</v>
      </c>
      <c r="I1418" s="20">
        <v>40000</v>
      </c>
      <c r="J1418" s="20">
        <v>40000</v>
      </c>
      <c r="K1418" s="20">
        <v>38.465600000000002</v>
      </c>
    </row>
    <row r="1419" spans="2:11" x14ac:dyDescent="0.2">
      <c r="B1419" s="26" t="str">
        <f>_xlfn.XLOOKUP(Total[[#This Row],[Metodo]],TbSolver[Metodo],TbSolver[Solver])</f>
        <v>Adams Bashford</v>
      </c>
      <c r="C1419" s="26" t="str">
        <f>_xlfn.XLOOKUP(Total[[#This Row],[Hebras]],TbTecnologia[Hebras],TbTecnologia[Tecnología])</f>
        <v>OMP</v>
      </c>
      <c r="D1419" s="15" t="str" cm="1">
        <f t="array" ref="D1419">_xlfn.XLOOKUP(Total[[#This Row],[Tecnología]]&amp;Total[[#This Row],[Metodo]],TbTipos[Tecnología]&amp;TbTipos[Metodo],TbTipos[Tipo])</f>
        <v>OMP Operaciones</v>
      </c>
      <c r="E1419" s="15" t="str" cm="1">
        <f t="array" ref="E1419">_xlfn.XLOOKUP(Total[[#This Row],[Tecnología]]&amp;Total[[#This Row],[Problema]],TbNombres[Tecnología]&amp;TbNombres[Problema],TbNombres[Nombre])</f>
        <v>Simple Advdiff</v>
      </c>
      <c r="F1419" s="20">
        <v>3</v>
      </c>
      <c r="G1419" s="20">
        <v>1</v>
      </c>
      <c r="H1419" s="20">
        <v>1</v>
      </c>
      <c r="I1419" s="20">
        <v>50000</v>
      </c>
      <c r="J1419" s="20">
        <v>50000</v>
      </c>
      <c r="K1419" s="20">
        <v>175.83199999999999</v>
      </c>
    </row>
    <row r="1420" spans="2:11" x14ac:dyDescent="0.2">
      <c r="B1420" s="26" t="str">
        <f>_xlfn.XLOOKUP(Total[[#This Row],[Metodo]],TbSolver[Metodo],TbSolver[Solver])</f>
        <v>Adams Bashford</v>
      </c>
      <c r="C1420" s="26" t="str">
        <f>_xlfn.XLOOKUP(Total[[#This Row],[Hebras]],TbTecnologia[Hebras],TbTecnologia[Tecnología])</f>
        <v>OMP</v>
      </c>
      <c r="D1420" s="15" t="str" cm="1">
        <f t="array" ref="D1420">_xlfn.XLOOKUP(Total[[#This Row],[Tecnología]]&amp;Total[[#This Row],[Metodo]],TbTipos[Tecnología]&amp;TbTipos[Metodo],TbTipos[Tipo])</f>
        <v>OMP Operaciones</v>
      </c>
      <c r="E1420" s="15" t="str" cm="1">
        <f t="array" ref="E1420">_xlfn.XLOOKUP(Total[[#This Row],[Tecnología]]&amp;Total[[#This Row],[Problema]],TbNombres[Tecnología]&amp;TbNombres[Problema],TbNombres[Nombre])</f>
        <v>Simple Advdiff</v>
      </c>
      <c r="F1420" s="20">
        <v>3</v>
      </c>
      <c r="G1420" s="20">
        <v>1</v>
      </c>
      <c r="H1420" s="20">
        <v>4</v>
      </c>
      <c r="I1420" s="20">
        <v>50000</v>
      </c>
      <c r="J1420" s="20">
        <v>50000</v>
      </c>
      <c r="K1420" s="20">
        <v>40.6982</v>
      </c>
    </row>
    <row r="1421" spans="2:11" x14ac:dyDescent="0.2">
      <c r="B1421" s="26" t="str">
        <f>_xlfn.XLOOKUP(Total[[#This Row],[Metodo]],TbSolver[Metodo],TbSolver[Solver])</f>
        <v>Adams Bashford</v>
      </c>
      <c r="C1421" s="26" t="str">
        <f>_xlfn.XLOOKUP(Total[[#This Row],[Hebras]],TbTecnologia[Hebras],TbTecnologia[Tecnología])</f>
        <v>OMP</v>
      </c>
      <c r="D1421" s="15" t="str" cm="1">
        <f t="array" ref="D1421">_xlfn.XLOOKUP(Total[[#This Row],[Tecnología]]&amp;Total[[#This Row],[Metodo]],TbTipos[Tecnología]&amp;TbTipos[Metodo],TbTipos[Tipo])</f>
        <v>OMP Operaciones</v>
      </c>
      <c r="E1421" s="15" t="str" cm="1">
        <f t="array" ref="E1421">_xlfn.XLOOKUP(Total[[#This Row],[Tecnología]]&amp;Total[[#This Row],[Problema]],TbNombres[Tecnología]&amp;TbNombres[Problema],TbNombres[Nombre])</f>
        <v>Simple Advdiff</v>
      </c>
      <c r="F1421" s="20">
        <v>3</v>
      </c>
      <c r="G1421" s="20">
        <v>1</v>
      </c>
      <c r="H1421" s="20">
        <v>16</v>
      </c>
      <c r="I1421" s="20">
        <v>50000</v>
      </c>
      <c r="J1421" s="20">
        <v>50000</v>
      </c>
      <c r="K1421" s="20">
        <v>39.700499999999998</v>
      </c>
    </row>
    <row r="1422" spans="2:11" x14ac:dyDescent="0.2">
      <c r="B1422" s="26" t="str">
        <f>_xlfn.XLOOKUP(Total[[#This Row],[Metodo]],TbSolver[Metodo],TbSolver[Solver])</f>
        <v>Adams Bashford</v>
      </c>
      <c r="C1422" s="26" t="str">
        <f>_xlfn.XLOOKUP(Total[[#This Row],[Hebras]],TbTecnologia[Hebras],TbTecnologia[Tecnología])</f>
        <v>OMP</v>
      </c>
      <c r="D1422" s="15" t="str" cm="1">
        <f t="array" ref="D1422">_xlfn.XLOOKUP(Total[[#This Row],[Tecnología]]&amp;Total[[#This Row],[Metodo]],TbTipos[Tecnología]&amp;TbTipos[Metodo],TbTipos[Tipo])</f>
        <v>OMP Operaciones</v>
      </c>
      <c r="E1422" s="15" t="str" cm="1">
        <f t="array" ref="E1422">_xlfn.XLOOKUP(Total[[#This Row],[Tecnología]]&amp;Total[[#This Row],[Problema]],TbNombres[Tecnología]&amp;TbNombres[Problema],TbNombres[Nombre])</f>
        <v>Advdiff1d</v>
      </c>
      <c r="F1422" s="20">
        <v>3</v>
      </c>
      <c r="G1422" s="20">
        <v>2</v>
      </c>
      <c r="H1422" s="20">
        <v>1</v>
      </c>
      <c r="I1422" s="20">
        <v>20000</v>
      </c>
      <c r="J1422" s="20">
        <v>20000</v>
      </c>
      <c r="K1422" s="20">
        <v>463.71800000000002</v>
      </c>
    </row>
    <row r="1423" spans="2:11" x14ac:dyDescent="0.2">
      <c r="B1423" s="26" t="str">
        <f>_xlfn.XLOOKUP(Total[[#This Row],[Metodo]],TbSolver[Metodo],TbSolver[Solver])</f>
        <v>Adams Bashford</v>
      </c>
      <c r="C1423" s="26" t="str">
        <f>_xlfn.XLOOKUP(Total[[#This Row],[Hebras]],TbTecnologia[Hebras],TbTecnologia[Tecnología])</f>
        <v>OMP</v>
      </c>
      <c r="D1423" s="15" t="str" cm="1">
        <f t="array" ref="D1423">_xlfn.XLOOKUP(Total[[#This Row],[Tecnología]]&amp;Total[[#This Row],[Metodo]],TbTipos[Tecnología]&amp;TbTipos[Metodo],TbTipos[Tipo])</f>
        <v>OMP Operaciones</v>
      </c>
      <c r="E1423" s="15" t="str" cm="1">
        <f t="array" ref="E1423">_xlfn.XLOOKUP(Total[[#This Row],[Tecnología]]&amp;Total[[#This Row],[Problema]],TbNombres[Tecnología]&amp;TbNombres[Problema],TbNombres[Nombre])</f>
        <v>Advdiff1d</v>
      </c>
      <c r="F1423" s="20">
        <v>3</v>
      </c>
      <c r="G1423" s="20">
        <v>2</v>
      </c>
      <c r="H1423" s="20">
        <v>4</v>
      </c>
      <c r="I1423" s="20">
        <v>20000</v>
      </c>
      <c r="J1423" s="20">
        <v>20000</v>
      </c>
      <c r="K1423" s="20">
        <v>146.126</v>
      </c>
    </row>
    <row r="1424" spans="2:11" x14ac:dyDescent="0.2">
      <c r="B1424" s="26" t="str">
        <f>_xlfn.XLOOKUP(Total[[#This Row],[Metodo]],TbSolver[Metodo],TbSolver[Solver])</f>
        <v>Adams Bashford</v>
      </c>
      <c r="C1424" s="26" t="str">
        <f>_xlfn.XLOOKUP(Total[[#This Row],[Hebras]],TbTecnologia[Hebras],TbTecnologia[Tecnología])</f>
        <v>OMP</v>
      </c>
      <c r="D1424" s="15" t="str" cm="1">
        <f t="array" ref="D1424">_xlfn.XLOOKUP(Total[[#This Row],[Tecnología]]&amp;Total[[#This Row],[Metodo]],TbTipos[Tecnología]&amp;TbTipos[Metodo],TbTipos[Tipo])</f>
        <v>OMP Operaciones</v>
      </c>
      <c r="E1424" s="15" t="str" cm="1">
        <f t="array" ref="E1424">_xlfn.XLOOKUP(Total[[#This Row],[Tecnología]]&amp;Total[[#This Row],[Problema]],TbNombres[Tecnología]&amp;TbNombres[Problema],TbNombres[Nombre])</f>
        <v>Advdiff1d</v>
      </c>
      <c r="F1424" s="20">
        <v>3</v>
      </c>
      <c r="G1424" s="20">
        <v>2</v>
      </c>
      <c r="H1424" s="20">
        <v>16</v>
      </c>
      <c r="I1424" s="20">
        <v>20000</v>
      </c>
      <c r="J1424" s="20">
        <v>20000</v>
      </c>
      <c r="K1424" s="20">
        <v>73.749099999999999</v>
      </c>
    </row>
    <row r="1425" spans="2:11" x14ac:dyDescent="0.2">
      <c r="B1425" s="26" t="str">
        <f>_xlfn.XLOOKUP(Total[[#This Row],[Metodo]],TbSolver[Metodo],TbSolver[Solver])</f>
        <v>Adams Bashford</v>
      </c>
      <c r="C1425" s="26" t="str">
        <f>_xlfn.XLOOKUP(Total[[#This Row],[Hebras]],TbTecnologia[Hebras],TbTecnologia[Tecnología])</f>
        <v>OMP</v>
      </c>
      <c r="D1425" s="15" t="str" cm="1">
        <f t="array" ref="D1425">_xlfn.XLOOKUP(Total[[#This Row],[Tecnología]]&amp;Total[[#This Row],[Metodo]],TbTipos[Tecnología]&amp;TbTipos[Metodo],TbTipos[Tipo])</f>
        <v>OMP Operaciones</v>
      </c>
      <c r="E1425" s="15" t="str" cm="1">
        <f t="array" ref="E1425">_xlfn.XLOOKUP(Total[[#This Row],[Tecnología]]&amp;Total[[#This Row],[Problema]],TbNombres[Tecnología]&amp;TbNombres[Problema],TbNombres[Nombre])</f>
        <v>Advdiff1d</v>
      </c>
      <c r="F1425" s="20">
        <v>3</v>
      </c>
      <c r="G1425" s="20">
        <v>2</v>
      </c>
      <c r="H1425" s="20">
        <v>1</v>
      </c>
      <c r="I1425" s="20">
        <v>25000</v>
      </c>
      <c r="J1425" s="20">
        <v>25000</v>
      </c>
      <c r="K1425" s="20">
        <v>587.25</v>
      </c>
    </row>
    <row r="1426" spans="2:11" x14ac:dyDescent="0.2">
      <c r="B1426" s="26" t="str">
        <f>_xlfn.XLOOKUP(Total[[#This Row],[Metodo]],TbSolver[Metodo],TbSolver[Solver])</f>
        <v>Adams Bashford</v>
      </c>
      <c r="C1426" s="26" t="str">
        <f>_xlfn.XLOOKUP(Total[[#This Row],[Hebras]],TbTecnologia[Hebras],TbTecnologia[Tecnología])</f>
        <v>OMP</v>
      </c>
      <c r="D1426" s="15" t="str" cm="1">
        <f t="array" ref="D1426">_xlfn.XLOOKUP(Total[[#This Row],[Tecnología]]&amp;Total[[#This Row],[Metodo]],TbTipos[Tecnología]&amp;TbTipos[Metodo],TbTipos[Tipo])</f>
        <v>OMP Operaciones</v>
      </c>
      <c r="E1426" s="15" t="str" cm="1">
        <f t="array" ref="E1426">_xlfn.XLOOKUP(Total[[#This Row],[Tecnología]]&amp;Total[[#This Row],[Problema]],TbNombres[Tecnología]&amp;TbNombres[Problema],TbNombres[Nombre])</f>
        <v>Advdiff1d</v>
      </c>
      <c r="F1426" s="20">
        <v>3</v>
      </c>
      <c r="G1426" s="20">
        <v>2</v>
      </c>
      <c r="H1426" s="20">
        <v>4</v>
      </c>
      <c r="I1426" s="20">
        <v>25000</v>
      </c>
      <c r="J1426" s="20">
        <v>25000</v>
      </c>
      <c r="K1426" s="20">
        <v>178.399</v>
      </c>
    </row>
    <row r="1427" spans="2:11" x14ac:dyDescent="0.2">
      <c r="B1427" s="26" t="str">
        <f>_xlfn.XLOOKUP(Total[[#This Row],[Metodo]],TbSolver[Metodo],TbSolver[Solver])</f>
        <v>Adams Bashford</v>
      </c>
      <c r="C1427" s="26" t="str">
        <f>_xlfn.XLOOKUP(Total[[#This Row],[Hebras]],TbTecnologia[Hebras],TbTecnologia[Tecnología])</f>
        <v>OMP</v>
      </c>
      <c r="D1427" s="15" t="str" cm="1">
        <f t="array" ref="D1427">_xlfn.XLOOKUP(Total[[#This Row],[Tecnología]]&amp;Total[[#This Row],[Metodo]],TbTipos[Tecnología]&amp;TbTipos[Metodo],TbTipos[Tipo])</f>
        <v>OMP Operaciones</v>
      </c>
      <c r="E1427" s="15" t="str" cm="1">
        <f t="array" ref="E1427">_xlfn.XLOOKUP(Total[[#This Row],[Tecnología]]&amp;Total[[#This Row],[Problema]],TbNombres[Tecnología]&amp;TbNombres[Problema],TbNombres[Nombre])</f>
        <v>Advdiff1d</v>
      </c>
      <c r="F1427" s="20">
        <v>3</v>
      </c>
      <c r="G1427" s="20">
        <v>2</v>
      </c>
      <c r="H1427" s="20">
        <v>16</v>
      </c>
      <c r="I1427" s="20">
        <v>25000</v>
      </c>
      <c r="J1427" s="20">
        <v>25000</v>
      </c>
      <c r="K1427" s="20">
        <v>84.819199999999995</v>
      </c>
    </row>
    <row r="1428" spans="2:11" x14ac:dyDescent="0.2">
      <c r="B1428" s="26" t="str">
        <f>_xlfn.XLOOKUP(Total[[#This Row],[Metodo]],TbSolver[Metodo],TbSolver[Solver])</f>
        <v>Adams Bashford</v>
      </c>
      <c r="C1428" s="26" t="str">
        <f>_xlfn.XLOOKUP(Total[[#This Row],[Hebras]],TbTecnologia[Hebras],TbTecnologia[Tecnología])</f>
        <v>OMP</v>
      </c>
      <c r="D1428" s="15" t="str" cm="1">
        <f t="array" ref="D1428">_xlfn.XLOOKUP(Total[[#This Row],[Tecnología]]&amp;Total[[#This Row],[Metodo]],TbTipos[Tecnología]&amp;TbTipos[Metodo],TbTipos[Tipo])</f>
        <v>OMP Operaciones</v>
      </c>
      <c r="E1428" s="15" t="str" cm="1">
        <f t="array" ref="E1428">_xlfn.XLOOKUP(Total[[#This Row],[Tecnología]]&amp;Total[[#This Row],[Problema]],TbNombres[Tecnología]&amp;TbNombres[Problema],TbNombres[Nombre])</f>
        <v>Advdiff1d</v>
      </c>
      <c r="F1428" s="20">
        <v>3</v>
      </c>
      <c r="G1428" s="20">
        <v>2</v>
      </c>
      <c r="H1428" s="20">
        <v>1</v>
      </c>
      <c r="I1428" s="20">
        <v>30000</v>
      </c>
      <c r="J1428" s="20">
        <v>30000</v>
      </c>
      <c r="K1428" s="20">
        <v>711.35900000000004</v>
      </c>
    </row>
    <row r="1429" spans="2:11" x14ac:dyDescent="0.2">
      <c r="B1429" s="26" t="str">
        <f>_xlfn.XLOOKUP(Total[[#This Row],[Metodo]],TbSolver[Metodo],TbSolver[Solver])</f>
        <v>Adams Bashford</v>
      </c>
      <c r="C1429" s="26" t="str">
        <f>_xlfn.XLOOKUP(Total[[#This Row],[Hebras]],TbTecnologia[Hebras],TbTecnologia[Tecnología])</f>
        <v>OMP</v>
      </c>
      <c r="D1429" s="15" t="str" cm="1">
        <f t="array" ref="D1429">_xlfn.XLOOKUP(Total[[#This Row],[Tecnología]]&amp;Total[[#This Row],[Metodo]],TbTipos[Tecnología]&amp;TbTipos[Metodo],TbTipos[Tipo])</f>
        <v>OMP Operaciones</v>
      </c>
      <c r="E1429" s="15" t="str" cm="1">
        <f t="array" ref="E1429">_xlfn.XLOOKUP(Total[[#This Row],[Tecnología]]&amp;Total[[#This Row],[Problema]],TbNombres[Tecnología]&amp;TbNombres[Problema],TbNombres[Nombre])</f>
        <v>Advdiff1d</v>
      </c>
      <c r="F1429" s="20">
        <v>3</v>
      </c>
      <c r="G1429" s="20">
        <v>2</v>
      </c>
      <c r="H1429" s="20">
        <v>4</v>
      </c>
      <c r="I1429" s="20">
        <v>30000</v>
      </c>
      <c r="J1429" s="20">
        <v>30000</v>
      </c>
      <c r="K1429" s="20">
        <v>212.233</v>
      </c>
    </row>
    <row r="1430" spans="2:11" x14ac:dyDescent="0.2">
      <c r="B1430" s="26" t="str">
        <f>_xlfn.XLOOKUP(Total[[#This Row],[Metodo]],TbSolver[Metodo],TbSolver[Solver])</f>
        <v>Adams Bashford</v>
      </c>
      <c r="C1430" s="26" t="str">
        <f>_xlfn.XLOOKUP(Total[[#This Row],[Hebras]],TbTecnologia[Hebras],TbTecnologia[Tecnología])</f>
        <v>OMP</v>
      </c>
      <c r="D1430" s="15" t="str" cm="1">
        <f t="array" ref="D1430">_xlfn.XLOOKUP(Total[[#This Row],[Tecnología]]&amp;Total[[#This Row],[Metodo]],TbTipos[Tecnología]&amp;TbTipos[Metodo],TbTipos[Tipo])</f>
        <v>OMP Operaciones</v>
      </c>
      <c r="E1430" s="15" t="str" cm="1">
        <f t="array" ref="E1430">_xlfn.XLOOKUP(Total[[#This Row],[Tecnología]]&amp;Total[[#This Row],[Problema]],TbNombres[Tecnología]&amp;TbNombres[Problema],TbNombres[Nombre])</f>
        <v>Advdiff1d</v>
      </c>
      <c r="F1430" s="20">
        <v>3</v>
      </c>
      <c r="G1430" s="20">
        <v>2</v>
      </c>
      <c r="H1430" s="20">
        <v>16</v>
      </c>
      <c r="I1430" s="20">
        <v>30000</v>
      </c>
      <c r="J1430" s="20">
        <v>30000</v>
      </c>
      <c r="K1430" s="20">
        <v>92.442300000000003</v>
      </c>
    </row>
    <row r="1431" spans="2:11" x14ac:dyDescent="0.2">
      <c r="B1431" s="26" t="str">
        <f>_xlfn.XLOOKUP(Total[[#This Row],[Metodo]],TbSolver[Metodo],TbSolver[Solver])</f>
        <v>Adams Bashford</v>
      </c>
      <c r="C1431" s="26" t="str">
        <f>_xlfn.XLOOKUP(Total[[#This Row],[Hebras]],TbTecnologia[Hebras],TbTecnologia[Tecnología])</f>
        <v>OMP</v>
      </c>
      <c r="D1431" s="15" t="str" cm="1">
        <f t="array" ref="D1431">_xlfn.XLOOKUP(Total[[#This Row],[Tecnología]]&amp;Total[[#This Row],[Metodo]],TbTipos[Tecnología]&amp;TbTipos[Metodo],TbTipos[Tipo])</f>
        <v>OMP Operaciones</v>
      </c>
      <c r="E1431" s="15" t="str" cm="1">
        <f t="array" ref="E1431">_xlfn.XLOOKUP(Total[[#This Row],[Tecnología]]&amp;Total[[#This Row],[Problema]],TbNombres[Tecnología]&amp;TbNombres[Problema],TbNombres[Nombre])</f>
        <v>Advdiff1d</v>
      </c>
      <c r="F1431" s="20">
        <v>3</v>
      </c>
      <c r="G1431" s="20">
        <v>2</v>
      </c>
      <c r="H1431" s="20">
        <v>1</v>
      </c>
      <c r="I1431" s="20">
        <v>40000</v>
      </c>
      <c r="J1431" s="20">
        <v>40000</v>
      </c>
      <c r="K1431" s="20">
        <v>958.92100000000005</v>
      </c>
    </row>
    <row r="1432" spans="2:11" x14ac:dyDescent="0.2">
      <c r="B1432" s="26" t="str">
        <f>_xlfn.XLOOKUP(Total[[#This Row],[Metodo]],TbSolver[Metodo],TbSolver[Solver])</f>
        <v>Adams Bashford</v>
      </c>
      <c r="C1432" s="26" t="str">
        <f>_xlfn.XLOOKUP(Total[[#This Row],[Hebras]],TbTecnologia[Hebras],TbTecnologia[Tecnología])</f>
        <v>OMP</v>
      </c>
      <c r="D1432" s="15" t="str" cm="1">
        <f t="array" ref="D1432">_xlfn.XLOOKUP(Total[[#This Row],[Tecnología]]&amp;Total[[#This Row],[Metodo]],TbTipos[Tecnología]&amp;TbTipos[Metodo],TbTipos[Tipo])</f>
        <v>OMP Operaciones</v>
      </c>
      <c r="E1432" s="15" t="str" cm="1">
        <f t="array" ref="E1432">_xlfn.XLOOKUP(Total[[#This Row],[Tecnología]]&amp;Total[[#This Row],[Problema]],TbNombres[Tecnología]&amp;TbNombres[Problema],TbNombres[Nombre])</f>
        <v>Advdiff1d</v>
      </c>
      <c r="F1432" s="20">
        <v>3</v>
      </c>
      <c r="G1432" s="20">
        <v>2</v>
      </c>
      <c r="H1432" s="20">
        <v>4</v>
      </c>
      <c r="I1432" s="20">
        <v>40000</v>
      </c>
      <c r="J1432" s="20">
        <v>40000</v>
      </c>
      <c r="K1432" s="20">
        <v>276.64</v>
      </c>
    </row>
    <row r="1433" spans="2:11" x14ac:dyDescent="0.2">
      <c r="B1433" s="26" t="str">
        <f>_xlfn.XLOOKUP(Total[[#This Row],[Metodo]],TbSolver[Metodo],TbSolver[Solver])</f>
        <v>Adams Bashford</v>
      </c>
      <c r="C1433" s="26" t="str">
        <f>_xlfn.XLOOKUP(Total[[#This Row],[Hebras]],TbTecnologia[Hebras],TbTecnologia[Tecnología])</f>
        <v>OMP</v>
      </c>
      <c r="D1433" s="15" t="str" cm="1">
        <f t="array" ref="D1433">_xlfn.XLOOKUP(Total[[#This Row],[Tecnología]]&amp;Total[[#This Row],[Metodo]],TbTipos[Tecnología]&amp;TbTipos[Metodo],TbTipos[Tipo])</f>
        <v>OMP Operaciones</v>
      </c>
      <c r="E1433" s="15" t="str" cm="1">
        <f t="array" ref="E1433">_xlfn.XLOOKUP(Total[[#This Row],[Tecnología]]&amp;Total[[#This Row],[Problema]],TbNombres[Tecnología]&amp;TbNombres[Problema],TbNombres[Nombre])</f>
        <v>Advdiff1d</v>
      </c>
      <c r="F1433" s="20">
        <v>3</v>
      </c>
      <c r="G1433" s="20">
        <v>2</v>
      </c>
      <c r="H1433" s="20">
        <v>16</v>
      </c>
      <c r="I1433" s="20">
        <v>40000</v>
      </c>
      <c r="J1433" s="20">
        <v>40000</v>
      </c>
      <c r="K1433" s="20">
        <v>150.733</v>
      </c>
    </row>
    <row r="1434" spans="2:11" x14ac:dyDescent="0.2">
      <c r="B1434" s="26" t="str">
        <f>_xlfn.XLOOKUP(Total[[#This Row],[Metodo]],TbSolver[Metodo],TbSolver[Solver])</f>
        <v>Adams Bashford</v>
      </c>
      <c r="C1434" s="26" t="str">
        <f>_xlfn.XLOOKUP(Total[[#This Row],[Hebras]],TbTecnologia[Hebras],TbTecnologia[Tecnología])</f>
        <v>OMP</v>
      </c>
      <c r="D1434" s="15" t="str" cm="1">
        <f t="array" ref="D1434">_xlfn.XLOOKUP(Total[[#This Row],[Tecnología]]&amp;Total[[#This Row],[Metodo]],TbTipos[Tecnología]&amp;TbTipos[Metodo],TbTipos[Tipo])</f>
        <v>OMP Operaciones</v>
      </c>
      <c r="E1434" s="15" t="str" cm="1">
        <f t="array" ref="E1434">_xlfn.XLOOKUP(Total[[#This Row],[Tecnología]]&amp;Total[[#This Row],[Problema]],TbNombres[Tecnología]&amp;TbNombres[Problema],TbNombres[Nombre])</f>
        <v>Advdiff1d</v>
      </c>
      <c r="F1434" s="20">
        <v>3</v>
      </c>
      <c r="G1434" s="20">
        <v>2</v>
      </c>
      <c r="H1434" s="20">
        <v>1</v>
      </c>
      <c r="I1434" s="20">
        <v>50000</v>
      </c>
      <c r="J1434" s="20">
        <v>50000</v>
      </c>
      <c r="K1434" s="20">
        <v>1208.3599999999999</v>
      </c>
    </row>
    <row r="1435" spans="2:11" x14ac:dyDescent="0.2">
      <c r="B1435" s="26" t="str">
        <f>_xlfn.XLOOKUP(Total[[#This Row],[Metodo]],TbSolver[Metodo],TbSolver[Solver])</f>
        <v>Adams Bashford</v>
      </c>
      <c r="C1435" s="26" t="str">
        <f>_xlfn.XLOOKUP(Total[[#This Row],[Hebras]],TbTecnologia[Hebras],TbTecnologia[Tecnología])</f>
        <v>OMP</v>
      </c>
      <c r="D1435" s="15" t="str" cm="1">
        <f t="array" ref="D1435">_xlfn.XLOOKUP(Total[[#This Row],[Tecnología]]&amp;Total[[#This Row],[Metodo]],TbTipos[Tecnología]&amp;TbTipos[Metodo],TbTipos[Tipo])</f>
        <v>OMP Operaciones</v>
      </c>
      <c r="E1435" s="15" t="str" cm="1">
        <f t="array" ref="E1435">_xlfn.XLOOKUP(Total[[#This Row],[Tecnología]]&amp;Total[[#This Row],[Problema]],TbNombres[Tecnología]&amp;TbNombres[Problema],TbNombres[Nombre])</f>
        <v>Advdiff1d</v>
      </c>
      <c r="F1435" s="20">
        <v>3</v>
      </c>
      <c r="G1435" s="20">
        <v>2</v>
      </c>
      <c r="H1435" s="20">
        <v>4</v>
      </c>
      <c r="I1435" s="20">
        <v>50000</v>
      </c>
      <c r="J1435" s="20">
        <v>50000</v>
      </c>
      <c r="K1435" s="20">
        <v>343.10500000000002</v>
      </c>
    </row>
    <row r="1436" spans="2:11" x14ac:dyDescent="0.2">
      <c r="B1436" s="26" t="str">
        <f>_xlfn.XLOOKUP(Total[[#This Row],[Metodo]],TbSolver[Metodo],TbSolver[Solver])</f>
        <v>Adams Bashford</v>
      </c>
      <c r="C1436" s="26" t="str">
        <f>_xlfn.XLOOKUP(Total[[#This Row],[Hebras]],TbTecnologia[Hebras],TbTecnologia[Tecnología])</f>
        <v>OMP</v>
      </c>
      <c r="D1436" s="15" t="str" cm="1">
        <f t="array" ref="D1436">_xlfn.XLOOKUP(Total[[#This Row],[Tecnología]]&amp;Total[[#This Row],[Metodo]],TbTipos[Tecnología]&amp;TbTipos[Metodo],TbTipos[Tipo])</f>
        <v>OMP Operaciones</v>
      </c>
      <c r="E1436" s="15" t="str" cm="1">
        <f t="array" ref="E1436">_xlfn.XLOOKUP(Total[[#This Row],[Tecnología]]&amp;Total[[#This Row],[Problema]],TbNombres[Tecnología]&amp;TbNombres[Problema],TbNombres[Nombre])</f>
        <v>Advdiff1d</v>
      </c>
      <c r="F1436" s="20">
        <v>3</v>
      </c>
      <c r="G1436" s="20">
        <v>2</v>
      </c>
      <c r="H1436" s="20">
        <v>16</v>
      </c>
      <c r="I1436" s="20">
        <v>50000</v>
      </c>
      <c r="J1436" s="20">
        <v>50000</v>
      </c>
      <c r="K1436" s="20">
        <v>128.32400000000001</v>
      </c>
    </row>
    <row r="1437" spans="2:11" x14ac:dyDescent="0.2">
      <c r="B1437" s="26" t="str">
        <f>_xlfn.XLOOKUP(Total[[#This Row],[Metodo]],TbSolver[Metodo],TbSolver[Solver])</f>
        <v>Adams Bashford</v>
      </c>
      <c r="C1437" s="26" t="str">
        <f>_xlfn.XLOOKUP(Total[[#This Row],[Hebras]],TbTecnologia[Hebras],TbTecnologia[Tecnología])</f>
        <v>OMP</v>
      </c>
      <c r="D1437" s="15" t="str" cm="1">
        <f t="array" ref="D1437">_xlfn.XLOOKUP(Total[[#This Row],[Tecnología]]&amp;Total[[#This Row],[Metodo]],TbTipos[Tecnología]&amp;TbTipos[Metodo],TbTipos[Tipo])</f>
        <v>OMP Operaciones</v>
      </c>
      <c r="E1437" s="15" t="str" cm="1">
        <f t="array" ref="E1437">_xlfn.XLOOKUP(Total[[#This Row],[Tecnología]]&amp;Total[[#This Row],[Problema]],TbNombres[Tecnología]&amp;TbNombres[Problema],TbNombres[Nombre])</f>
        <v>Brusselator1d</v>
      </c>
      <c r="F1437" s="20">
        <v>3</v>
      </c>
      <c r="G1437" s="20">
        <v>3</v>
      </c>
      <c r="H1437" s="20">
        <v>1</v>
      </c>
      <c r="I1437" s="20">
        <v>20000</v>
      </c>
      <c r="J1437" s="20">
        <v>40000</v>
      </c>
      <c r="K1437" s="20">
        <v>203.46299999999999</v>
      </c>
    </row>
    <row r="1438" spans="2:11" x14ac:dyDescent="0.2">
      <c r="B1438" s="26" t="str">
        <f>_xlfn.XLOOKUP(Total[[#This Row],[Metodo]],TbSolver[Metodo],TbSolver[Solver])</f>
        <v>Adams Bashford</v>
      </c>
      <c r="C1438" s="26" t="str">
        <f>_xlfn.XLOOKUP(Total[[#This Row],[Hebras]],TbTecnologia[Hebras],TbTecnologia[Tecnología])</f>
        <v>OMP</v>
      </c>
      <c r="D1438" s="15" t="str" cm="1">
        <f t="array" ref="D1438">_xlfn.XLOOKUP(Total[[#This Row],[Tecnología]]&amp;Total[[#This Row],[Metodo]],TbTipos[Tecnología]&amp;TbTipos[Metodo],TbTipos[Tipo])</f>
        <v>OMP Operaciones</v>
      </c>
      <c r="E1438" s="15" t="str" cm="1">
        <f t="array" ref="E1438">_xlfn.XLOOKUP(Total[[#This Row],[Tecnología]]&amp;Total[[#This Row],[Problema]],TbNombres[Tecnología]&amp;TbNombres[Problema],TbNombres[Nombre])</f>
        <v>Brusselator1d</v>
      </c>
      <c r="F1438" s="20">
        <v>3</v>
      </c>
      <c r="G1438" s="20">
        <v>3</v>
      </c>
      <c r="H1438" s="20">
        <v>4</v>
      </c>
      <c r="I1438" s="20">
        <v>20000</v>
      </c>
      <c r="J1438" s="20">
        <v>40000</v>
      </c>
      <c r="K1438" s="20">
        <v>55.079000000000001</v>
      </c>
    </row>
    <row r="1439" spans="2:11" x14ac:dyDescent="0.2">
      <c r="B1439" s="26" t="str">
        <f>_xlfn.XLOOKUP(Total[[#This Row],[Metodo]],TbSolver[Metodo],TbSolver[Solver])</f>
        <v>Adams Bashford</v>
      </c>
      <c r="C1439" s="26" t="str">
        <f>_xlfn.XLOOKUP(Total[[#This Row],[Hebras]],TbTecnologia[Hebras],TbTecnologia[Tecnología])</f>
        <v>OMP</v>
      </c>
      <c r="D1439" s="15" t="str" cm="1">
        <f t="array" ref="D1439">_xlfn.XLOOKUP(Total[[#This Row],[Tecnología]]&amp;Total[[#This Row],[Metodo]],TbTipos[Tecnología]&amp;TbTipos[Metodo],TbTipos[Tipo])</f>
        <v>OMP Operaciones</v>
      </c>
      <c r="E1439" s="15" t="str" cm="1">
        <f t="array" ref="E1439">_xlfn.XLOOKUP(Total[[#This Row],[Tecnología]]&amp;Total[[#This Row],[Problema]],TbNombres[Tecnología]&amp;TbNombres[Problema],TbNombres[Nombre])</f>
        <v>Brusselator1d</v>
      </c>
      <c r="F1439" s="20">
        <v>3</v>
      </c>
      <c r="G1439" s="20">
        <v>3</v>
      </c>
      <c r="H1439" s="20">
        <v>16</v>
      </c>
      <c r="I1439" s="20">
        <v>20000</v>
      </c>
      <c r="J1439" s="20">
        <v>40000</v>
      </c>
      <c r="K1439" s="20">
        <v>48.032200000000003</v>
      </c>
    </row>
    <row r="1440" spans="2:11" x14ac:dyDescent="0.2">
      <c r="B1440" s="26" t="str">
        <f>_xlfn.XLOOKUP(Total[[#This Row],[Metodo]],TbSolver[Metodo],TbSolver[Solver])</f>
        <v>Adams Bashford</v>
      </c>
      <c r="C1440" s="26" t="str">
        <f>_xlfn.XLOOKUP(Total[[#This Row],[Hebras]],TbTecnologia[Hebras],TbTecnologia[Tecnología])</f>
        <v>OMP</v>
      </c>
      <c r="D1440" s="15" t="str" cm="1">
        <f t="array" ref="D1440">_xlfn.XLOOKUP(Total[[#This Row],[Tecnología]]&amp;Total[[#This Row],[Metodo]],TbTipos[Tecnología]&amp;TbTipos[Metodo],TbTipos[Tipo])</f>
        <v>OMP Operaciones</v>
      </c>
      <c r="E1440" s="15" t="str" cm="1">
        <f t="array" ref="E1440">_xlfn.XLOOKUP(Total[[#This Row],[Tecnología]]&amp;Total[[#This Row],[Problema]],TbNombres[Tecnología]&amp;TbNombres[Problema],TbNombres[Nombre])</f>
        <v>Brusselator1d</v>
      </c>
      <c r="F1440" s="20">
        <v>3</v>
      </c>
      <c r="G1440" s="20">
        <v>3</v>
      </c>
      <c r="H1440" s="20">
        <v>1</v>
      </c>
      <c r="I1440" s="20">
        <v>25000</v>
      </c>
      <c r="J1440" s="20">
        <v>50000</v>
      </c>
      <c r="K1440" s="20">
        <v>263.28800000000001</v>
      </c>
    </row>
    <row r="1441" spans="2:11" x14ac:dyDescent="0.2">
      <c r="B1441" s="26" t="str">
        <f>_xlfn.XLOOKUP(Total[[#This Row],[Metodo]],TbSolver[Metodo],TbSolver[Solver])</f>
        <v>Adams Bashford</v>
      </c>
      <c r="C1441" s="26" t="str">
        <f>_xlfn.XLOOKUP(Total[[#This Row],[Hebras]],TbTecnologia[Hebras],TbTecnologia[Tecnología])</f>
        <v>OMP</v>
      </c>
      <c r="D1441" s="15" t="str" cm="1">
        <f t="array" ref="D1441">_xlfn.XLOOKUP(Total[[#This Row],[Tecnología]]&amp;Total[[#This Row],[Metodo]],TbTipos[Tecnología]&amp;TbTipos[Metodo],TbTipos[Tipo])</f>
        <v>OMP Operaciones</v>
      </c>
      <c r="E1441" s="15" t="str" cm="1">
        <f t="array" ref="E1441">_xlfn.XLOOKUP(Total[[#This Row],[Tecnología]]&amp;Total[[#This Row],[Problema]],TbNombres[Tecnología]&amp;TbNombres[Problema],TbNombres[Nombre])</f>
        <v>Brusselator1d</v>
      </c>
      <c r="F1441" s="20">
        <v>3</v>
      </c>
      <c r="G1441" s="20">
        <v>3</v>
      </c>
      <c r="H1441" s="20">
        <v>4</v>
      </c>
      <c r="I1441" s="20">
        <v>25000</v>
      </c>
      <c r="J1441" s="20">
        <v>50000</v>
      </c>
      <c r="K1441" s="20">
        <v>65.536799999999999</v>
      </c>
    </row>
    <row r="1442" spans="2:11" x14ac:dyDescent="0.2">
      <c r="B1442" s="26" t="str">
        <f>_xlfn.XLOOKUP(Total[[#This Row],[Metodo]],TbSolver[Metodo],TbSolver[Solver])</f>
        <v>Adams Bashford</v>
      </c>
      <c r="C1442" s="26" t="str">
        <f>_xlfn.XLOOKUP(Total[[#This Row],[Hebras]],TbTecnologia[Hebras],TbTecnologia[Tecnología])</f>
        <v>OMP</v>
      </c>
      <c r="D1442" s="15" t="str" cm="1">
        <f t="array" ref="D1442">_xlfn.XLOOKUP(Total[[#This Row],[Tecnología]]&amp;Total[[#This Row],[Metodo]],TbTipos[Tecnología]&amp;TbTipos[Metodo],TbTipos[Tipo])</f>
        <v>OMP Operaciones</v>
      </c>
      <c r="E1442" s="15" t="str" cm="1">
        <f t="array" ref="E1442">_xlfn.XLOOKUP(Total[[#This Row],[Tecnología]]&amp;Total[[#This Row],[Problema]],TbNombres[Tecnología]&amp;TbNombres[Problema],TbNombres[Nombre])</f>
        <v>Brusselator1d</v>
      </c>
      <c r="F1442" s="20">
        <v>3</v>
      </c>
      <c r="G1442" s="20">
        <v>3</v>
      </c>
      <c r="H1442" s="20">
        <v>16</v>
      </c>
      <c r="I1442" s="20">
        <v>25000</v>
      </c>
      <c r="J1442" s="20">
        <v>50000</v>
      </c>
      <c r="K1442" s="20">
        <v>53.756300000000003</v>
      </c>
    </row>
    <row r="1443" spans="2:11" x14ac:dyDescent="0.2">
      <c r="B1443" s="26" t="str">
        <f>_xlfn.XLOOKUP(Total[[#This Row],[Metodo]],TbSolver[Metodo],TbSolver[Solver])</f>
        <v>Adams Bashford</v>
      </c>
      <c r="C1443" s="26" t="str">
        <f>_xlfn.XLOOKUP(Total[[#This Row],[Hebras]],TbTecnologia[Hebras],TbTecnologia[Tecnología])</f>
        <v>OMP</v>
      </c>
      <c r="D1443" s="15" t="str" cm="1">
        <f t="array" ref="D1443">_xlfn.XLOOKUP(Total[[#This Row],[Tecnología]]&amp;Total[[#This Row],[Metodo]],TbTipos[Tecnología]&amp;TbTipos[Metodo],TbTipos[Tipo])</f>
        <v>OMP Operaciones</v>
      </c>
      <c r="E1443" s="15" t="str" cm="1">
        <f t="array" ref="E1443">_xlfn.XLOOKUP(Total[[#This Row],[Tecnología]]&amp;Total[[#This Row],[Problema]],TbNombres[Tecnología]&amp;TbNombres[Problema],TbNombres[Nombre])</f>
        <v>Brusselator1d</v>
      </c>
      <c r="F1443" s="20">
        <v>3</v>
      </c>
      <c r="G1443" s="20">
        <v>3</v>
      </c>
      <c r="H1443" s="20">
        <v>1</v>
      </c>
      <c r="I1443" s="20">
        <v>30000</v>
      </c>
      <c r="J1443" s="20">
        <v>60000</v>
      </c>
      <c r="K1443" s="20">
        <v>324.428</v>
      </c>
    </row>
    <row r="1444" spans="2:11" x14ac:dyDescent="0.2">
      <c r="B1444" s="26" t="str">
        <f>_xlfn.XLOOKUP(Total[[#This Row],[Metodo]],TbSolver[Metodo],TbSolver[Solver])</f>
        <v>Adams Bashford</v>
      </c>
      <c r="C1444" s="26" t="str">
        <f>_xlfn.XLOOKUP(Total[[#This Row],[Hebras]],TbTecnologia[Hebras],TbTecnologia[Tecnología])</f>
        <v>OMP</v>
      </c>
      <c r="D1444" s="15" t="str" cm="1">
        <f t="array" ref="D1444">_xlfn.XLOOKUP(Total[[#This Row],[Tecnología]]&amp;Total[[#This Row],[Metodo]],TbTipos[Tecnología]&amp;TbTipos[Metodo],TbTipos[Tipo])</f>
        <v>OMP Operaciones</v>
      </c>
      <c r="E1444" s="15" t="str" cm="1">
        <f t="array" ref="E1444">_xlfn.XLOOKUP(Total[[#This Row],[Tecnología]]&amp;Total[[#This Row],[Problema]],TbNombres[Tecnología]&amp;TbNombres[Problema],TbNombres[Nombre])</f>
        <v>Brusselator1d</v>
      </c>
      <c r="F1444" s="20">
        <v>3</v>
      </c>
      <c r="G1444" s="20">
        <v>3</v>
      </c>
      <c r="H1444" s="20">
        <v>4</v>
      </c>
      <c r="I1444" s="20">
        <v>30000</v>
      </c>
      <c r="J1444" s="20">
        <v>60000</v>
      </c>
      <c r="K1444" s="20">
        <v>76.847499999999997</v>
      </c>
    </row>
    <row r="1445" spans="2:11" x14ac:dyDescent="0.2">
      <c r="B1445" s="26" t="str">
        <f>_xlfn.XLOOKUP(Total[[#This Row],[Metodo]],TbSolver[Metodo],TbSolver[Solver])</f>
        <v>Adams Bashford</v>
      </c>
      <c r="C1445" s="26" t="str">
        <f>_xlfn.XLOOKUP(Total[[#This Row],[Hebras]],TbTecnologia[Hebras],TbTecnologia[Tecnología])</f>
        <v>OMP</v>
      </c>
      <c r="D1445" s="15" t="str" cm="1">
        <f t="array" ref="D1445">_xlfn.XLOOKUP(Total[[#This Row],[Tecnología]]&amp;Total[[#This Row],[Metodo]],TbTipos[Tecnología]&amp;TbTipos[Metodo],TbTipos[Tipo])</f>
        <v>OMP Operaciones</v>
      </c>
      <c r="E1445" s="15" t="str" cm="1">
        <f t="array" ref="E1445">_xlfn.XLOOKUP(Total[[#This Row],[Tecnología]]&amp;Total[[#This Row],[Problema]],TbNombres[Tecnología]&amp;TbNombres[Problema],TbNombres[Nombre])</f>
        <v>Brusselator1d</v>
      </c>
      <c r="F1445" s="20">
        <v>3</v>
      </c>
      <c r="G1445" s="20">
        <v>3</v>
      </c>
      <c r="H1445" s="20">
        <v>16</v>
      </c>
      <c r="I1445" s="20">
        <v>30000</v>
      </c>
      <c r="J1445" s="20">
        <v>60000</v>
      </c>
      <c r="K1445" s="20">
        <v>54.865000000000002</v>
      </c>
    </row>
    <row r="1446" spans="2:11" x14ac:dyDescent="0.2">
      <c r="B1446" s="26" t="str">
        <f>_xlfn.XLOOKUP(Total[[#This Row],[Metodo]],TbSolver[Metodo],TbSolver[Solver])</f>
        <v>Adams Bashford</v>
      </c>
      <c r="C1446" s="26" t="str">
        <f>_xlfn.XLOOKUP(Total[[#This Row],[Hebras]],TbTecnologia[Hebras],TbTecnologia[Tecnología])</f>
        <v>OMP</v>
      </c>
      <c r="D1446" s="15" t="str" cm="1">
        <f t="array" ref="D1446">_xlfn.XLOOKUP(Total[[#This Row],[Tecnología]]&amp;Total[[#This Row],[Metodo]],TbTipos[Tecnología]&amp;TbTipos[Metodo],TbTipos[Tipo])</f>
        <v>OMP Operaciones</v>
      </c>
      <c r="E1446" s="15" t="str" cm="1">
        <f t="array" ref="E1446">_xlfn.XLOOKUP(Total[[#This Row],[Tecnología]]&amp;Total[[#This Row],[Problema]],TbNombres[Tecnología]&amp;TbNombres[Problema],TbNombres[Nombre])</f>
        <v>Brusselator1d</v>
      </c>
      <c r="F1446" s="20">
        <v>3</v>
      </c>
      <c r="G1446" s="20">
        <v>3</v>
      </c>
      <c r="H1446" s="20">
        <v>1</v>
      </c>
      <c r="I1446" s="20">
        <v>40000</v>
      </c>
      <c r="J1446" s="20">
        <v>80000</v>
      </c>
      <c r="K1446" s="20">
        <v>440.74200000000002</v>
      </c>
    </row>
    <row r="1447" spans="2:11" x14ac:dyDescent="0.2">
      <c r="B1447" s="26" t="str">
        <f>_xlfn.XLOOKUP(Total[[#This Row],[Metodo]],TbSolver[Metodo],TbSolver[Solver])</f>
        <v>Adams Bashford</v>
      </c>
      <c r="C1447" s="26" t="str">
        <f>_xlfn.XLOOKUP(Total[[#This Row],[Hebras]],TbTecnologia[Hebras],TbTecnologia[Tecnología])</f>
        <v>OMP</v>
      </c>
      <c r="D1447" s="15" t="str" cm="1">
        <f t="array" ref="D1447">_xlfn.XLOOKUP(Total[[#This Row],[Tecnología]]&amp;Total[[#This Row],[Metodo]],TbTipos[Tecnología]&amp;TbTipos[Metodo],TbTipos[Tipo])</f>
        <v>OMP Operaciones</v>
      </c>
      <c r="E1447" s="15" t="str" cm="1">
        <f t="array" ref="E1447">_xlfn.XLOOKUP(Total[[#This Row],[Tecnología]]&amp;Total[[#This Row],[Problema]],TbNombres[Tecnología]&amp;TbNombres[Problema],TbNombres[Nombre])</f>
        <v>Brusselator1d</v>
      </c>
      <c r="F1447" s="20">
        <v>3</v>
      </c>
      <c r="G1447" s="20">
        <v>3</v>
      </c>
      <c r="H1447" s="20">
        <v>4</v>
      </c>
      <c r="I1447" s="20">
        <v>40000</v>
      </c>
      <c r="J1447" s="20">
        <v>80000</v>
      </c>
      <c r="K1447" s="20">
        <v>100.393</v>
      </c>
    </row>
    <row r="1448" spans="2:11" x14ac:dyDescent="0.2">
      <c r="B1448" s="26" t="str">
        <f>_xlfn.XLOOKUP(Total[[#This Row],[Metodo]],TbSolver[Metodo],TbSolver[Solver])</f>
        <v>Adams Bashford</v>
      </c>
      <c r="C1448" s="26" t="str">
        <f>_xlfn.XLOOKUP(Total[[#This Row],[Hebras]],TbTecnologia[Hebras],TbTecnologia[Tecnología])</f>
        <v>OMP</v>
      </c>
      <c r="D1448" s="15" t="str" cm="1">
        <f t="array" ref="D1448">_xlfn.XLOOKUP(Total[[#This Row],[Tecnología]]&amp;Total[[#This Row],[Metodo]],TbTipos[Tecnología]&amp;TbTipos[Metodo],TbTipos[Tipo])</f>
        <v>OMP Operaciones</v>
      </c>
      <c r="E1448" s="15" t="str" cm="1">
        <f t="array" ref="E1448">_xlfn.XLOOKUP(Total[[#This Row],[Tecnología]]&amp;Total[[#This Row],[Problema]],TbNombres[Tecnología]&amp;TbNombres[Problema],TbNombres[Nombre])</f>
        <v>Brusselator1d</v>
      </c>
      <c r="F1448" s="20">
        <v>3</v>
      </c>
      <c r="G1448" s="20">
        <v>3</v>
      </c>
      <c r="H1448" s="20">
        <v>16</v>
      </c>
      <c r="I1448" s="20">
        <v>40000</v>
      </c>
      <c r="J1448" s="20">
        <v>80000</v>
      </c>
      <c r="K1448" s="20">
        <v>61.248600000000003</v>
      </c>
    </row>
    <row r="1449" spans="2:11" x14ac:dyDescent="0.2">
      <c r="B1449" s="26" t="str">
        <f>_xlfn.XLOOKUP(Total[[#This Row],[Metodo]],TbSolver[Metodo],TbSolver[Solver])</f>
        <v>Adams Bashford</v>
      </c>
      <c r="C1449" s="26" t="str">
        <f>_xlfn.XLOOKUP(Total[[#This Row],[Hebras]],TbTecnologia[Hebras],TbTecnologia[Tecnología])</f>
        <v>OMP</v>
      </c>
      <c r="D1449" s="15" t="str" cm="1">
        <f t="array" ref="D1449">_xlfn.XLOOKUP(Total[[#This Row],[Tecnología]]&amp;Total[[#This Row],[Metodo]],TbTipos[Tecnología]&amp;TbTipos[Metodo],TbTipos[Tipo])</f>
        <v>OMP Operaciones</v>
      </c>
      <c r="E1449" s="15" t="str" cm="1">
        <f t="array" ref="E1449">_xlfn.XLOOKUP(Total[[#This Row],[Tecnología]]&amp;Total[[#This Row],[Problema]],TbNombres[Tecnología]&amp;TbNombres[Problema],TbNombres[Nombre])</f>
        <v>Brusselator1d</v>
      </c>
      <c r="F1449" s="20">
        <v>3</v>
      </c>
      <c r="G1449" s="20">
        <v>3</v>
      </c>
      <c r="H1449" s="20">
        <v>1</v>
      </c>
      <c r="I1449" s="20">
        <v>50000</v>
      </c>
      <c r="J1449" s="20">
        <v>100000</v>
      </c>
      <c r="K1449" s="20">
        <v>556.05100000000004</v>
      </c>
    </row>
    <row r="1450" spans="2:11" x14ac:dyDescent="0.2">
      <c r="B1450" s="26" t="str">
        <f>_xlfn.XLOOKUP(Total[[#This Row],[Metodo]],TbSolver[Metodo],TbSolver[Solver])</f>
        <v>Adams Bashford</v>
      </c>
      <c r="C1450" s="26" t="str">
        <f>_xlfn.XLOOKUP(Total[[#This Row],[Hebras]],TbTecnologia[Hebras],TbTecnologia[Tecnología])</f>
        <v>OMP</v>
      </c>
      <c r="D1450" s="15" t="str" cm="1">
        <f t="array" ref="D1450">_xlfn.XLOOKUP(Total[[#This Row],[Tecnología]]&amp;Total[[#This Row],[Metodo]],TbTipos[Tecnología]&amp;TbTipos[Metodo],TbTipos[Tipo])</f>
        <v>OMP Operaciones</v>
      </c>
      <c r="E1450" s="15" t="str" cm="1">
        <f t="array" ref="E1450">_xlfn.XLOOKUP(Total[[#This Row],[Tecnología]]&amp;Total[[#This Row],[Problema]],TbNombres[Tecnología]&amp;TbNombres[Problema],TbNombres[Nombre])</f>
        <v>Brusselator1d</v>
      </c>
      <c r="F1450" s="20">
        <v>3</v>
      </c>
      <c r="G1450" s="20">
        <v>3</v>
      </c>
      <c r="H1450" s="20">
        <v>4</v>
      </c>
      <c r="I1450" s="20">
        <v>50000</v>
      </c>
      <c r="J1450" s="20">
        <v>100000</v>
      </c>
      <c r="K1450" s="20">
        <v>130.99299999999999</v>
      </c>
    </row>
    <row r="1451" spans="2:11" x14ac:dyDescent="0.2">
      <c r="B1451" s="26" t="str">
        <f>_xlfn.XLOOKUP(Total[[#This Row],[Metodo]],TbSolver[Metodo],TbSolver[Solver])</f>
        <v>Adams Bashford</v>
      </c>
      <c r="C1451" s="26" t="str">
        <f>_xlfn.XLOOKUP(Total[[#This Row],[Hebras]],TbTecnologia[Hebras],TbTecnologia[Tecnología])</f>
        <v>OMP</v>
      </c>
      <c r="D1451" s="15" t="str" cm="1">
        <f t="array" ref="D1451">_xlfn.XLOOKUP(Total[[#This Row],[Tecnología]]&amp;Total[[#This Row],[Metodo]],TbTipos[Tecnología]&amp;TbTipos[Metodo],TbTipos[Tipo])</f>
        <v>OMP Operaciones</v>
      </c>
      <c r="E1451" s="15" t="str" cm="1">
        <f t="array" ref="E1451">_xlfn.XLOOKUP(Total[[#This Row],[Tecnología]]&amp;Total[[#This Row],[Problema]],TbNombres[Tecnología]&amp;TbNombres[Problema],TbNombres[Nombre])</f>
        <v>Brusselator1d</v>
      </c>
      <c r="F1451" s="20">
        <v>3</v>
      </c>
      <c r="G1451" s="20">
        <v>3</v>
      </c>
      <c r="H1451" s="20">
        <v>16</v>
      </c>
      <c r="I1451" s="20">
        <v>50000</v>
      </c>
      <c r="J1451" s="20">
        <v>100000</v>
      </c>
      <c r="K1451" s="20">
        <v>66.148499999999999</v>
      </c>
    </row>
    <row r="1452" spans="2:11" x14ac:dyDescent="0.2">
      <c r="B1452" s="26" t="str">
        <f>_xlfn.XLOOKUP(Total[[#This Row],[Metodo]],TbSolver[Metodo],TbSolver[Solver])</f>
        <v>Adams Bashford</v>
      </c>
      <c r="C1452" s="26" t="str">
        <f>_xlfn.XLOOKUP(Total[[#This Row],[Hebras]],TbTecnologia[Hebras],TbTecnologia[Tecnología])</f>
        <v>OMP</v>
      </c>
      <c r="D1452" s="15" t="str" cm="1">
        <f t="array" ref="D1452">_xlfn.XLOOKUP(Total[[#This Row],[Tecnología]]&amp;Total[[#This Row],[Metodo]],TbTipos[Tecnología]&amp;TbTipos[Metodo],TbTipos[Tipo])</f>
        <v>OMP Elementos</v>
      </c>
      <c r="E1452" s="15" t="str" cm="1">
        <f t="array" ref="E1452">_xlfn.XLOOKUP(Total[[#This Row],[Tecnología]]&amp;Total[[#This Row],[Problema]],TbNombres[Tecnología]&amp;TbNombres[Problema],TbNombres[Nombre])</f>
        <v>Simple Advdiff</v>
      </c>
      <c r="F1452" s="20">
        <v>4</v>
      </c>
      <c r="G1452" s="20">
        <v>1</v>
      </c>
      <c r="H1452" s="20">
        <v>1</v>
      </c>
      <c r="I1452" s="20">
        <v>20000</v>
      </c>
      <c r="J1452" s="20">
        <v>20000</v>
      </c>
      <c r="K1452" s="20">
        <v>104.779</v>
      </c>
    </row>
    <row r="1453" spans="2:11" x14ac:dyDescent="0.2">
      <c r="B1453" s="26" t="str">
        <f>_xlfn.XLOOKUP(Total[[#This Row],[Metodo]],TbSolver[Metodo],TbSolver[Solver])</f>
        <v>Adams Bashford</v>
      </c>
      <c r="C1453" s="26" t="str">
        <f>_xlfn.XLOOKUP(Total[[#This Row],[Hebras]],TbTecnologia[Hebras],TbTecnologia[Tecnología])</f>
        <v>OMP</v>
      </c>
      <c r="D1453" s="15" t="str" cm="1">
        <f t="array" ref="D1453">_xlfn.XLOOKUP(Total[[#This Row],[Tecnología]]&amp;Total[[#This Row],[Metodo]],TbTipos[Tecnología]&amp;TbTipos[Metodo],TbTipos[Tipo])</f>
        <v>OMP Elementos</v>
      </c>
      <c r="E1453" s="15" t="str" cm="1">
        <f t="array" ref="E1453">_xlfn.XLOOKUP(Total[[#This Row],[Tecnología]]&amp;Total[[#This Row],[Problema]],TbNombres[Tecnología]&amp;TbNombres[Problema],TbNombres[Nombre])</f>
        <v>Simple Advdiff</v>
      </c>
      <c r="F1453" s="20">
        <v>4</v>
      </c>
      <c r="G1453" s="20">
        <v>1</v>
      </c>
      <c r="H1453" s="20">
        <v>4</v>
      </c>
      <c r="I1453" s="20">
        <v>20000</v>
      </c>
      <c r="J1453" s="20">
        <v>20000</v>
      </c>
      <c r="K1453" s="20">
        <v>31.758800000000001</v>
      </c>
    </row>
    <row r="1454" spans="2:11" x14ac:dyDescent="0.2">
      <c r="B1454" s="26" t="str">
        <f>_xlfn.XLOOKUP(Total[[#This Row],[Metodo]],TbSolver[Metodo],TbSolver[Solver])</f>
        <v>Adams Bashford</v>
      </c>
      <c r="C1454" s="26" t="str">
        <f>_xlfn.XLOOKUP(Total[[#This Row],[Hebras]],TbTecnologia[Hebras],TbTecnologia[Tecnología])</f>
        <v>OMP</v>
      </c>
      <c r="D1454" s="15" t="str" cm="1">
        <f t="array" ref="D1454">_xlfn.XLOOKUP(Total[[#This Row],[Tecnología]]&amp;Total[[#This Row],[Metodo]],TbTipos[Tecnología]&amp;TbTipos[Metodo],TbTipos[Tipo])</f>
        <v>OMP Elementos</v>
      </c>
      <c r="E1454" s="15" t="str" cm="1">
        <f t="array" ref="E1454">_xlfn.XLOOKUP(Total[[#This Row],[Tecnología]]&amp;Total[[#This Row],[Problema]],TbNombres[Tecnología]&amp;TbNombres[Problema],TbNombres[Nombre])</f>
        <v>Simple Advdiff</v>
      </c>
      <c r="F1454" s="20">
        <v>4</v>
      </c>
      <c r="G1454" s="20">
        <v>1</v>
      </c>
      <c r="H1454" s="20">
        <v>16</v>
      </c>
      <c r="I1454" s="20">
        <v>20000</v>
      </c>
      <c r="J1454" s="20">
        <v>20000</v>
      </c>
      <c r="K1454" s="20">
        <v>22.1279</v>
      </c>
    </row>
    <row r="1455" spans="2:11" x14ac:dyDescent="0.2">
      <c r="B1455" s="26" t="str">
        <f>_xlfn.XLOOKUP(Total[[#This Row],[Metodo]],TbSolver[Metodo],TbSolver[Solver])</f>
        <v>Adams Bashford</v>
      </c>
      <c r="C1455" s="26" t="str">
        <f>_xlfn.XLOOKUP(Total[[#This Row],[Hebras]],TbTecnologia[Hebras],TbTecnologia[Tecnología])</f>
        <v>OMP</v>
      </c>
      <c r="D1455" s="15" t="str" cm="1">
        <f t="array" ref="D1455">_xlfn.XLOOKUP(Total[[#This Row],[Tecnología]]&amp;Total[[#This Row],[Metodo]],TbTipos[Tecnología]&amp;TbTipos[Metodo],TbTipos[Tipo])</f>
        <v>OMP Elementos</v>
      </c>
      <c r="E1455" s="15" t="str" cm="1">
        <f t="array" ref="E1455">_xlfn.XLOOKUP(Total[[#This Row],[Tecnología]]&amp;Total[[#This Row],[Problema]],TbNombres[Tecnología]&amp;TbNombres[Problema],TbNombres[Nombre])</f>
        <v>Simple Advdiff</v>
      </c>
      <c r="F1455" s="20">
        <v>4</v>
      </c>
      <c r="G1455" s="20">
        <v>1</v>
      </c>
      <c r="H1455" s="20">
        <v>1</v>
      </c>
      <c r="I1455" s="20">
        <v>25000</v>
      </c>
      <c r="J1455" s="20">
        <v>25000</v>
      </c>
      <c r="K1455" s="20">
        <v>137.024</v>
      </c>
    </row>
    <row r="1456" spans="2:11" x14ac:dyDescent="0.2">
      <c r="B1456" s="26" t="str">
        <f>_xlfn.XLOOKUP(Total[[#This Row],[Metodo]],TbSolver[Metodo],TbSolver[Solver])</f>
        <v>Adams Bashford</v>
      </c>
      <c r="C1456" s="26" t="str">
        <f>_xlfn.XLOOKUP(Total[[#This Row],[Hebras]],TbTecnologia[Hebras],TbTecnologia[Tecnología])</f>
        <v>OMP</v>
      </c>
      <c r="D1456" s="15" t="str" cm="1">
        <f t="array" ref="D1456">_xlfn.XLOOKUP(Total[[#This Row],[Tecnología]]&amp;Total[[#This Row],[Metodo]],TbTipos[Tecnología]&amp;TbTipos[Metodo],TbTipos[Tipo])</f>
        <v>OMP Elementos</v>
      </c>
      <c r="E1456" s="15" t="str" cm="1">
        <f t="array" ref="E1456">_xlfn.XLOOKUP(Total[[#This Row],[Tecnología]]&amp;Total[[#This Row],[Problema]],TbNombres[Tecnología]&amp;TbNombres[Problema],TbNombres[Nombre])</f>
        <v>Simple Advdiff</v>
      </c>
      <c r="F1456" s="20">
        <v>4</v>
      </c>
      <c r="G1456" s="20">
        <v>1</v>
      </c>
      <c r="H1456" s="20">
        <v>4</v>
      </c>
      <c r="I1456" s="20">
        <v>25000</v>
      </c>
      <c r="J1456" s="20">
        <v>25000</v>
      </c>
      <c r="K1456" s="20">
        <v>38.506399999999999</v>
      </c>
    </row>
    <row r="1457" spans="2:11" x14ac:dyDescent="0.2">
      <c r="B1457" s="26" t="str">
        <f>_xlfn.XLOOKUP(Total[[#This Row],[Metodo]],TbSolver[Metodo],TbSolver[Solver])</f>
        <v>Adams Bashford</v>
      </c>
      <c r="C1457" s="26" t="str">
        <f>_xlfn.XLOOKUP(Total[[#This Row],[Hebras]],TbTecnologia[Hebras],TbTecnologia[Tecnología])</f>
        <v>OMP</v>
      </c>
      <c r="D1457" s="15" t="str" cm="1">
        <f t="array" ref="D1457">_xlfn.XLOOKUP(Total[[#This Row],[Tecnología]]&amp;Total[[#This Row],[Metodo]],TbTipos[Tecnología]&amp;TbTipos[Metodo],TbTipos[Tipo])</f>
        <v>OMP Elementos</v>
      </c>
      <c r="E1457" s="15" t="str" cm="1">
        <f t="array" ref="E1457">_xlfn.XLOOKUP(Total[[#This Row],[Tecnología]]&amp;Total[[#This Row],[Problema]],TbNombres[Tecnología]&amp;TbNombres[Problema],TbNombres[Nombre])</f>
        <v>Simple Advdiff</v>
      </c>
      <c r="F1457" s="20">
        <v>4</v>
      </c>
      <c r="G1457" s="20">
        <v>1</v>
      </c>
      <c r="H1457" s="20">
        <v>16</v>
      </c>
      <c r="I1457" s="20">
        <v>25000</v>
      </c>
      <c r="J1457" s="20">
        <v>25000</v>
      </c>
      <c r="K1457" s="20">
        <v>168.886</v>
      </c>
    </row>
    <row r="1458" spans="2:11" x14ac:dyDescent="0.2">
      <c r="B1458" s="26" t="str">
        <f>_xlfn.XLOOKUP(Total[[#This Row],[Metodo]],TbSolver[Metodo],TbSolver[Solver])</f>
        <v>Adams Bashford</v>
      </c>
      <c r="C1458" s="26" t="str">
        <f>_xlfn.XLOOKUP(Total[[#This Row],[Hebras]],TbTecnologia[Hebras],TbTecnologia[Tecnología])</f>
        <v>OMP</v>
      </c>
      <c r="D1458" s="15" t="str" cm="1">
        <f t="array" ref="D1458">_xlfn.XLOOKUP(Total[[#This Row],[Tecnología]]&amp;Total[[#This Row],[Metodo]],TbTipos[Tecnología]&amp;TbTipos[Metodo],TbTipos[Tipo])</f>
        <v>OMP Elementos</v>
      </c>
      <c r="E1458" s="15" t="str" cm="1">
        <f t="array" ref="E1458">_xlfn.XLOOKUP(Total[[#This Row],[Tecnología]]&amp;Total[[#This Row],[Problema]],TbNombres[Tecnología]&amp;TbNombres[Problema],TbNombres[Nombre])</f>
        <v>Simple Advdiff</v>
      </c>
      <c r="F1458" s="20">
        <v>4</v>
      </c>
      <c r="G1458" s="20">
        <v>1</v>
      </c>
      <c r="H1458" s="20">
        <v>1</v>
      </c>
      <c r="I1458" s="20">
        <v>30000</v>
      </c>
      <c r="J1458" s="20">
        <v>30000</v>
      </c>
      <c r="K1458" s="20">
        <v>167.95</v>
      </c>
    </row>
    <row r="1459" spans="2:11" x14ac:dyDescent="0.2">
      <c r="B1459" s="26" t="str">
        <f>_xlfn.XLOOKUP(Total[[#This Row],[Metodo]],TbSolver[Metodo],TbSolver[Solver])</f>
        <v>Adams Bashford</v>
      </c>
      <c r="C1459" s="26" t="str">
        <f>_xlfn.XLOOKUP(Total[[#This Row],[Hebras]],TbTecnologia[Hebras],TbTecnologia[Tecnología])</f>
        <v>OMP</v>
      </c>
      <c r="D1459" s="15" t="str" cm="1">
        <f t="array" ref="D1459">_xlfn.XLOOKUP(Total[[#This Row],[Tecnología]]&amp;Total[[#This Row],[Metodo]],TbTipos[Tecnología]&amp;TbTipos[Metodo],TbTipos[Tipo])</f>
        <v>OMP Elementos</v>
      </c>
      <c r="E1459" s="15" t="str" cm="1">
        <f t="array" ref="E1459">_xlfn.XLOOKUP(Total[[#This Row],[Tecnología]]&amp;Total[[#This Row],[Problema]],TbNombres[Tecnología]&amp;TbNombres[Problema],TbNombres[Nombre])</f>
        <v>Simple Advdiff</v>
      </c>
      <c r="F1459" s="20">
        <v>4</v>
      </c>
      <c r="G1459" s="20">
        <v>1</v>
      </c>
      <c r="H1459" s="20">
        <v>4</v>
      </c>
      <c r="I1459" s="20">
        <v>30000</v>
      </c>
      <c r="J1459" s="20">
        <v>30000</v>
      </c>
      <c r="K1459" s="20">
        <v>45.612499999999997</v>
      </c>
    </row>
    <row r="1460" spans="2:11" x14ac:dyDescent="0.2">
      <c r="B1460" s="26" t="str">
        <f>_xlfn.XLOOKUP(Total[[#This Row],[Metodo]],TbSolver[Metodo],TbSolver[Solver])</f>
        <v>Adams Bashford</v>
      </c>
      <c r="C1460" s="26" t="str">
        <f>_xlfn.XLOOKUP(Total[[#This Row],[Hebras]],TbTecnologia[Hebras],TbTecnologia[Tecnología])</f>
        <v>OMP</v>
      </c>
      <c r="D1460" s="15" t="str" cm="1">
        <f t="array" ref="D1460">_xlfn.XLOOKUP(Total[[#This Row],[Tecnología]]&amp;Total[[#This Row],[Metodo]],TbTipos[Tecnología]&amp;TbTipos[Metodo],TbTipos[Tipo])</f>
        <v>OMP Elementos</v>
      </c>
      <c r="E1460" s="15" t="str" cm="1">
        <f t="array" ref="E1460">_xlfn.XLOOKUP(Total[[#This Row],[Tecnología]]&amp;Total[[#This Row],[Problema]],TbNombres[Tecnología]&amp;TbNombres[Problema],TbNombres[Nombre])</f>
        <v>Simple Advdiff</v>
      </c>
      <c r="F1460" s="20">
        <v>4</v>
      </c>
      <c r="G1460" s="20">
        <v>1</v>
      </c>
      <c r="H1460" s="20">
        <v>16</v>
      </c>
      <c r="I1460" s="20">
        <v>30000</v>
      </c>
      <c r="J1460" s="20">
        <v>30000</v>
      </c>
      <c r="K1460" s="20">
        <v>24.4651</v>
      </c>
    </row>
    <row r="1461" spans="2:11" x14ac:dyDescent="0.2">
      <c r="B1461" s="26" t="str">
        <f>_xlfn.XLOOKUP(Total[[#This Row],[Metodo]],TbSolver[Metodo],TbSolver[Solver])</f>
        <v>Adams Bashford</v>
      </c>
      <c r="C1461" s="26" t="str">
        <f>_xlfn.XLOOKUP(Total[[#This Row],[Hebras]],TbTecnologia[Hebras],TbTecnologia[Tecnología])</f>
        <v>OMP</v>
      </c>
      <c r="D1461" s="15" t="str" cm="1">
        <f t="array" ref="D1461">_xlfn.XLOOKUP(Total[[#This Row],[Tecnología]]&amp;Total[[#This Row],[Metodo]],TbTipos[Tecnología]&amp;TbTipos[Metodo],TbTipos[Tipo])</f>
        <v>OMP Elementos</v>
      </c>
      <c r="E1461" s="15" t="str" cm="1">
        <f t="array" ref="E1461">_xlfn.XLOOKUP(Total[[#This Row],[Tecnología]]&amp;Total[[#This Row],[Problema]],TbNombres[Tecnología]&amp;TbNombres[Problema],TbNombres[Nombre])</f>
        <v>Simple Advdiff</v>
      </c>
      <c r="F1461" s="20">
        <v>4</v>
      </c>
      <c r="G1461" s="20">
        <v>1</v>
      </c>
      <c r="H1461" s="20">
        <v>1</v>
      </c>
      <c r="I1461" s="20">
        <v>40000</v>
      </c>
      <c r="J1461" s="20">
        <v>40000</v>
      </c>
      <c r="K1461" s="20">
        <v>233.446</v>
      </c>
    </row>
    <row r="1462" spans="2:11" x14ac:dyDescent="0.2">
      <c r="B1462" s="26" t="str">
        <f>_xlfn.XLOOKUP(Total[[#This Row],[Metodo]],TbSolver[Metodo],TbSolver[Solver])</f>
        <v>Adams Bashford</v>
      </c>
      <c r="C1462" s="26" t="str">
        <f>_xlfn.XLOOKUP(Total[[#This Row],[Hebras]],TbTecnologia[Hebras],TbTecnologia[Tecnología])</f>
        <v>OMP</v>
      </c>
      <c r="D1462" s="15" t="str" cm="1">
        <f t="array" ref="D1462">_xlfn.XLOOKUP(Total[[#This Row],[Tecnología]]&amp;Total[[#This Row],[Metodo]],TbTipos[Tecnología]&amp;TbTipos[Metodo],TbTipos[Tipo])</f>
        <v>OMP Elementos</v>
      </c>
      <c r="E1462" s="15" t="str" cm="1">
        <f t="array" ref="E1462">_xlfn.XLOOKUP(Total[[#This Row],[Tecnología]]&amp;Total[[#This Row],[Problema]],TbNombres[Tecnología]&amp;TbNombres[Problema],TbNombres[Nombre])</f>
        <v>Simple Advdiff</v>
      </c>
      <c r="F1462" s="20">
        <v>4</v>
      </c>
      <c r="G1462" s="20">
        <v>1</v>
      </c>
      <c r="H1462" s="20">
        <v>4</v>
      </c>
      <c r="I1462" s="20">
        <v>40000</v>
      </c>
      <c r="J1462" s="20">
        <v>40000</v>
      </c>
      <c r="K1462" s="20">
        <v>59.216700000000003</v>
      </c>
    </row>
    <row r="1463" spans="2:11" x14ac:dyDescent="0.2">
      <c r="B1463" s="26" t="str">
        <f>_xlfn.XLOOKUP(Total[[#This Row],[Metodo]],TbSolver[Metodo],TbSolver[Solver])</f>
        <v>Adams Bashford</v>
      </c>
      <c r="C1463" s="26" t="str">
        <f>_xlfn.XLOOKUP(Total[[#This Row],[Hebras]],TbTecnologia[Hebras],TbTecnologia[Tecnología])</f>
        <v>OMP</v>
      </c>
      <c r="D1463" s="15" t="str" cm="1">
        <f t="array" ref="D1463">_xlfn.XLOOKUP(Total[[#This Row],[Tecnología]]&amp;Total[[#This Row],[Metodo]],TbTipos[Tecnología]&amp;TbTipos[Metodo],TbTipos[Tipo])</f>
        <v>OMP Elementos</v>
      </c>
      <c r="E1463" s="15" t="str" cm="1">
        <f t="array" ref="E1463">_xlfn.XLOOKUP(Total[[#This Row],[Tecnología]]&amp;Total[[#This Row],[Problema]],TbNombres[Tecnología]&amp;TbNombres[Problema],TbNombres[Nombre])</f>
        <v>Simple Advdiff</v>
      </c>
      <c r="F1463" s="20">
        <v>4</v>
      </c>
      <c r="G1463" s="20">
        <v>1</v>
      </c>
      <c r="H1463" s="20">
        <v>16</v>
      </c>
      <c r="I1463" s="20">
        <v>40000</v>
      </c>
      <c r="J1463" s="20">
        <v>40000</v>
      </c>
      <c r="K1463" s="20">
        <v>49.687600000000003</v>
      </c>
    </row>
    <row r="1464" spans="2:11" x14ac:dyDescent="0.2">
      <c r="B1464" s="26" t="str">
        <f>_xlfn.XLOOKUP(Total[[#This Row],[Metodo]],TbSolver[Metodo],TbSolver[Solver])</f>
        <v>Adams Bashford</v>
      </c>
      <c r="C1464" s="26" t="str">
        <f>_xlfn.XLOOKUP(Total[[#This Row],[Hebras]],TbTecnologia[Hebras],TbTecnologia[Tecnología])</f>
        <v>OMP</v>
      </c>
      <c r="D1464" s="15" t="str" cm="1">
        <f t="array" ref="D1464">_xlfn.XLOOKUP(Total[[#This Row],[Tecnología]]&amp;Total[[#This Row],[Metodo]],TbTipos[Tecnología]&amp;TbTipos[Metodo],TbTipos[Tipo])</f>
        <v>OMP Elementos</v>
      </c>
      <c r="E1464" s="15" t="str" cm="1">
        <f t="array" ref="E1464">_xlfn.XLOOKUP(Total[[#This Row],[Tecnología]]&amp;Total[[#This Row],[Problema]],TbNombres[Tecnología]&amp;TbNombres[Problema],TbNombres[Nombre])</f>
        <v>Simple Advdiff</v>
      </c>
      <c r="F1464" s="20">
        <v>4</v>
      </c>
      <c r="G1464" s="20">
        <v>1</v>
      </c>
      <c r="H1464" s="20">
        <v>1</v>
      </c>
      <c r="I1464" s="20">
        <v>50000</v>
      </c>
      <c r="J1464" s="20">
        <v>50000</v>
      </c>
      <c r="K1464" s="20">
        <v>294.63900000000001</v>
      </c>
    </row>
    <row r="1465" spans="2:11" x14ac:dyDescent="0.2">
      <c r="B1465" s="26" t="str">
        <f>_xlfn.XLOOKUP(Total[[#This Row],[Metodo]],TbSolver[Metodo],TbSolver[Solver])</f>
        <v>Adams Bashford</v>
      </c>
      <c r="C1465" s="26" t="str">
        <f>_xlfn.XLOOKUP(Total[[#This Row],[Hebras]],TbTecnologia[Hebras],TbTecnologia[Tecnología])</f>
        <v>OMP</v>
      </c>
      <c r="D1465" s="15" t="str" cm="1">
        <f t="array" ref="D1465">_xlfn.XLOOKUP(Total[[#This Row],[Tecnología]]&amp;Total[[#This Row],[Metodo]],TbTipos[Tecnología]&amp;TbTipos[Metodo],TbTipos[Tipo])</f>
        <v>OMP Elementos</v>
      </c>
      <c r="E1465" s="15" t="str" cm="1">
        <f t="array" ref="E1465">_xlfn.XLOOKUP(Total[[#This Row],[Tecnología]]&amp;Total[[#This Row],[Problema]],TbNombres[Tecnología]&amp;TbNombres[Problema],TbNombres[Nombre])</f>
        <v>Simple Advdiff</v>
      </c>
      <c r="F1465" s="20">
        <v>4</v>
      </c>
      <c r="G1465" s="20">
        <v>1</v>
      </c>
      <c r="H1465" s="20">
        <v>4</v>
      </c>
      <c r="I1465" s="20">
        <v>50000</v>
      </c>
      <c r="J1465" s="20">
        <v>50000</v>
      </c>
      <c r="K1465" s="20">
        <v>72.22</v>
      </c>
    </row>
    <row r="1466" spans="2:11" x14ac:dyDescent="0.2">
      <c r="B1466" s="26" t="str">
        <f>_xlfn.XLOOKUP(Total[[#This Row],[Metodo]],TbSolver[Metodo],TbSolver[Solver])</f>
        <v>Adams Bashford</v>
      </c>
      <c r="C1466" s="26" t="str">
        <f>_xlfn.XLOOKUP(Total[[#This Row],[Hebras]],TbTecnologia[Hebras],TbTecnologia[Tecnología])</f>
        <v>OMP</v>
      </c>
      <c r="D1466" s="15" t="str" cm="1">
        <f t="array" ref="D1466">_xlfn.XLOOKUP(Total[[#This Row],[Tecnología]]&amp;Total[[#This Row],[Metodo]],TbTipos[Tecnología]&amp;TbTipos[Metodo],TbTipos[Tipo])</f>
        <v>OMP Elementos</v>
      </c>
      <c r="E1466" s="15" t="str" cm="1">
        <f t="array" ref="E1466">_xlfn.XLOOKUP(Total[[#This Row],[Tecnología]]&amp;Total[[#This Row],[Problema]],TbNombres[Tecnología]&amp;TbNombres[Problema],TbNombres[Nombre])</f>
        <v>Simple Advdiff</v>
      </c>
      <c r="F1466" s="20">
        <v>4</v>
      </c>
      <c r="G1466" s="20">
        <v>1</v>
      </c>
      <c r="H1466" s="20">
        <v>16</v>
      </c>
      <c r="I1466" s="20">
        <v>50000</v>
      </c>
      <c r="J1466" s="20">
        <v>50000</v>
      </c>
      <c r="K1466" s="20">
        <v>34.569200000000002</v>
      </c>
    </row>
    <row r="1467" spans="2:11" x14ac:dyDescent="0.2">
      <c r="B1467" s="26" t="str">
        <f>_xlfn.XLOOKUP(Total[[#This Row],[Metodo]],TbSolver[Metodo],TbSolver[Solver])</f>
        <v>Adams Bashford</v>
      </c>
      <c r="C1467" s="26" t="str">
        <f>_xlfn.XLOOKUP(Total[[#This Row],[Hebras]],TbTecnologia[Hebras],TbTecnologia[Tecnología])</f>
        <v>OMP</v>
      </c>
      <c r="D1467" s="15" t="str" cm="1">
        <f t="array" ref="D1467">_xlfn.XLOOKUP(Total[[#This Row],[Tecnología]]&amp;Total[[#This Row],[Metodo]],TbTipos[Tecnología]&amp;TbTipos[Metodo],TbTipos[Tipo])</f>
        <v>OMP Elementos</v>
      </c>
      <c r="E1467" s="15" t="str" cm="1">
        <f t="array" ref="E1467">_xlfn.XLOOKUP(Total[[#This Row],[Tecnología]]&amp;Total[[#This Row],[Problema]],TbNombres[Tecnología]&amp;TbNombres[Problema],TbNombres[Nombre])</f>
        <v>Advdiff1d</v>
      </c>
      <c r="F1467" s="20">
        <v>4</v>
      </c>
      <c r="G1467" s="20">
        <v>2</v>
      </c>
      <c r="H1467" s="20">
        <v>1</v>
      </c>
      <c r="I1467" s="20">
        <v>20000</v>
      </c>
      <c r="J1467" s="20">
        <v>20000</v>
      </c>
      <c r="K1467" s="20">
        <v>541.07799999999997</v>
      </c>
    </row>
    <row r="1468" spans="2:11" x14ac:dyDescent="0.2">
      <c r="B1468" s="26" t="str">
        <f>_xlfn.XLOOKUP(Total[[#This Row],[Metodo]],TbSolver[Metodo],TbSolver[Solver])</f>
        <v>Adams Bashford</v>
      </c>
      <c r="C1468" s="26" t="str">
        <f>_xlfn.XLOOKUP(Total[[#This Row],[Hebras]],TbTecnologia[Hebras],TbTecnologia[Tecnología])</f>
        <v>OMP</v>
      </c>
      <c r="D1468" s="15" t="str" cm="1">
        <f t="array" ref="D1468">_xlfn.XLOOKUP(Total[[#This Row],[Tecnología]]&amp;Total[[#This Row],[Metodo]],TbTipos[Tecnología]&amp;TbTipos[Metodo],TbTipos[Tipo])</f>
        <v>OMP Elementos</v>
      </c>
      <c r="E1468" s="15" t="str" cm="1">
        <f t="array" ref="E1468">_xlfn.XLOOKUP(Total[[#This Row],[Tecnología]]&amp;Total[[#This Row],[Problema]],TbNombres[Tecnología]&amp;TbNombres[Problema],TbNombres[Nombre])</f>
        <v>Advdiff1d</v>
      </c>
      <c r="F1468" s="20">
        <v>4</v>
      </c>
      <c r="G1468" s="20">
        <v>2</v>
      </c>
      <c r="H1468" s="20">
        <v>4</v>
      </c>
      <c r="I1468" s="20">
        <v>20000</v>
      </c>
      <c r="J1468" s="20">
        <v>20000</v>
      </c>
      <c r="K1468" s="20">
        <v>153.06700000000001</v>
      </c>
    </row>
    <row r="1469" spans="2:11" x14ac:dyDescent="0.2">
      <c r="B1469" s="26" t="str">
        <f>_xlfn.XLOOKUP(Total[[#This Row],[Metodo]],TbSolver[Metodo],TbSolver[Solver])</f>
        <v>Adams Bashford</v>
      </c>
      <c r="C1469" s="26" t="str">
        <f>_xlfn.XLOOKUP(Total[[#This Row],[Hebras]],TbTecnologia[Hebras],TbTecnologia[Tecnología])</f>
        <v>OMP</v>
      </c>
      <c r="D1469" s="15" t="str" cm="1">
        <f t="array" ref="D1469">_xlfn.XLOOKUP(Total[[#This Row],[Tecnología]]&amp;Total[[#This Row],[Metodo]],TbTipos[Tecnología]&amp;TbTipos[Metodo],TbTipos[Tipo])</f>
        <v>OMP Elementos</v>
      </c>
      <c r="E1469" s="15" t="str" cm="1">
        <f t="array" ref="E1469">_xlfn.XLOOKUP(Total[[#This Row],[Tecnología]]&amp;Total[[#This Row],[Problema]],TbNombres[Tecnología]&amp;TbNombres[Problema],TbNombres[Nombre])</f>
        <v>Advdiff1d</v>
      </c>
      <c r="F1469" s="20">
        <v>4</v>
      </c>
      <c r="G1469" s="20">
        <v>2</v>
      </c>
      <c r="H1469" s="20">
        <v>16</v>
      </c>
      <c r="I1469" s="20">
        <v>20000</v>
      </c>
      <c r="J1469" s="20">
        <v>20000</v>
      </c>
      <c r="K1469" s="20">
        <v>53.909599999999998</v>
      </c>
    </row>
    <row r="1470" spans="2:11" x14ac:dyDescent="0.2">
      <c r="B1470" s="26" t="str">
        <f>_xlfn.XLOOKUP(Total[[#This Row],[Metodo]],TbSolver[Metodo],TbSolver[Solver])</f>
        <v>Adams Bashford</v>
      </c>
      <c r="C1470" s="26" t="str">
        <f>_xlfn.XLOOKUP(Total[[#This Row],[Hebras]],TbTecnologia[Hebras],TbTecnologia[Tecnología])</f>
        <v>OMP</v>
      </c>
      <c r="D1470" s="15" t="str" cm="1">
        <f t="array" ref="D1470">_xlfn.XLOOKUP(Total[[#This Row],[Tecnología]]&amp;Total[[#This Row],[Metodo]],TbTipos[Tecnología]&amp;TbTipos[Metodo],TbTipos[Tipo])</f>
        <v>OMP Elementos</v>
      </c>
      <c r="E1470" s="15" t="str" cm="1">
        <f t="array" ref="E1470">_xlfn.XLOOKUP(Total[[#This Row],[Tecnología]]&amp;Total[[#This Row],[Problema]],TbNombres[Tecnología]&amp;TbNombres[Problema],TbNombres[Nombre])</f>
        <v>Advdiff1d</v>
      </c>
      <c r="F1470" s="20">
        <v>4</v>
      </c>
      <c r="G1470" s="20">
        <v>2</v>
      </c>
      <c r="H1470" s="20">
        <v>1</v>
      </c>
      <c r="I1470" s="20">
        <v>25000</v>
      </c>
      <c r="J1470" s="20">
        <v>25000</v>
      </c>
      <c r="K1470" s="20">
        <v>677.84</v>
      </c>
    </row>
    <row r="1471" spans="2:11" x14ac:dyDescent="0.2">
      <c r="B1471" s="26" t="str">
        <f>_xlfn.XLOOKUP(Total[[#This Row],[Metodo]],TbSolver[Metodo],TbSolver[Solver])</f>
        <v>Adams Bashford</v>
      </c>
      <c r="C1471" s="26" t="str">
        <f>_xlfn.XLOOKUP(Total[[#This Row],[Hebras]],TbTecnologia[Hebras],TbTecnologia[Tecnología])</f>
        <v>OMP</v>
      </c>
      <c r="D1471" s="15" t="str" cm="1">
        <f t="array" ref="D1471">_xlfn.XLOOKUP(Total[[#This Row],[Tecnología]]&amp;Total[[#This Row],[Metodo]],TbTipos[Tecnología]&amp;TbTipos[Metodo],TbTipos[Tipo])</f>
        <v>OMP Elementos</v>
      </c>
      <c r="E1471" s="15" t="str" cm="1">
        <f t="array" ref="E1471">_xlfn.XLOOKUP(Total[[#This Row],[Tecnología]]&amp;Total[[#This Row],[Problema]],TbNombres[Tecnología]&amp;TbNombres[Problema],TbNombres[Nombre])</f>
        <v>Advdiff1d</v>
      </c>
      <c r="F1471" s="20">
        <v>4</v>
      </c>
      <c r="G1471" s="20">
        <v>2</v>
      </c>
      <c r="H1471" s="20">
        <v>4</v>
      </c>
      <c r="I1471" s="20">
        <v>25000</v>
      </c>
      <c r="J1471" s="20">
        <v>25000</v>
      </c>
      <c r="K1471" s="20">
        <v>190.96</v>
      </c>
    </row>
    <row r="1472" spans="2:11" x14ac:dyDescent="0.2">
      <c r="B1472" s="26" t="str">
        <f>_xlfn.XLOOKUP(Total[[#This Row],[Metodo]],TbSolver[Metodo],TbSolver[Solver])</f>
        <v>Adams Bashford</v>
      </c>
      <c r="C1472" s="26" t="str">
        <f>_xlfn.XLOOKUP(Total[[#This Row],[Hebras]],TbTecnologia[Hebras],TbTecnologia[Tecnología])</f>
        <v>OMP</v>
      </c>
      <c r="D1472" s="15" t="str" cm="1">
        <f t="array" ref="D1472">_xlfn.XLOOKUP(Total[[#This Row],[Tecnología]]&amp;Total[[#This Row],[Metodo]],TbTipos[Tecnología]&amp;TbTipos[Metodo],TbTipos[Tipo])</f>
        <v>OMP Elementos</v>
      </c>
      <c r="E1472" s="15" t="str" cm="1">
        <f t="array" ref="E1472">_xlfn.XLOOKUP(Total[[#This Row],[Tecnología]]&amp;Total[[#This Row],[Problema]],TbNombres[Tecnología]&amp;TbNombres[Problema],TbNombres[Nombre])</f>
        <v>Advdiff1d</v>
      </c>
      <c r="F1472" s="20">
        <v>4</v>
      </c>
      <c r="G1472" s="20">
        <v>2</v>
      </c>
      <c r="H1472" s="20">
        <v>16</v>
      </c>
      <c r="I1472" s="20">
        <v>25000</v>
      </c>
      <c r="J1472" s="20">
        <v>25000</v>
      </c>
      <c r="K1472" s="20">
        <v>64.012600000000006</v>
      </c>
    </row>
    <row r="1473" spans="2:11" x14ac:dyDescent="0.2">
      <c r="B1473" s="26" t="str">
        <f>_xlfn.XLOOKUP(Total[[#This Row],[Metodo]],TbSolver[Metodo],TbSolver[Solver])</f>
        <v>Adams Bashford</v>
      </c>
      <c r="C1473" s="26" t="str">
        <f>_xlfn.XLOOKUP(Total[[#This Row],[Hebras]],TbTecnologia[Hebras],TbTecnologia[Tecnología])</f>
        <v>OMP</v>
      </c>
      <c r="D1473" s="15" t="str" cm="1">
        <f t="array" ref="D1473">_xlfn.XLOOKUP(Total[[#This Row],[Tecnología]]&amp;Total[[#This Row],[Metodo]],TbTipos[Tecnología]&amp;TbTipos[Metodo],TbTipos[Tipo])</f>
        <v>OMP Elementos</v>
      </c>
      <c r="E1473" s="15" t="str" cm="1">
        <f t="array" ref="E1473">_xlfn.XLOOKUP(Total[[#This Row],[Tecnología]]&amp;Total[[#This Row],[Problema]],TbNombres[Tecnología]&amp;TbNombres[Problema],TbNombres[Nombre])</f>
        <v>Advdiff1d</v>
      </c>
      <c r="F1473" s="20">
        <v>4</v>
      </c>
      <c r="G1473" s="20">
        <v>2</v>
      </c>
      <c r="H1473" s="20">
        <v>1</v>
      </c>
      <c r="I1473" s="20">
        <v>30000</v>
      </c>
      <c r="J1473" s="20">
        <v>30000</v>
      </c>
      <c r="K1473" s="20">
        <v>818.01</v>
      </c>
    </row>
    <row r="1474" spans="2:11" x14ac:dyDescent="0.2">
      <c r="B1474" s="26" t="str">
        <f>_xlfn.XLOOKUP(Total[[#This Row],[Metodo]],TbSolver[Metodo],TbSolver[Solver])</f>
        <v>Adams Bashford</v>
      </c>
      <c r="C1474" s="26" t="str">
        <f>_xlfn.XLOOKUP(Total[[#This Row],[Hebras]],TbTecnologia[Hebras],TbTecnologia[Tecnología])</f>
        <v>OMP</v>
      </c>
      <c r="D1474" s="15" t="str" cm="1">
        <f t="array" ref="D1474">_xlfn.XLOOKUP(Total[[#This Row],[Tecnología]]&amp;Total[[#This Row],[Metodo]],TbTipos[Tecnología]&amp;TbTipos[Metodo],TbTipos[Tipo])</f>
        <v>OMP Elementos</v>
      </c>
      <c r="E1474" s="15" t="str" cm="1">
        <f t="array" ref="E1474">_xlfn.XLOOKUP(Total[[#This Row],[Tecnología]]&amp;Total[[#This Row],[Problema]],TbNombres[Tecnología]&amp;TbNombres[Problema],TbNombres[Nombre])</f>
        <v>Advdiff1d</v>
      </c>
      <c r="F1474" s="20">
        <v>4</v>
      </c>
      <c r="G1474" s="20">
        <v>2</v>
      </c>
      <c r="H1474" s="20">
        <v>4</v>
      </c>
      <c r="I1474" s="20">
        <v>30000</v>
      </c>
      <c r="J1474" s="20">
        <v>30000</v>
      </c>
      <c r="K1474" s="20">
        <v>228.029</v>
      </c>
    </row>
    <row r="1475" spans="2:11" x14ac:dyDescent="0.2">
      <c r="B1475" s="26" t="str">
        <f>_xlfn.XLOOKUP(Total[[#This Row],[Metodo]],TbSolver[Metodo],TbSolver[Solver])</f>
        <v>Adams Bashford</v>
      </c>
      <c r="C1475" s="26" t="str">
        <f>_xlfn.XLOOKUP(Total[[#This Row],[Hebras]],TbTecnologia[Hebras],TbTecnologia[Tecnología])</f>
        <v>OMP</v>
      </c>
      <c r="D1475" s="15" t="str" cm="1">
        <f t="array" ref="D1475">_xlfn.XLOOKUP(Total[[#This Row],[Tecnología]]&amp;Total[[#This Row],[Metodo]],TbTipos[Tecnología]&amp;TbTipos[Metodo],TbTipos[Tipo])</f>
        <v>OMP Elementos</v>
      </c>
      <c r="E1475" s="15" t="str" cm="1">
        <f t="array" ref="E1475">_xlfn.XLOOKUP(Total[[#This Row],[Tecnología]]&amp;Total[[#This Row],[Problema]],TbNombres[Tecnología]&amp;TbNombres[Problema],TbNombres[Nombre])</f>
        <v>Advdiff1d</v>
      </c>
      <c r="F1475" s="20">
        <v>4</v>
      </c>
      <c r="G1475" s="20">
        <v>2</v>
      </c>
      <c r="H1475" s="20">
        <v>16</v>
      </c>
      <c r="I1475" s="20">
        <v>30000</v>
      </c>
      <c r="J1475" s="20">
        <v>30000</v>
      </c>
      <c r="K1475" s="20">
        <v>73.830500000000001</v>
      </c>
    </row>
    <row r="1476" spans="2:11" x14ac:dyDescent="0.2">
      <c r="B1476" s="26" t="str">
        <f>_xlfn.XLOOKUP(Total[[#This Row],[Metodo]],TbSolver[Metodo],TbSolver[Solver])</f>
        <v>Adams Bashford</v>
      </c>
      <c r="C1476" s="26" t="str">
        <f>_xlfn.XLOOKUP(Total[[#This Row],[Hebras]],TbTecnologia[Hebras],TbTecnologia[Tecnología])</f>
        <v>OMP</v>
      </c>
      <c r="D1476" s="15" t="str" cm="1">
        <f t="array" ref="D1476">_xlfn.XLOOKUP(Total[[#This Row],[Tecnología]]&amp;Total[[#This Row],[Metodo]],TbTipos[Tecnología]&amp;TbTipos[Metodo],TbTipos[Tipo])</f>
        <v>OMP Elementos</v>
      </c>
      <c r="E1476" s="15" t="str" cm="1">
        <f t="array" ref="E1476">_xlfn.XLOOKUP(Total[[#This Row],[Tecnología]]&amp;Total[[#This Row],[Problema]],TbNombres[Tecnología]&amp;TbNombres[Problema],TbNombres[Nombre])</f>
        <v>Advdiff1d</v>
      </c>
      <c r="F1476" s="20">
        <v>4</v>
      </c>
      <c r="G1476" s="20">
        <v>2</v>
      </c>
      <c r="H1476" s="20">
        <v>1</v>
      </c>
      <c r="I1476" s="20">
        <v>40000</v>
      </c>
      <c r="J1476" s="20">
        <v>40000</v>
      </c>
      <c r="K1476" s="20">
        <v>1099.1600000000001</v>
      </c>
    </row>
    <row r="1477" spans="2:11" x14ac:dyDescent="0.2">
      <c r="B1477" s="26" t="str">
        <f>_xlfn.XLOOKUP(Total[[#This Row],[Metodo]],TbSolver[Metodo],TbSolver[Solver])</f>
        <v>Adams Bashford</v>
      </c>
      <c r="C1477" s="26" t="str">
        <f>_xlfn.XLOOKUP(Total[[#This Row],[Hebras]],TbTecnologia[Hebras],TbTecnologia[Tecnología])</f>
        <v>OMP</v>
      </c>
      <c r="D1477" s="15" t="str" cm="1">
        <f t="array" ref="D1477">_xlfn.XLOOKUP(Total[[#This Row],[Tecnología]]&amp;Total[[#This Row],[Metodo]],TbTipos[Tecnología]&amp;TbTipos[Metodo],TbTipos[Tipo])</f>
        <v>OMP Elementos</v>
      </c>
      <c r="E1477" s="15" t="str" cm="1">
        <f t="array" ref="E1477">_xlfn.XLOOKUP(Total[[#This Row],[Tecnología]]&amp;Total[[#This Row],[Problema]],TbNombres[Tecnología]&amp;TbNombres[Problema],TbNombres[Nombre])</f>
        <v>Advdiff1d</v>
      </c>
      <c r="F1477" s="20">
        <v>4</v>
      </c>
      <c r="G1477" s="20">
        <v>2</v>
      </c>
      <c r="H1477" s="20">
        <v>4</v>
      </c>
      <c r="I1477" s="20">
        <v>40000</v>
      </c>
      <c r="J1477" s="20">
        <v>40000</v>
      </c>
      <c r="K1477" s="20">
        <v>304.13099999999997</v>
      </c>
    </row>
    <row r="1478" spans="2:11" x14ac:dyDescent="0.2">
      <c r="B1478" s="26" t="str">
        <f>_xlfn.XLOOKUP(Total[[#This Row],[Metodo]],TbSolver[Metodo],TbSolver[Solver])</f>
        <v>Adams Bashford</v>
      </c>
      <c r="C1478" s="26" t="str">
        <f>_xlfn.XLOOKUP(Total[[#This Row],[Hebras]],TbTecnologia[Hebras],TbTecnologia[Tecnología])</f>
        <v>OMP</v>
      </c>
      <c r="D1478" s="15" t="str" cm="1">
        <f t="array" ref="D1478">_xlfn.XLOOKUP(Total[[#This Row],[Tecnología]]&amp;Total[[#This Row],[Metodo]],TbTipos[Tecnología]&amp;TbTipos[Metodo],TbTipos[Tipo])</f>
        <v>OMP Elementos</v>
      </c>
      <c r="E1478" s="15" t="str" cm="1">
        <f t="array" ref="E1478">_xlfn.XLOOKUP(Total[[#This Row],[Tecnología]]&amp;Total[[#This Row],[Problema]],TbNombres[Tecnología]&amp;TbNombres[Problema],TbNombres[Nombre])</f>
        <v>Advdiff1d</v>
      </c>
      <c r="F1478" s="20">
        <v>4</v>
      </c>
      <c r="G1478" s="20">
        <v>2</v>
      </c>
      <c r="H1478" s="20">
        <v>16</v>
      </c>
      <c r="I1478" s="20">
        <v>40000</v>
      </c>
      <c r="J1478" s="20">
        <v>40000</v>
      </c>
      <c r="K1478" s="20">
        <v>96.131399999999999</v>
      </c>
    </row>
    <row r="1479" spans="2:11" x14ac:dyDescent="0.2">
      <c r="B1479" s="26" t="str">
        <f>_xlfn.XLOOKUP(Total[[#This Row],[Metodo]],TbSolver[Metodo],TbSolver[Solver])</f>
        <v>Adams Bashford</v>
      </c>
      <c r="C1479" s="26" t="str">
        <f>_xlfn.XLOOKUP(Total[[#This Row],[Hebras]],TbTecnologia[Hebras],TbTecnologia[Tecnología])</f>
        <v>OMP</v>
      </c>
      <c r="D1479" s="15" t="str" cm="1">
        <f t="array" ref="D1479">_xlfn.XLOOKUP(Total[[#This Row],[Tecnología]]&amp;Total[[#This Row],[Metodo]],TbTipos[Tecnología]&amp;TbTipos[Metodo],TbTipos[Tipo])</f>
        <v>OMP Elementos</v>
      </c>
      <c r="E1479" s="15" t="str" cm="1">
        <f t="array" ref="E1479">_xlfn.XLOOKUP(Total[[#This Row],[Tecnología]]&amp;Total[[#This Row],[Problema]],TbNombres[Tecnología]&amp;TbNombres[Problema],TbNombres[Nombre])</f>
        <v>Advdiff1d</v>
      </c>
      <c r="F1479" s="20">
        <v>4</v>
      </c>
      <c r="G1479" s="20">
        <v>2</v>
      </c>
      <c r="H1479" s="20">
        <v>1</v>
      </c>
      <c r="I1479" s="20">
        <v>50000</v>
      </c>
      <c r="J1479" s="20">
        <v>50000</v>
      </c>
      <c r="K1479" s="20">
        <v>1380.05</v>
      </c>
    </row>
    <row r="1480" spans="2:11" x14ac:dyDescent="0.2">
      <c r="B1480" s="26" t="str">
        <f>_xlfn.XLOOKUP(Total[[#This Row],[Metodo]],TbSolver[Metodo],TbSolver[Solver])</f>
        <v>Adams Bashford</v>
      </c>
      <c r="C1480" s="26" t="str">
        <f>_xlfn.XLOOKUP(Total[[#This Row],[Hebras]],TbTecnologia[Hebras],TbTecnologia[Tecnología])</f>
        <v>OMP</v>
      </c>
      <c r="D1480" s="15" t="str" cm="1">
        <f t="array" ref="D1480">_xlfn.XLOOKUP(Total[[#This Row],[Tecnología]]&amp;Total[[#This Row],[Metodo]],TbTipos[Tecnología]&amp;TbTipos[Metodo],TbTipos[Tipo])</f>
        <v>OMP Elementos</v>
      </c>
      <c r="E1480" s="15" t="str" cm="1">
        <f t="array" ref="E1480">_xlfn.XLOOKUP(Total[[#This Row],[Tecnología]]&amp;Total[[#This Row],[Problema]],TbNombres[Tecnología]&amp;TbNombres[Problema],TbNombres[Nombre])</f>
        <v>Advdiff1d</v>
      </c>
      <c r="F1480" s="20">
        <v>4</v>
      </c>
      <c r="G1480" s="20">
        <v>2</v>
      </c>
      <c r="H1480" s="20">
        <v>4</v>
      </c>
      <c r="I1480" s="20">
        <v>50000</v>
      </c>
      <c r="J1480" s="20">
        <v>50000</v>
      </c>
      <c r="K1480" s="20">
        <v>379.87900000000002</v>
      </c>
    </row>
    <row r="1481" spans="2:11" x14ac:dyDescent="0.2">
      <c r="B1481" s="26" t="str">
        <f>_xlfn.XLOOKUP(Total[[#This Row],[Metodo]],TbSolver[Metodo],TbSolver[Solver])</f>
        <v>Adams Bashford</v>
      </c>
      <c r="C1481" s="26" t="str">
        <f>_xlfn.XLOOKUP(Total[[#This Row],[Hebras]],TbTecnologia[Hebras],TbTecnologia[Tecnología])</f>
        <v>OMP</v>
      </c>
      <c r="D1481" s="15" t="str" cm="1">
        <f t="array" ref="D1481">_xlfn.XLOOKUP(Total[[#This Row],[Tecnología]]&amp;Total[[#This Row],[Metodo]],TbTipos[Tecnología]&amp;TbTipos[Metodo],TbTipos[Tipo])</f>
        <v>OMP Elementos</v>
      </c>
      <c r="E1481" s="15" t="str" cm="1">
        <f t="array" ref="E1481">_xlfn.XLOOKUP(Total[[#This Row],[Tecnología]]&amp;Total[[#This Row],[Problema]],TbNombres[Tecnología]&amp;TbNombres[Problema],TbNombres[Nombre])</f>
        <v>Advdiff1d</v>
      </c>
      <c r="F1481" s="20">
        <v>4</v>
      </c>
      <c r="G1481" s="20">
        <v>2</v>
      </c>
      <c r="H1481" s="20">
        <v>16</v>
      </c>
      <c r="I1481" s="20">
        <v>50000</v>
      </c>
      <c r="J1481" s="20">
        <v>50000</v>
      </c>
      <c r="K1481" s="20">
        <v>127.208</v>
      </c>
    </row>
    <row r="1482" spans="2:11" x14ac:dyDescent="0.2">
      <c r="B1482" s="26" t="str">
        <f>_xlfn.XLOOKUP(Total[[#This Row],[Metodo]],TbSolver[Metodo],TbSolver[Solver])</f>
        <v>Adams Bashford</v>
      </c>
      <c r="C1482" s="26" t="str">
        <f>_xlfn.XLOOKUP(Total[[#This Row],[Hebras]],TbTecnologia[Hebras],TbTecnologia[Tecnología])</f>
        <v>OMP</v>
      </c>
      <c r="D1482" s="15" t="str" cm="1">
        <f t="array" ref="D1482">_xlfn.XLOOKUP(Total[[#This Row],[Tecnología]]&amp;Total[[#This Row],[Metodo]],TbTipos[Tecnología]&amp;TbTipos[Metodo],TbTipos[Tipo])</f>
        <v>OMP Elementos</v>
      </c>
      <c r="E1482" s="15" t="str" cm="1">
        <f t="array" ref="E1482">_xlfn.XLOOKUP(Total[[#This Row],[Tecnología]]&amp;Total[[#This Row],[Problema]],TbNombres[Tecnología]&amp;TbNombres[Problema],TbNombres[Nombre])</f>
        <v>Brusselator1d</v>
      </c>
      <c r="F1482" s="20">
        <v>4</v>
      </c>
      <c r="G1482" s="20">
        <v>3</v>
      </c>
      <c r="H1482" s="20">
        <v>1</v>
      </c>
      <c r="I1482" s="20">
        <v>20000</v>
      </c>
      <c r="J1482" s="20">
        <v>40000</v>
      </c>
      <c r="K1482" s="20">
        <v>277.84800000000001</v>
      </c>
    </row>
    <row r="1483" spans="2:11" x14ac:dyDescent="0.2">
      <c r="B1483" s="26" t="str">
        <f>_xlfn.XLOOKUP(Total[[#This Row],[Metodo]],TbSolver[Metodo],TbSolver[Solver])</f>
        <v>Adams Bashford</v>
      </c>
      <c r="C1483" s="26" t="str">
        <f>_xlfn.XLOOKUP(Total[[#This Row],[Hebras]],TbTecnologia[Hebras],TbTecnologia[Tecnología])</f>
        <v>OMP</v>
      </c>
      <c r="D1483" s="15" t="str" cm="1">
        <f t="array" ref="D1483">_xlfn.XLOOKUP(Total[[#This Row],[Tecnología]]&amp;Total[[#This Row],[Metodo]],TbTipos[Tecnología]&amp;TbTipos[Metodo],TbTipos[Tipo])</f>
        <v>OMP Elementos</v>
      </c>
      <c r="E1483" s="15" t="str" cm="1">
        <f t="array" ref="E1483">_xlfn.XLOOKUP(Total[[#This Row],[Tecnología]]&amp;Total[[#This Row],[Problema]],TbNombres[Tecnología]&amp;TbNombres[Problema],TbNombres[Nombre])</f>
        <v>Brusselator1d</v>
      </c>
      <c r="F1483" s="20">
        <v>4</v>
      </c>
      <c r="G1483" s="20">
        <v>3</v>
      </c>
      <c r="H1483" s="20">
        <v>4</v>
      </c>
      <c r="I1483" s="20">
        <v>20000</v>
      </c>
      <c r="J1483" s="20">
        <v>40000</v>
      </c>
      <c r="K1483" s="20">
        <v>70.881100000000004</v>
      </c>
    </row>
    <row r="1484" spans="2:11" x14ac:dyDescent="0.2">
      <c r="B1484" s="26" t="str">
        <f>_xlfn.XLOOKUP(Total[[#This Row],[Metodo]],TbSolver[Metodo],TbSolver[Solver])</f>
        <v>Adams Bashford</v>
      </c>
      <c r="C1484" s="26" t="str">
        <f>_xlfn.XLOOKUP(Total[[#This Row],[Hebras]],TbTecnologia[Hebras],TbTecnologia[Tecnología])</f>
        <v>OMP</v>
      </c>
      <c r="D1484" s="15" t="str" cm="1">
        <f t="array" ref="D1484">_xlfn.XLOOKUP(Total[[#This Row],[Tecnología]]&amp;Total[[#This Row],[Metodo]],TbTipos[Tecnología]&amp;TbTipos[Metodo],TbTipos[Tipo])</f>
        <v>OMP Elementos</v>
      </c>
      <c r="E1484" s="15" t="str" cm="1">
        <f t="array" ref="E1484">_xlfn.XLOOKUP(Total[[#This Row],[Tecnología]]&amp;Total[[#This Row],[Problema]],TbNombres[Tecnología]&amp;TbNombres[Problema],TbNombres[Nombre])</f>
        <v>Brusselator1d</v>
      </c>
      <c r="F1484" s="20">
        <v>4</v>
      </c>
      <c r="G1484" s="20">
        <v>3</v>
      </c>
      <c r="H1484" s="20">
        <v>16</v>
      </c>
      <c r="I1484" s="20">
        <v>20000</v>
      </c>
      <c r="J1484" s="20">
        <v>40000</v>
      </c>
      <c r="K1484" s="20">
        <v>30.840499999999999</v>
      </c>
    </row>
    <row r="1485" spans="2:11" x14ac:dyDescent="0.2">
      <c r="B1485" s="26" t="str">
        <f>_xlfn.XLOOKUP(Total[[#This Row],[Metodo]],TbSolver[Metodo],TbSolver[Solver])</f>
        <v>Adams Bashford</v>
      </c>
      <c r="C1485" s="26" t="str">
        <f>_xlfn.XLOOKUP(Total[[#This Row],[Hebras]],TbTecnologia[Hebras],TbTecnologia[Tecnología])</f>
        <v>OMP</v>
      </c>
      <c r="D1485" s="15" t="str" cm="1">
        <f t="array" ref="D1485">_xlfn.XLOOKUP(Total[[#This Row],[Tecnología]]&amp;Total[[#This Row],[Metodo]],TbTipos[Tecnología]&amp;TbTipos[Metodo],TbTipos[Tipo])</f>
        <v>OMP Elementos</v>
      </c>
      <c r="E1485" s="15" t="str" cm="1">
        <f t="array" ref="E1485">_xlfn.XLOOKUP(Total[[#This Row],[Tecnología]]&amp;Total[[#This Row],[Problema]],TbNombres[Tecnología]&amp;TbNombres[Problema],TbNombres[Nombre])</f>
        <v>Brusselator1d</v>
      </c>
      <c r="F1485" s="20">
        <v>4</v>
      </c>
      <c r="G1485" s="20">
        <v>3</v>
      </c>
      <c r="H1485" s="20">
        <v>1</v>
      </c>
      <c r="I1485" s="20">
        <v>25000</v>
      </c>
      <c r="J1485" s="20">
        <v>50000</v>
      </c>
      <c r="K1485" s="20">
        <v>351.197</v>
      </c>
    </row>
    <row r="1486" spans="2:11" x14ac:dyDescent="0.2">
      <c r="B1486" s="26" t="str">
        <f>_xlfn.XLOOKUP(Total[[#This Row],[Metodo]],TbSolver[Metodo],TbSolver[Solver])</f>
        <v>Adams Bashford</v>
      </c>
      <c r="C1486" s="26" t="str">
        <f>_xlfn.XLOOKUP(Total[[#This Row],[Hebras]],TbTecnologia[Hebras],TbTecnologia[Tecnología])</f>
        <v>OMP</v>
      </c>
      <c r="D1486" s="15" t="str" cm="1">
        <f t="array" ref="D1486">_xlfn.XLOOKUP(Total[[#This Row],[Tecnología]]&amp;Total[[#This Row],[Metodo]],TbTipos[Tecnología]&amp;TbTipos[Metodo],TbTipos[Tipo])</f>
        <v>OMP Elementos</v>
      </c>
      <c r="E1486" s="15" t="str" cm="1">
        <f t="array" ref="E1486">_xlfn.XLOOKUP(Total[[#This Row],[Tecnología]]&amp;Total[[#This Row],[Problema]],TbNombres[Tecnología]&amp;TbNombres[Problema],TbNombres[Nombre])</f>
        <v>Brusselator1d</v>
      </c>
      <c r="F1486" s="20">
        <v>4</v>
      </c>
      <c r="G1486" s="20">
        <v>3</v>
      </c>
      <c r="H1486" s="20">
        <v>4</v>
      </c>
      <c r="I1486" s="20">
        <v>25000</v>
      </c>
      <c r="J1486" s="20">
        <v>50000</v>
      </c>
      <c r="K1486" s="20">
        <v>87.523300000000006</v>
      </c>
    </row>
    <row r="1487" spans="2:11" x14ac:dyDescent="0.2">
      <c r="B1487" s="26" t="str">
        <f>_xlfn.XLOOKUP(Total[[#This Row],[Metodo]],TbSolver[Metodo],TbSolver[Solver])</f>
        <v>Adams Bashford</v>
      </c>
      <c r="C1487" s="26" t="str">
        <f>_xlfn.XLOOKUP(Total[[#This Row],[Hebras]],TbTecnologia[Hebras],TbTecnologia[Tecnología])</f>
        <v>OMP</v>
      </c>
      <c r="D1487" s="15" t="str" cm="1">
        <f t="array" ref="D1487">_xlfn.XLOOKUP(Total[[#This Row],[Tecnología]]&amp;Total[[#This Row],[Metodo]],TbTipos[Tecnología]&amp;TbTipos[Metodo],TbTipos[Tipo])</f>
        <v>OMP Elementos</v>
      </c>
      <c r="E1487" s="15" t="str" cm="1">
        <f t="array" ref="E1487">_xlfn.XLOOKUP(Total[[#This Row],[Tecnología]]&amp;Total[[#This Row],[Problema]],TbNombres[Tecnología]&amp;TbNombres[Problema],TbNombres[Nombre])</f>
        <v>Brusselator1d</v>
      </c>
      <c r="F1487" s="20">
        <v>4</v>
      </c>
      <c r="G1487" s="20">
        <v>3</v>
      </c>
      <c r="H1487" s="20">
        <v>16</v>
      </c>
      <c r="I1487" s="20">
        <v>25000</v>
      </c>
      <c r="J1487" s="20">
        <v>50000</v>
      </c>
      <c r="K1487" s="20">
        <v>79.791200000000003</v>
      </c>
    </row>
    <row r="1488" spans="2:11" x14ac:dyDescent="0.2">
      <c r="B1488" s="26" t="str">
        <f>_xlfn.XLOOKUP(Total[[#This Row],[Metodo]],TbSolver[Metodo],TbSolver[Solver])</f>
        <v>Adams Bashford</v>
      </c>
      <c r="C1488" s="26" t="str">
        <f>_xlfn.XLOOKUP(Total[[#This Row],[Hebras]],TbTecnologia[Hebras],TbTecnologia[Tecnología])</f>
        <v>OMP</v>
      </c>
      <c r="D1488" s="15" t="str" cm="1">
        <f t="array" ref="D1488">_xlfn.XLOOKUP(Total[[#This Row],[Tecnología]]&amp;Total[[#This Row],[Metodo]],TbTipos[Tecnología]&amp;TbTipos[Metodo],TbTipos[Tipo])</f>
        <v>OMP Elementos</v>
      </c>
      <c r="E1488" s="15" t="str" cm="1">
        <f t="array" ref="E1488">_xlfn.XLOOKUP(Total[[#This Row],[Tecnología]]&amp;Total[[#This Row],[Problema]],TbNombres[Tecnología]&amp;TbNombres[Problema],TbNombres[Nombre])</f>
        <v>Brusselator1d</v>
      </c>
      <c r="F1488" s="20">
        <v>4</v>
      </c>
      <c r="G1488" s="20">
        <v>3</v>
      </c>
      <c r="H1488" s="20">
        <v>1</v>
      </c>
      <c r="I1488" s="20">
        <v>30000</v>
      </c>
      <c r="J1488" s="20">
        <v>60000</v>
      </c>
      <c r="K1488" s="20">
        <v>423.39</v>
      </c>
    </row>
    <row r="1489" spans="2:11" x14ac:dyDescent="0.2">
      <c r="B1489" s="26" t="str">
        <f>_xlfn.XLOOKUP(Total[[#This Row],[Metodo]],TbSolver[Metodo],TbSolver[Solver])</f>
        <v>Adams Bashford</v>
      </c>
      <c r="C1489" s="26" t="str">
        <f>_xlfn.XLOOKUP(Total[[#This Row],[Hebras]],TbTecnologia[Hebras],TbTecnologia[Tecnología])</f>
        <v>OMP</v>
      </c>
      <c r="D1489" s="15" t="str" cm="1">
        <f t="array" ref="D1489">_xlfn.XLOOKUP(Total[[#This Row],[Tecnología]]&amp;Total[[#This Row],[Metodo]],TbTipos[Tecnología]&amp;TbTipos[Metodo],TbTipos[Tipo])</f>
        <v>OMP Elementos</v>
      </c>
      <c r="E1489" s="15" t="str" cm="1">
        <f t="array" ref="E1489">_xlfn.XLOOKUP(Total[[#This Row],[Tecnología]]&amp;Total[[#This Row],[Problema]],TbNombres[Tecnología]&amp;TbNombres[Problema],TbNombres[Nombre])</f>
        <v>Brusselator1d</v>
      </c>
      <c r="F1489" s="20">
        <v>4</v>
      </c>
      <c r="G1489" s="20">
        <v>3</v>
      </c>
      <c r="H1489" s="20">
        <v>4</v>
      </c>
      <c r="I1489" s="20">
        <v>30000</v>
      </c>
      <c r="J1489" s="20">
        <v>60000</v>
      </c>
      <c r="K1489" s="20">
        <v>104.877</v>
      </c>
    </row>
    <row r="1490" spans="2:11" x14ac:dyDescent="0.2">
      <c r="B1490" s="26" t="str">
        <f>_xlfn.XLOOKUP(Total[[#This Row],[Metodo]],TbSolver[Metodo],TbSolver[Solver])</f>
        <v>Adams Bashford</v>
      </c>
      <c r="C1490" s="26" t="str">
        <f>_xlfn.XLOOKUP(Total[[#This Row],[Hebras]],TbTecnologia[Hebras],TbTecnologia[Tecnología])</f>
        <v>OMP</v>
      </c>
      <c r="D1490" s="15" t="str" cm="1">
        <f t="array" ref="D1490">_xlfn.XLOOKUP(Total[[#This Row],[Tecnología]]&amp;Total[[#This Row],[Metodo]],TbTipos[Tecnología]&amp;TbTipos[Metodo],TbTipos[Tipo])</f>
        <v>OMP Elementos</v>
      </c>
      <c r="E1490" s="15" t="str" cm="1">
        <f t="array" ref="E1490">_xlfn.XLOOKUP(Total[[#This Row],[Tecnología]]&amp;Total[[#This Row],[Problema]],TbNombres[Tecnología]&amp;TbNombres[Problema],TbNombres[Nombre])</f>
        <v>Brusselator1d</v>
      </c>
      <c r="F1490" s="20">
        <v>4</v>
      </c>
      <c r="G1490" s="20">
        <v>3</v>
      </c>
      <c r="H1490" s="20">
        <v>16</v>
      </c>
      <c r="I1490" s="20">
        <v>30000</v>
      </c>
      <c r="J1490" s="20">
        <v>60000</v>
      </c>
      <c r="K1490" s="20">
        <v>46.206200000000003</v>
      </c>
    </row>
    <row r="1491" spans="2:11" x14ac:dyDescent="0.2">
      <c r="B1491" s="26" t="str">
        <f>_xlfn.XLOOKUP(Total[[#This Row],[Metodo]],TbSolver[Metodo],TbSolver[Solver])</f>
        <v>Adams Bashford</v>
      </c>
      <c r="C1491" s="26" t="str">
        <f>_xlfn.XLOOKUP(Total[[#This Row],[Hebras]],TbTecnologia[Hebras],TbTecnologia[Tecnología])</f>
        <v>OMP</v>
      </c>
      <c r="D1491" s="15" t="str" cm="1">
        <f t="array" ref="D1491">_xlfn.XLOOKUP(Total[[#This Row],[Tecnología]]&amp;Total[[#This Row],[Metodo]],TbTipos[Tecnología]&amp;TbTipos[Metodo],TbTipos[Tipo])</f>
        <v>OMP Elementos</v>
      </c>
      <c r="E1491" s="15" t="str" cm="1">
        <f t="array" ref="E1491">_xlfn.XLOOKUP(Total[[#This Row],[Tecnología]]&amp;Total[[#This Row],[Problema]],TbNombres[Tecnología]&amp;TbNombres[Problema],TbNombres[Nombre])</f>
        <v>Brusselator1d</v>
      </c>
      <c r="F1491" s="20">
        <v>4</v>
      </c>
      <c r="G1491" s="20">
        <v>3</v>
      </c>
      <c r="H1491" s="20">
        <v>1</v>
      </c>
      <c r="I1491" s="20">
        <v>40000</v>
      </c>
      <c r="J1491" s="20">
        <v>80000</v>
      </c>
      <c r="K1491" s="20">
        <v>568.14400000000001</v>
      </c>
    </row>
    <row r="1492" spans="2:11" x14ac:dyDescent="0.2">
      <c r="B1492" s="26" t="str">
        <f>_xlfn.XLOOKUP(Total[[#This Row],[Metodo]],TbSolver[Metodo],TbSolver[Solver])</f>
        <v>Adams Bashford</v>
      </c>
      <c r="C1492" s="26" t="str">
        <f>_xlfn.XLOOKUP(Total[[#This Row],[Hebras]],TbTecnologia[Hebras],TbTecnologia[Tecnología])</f>
        <v>OMP</v>
      </c>
      <c r="D1492" s="15" t="str" cm="1">
        <f t="array" ref="D1492">_xlfn.XLOOKUP(Total[[#This Row],[Tecnología]]&amp;Total[[#This Row],[Metodo]],TbTipos[Tecnología]&amp;TbTipos[Metodo],TbTipos[Tipo])</f>
        <v>OMP Elementos</v>
      </c>
      <c r="E1492" s="15" t="str" cm="1">
        <f t="array" ref="E1492">_xlfn.XLOOKUP(Total[[#This Row],[Tecnología]]&amp;Total[[#This Row],[Problema]],TbNombres[Tecnología]&amp;TbNombres[Problema],TbNombres[Nombre])</f>
        <v>Brusselator1d</v>
      </c>
      <c r="F1492" s="20">
        <v>4</v>
      </c>
      <c r="G1492" s="20">
        <v>3</v>
      </c>
      <c r="H1492" s="20">
        <v>4</v>
      </c>
      <c r="I1492" s="20">
        <v>40000</v>
      </c>
      <c r="J1492" s="20">
        <v>80000</v>
      </c>
      <c r="K1492" s="20">
        <v>139.6</v>
      </c>
    </row>
    <row r="1493" spans="2:11" x14ac:dyDescent="0.2">
      <c r="B1493" s="26" t="str">
        <f>_xlfn.XLOOKUP(Total[[#This Row],[Metodo]],TbSolver[Metodo],TbSolver[Solver])</f>
        <v>Adams Bashford</v>
      </c>
      <c r="C1493" s="26" t="str">
        <f>_xlfn.XLOOKUP(Total[[#This Row],[Hebras]],TbTecnologia[Hebras],TbTecnologia[Tecnología])</f>
        <v>OMP</v>
      </c>
      <c r="D1493" s="15" t="str" cm="1">
        <f t="array" ref="D1493">_xlfn.XLOOKUP(Total[[#This Row],[Tecnología]]&amp;Total[[#This Row],[Metodo]],TbTipos[Tecnología]&amp;TbTipos[Metodo],TbTipos[Tipo])</f>
        <v>OMP Elementos</v>
      </c>
      <c r="E1493" s="15" t="str" cm="1">
        <f t="array" ref="E1493">_xlfn.XLOOKUP(Total[[#This Row],[Tecnología]]&amp;Total[[#This Row],[Problema]],TbNombres[Tecnología]&amp;TbNombres[Problema],TbNombres[Nombre])</f>
        <v>Brusselator1d</v>
      </c>
      <c r="F1493" s="20">
        <v>4</v>
      </c>
      <c r="G1493" s="20">
        <v>3</v>
      </c>
      <c r="H1493" s="20">
        <v>16</v>
      </c>
      <c r="I1493" s="20">
        <v>40000</v>
      </c>
      <c r="J1493" s="20">
        <v>80000</v>
      </c>
      <c r="K1493" s="20">
        <v>47.822000000000003</v>
      </c>
    </row>
    <row r="1494" spans="2:11" x14ac:dyDescent="0.2">
      <c r="B1494" s="26" t="str">
        <f>_xlfn.XLOOKUP(Total[[#This Row],[Metodo]],TbSolver[Metodo],TbSolver[Solver])</f>
        <v>Adams Bashford</v>
      </c>
      <c r="C1494" s="26" t="str">
        <f>_xlfn.XLOOKUP(Total[[#This Row],[Hebras]],TbTecnologia[Hebras],TbTecnologia[Tecnología])</f>
        <v>OMP</v>
      </c>
      <c r="D1494" s="15" t="str" cm="1">
        <f t="array" ref="D1494">_xlfn.XLOOKUP(Total[[#This Row],[Tecnología]]&amp;Total[[#This Row],[Metodo]],TbTipos[Tecnología]&amp;TbTipos[Metodo],TbTipos[Tipo])</f>
        <v>OMP Elementos</v>
      </c>
      <c r="E1494" s="15" t="str" cm="1">
        <f t="array" ref="E1494">_xlfn.XLOOKUP(Total[[#This Row],[Tecnología]]&amp;Total[[#This Row],[Problema]],TbNombres[Tecnología]&amp;TbNombres[Problema],TbNombres[Nombre])</f>
        <v>Brusselator1d</v>
      </c>
      <c r="F1494" s="20">
        <v>4</v>
      </c>
      <c r="G1494" s="20">
        <v>3</v>
      </c>
      <c r="H1494" s="20">
        <v>1</v>
      </c>
      <c r="I1494" s="20">
        <v>50000</v>
      </c>
      <c r="J1494" s="20">
        <v>100000</v>
      </c>
      <c r="K1494" s="20">
        <v>707.63400000000001</v>
      </c>
    </row>
    <row r="1495" spans="2:11" x14ac:dyDescent="0.2">
      <c r="B1495" s="26" t="str">
        <f>_xlfn.XLOOKUP(Total[[#This Row],[Metodo]],TbSolver[Metodo],TbSolver[Solver])</f>
        <v>Adams Bashford</v>
      </c>
      <c r="C1495" s="26" t="str">
        <f>_xlfn.XLOOKUP(Total[[#This Row],[Hebras]],TbTecnologia[Hebras],TbTecnologia[Tecnología])</f>
        <v>OMP</v>
      </c>
      <c r="D1495" s="15" t="str" cm="1">
        <f t="array" ref="D1495">_xlfn.XLOOKUP(Total[[#This Row],[Tecnología]]&amp;Total[[#This Row],[Metodo]],TbTipos[Tecnología]&amp;TbTipos[Metodo],TbTipos[Tipo])</f>
        <v>OMP Elementos</v>
      </c>
      <c r="E1495" s="15" t="str" cm="1">
        <f t="array" ref="E1495">_xlfn.XLOOKUP(Total[[#This Row],[Tecnología]]&amp;Total[[#This Row],[Problema]],TbNombres[Tecnología]&amp;TbNombres[Problema],TbNombres[Nombre])</f>
        <v>Brusselator1d</v>
      </c>
      <c r="F1495" s="20">
        <v>4</v>
      </c>
      <c r="G1495" s="20">
        <v>3</v>
      </c>
      <c r="H1495" s="20">
        <v>4</v>
      </c>
      <c r="I1495" s="20">
        <v>50000</v>
      </c>
      <c r="J1495" s="20">
        <v>100000</v>
      </c>
      <c r="K1495" s="20">
        <v>179.559</v>
      </c>
    </row>
    <row r="1496" spans="2:11" x14ac:dyDescent="0.2">
      <c r="B1496" s="26" t="str">
        <f>_xlfn.XLOOKUP(Total[[#This Row],[Metodo]],TbSolver[Metodo],TbSolver[Solver])</f>
        <v>Adams Bashford</v>
      </c>
      <c r="C1496" s="26" t="str">
        <f>_xlfn.XLOOKUP(Total[[#This Row],[Hebras]],TbTecnologia[Hebras],TbTecnologia[Tecnología])</f>
        <v>OMP</v>
      </c>
      <c r="D1496" s="15" t="str" cm="1">
        <f t="array" ref="D1496">_xlfn.XLOOKUP(Total[[#This Row],[Tecnología]]&amp;Total[[#This Row],[Metodo]],TbTipos[Tecnología]&amp;TbTipos[Metodo],TbTipos[Tipo])</f>
        <v>OMP Elementos</v>
      </c>
      <c r="E1496" s="15" t="str" cm="1">
        <f t="array" ref="E1496">_xlfn.XLOOKUP(Total[[#This Row],[Tecnología]]&amp;Total[[#This Row],[Problema]],TbNombres[Tecnología]&amp;TbNombres[Problema],TbNombres[Nombre])</f>
        <v>Brusselator1d</v>
      </c>
      <c r="F1496" s="20">
        <v>4</v>
      </c>
      <c r="G1496" s="20">
        <v>3</v>
      </c>
      <c r="H1496" s="20">
        <v>16</v>
      </c>
      <c r="I1496" s="20">
        <v>50000</v>
      </c>
      <c r="J1496" s="20">
        <v>100000</v>
      </c>
      <c r="K1496" s="20">
        <v>56.517400000000002</v>
      </c>
    </row>
    <row r="1497" spans="2:11" x14ac:dyDescent="0.2">
      <c r="B1497" s="26" t="str">
        <f>_xlfn.XLOOKUP(Total[[#This Row],[Metodo]],TbSolver[Metodo],TbSolver[Solver])</f>
        <v>Adams Bashford Moulton</v>
      </c>
      <c r="C1497" s="26" t="str">
        <f>_xlfn.XLOOKUP(Total[[#This Row],[Hebras]],TbTecnologia[Hebras],TbTecnologia[Tecnología])</f>
        <v>OMP</v>
      </c>
      <c r="D1497" s="15" t="str" cm="1">
        <f t="array" ref="D1497">_xlfn.XLOOKUP(Total[[#This Row],[Tecnología]]&amp;Total[[#This Row],[Metodo]],TbTipos[Tecnología]&amp;TbTipos[Metodo],TbTipos[Tipo])</f>
        <v>OMP Operaciones</v>
      </c>
      <c r="E1497" s="15" t="str" cm="1">
        <f t="array" ref="E1497">_xlfn.XLOOKUP(Total[[#This Row],[Tecnología]]&amp;Total[[#This Row],[Problema]],TbNombres[Tecnología]&amp;TbNombres[Problema],TbNombres[Nombre])</f>
        <v>Simple Advdiff</v>
      </c>
      <c r="F1497" s="20">
        <v>5</v>
      </c>
      <c r="G1497" s="20">
        <v>1</v>
      </c>
      <c r="H1497" s="20">
        <v>1</v>
      </c>
      <c r="I1497" s="20">
        <v>20000</v>
      </c>
      <c r="J1497" s="20">
        <v>20000</v>
      </c>
      <c r="K1497" s="20">
        <v>173.12100000000001</v>
      </c>
    </row>
    <row r="1498" spans="2:11" x14ac:dyDescent="0.2">
      <c r="B1498" s="26" t="str">
        <f>_xlfn.XLOOKUP(Total[[#This Row],[Metodo]],TbSolver[Metodo],TbSolver[Solver])</f>
        <v>Adams Bashford Moulton</v>
      </c>
      <c r="C1498" s="26" t="str">
        <f>_xlfn.XLOOKUP(Total[[#This Row],[Hebras]],TbTecnologia[Hebras],TbTecnologia[Tecnología])</f>
        <v>OMP</v>
      </c>
      <c r="D1498" s="15" t="str" cm="1">
        <f t="array" ref="D1498">_xlfn.XLOOKUP(Total[[#This Row],[Tecnología]]&amp;Total[[#This Row],[Metodo]],TbTipos[Tecnología]&amp;TbTipos[Metodo],TbTipos[Tipo])</f>
        <v>OMP Operaciones</v>
      </c>
      <c r="E1498" s="15" t="str" cm="1">
        <f t="array" ref="E1498">_xlfn.XLOOKUP(Total[[#This Row],[Tecnología]]&amp;Total[[#This Row],[Problema]],TbNombres[Tecnología]&amp;TbNombres[Problema],TbNombres[Nombre])</f>
        <v>Simple Advdiff</v>
      </c>
      <c r="F1498" s="20">
        <v>5</v>
      </c>
      <c r="G1498" s="20">
        <v>1</v>
      </c>
      <c r="H1498" s="20">
        <v>4</v>
      </c>
      <c r="I1498" s="20">
        <v>20000</v>
      </c>
      <c r="J1498" s="20">
        <v>20000</v>
      </c>
      <c r="K1498" s="20">
        <v>79.851100000000002</v>
      </c>
    </row>
    <row r="1499" spans="2:11" x14ac:dyDescent="0.2">
      <c r="B1499" s="26" t="str">
        <f>_xlfn.XLOOKUP(Total[[#This Row],[Metodo]],TbSolver[Metodo],TbSolver[Solver])</f>
        <v>Adams Bashford Moulton</v>
      </c>
      <c r="C1499" s="26" t="str">
        <f>_xlfn.XLOOKUP(Total[[#This Row],[Hebras]],TbTecnologia[Hebras],TbTecnologia[Tecnología])</f>
        <v>OMP</v>
      </c>
      <c r="D1499" s="15" t="str" cm="1">
        <f t="array" ref="D1499">_xlfn.XLOOKUP(Total[[#This Row],[Tecnología]]&amp;Total[[#This Row],[Metodo]],TbTipos[Tecnología]&amp;TbTipos[Metodo],TbTipos[Tipo])</f>
        <v>OMP Operaciones</v>
      </c>
      <c r="E1499" s="15" t="str" cm="1">
        <f t="array" ref="E1499">_xlfn.XLOOKUP(Total[[#This Row],[Tecnología]]&amp;Total[[#This Row],[Problema]],TbNombres[Tecnología]&amp;TbNombres[Problema],TbNombres[Nombre])</f>
        <v>Simple Advdiff</v>
      </c>
      <c r="F1499" s="20">
        <v>5</v>
      </c>
      <c r="G1499" s="20">
        <v>1</v>
      </c>
      <c r="H1499" s="20">
        <v>16</v>
      </c>
      <c r="I1499" s="20">
        <v>20000</v>
      </c>
      <c r="J1499" s="20">
        <v>20000</v>
      </c>
      <c r="K1499" s="20">
        <v>122.288</v>
      </c>
    </row>
    <row r="1500" spans="2:11" x14ac:dyDescent="0.2">
      <c r="B1500" s="26" t="str">
        <f>_xlfn.XLOOKUP(Total[[#This Row],[Metodo]],TbSolver[Metodo],TbSolver[Solver])</f>
        <v>Adams Bashford Moulton</v>
      </c>
      <c r="C1500" s="26" t="str">
        <f>_xlfn.XLOOKUP(Total[[#This Row],[Hebras]],TbTecnologia[Hebras],TbTecnologia[Tecnología])</f>
        <v>OMP</v>
      </c>
      <c r="D1500" s="15" t="str" cm="1">
        <f t="array" ref="D1500">_xlfn.XLOOKUP(Total[[#This Row],[Tecnología]]&amp;Total[[#This Row],[Metodo]],TbTipos[Tecnología]&amp;TbTipos[Metodo],TbTipos[Tipo])</f>
        <v>OMP Operaciones</v>
      </c>
      <c r="E1500" s="15" t="str" cm="1">
        <f t="array" ref="E1500">_xlfn.XLOOKUP(Total[[#This Row],[Tecnología]]&amp;Total[[#This Row],[Problema]],TbNombres[Tecnología]&amp;TbNombres[Problema],TbNombres[Nombre])</f>
        <v>Simple Advdiff</v>
      </c>
      <c r="F1500" s="20">
        <v>5</v>
      </c>
      <c r="G1500" s="20">
        <v>1</v>
      </c>
      <c r="H1500" s="20">
        <v>1</v>
      </c>
      <c r="I1500" s="20">
        <v>25000</v>
      </c>
      <c r="J1500" s="20">
        <v>25000</v>
      </c>
      <c r="K1500" s="20">
        <v>242.06399999999999</v>
      </c>
    </row>
    <row r="1501" spans="2:11" x14ac:dyDescent="0.2">
      <c r="B1501" s="26" t="str">
        <f>_xlfn.XLOOKUP(Total[[#This Row],[Metodo]],TbSolver[Metodo],TbSolver[Solver])</f>
        <v>Adams Bashford Moulton</v>
      </c>
      <c r="C1501" s="26" t="str">
        <f>_xlfn.XLOOKUP(Total[[#This Row],[Hebras]],TbTecnologia[Hebras],TbTecnologia[Tecnología])</f>
        <v>OMP</v>
      </c>
      <c r="D1501" s="15" t="str" cm="1">
        <f t="array" ref="D1501">_xlfn.XLOOKUP(Total[[#This Row],[Tecnología]]&amp;Total[[#This Row],[Metodo]],TbTipos[Tecnología]&amp;TbTipos[Metodo],TbTipos[Tipo])</f>
        <v>OMP Operaciones</v>
      </c>
      <c r="E1501" s="15" t="str" cm="1">
        <f t="array" ref="E1501">_xlfn.XLOOKUP(Total[[#This Row],[Tecnología]]&amp;Total[[#This Row],[Problema]],TbNombres[Tecnología]&amp;TbNombres[Problema],TbNombres[Nombre])</f>
        <v>Simple Advdiff</v>
      </c>
      <c r="F1501" s="20">
        <v>5</v>
      </c>
      <c r="G1501" s="20">
        <v>1</v>
      </c>
      <c r="H1501" s="20">
        <v>4</v>
      </c>
      <c r="I1501" s="20">
        <v>25000</v>
      </c>
      <c r="J1501" s="20">
        <v>25000</v>
      </c>
      <c r="K1501" s="20">
        <v>87.003200000000007</v>
      </c>
    </row>
    <row r="1502" spans="2:11" x14ac:dyDescent="0.2">
      <c r="B1502" s="26" t="str">
        <f>_xlfn.XLOOKUP(Total[[#This Row],[Metodo]],TbSolver[Metodo],TbSolver[Solver])</f>
        <v>Adams Bashford Moulton</v>
      </c>
      <c r="C1502" s="26" t="str">
        <f>_xlfn.XLOOKUP(Total[[#This Row],[Hebras]],TbTecnologia[Hebras],TbTecnologia[Tecnología])</f>
        <v>OMP</v>
      </c>
      <c r="D1502" s="15" t="str" cm="1">
        <f t="array" ref="D1502">_xlfn.XLOOKUP(Total[[#This Row],[Tecnología]]&amp;Total[[#This Row],[Metodo]],TbTipos[Tecnología]&amp;TbTipos[Metodo],TbTipos[Tipo])</f>
        <v>OMP Operaciones</v>
      </c>
      <c r="E1502" s="15" t="str" cm="1">
        <f t="array" ref="E1502">_xlfn.XLOOKUP(Total[[#This Row],[Tecnología]]&amp;Total[[#This Row],[Problema]],TbNombres[Tecnología]&amp;TbNombres[Problema],TbNombres[Nombre])</f>
        <v>Simple Advdiff</v>
      </c>
      <c r="F1502" s="20">
        <v>5</v>
      </c>
      <c r="G1502" s="20">
        <v>1</v>
      </c>
      <c r="H1502" s="20">
        <v>16</v>
      </c>
      <c r="I1502" s="20">
        <v>25000</v>
      </c>
      <c r="J1502" s="20">
        <v>25000</v>
      </c>
      <c r="K1502" s="20">
        <v>117.961</v>
      </c>
    </row>
    <row r="1503" spans="2:11" x14ac:dyDescent="0.2">
      <c r="B1503" s="26" t="str">
        <f>_xlfn.XLOOKUP(Total[[#This Row],[Metodo]],TbSolver[Metodo],TbSolver[Solver])</f>
        <v>Adams Bashford Moulton</v>
      </c>
      <c r="C1503" s="26" t="str">
        <f>_xlfn.XLOOKUP(Total[[#This Row],[Hebras]],TbTecnologia[Hebras],TbTecnologia[Tecnología])</f>
        <v>OMP</v>
      </c>
      <c r="D1503" s="15" t="str" cm="1">
        <f t="array" ref="D1503">_xlfn.XLOOKUP(Total[[#This Row],[Tecnología]]&amp;Total[[#This Row],[Metodo]],TbTipos[Tecnología]&amp;TbTipos[Metodo],TbTipos[Tipo])</f>
        <v>OMP Operaciones</v>
      </c>
      <c r="E1503" s="15" t="str" cm="1">
        <f t="array" ref="E1503">_xlfn.XLOOKUP(Total[[#This Row],[Tecnología]]&amp;Total[[#This Row],[Problema]],TbNombres[Tecnología]&amp;TbNombres[Problema],TbNombres[Nombre])</f>
        <v>Simple Advdiff</v>
      </c>
      <c r="F1503" s="20">
        <v>5</v>
      </c>
      <c r="G1503" s="20">
        <v>1</v>
      </c>
      <c r="H1503" s="20">
        <v>1</v>
      </c>
      <c r="I1503" s="20">
        <v>30000</v>
      </c>
      <c r="J1503" s="20">
        <v>30000</v>
      </c>
      <c r="K1503" s="20">
        <v>297.78699999999998</v>
      </c>
    </row>
    <row r="1504" spans="2:11" x14ac:dyDescent="0.2">
      <c r="B1504" s="26" t="str">
        <f>_xlfn.XLOOKUP(Total[[#This Row],[Metodo]],TbSolver[Metodo],TbSolver[Solver])</f>
        <v>Adams Bashford Moulton</v>
      </c>
      <c r="C1504" s="26" t="str">
        <f>_xlfn.XLOOKUP(Total[[#This Row],[Hebras]],TbTecnologia[Hebras],TbTecnologia[Tecnología])</f>
        <v>OMP</v>
      </c>
      <c r="D1504" s="15" t="str" cm="1">
        <f t="array" ref="D1504">_xlfn.XLOOKUP(Total[[#This Row],[Tecnología]]&amp;Total[[#This Row],[Metodo]],TbTipos[Tecnología]&amp;TbTipos[Metodo],TbTipos[Tipo])</f>
        <v>OMP Operaciones</v>
      </c>
      <c r="E1504" s="15" t="str" cm="1">
        <f t="array" ref="E1504">_xlfn.XLOOKUP(Total[[#This Row],[Tecnología]]&amp;Total[[#This Row],[Problema]],TbNombres[Tecnología]&amp;TbNombres[Problema],TbNombres[Nombre])</f>
        <v>Simple Advdiff</v>
      </c>
      <c r="F1504" s="20">
        <v>5</v>
      </c>
      <c r="G1504" s="20">
        <v>1</v>
      </c>
      <c r="H1504" s="20">
        <v>4</v>
      </c>
      <c r="I1504" s="20">
        <v>30000</v>
      </c>
      <c r="J1504" s="20">
        <v>30000</v>
      </c>
      <c r="K1504" s="20">
        <v>95.168599999999998</v>
      </c>
    </row>
    <row r="1505" spans="2:11" x14ac:dyDescent="0.2">
      <c r="B1505" s="26" t="str">
        <f>_xlfn.XLOOKUP(Total[[#This Row],[Metodo]],TbSolver[Metodo],TbSolver[Solver])</f>
        <v>Adams Bashford Moulton</v>
      </c>
      <c r="C1505" s="26" t="str">
        <f>_xlfn.XLOOKUP(Total[[#This Row],[Hebras]],TbTecnologia[Hebras],TbTecnologia[Tecnología])</f>
        <v>OMP</v>
      </c>
      <c r="D1505" s="15" t="str" cm="1">
        <f t="array" ref="D1505">_xlfn.XLOOKUP(Total[[#This Row],[Tecnología]]&amp;Total[[#This Row],[Metodo]],TbTipos[Tecnología]&amp;TbTipos[Metodo],TbTipos[Tipo])</f>
        <v>OMP Operaciones</v>
      </c>
      <c r="E1505" s="15" t="str" cm="1">
        <f t="array" ref="E1505">_xlfn.XLOOKUP(Total[[#This Row],[Tecnología]]&amp;Total[[#This Row],[Problema]],TbNombres[Tecnología]&amp;TbNombres[Problema],TbNombres[Nombre])</f>
        <v>Simple Advdiff</v>
      </c>
      <c r="F1505" s="20">
        <v>5</v>
      </c>
      <c r="G1505" s="20">
        <v>1</v>
      </c>
      <c r="H1505" s="20">
        <v>16</v>
      </c>
      <c r="I1505" s="20">
        <v>30000</v>
      </c>
      <c r="J1505" s="20">
        <v>30000</v>
      </c>
      <c r="K1505" s="20">
        <v>122.59</v>
      </c>
    </row>
    <row r="1506" spans="2:11" x14ac:dyDescent="0.2">
      <c r="B1506" s="26" t="str">
        <f>_xlfn.XLOOKUP(Total[[#This Row],[Metodo]],TbSolver[Metodo],TbSolver[Solver])</f>
        <v>Adams Bashford Moulton</v>
      </c>
      <c r="C1506" s="26" t="str">
        <f>_xlfn.XLOOKUP(Total[[#This Row],[Hebras]],TbTecnologia[Hebras],TbTecnologia[Tecnología])</f>
        <v>OMP</v>
      </c>
      <c r="D1506" s="15" t="str" cm="1">
        <f t="array" ref="D1506">_xlfn.XLOOKUP(Total[[#This Row],[Tecnología]]&amp;Total[[#This Row],[Metodo]],TbTipos[Tecnología]&amp;TbTipos[Metodo],TbTipos[Tipo])</f>
        <v>OMP Operaciones</v>
      </c>
      <c r="E1506" s="15" t="str" cm="1">
        <f t="array" ref="E1506">_xlfn.XLOOKUP(Total[[#This Row],[Tecnología]]&amp;Total[[#This Row],[Problema]],TbNombres[Tecnología]&amp;TbNombres[Problema],TbNombres[Nombre])</f>
        <v>Simple Advdiff</v>
      </c>
      <c r="F1506" s="20">
        <v>5</v>
      </c>
      <c r="G1506" s="20">
        <v>1</v>
      </c>
      <c r="H1506" s="20">
        <v>1</v>
      </c>
      <c r="I1506" s="20">
        <v>40000</v>
      </c>
      <c r="J1506" s="20">
        <v>40000</v>
      </c>
      <c r="K1506" s="20">
        <v>428.00299999999999</v>
      </c>
    </row>
    <row r="1507" spans="2:11" x14ac:dyDescent="0.2">
      <c r="B1507" s="26" t="str">
        <f>_xlfn.XLOOKUP(Total[[#This Row],[Metodo]],TbSolver[Metodo],TbSolver[Solver])</f>
        <v>Adams Bashford Moulton</v>
      </c>
      <c r="C1507" s="26" t="str">
        <f>_xlfn.XLOOKUP(Total[[#This Row],[Hebras]],TbTecnologia[Hebras],TbTecnologia[Tecnología])</f>
        <v>OMP</v>
      </c>
      <c r="D1507" s="15" t="str" cm="1">
        <f t="array" ref="D1507">_xlfn.XLOOKUP(Total[[#This Row],[Tecnología]]&amp;Total[[#This Row],[Metodo]],TbTipos[Tecnología]&amp;TbTipos[Metodo],TbTipos[Tipo])</f>
        <v>OMP Operaciones</v>
      </c>
      <c r="E1507" s="15" t="str" cm="1">
        <f t="array" ref="E1507">_xlfn.XLOOKUP(Total[[#This Row],[Tecnología]]&amp;Total[[#This Row],[Problema]],TbNombres[Tecnología]&amp;TbNombres[Problema],TbNombres[Nombre])</f>
        <v>Simple Advdiff</v>
      </c>
      <c r="F1507" s="20">
        <v>5</v>
      </c>
      <c r="G1507" s="20">
        <v>1</v>
      </c>
      <c r="H1507" s="20">
        <v>4</v>
      </c>
      <c r="I1507" s="20">
        <v>40000</v>
      </c>
      <c r="J1507" s="20">
        <v>40000</v>
      </c>
      <c r="K1507" s="20">
        <v>114.928</v>
      </c>
    </row>
    <row r="1508" spans="2:11" x14ac:dyDescent="0.2">
      <c r="B1508" s="26" t="str">
        <f>_xlfn.XLOOKUP(Total[[#This Row],[Metodo]],TbSolver[Metodo],TbSolver[Solver])</f>
        <v>Adams Bashford Moulton</v>
      </c>
      <c r="C1508" s="26" t="str">
        <f>_xlfn.XLOOKUP(Total[[#This Row],[Hebras]],TbTecnologia[Hebras],TbTecnologia[Tecnología])</f>
        <v>OMP</v>
      </c>
      <c r="D1508" s="15" t="str" cm="1">
        <f t="array" ref="D1508">_xlfn.XLOOKUP(Total[[#This Row],[Tecnología]]&amp;Total[[#This Row],[Metodo]],TbTipos[Tecnología]&amp;TbTipos[Metodo],TbTipos[Tipo])</f>
        <v>OMP Operaciones</v>
      </c>
      <c r="E1508" s="15" t="str" cm="1">
        <f t="array" ref="E1508">_xlfn.XLOOKUP(Total[[#This Row],[Tecnología]]&amp;Total[[#This Row],[Problema]],TbNombres[Tecnología]&amp;TbNombres[Problema],TbNombres[Nombre])</f>
        <v>Simple Advdiff</v>
      </c>
      <c r="F1508" s="20">
        <v>5</v>
      </c>
      <c r="G1508" s="20">
        <v>1</v>
      </c>
      <c r="H1508" s="20">
        <v>16</v>
      </c>
      <c r="I1508" s="20">
        <v>40000</v>
      </c>
      <c r="J1508" s="20">
        <v>40000</v>
      </c>
      <c r="K1508" s="20">
        <v>129.94399999999999</v>
      </c>
    </row>
    <row r="1509" spans="2:11" x14ac:dyDescent="0.2">
      <c r="B1509" s="26" t="str">
        <f>_xlfn.XLOOKUP(Total[[#This Row],[Metodo]],TbSolver[Metodo],TbSolver[Solver])</f>
        <v>Adams Bashford Moulton</v>
      </c>
      <c r="C1509" s="26" t="str">
        <f>_xlfn.XLOOKUP(Total[[#This Row],[Hebras]],TbTecnologia[Hebras],TbTecnologia[Tecnología])</f>
        <v>OMP</v>
      </c>
      <c r="D1509" s="15" t="str" cm="1">
        <f t="array" ref="D1509">_xlfn.XLOOKUP(Total[[#This Row],[Tecnología]]&amp;Total[[#This Row],[Metodo]],TbTipos[Tecnología]&amp;TbTipos[Metodo],TbTipos[Tipo])</f>
        <v>OMP Operaciones</v>
      </c>
      <c r="E1509" s="15" t="str" cm="1">
        <f t="array" ref="E1509">_xlfn.XLOOKUP(Total[[#This Row],[Tecnología]]&amp;Total[[#This Row],[Problema]],TbNombres[Tecnología]&amp;TbNombres[Problema],TbNombres[Nombre])</f>
        <v>Simple Advdiff</v>
      </c>
      <c r="F1509" s="20">
        <v>5</v>
      </c>
      <c r="G1509" s="20">
        <v>1</v>
      </c>
      <c r="H1509" s="20">
        <v>1</v>
      </c>
      <c r="I1509" s="20">
        <v>50000</v>
      </c>
      <c r="J1509" s="20">
        <v>50000</v>
      </c>
      <c r="K1509" s="20">
        <v>561.56399999999996</v>
      </c>
    </row>
    <row r="1510" spans="2:11" x14ac:dyDescent="0.2">
      <c r="B1510" s="26" t="str">
        <f>_xlfn.XLOOKUP(Total[[#This Row],[Metodo]],TbSolver[Metodo],TbSolver[Solver])</f>
        <v>Adams Bashford Moulton</v>
      </c>
      <c r="C1510" s="26" t="str">
        <f>_xlfn.XLOOKUP(Total[[#This Row],[Hebras]],TbTecnologia[Hebras],TbTecnologia[Tecnología])</f>
        <v>OMP</v>
      </c>
      <c r="D1510" s="15" t="str" cm="1">
        <f t="array" ref="D1510">_xlfn.XLOOKUP(Total[[#This Row],[Tecnología]]&amp;Total[[#This Row],[Metodo]],TbTipos[Tecnología]&amp;TbTipos[Metodo],TbTipos[Tipo])</f>
        <v>OMP Operaciones</v>
      </c>
      <c r="E1510" s="15" t="str" cm="1">
        <f t="array" ref="E1510">_xlfn.XLOOKUP(Total[[#This Row],[Tecnología]]&amp;Total[[#This Row],[Problema]],TbNombres[Tecnología]&amp;TbNombres[Problema],TbNombres[Nombre])</f>
        <v>Simple Advdiff</v>
      </c>
      <c r="F1510" s="20">
        <v>5</v>
      </c>
      <c r="G1510" s="20">
        <v>1</v>
      </c>
      <c r="H1510" s="20">
        <v>4</v>
      </c>
      <c r="I1510" s="20">
        <v>50000</v>
      </c>
      <c r="J1510" s="20">
        <v>50000</v>
      </c>
      <c r="K1510" s="20">
        <v>138.93100000000001</v>
      </c>
    </row>
    <row r="1511" spans="2:11" x14ac:dyDescent="0.2">
      <c r="B1511" s="26" t="str">
        <f>_xlfn.XLOOKUP(Total[[#This Row],[Metodo]],TbSolver[Metodo],TbSolver[Solver])</f>
        <v>Adams Bashford Moulton</v>
      </c>
      <c r="C1511" s="26" t="str">
        <f>_xlfn.XLOOKUP(Total[[#This Row],[Hebras]],TbTecnologia[Hebras],TbTecnologia[Tecnología])</f>
        <v>OMP</v>
      </c>
      <c r="D1511" s="15" t="str" cm="1">
        <f t="array" ref="D1511">_xlfn.XLOOKUP(Total[[#This Row],[Tecnología]]&amp;Total[[#This Row],[Metodo]],TbTipos[Tecnología]&amp;TbTipos[Metodo],TbTipos[Tipo])</f>
        <v>OMP Operaciones</v>
      </c>
      <c r="E1511" s="15" t="str" cm="1">
        <f t="array" ref="E1511">_xlfn.XLOOKUP(Total[[#This Row],[Tecnología]]&amp;Total[[#This Row],[Problema]],TbNombres[Tecnología]&amp;TbNombres[Problema],TbNombres[Nombre])</f>
        <v>Simple Advdiff</v>
      </c>
      <c r="F1511" s="20">
        <v>5</v>
      </c>
      <c r="G1511" s="20">
        <v>1</v>
      </c>
      <c r="H1511" s="20">
        <v>16</v>
      </c>
      <c r="I1511" s="20">
        <v>50000</v>
      </c>
      <c r="J1511" s="20">
        <v>50000</v>
      </c>
      <c r="K1511" s="20">
        <v>139.524</v>
      </c>
    </row>
    <row r="1512" spans="2:11" x14ac:dyDescent="0.2">
      <c r="B1512" s="26" t="str">
        <f>_xlfn.XLOOKUP(Total[[#This Row],[Metodo]],TbSolver[Metodo],TbSolver[Solver])</f>
        <v>Adams Bashford Moulton</v>
      </c>
      <c r="C1512" s="26" t="str">
        <f>_xlfn.XLOOKUP(Total[[#This Row],[Hebras]],TbTecnologia[Hebras],TbTecnologia[Tecnología])</f>
        <v>OMP</v>
      </c>
      <c r="D1512" s="15" t="str" cm="1">
        <f t="array" ref="D1512">_xlfn.XLOOKUP(Total[[#This Row],[Tecnología]]&amp;Total[[#This Row],[Metodo]],TbTipos[Tecnología]&amp;TbTipos[Metodo],TbTipos[Tipo])</f>
        <v>OMP Operaciones</v>
      </c>
      <c r="E1512" s="15" t="str" cm="1">
        <f t="array" ref="E1512">_xlfn.XLOOKUP(Total[[#This Row],[Tecnología]]&amp;Total[[#This Row],[Problema]],TbNombres[Tecnología]&amp;TbNombres[Problema],TbNombres[Nombre])</f>
        <v>Advdiff1d</v>
      </c>
      <c r="F1512" s="20">
        <v>5</v>
      </c>
      <c r="G1512" s="20">
        <v>2</v>
      </c>
      <c r="H1512" s="20">
        <v>1</v>
      </c>
      <c r="I1512" s="20">
        <v>20000</v>
      </c>
      <c r="J1512" s="20">
        <v>20000</v>
      </c>
      <c r="K1512" s="20">
        <v>1406.79</v>
      </c>
    </row>
    <row r="1513" spans="2:11" x14ac:dyDescent="0.2">
      <c r="B1513" s="26" t="str">
        <f>_xlfn.XLOOKUP(Total[[#This Row],[Metodo]],TbSolver[Metodo],TbSolver[Solver])</f>
        <v>Adams Bashford Moulton</v>
      </c>
      <c r="C1513" s="26" t="str">
        <f>_xlfn.XLOOKUP(Total[[#This Row],[Hebras]],TbTecnologia[Hebras],TbTecnologia[Tecnología])</f>
        <v>OMP</v>
      </c>
      <c r="D1513" s="15" t="str" cm="1">
        <f t="array" ref="D1513">_xlfn.XLOOKUP(Total[[#This Row],[Tecnología]]&amp;Total[[#This Row],[Metodo]],TbTipos[Tecnología]&amp;TbTipos[Metodo],TbTipos[Tipo])</f>
        <v>OMP Operaciones</v>
      </c>
      <c r="E1513" s="15" t="str" cm="1">
        <f t="array" ref="E1513">_xlfn.XLOOKUP(Total[[#This Row],[Tecnología]]&amp;Total[[#This Row],[Problema]],TbNombres[Tecnología]&amp;TbNombres[Problema],TbNombres[Nombre])</f>
        <v>Advdiff1d</v>
      </c>
      <c r="F1513" s="20">
        <v>5</v>
      </c>
      <c r="G1513" s="20">
        <v>2</v>
      </c>
      <c r="H1513" s="20">
        <v>4</v>
      </c>
      <c r="I1513" s="20">
        <v>20000</v>
      </c>
      <c r="J1513" s="20">
        <v>20000</v>
      </c>
      <c r="K1513" s="20">
        <v>447.02600000000001</v>
      </c>
    </row>
    <row r="1514" spans="2:11" x14ac:dyDescent="0.2">
      <c r="B1514" s="26" t="str">
        <f>_xlfn.XLOOKUP(Total[[#This Row],[Metodo]],TbSolver[Metodo],TbSolver[Solver])</f>
        <v>Adams Bashford Moulton</v>
      </c>
      <c r="C1514" s="26" t="str">
        <f>_xlfn.XLOOKUP(Total[[#This Row],[Hebras]],TbTecnologia[Hebras],TbTecnologia[Tecnología])</f>
        <v>OMP</v>
      </c>
      <c r="D1514" s="15" t="str" cm="1">
        <f t="array" ref="D1514">_xlfn.XLOOKUP(Total[[#This Row],[Tecnología]]&amp;Total[[#This Row],[Metodo]],TbTipos[Tecnología]&amp;TbTipos[Metodo],TbTipos[Tipo])</f>
        <v>OMP Operaciones</v>
      </c>
      <c r="E1514" s="15" t="str" cm="1">
        <f t="array" ref="E1514">_xlfn.XLOOKUP(Total[[#This Row],[Tecnología]]&amp;Total[[#This Row],[Problema]],TbNombres[Tecnología]&amp;TbNombres[Problema],TbNombres[Nombre])</f>
        <v>Advdiff1d</v>
      </c>
      <c r="F1514" s="20">
        <v>5</v>
      </c>
      <c r="G1514" s="20">
        <v>2</v>
      </c>
      <c r="H1514" s="20">
        <v>16</v>
      </c>
      <c r="I1514" s="20">
        <v>20000</v>
      </c>
      <c r="J1514" s="20">
        <v>20000</v>
      </c>
      <c r="K1514" s="20">
        <v>236.72200000000001</v>
      </c>
    </row>
    <row r="1515" spans="2:11" x14ac:dyDescent="0.2">
      <c r="B1515" s="26" t="str">
        <f>_xlfn.XLOOKUP(Total[[#This Row],[Metodo]],TbSolver[Metodo],TbSolver[Solver])</f>
        <v>Adams Bashford Moulton</v>
      </c>
      <c r="C1515" s="26" t="str">
        <f>_xlfn.XLOOKUP(Total[[#This Row],[Hebras]],TbTecnologia[Hebras],TbTecnologia[Tecnología])</f>
        <v>OMP</v>
      </c>
      <c r="D1515" s="15" t="str" cm="1">
        <f t="array" ref="D1515">_xlfn.XLOOKUP(Total[[#This Row],[Tecnología]]&amp;Total[[#This Row],[Metodo]],TbTipos[Tecnología]&amp;TbTipos[Metodo],TbTipos[Tipo])</f>
        <v>OMP Operaciones</v>
      </c>
      <c r="E1515" s="15" t="str" cm="1">
        <f t="array" ref="E1515">_xlfn.XLOOKUP(Total[[#This Row],[Tecnología]]&amp;Total[[#This Row],[Problema]],TbNombres[Tecnología]&amp;TbNombres[Problema],TbNombres[Nombre])</f>
        <v>Advdiff1d</v>
      </c>
      <c r="F1515" s="20">
        <v>5</v>
      </c>
      <c r="G1515" s="20">
        <v>2</v>
      </c>
      <c r="H1515" s="20">
        <v>1</v>
      </c>
      <c r="I1515" s="20">
        <v>25000</v>
      </c>
      <c r="J1515" s="20">
        <v>25000</v>
      </c>
      <c r="K1515" s="20">
        <v>1790.35</v>
      </c>
    </row>
    <row r="1516" spans="2:11" x14ac:dyDescent="0.2">
      <c r="B1516" s="26" t="str">
        <f>_xlfn.XLOOKUP(Total[[#This Row],[Metodo]],TbSolver[Metodo],TbSolver[Solver])</f>
        <v>Adams Bashford Moulton</v>
      </c>
      <c r="C1516" s="26" t="str">
        <f>_xlfn.XLOOKUP(Total[[#This Row],[Hebras]],TbTecnologia[Hebras],TbTecnologia[Tecnología])</f>
        <v>OMP</v>
      </c>
      <c r="D1516" s="15" t="str" cm="1">
        <f t="array" ref="D1516">_xlfn.XLOOKUP(Total[[#This Row],[Tecnología]]&amp;Total[[#This Row],[Metodo]],TbTipos[Tecnología]&amp;TbTipos[Metodo],TbTipos[Tipo])</f>
        <v>OMP Operaciones</v>
      </c>
      <c r="E1516" s="15" t="str" cm="1">
        <f t="array" ref="E1516">_xlfn.XLOOKUP(Total[[#This Row],[Tecnología]]&amp;Total[[#This Row],[Problema]],TbNombres[Tecnología]&amp;TbNombres[Problema],TbNombres[Nombre])</f>
        <v>Advdiff1d</v>
      </c>
      <c r="F1516" s="20">
        <v>5</v>
      </c>
      <c r="G1516" s="20">
        <v>2</v>
      </c>
      <c r="H1516" s="20">
        <v>4</v>
      </c>
      <c r="I1516" s="20">
        <v>25000</v>
      </c>
      <c r="J1516" s="20">
        <v>25000</v>
      </c>
      <c r="K1516" s="20">
        <v>546.00699999999995</v>
      </c>
    </row>
    <row r="1517" spans="2:11" x14ac:dyDescent="0.2">
      <c r="B1517" s="26" t="str">
        <f>_xlfn.XLOOKUP(Total[[#This Row],[Metodo]],TbSolver[Metodo],TbSolver[Solver])</f>
        <v>Adams Bashford Moulton</v>
      </c>
      <c r="C1517" s="26" t="str">
        <f>_xlfn.XLOOKUP(Total[[#This Row],[Hebras]],TbTecnologia[Hebras],TbTecnologia[Tecnología])</f>
        <v>OMP</v>
      </c>
      <c r="D1517" s="15" t="str" cm="1">
        <f t="array" ref="D1517">_xlfn.XLOOKUP(Total[[#This Row],[Tecnología]]&amp;Total[[#This Row],[Metodo]],TbTipos[Tecnología]&amp;TbTipos[Metodo],TbTipos[Tipo])</f>
        <v>OMP Operaciones</v>
      </c>
      <c r="E1517" s="15" t="str" cm="1">
        <f t="array" ref="E1517">_xlfn.XLOOKUP(Total[[#This Row],[Tecnología]]&amp;Total[[#This Row],[Problema]],TbNombres[Tecnología]&amp;TbNombres[Problema],TbNombres[Nombre])</f>
        <v>Advdiff1d</v>
      </c>
      <c r="F1517" s="20">
        <v>5</v>
      </c>
      <c r="G1517" s="20">
        <v>2</v>
      </c>
      <c r="H1517" s="20">
        <v>16</v>
      </c>
      <c r="I1517" s="20">
        <v>25000</v>
      </c>
      <c r="J1517" s="20">
        <v>25000</v>
      </c>
      <c r="K1517" s="20">
        <v>343.608</v>
      </c>
    </row>
    <row r="1518" spans="2:11" x14ac:dyDescent="0.2">
      <c r="B1518" s="26" t="str">
        <f>_xlfn.XLOOKUP(Total[[#This Row],[Metodo]],TbSolver[Metodo],TbSolver[Solver])</f>
        <v>Adams Bashford Moulton</v>
      </c>
      <c r="C1518" s="26" t="str">
        <f>_xlfn.XLOOKUP(Total[[#This Row],[Hebras]],TbTecnologia[Hebras],TbTecnologia[Tecnología])</f>
        <v>OMP</v>
      </c>
      <c r="D1518" s="15" t="str" cm="1">
        <f t="array" ref="D1518">_xlfn.XLOOKUP(Total[[#This Row],[Tecnología]]&amp;Total[[#This Row],[Metodo]],TbTipos[Tecnología]&amp;TbTipos[Metodo],TbTipos[Tipo])</f>
        <v>OMP Operaciones</v>
      </c>
      <c r="E1518" s="15" t="str" cm="1">
        <f t="array" ref="E1518">_xlfn.XLOOKUP(Total[[#This Row],[Tecnología]]&amp;Total[[#This Row],[Problema]],TbNombres[Tecnología]&amp;TbNombres[Problema],TbNombres[Nombre])</f>
        <v>Advdiff1d</v>
      </c>
      <c r="F1518" s="20">
        <v>5</v>
      </c>
      <c r="G1518" s="20">
        <v>2</v>
      </c>
      <c r="H1518" s="20">
        <v>1</v>
      </c>
      <c r="I1518" s="20">
        <v>30000</v>
      </c>
      <c r="J1518" s="20">
        <v>30000</v>
      </c>
      <c r="K1518" s="20">
        <v>2156.1799999999998</v>
      </c>
    </row>
    <row r="1519" spans="2:11" x14ac:dyDescent="0.2">
      <c r="B1519" s="26" t="str">
        <f>_xlfn.XLOOKUP(Total[[#This Row],[Metodo]],TbSolver[Metodo],TbSolver[Solver])</f>
        <v>Adams Bashford Moulton</v>
      </c>
      <c r="C1519" s="26" t="str">
        <f>_xlfn.XLOOKUP(Total[[#This Row],[Hebras]],TbTecnologia[Hebras],TbTecnologia[Tecnología])</f>
        <v>OMP</v>
      </c>
      <c r="D1519" s="15" t="str" cm="1">
        <f t="array" ref="D1519">_xlfn.XLOOKUP(Total[[#This Row],[Tecnología]]&amp;Total[[#This Row],[Metodo]],TbTipos[Tecnología]&amp;TbTipos[Metodo],TbTipos[Tipo])</f>
        <v>OMP Operaciones</v>
      </c>
      <c r="E1519" s="15" t="str" cm="1">
        <f t="array" ref="E1519">_xlfn.XLOOKUP(Total[[#This Row],[Tecnología]]&amp;Total[[#This Row],[Problema]],TbNombres[Tecnología]&amp;TbNombres[Problema],TbNombres[Nombre])</f>
        <v>Advdiff1d</v>
      </c>
      <c r="F1519" s="20">
        <v>5</v>
      </c>
      <c r="G1519" s="20">
        <v>2</v>
      </c>
      <c r="H1519" s="20">
        <v>4</v>
      </c>
      <c r="I1519" s="20">
        <v>30000</v>
      </c>
      <c r="J1519" s="20">
        <v>30000</v>
      </c>
      <c r="K1519" s="20">
        <v>645.56899999999996</v>
      </c>
    </row>
    <row r="1520" spans="2:11" x14ac:dyDescent="0.2">
      <c r="B1520" s="26" t="str">
        <f>_xlfn.XLOOKUP(Total[[#This Row],[Metodo]],TbSolver[Metodo],TbSolver[Solver])</f>
        <v>Adams Bashford Moulton</v>
      </c>
      <c r="C1520" s="26" t="str">
        <f>_xlfn.XLOOKUP(Total[[#This Row],[Hebras]],TbTecnologia[Hebras],TbTecnologia[Tecnología])</f>
        <v>OMP</v>
      </c>
      <c r="D1520" s="15" t="str" cm="1">
        <f t="array" ref="D1520">_xlfn.XLOOKUP(Total[[#This Row],[Tecnología]]&amp;Total[[#This Row],[Metodo]],TbTipos[Tecnología]&amp;TbTipos[Metodo],TbTipos[Tipo])</f>
        <v>OMP Operaciones</v>
      </c>
      <c r="E1520" s="15" t="str" cm="1">
        <f t="array" ref="E1520">_xlfn.XLOOKUP(Total[[#This Row],[Tecnología]]&amp;Total[[#This Row],[Problema]],TbNombres[Tecnología]&amp;TbNombres[Problema],TbNombres[Nombre])</f>
        <v>Advdiff1d</v>
      </c>
      <c r="F1520" s="20">
        <v>5</v>
      </c>
      <c r="G1520" s="20">
        <v>2</v>
      </c>
      <c r="H1520" s="20">
        <v>16</v>
      </c>
      <c r="I1520" s="20">
        <v>30000</v>
      </c>
      <c r="J1520" s="20">
        <v>30000</v>
      </c>
      <c r="K1520" s="20">
        <v>286.05700000000002</v>
      </c>
    </row>
    <row r="1521" spans="2:11" x14ac:dyDescent="0.2">
      <c r="B1521" s="26" t="str">
        <f>_xlfn.XLOOKUP(Total[[#This Row],[Metodo]],TbSolver[Metodo],TbSolver[Solver])</f>
        <v>Adams Bashford Moulton</v>
      </c>
      <c r="C1521" s="26" t="str">
        <f>_xlfn.XLOOKUP(Total[[#This Row],[Hebras]],TbTecnologia[Hebras],TbTecnologia[Tecnología])</f>
        <v>OMP</v>
      </c>
      <c r="D1521" s="15" t="str" cm="1">
        <f t="array" ref="D1521">_xlfn.XLOOKUP(Total[[#This Row],[Tecnología]]&amp;Total[[#This Row],[Metodo]],TbTipos[Tecnología]&amp;TbTipos[Metodo],TbTipos[Tipo])</f>
        <v>OMP Operaciones</v>
      </c>
      <c r="E1521" s="15" t="str" cm="1">
        <f t="array" ref="E1521">_xlfn.XLOOKUP(Total[[#This Row],[Tecnología]]&amp;Total[[#This Row],[Problema]],TbNombres[Tecnología]&amp;TbNombres[Problema],TbNombres[Nombre])</f>
        <v>Advdiff1d</v>
      </c>
      <c r="F1521" s="20">
        <v>5</v>
      </c>
      <c r="G1521" s="20">
        <v>2</v>
      </c>
      <c r="H1521" s="20">
        <v>1</v>
      </c>
      <c r="I1521" s="20">
        <v>40000</v>
      </c>
      <c r="J1521" s="20">
        <v>40000</v>
      </c>
      <c r="K1521" s="20">
        <v>2905.23</v>
      </c>
    </row>
    <row r="1522" spans="2:11" x14ac:dyDescent="0.2">
      <c r="B1522" s="26" t="str">
        <f>_xlfn.XLOOKUP(Total[[#This Row],[Metodo]],TbSolver[Metodo],TbSolver[Solver])</f>
        <v>Adams Bashford Moulton</v>
      </c>
      <c r="C1522" s="26" t="str">
        <f>_xlfn.XLOOKUP(Total[[#This Row],[Hebras]],TbTecnologia[Hebras],TbTecnologia[Tecnología])</f>
        <v>OMP</v>
      </c>
      <c r="D1522" s="15" t="str" cm="1">
        <f t="array" ref="D1522">_xlfn.XLOOKUP(Total[[#This Row],[Tecnología]]&amp;Total[[#This Row],[Metodo]],TbTipos[Tecnología]&amp;TbTipos[Metodo],TbTipos[Tipo])</f>
        <v>OMP Operaciones</v>
      </c>
      <c r="E1522" s="15" t="str" cm="1">
        <f t="array" ref="E1522">_xlfn.XLOOKUP(Total[[#This Row],[Tecnología]]&amp;Total[[#This Row],[Problema]],TbNombres[Tecnología]&amp;TbNombres[Problema],TbNombres[Nombre])</f>
        <v>Advdiff1d</v>
      </c>
      <c r="F1522" s="20">
        <v>5</v>
      </c>
      <c r="G1522" s="20">
        <v>2</v>
      </c>
      <c r="H1522" s="20">
        <v>4</v>
      </c>
      <c r="I1522" s="20">
        <v>40000</v>
      </c>
      <c r="J1522" s="20">
        <v>40000</v>
      </c>
      <c r="K1522" s="20">
        <v>834.20500000000004</v>
      </c>
    </row>
    <row r="1523" spans="2:11" x14ac:dyDescent="0.2">
      <c r="B1523" s="26" t="str">
        <f>_xlfn.XLOOKUP(Total[[#This Row],[Metodo]],TbSolver[Metodo],TbSolver[Solver])</f>
        <v>Adams Bashford Moulton</v>
      </c>
      <c r="C1523" s="26" t="str">
        <f>_xlfn.XLOOKUP(Total[[#This Row],[Hebras]],TbTecnologia[Hebras],TbTecnologia[Tecnología])</f>
        <v>OMP</v>
      </c>
      <c r="D1523" s="15" t="str" cm="1">
        <f t="array" ref="D1523">_xlfn.XLOOKUP(Total[[#This Row],[Tecnología]]&amp;Total[[#This Row],[Metodo]],TbTipos[Tecnología]&amp;TbTipos[Metodo],TbTipos[Tipo])</f>
        <v>OMP Operaciones</v>
      </c>
      <c r="E1523" s="15" t="str" cm="1">
        <f t="array" ref="E1523">_xlfn.XLOOKUP(Total[[#This Row],[Tecnología]]&amp;Total[[#This Row],[Problema]],TbNombres[Tecnología]&amp;TbNombres[Problema],TbNombres[Nombre])</f>
        <v>Advdiff1d</v>
      </c>
      <c r="F1523" s="20">
        <v>5</v>
      </c>
      <c r="G1523" s="20">
        <v>2</v>
      </c>
      <c r="H1523" s="20">
        <v>16</v>
      </c>
      <c r="I1523" s="20">
        <v>40000</v>
      </c>
      <c r="J1523" s="20">
        <v>40000</v>
      </c>
      <c r="K1523" s="20">
        <v>343.91399999999999</v>
      </c>
    </row>
    <row r="1524" spans="2:11" x14ac:dyDescent="0.2">
      <c r="B1524" s="26" t="str">
        <f>_xlfn.XLOOKUP(Total[[#This Row],[Metodo]],TbSolver[Metodo],TbSolver[Solver])</f>
        <v>Adams Bashford Moulton</v>
      </c>
      <c r="C1524" s="26" t="str">
        <f>_xlfn.XLOOKUP(Total[[#This Row],[Hebras]],TbTecnologia[Hebras],TbTecnologia[Tecnología])</f>
        <v>OMP</v>
      </c>
      <c r="D1524" s="15" t="str" cm="1">
        <f t="array" ref="D1524">_xlfn.XLOOKUP(Total[[#This Row],[Tecnología]]&amp;Total[[#This Row],[Metodo]],TbTipos[Tecnología]&amp;TbTipos[Metodo],TbTipos[Tipo])</f>
        <v>OMP Operaciones</v>
      </c>
      <c r="E1524" s="15" t="str" cm="1">
        <f t="array" ref="E1524">_xlfn.XLOOKUP(Total[[#This Row],[Tecnología]]&amp;Total[[#This Row],[Problema]],TbNombres[Tecnología]&amp;TbNombres[Problema],TbNombres[Nombre])</f>
        <v>Advdiff1d</v>
      </c>
      <c r="F1524" s="20">
        <v>5</v>
      </c>
      <c r="G1524" s="20">
        <v>2</v>
      </c>
      <c r="H1524" s="20">
        <v>1</v>
      </c>
      <c r="I1524" s="20">
        <v>50000</v>
      </c>
      <c r="J1524" s="20">
        <v>50000</v>
      </c>
      <c r="K1524" s="20">
        <v>3656.44</v>
      </c>
    </row>
    <row r="1525" spans="2:11" x14ac:dyDescent="0.2">
      <c r="B1525" s="26" t="str">
        <f>_xlfn.XLOOKUP(Total[[#This Row],[Metodo]],TbSolver[Metodo],TbSolver[Solver])</f>
        <v>Adams Bashford Moulton</v>
      </c>
      <c r="C1525" s="26" t="str">
        <f>_xlfn.XLOOKUP(Total[[#This Row],[Hebras]],TbTecnologia[Hebras],TbTecnologia[Tecnología])</f>
        <v>OMP</v>
      </c>
      <c r="D1525" s="15" t="str" cm="1">
        <f t="array" ref="D1525">_xlfn.XLOOKUP(Total[[#This Row],[Tecnología]]&amp;Total[[#This Row],[Metodo]],TbTipos[Tecnología]&amp;TbTipos[Metodo],TbTipos[Tipo])</f>
        <v>OMP Operaciones</v>
      </c>
      <c r="E1525" s="15" t="str" cm="1">
        <f t="array" ref="E1525">_xlfn.XLOOKUP(Total[[#This Row],[Tecnología]]&amp;Total[[#This Row],[Problema]],TbNombres[Tecnología]&amp;TbNombres[Problema],TbNombres[Nombre])</f>
        <v>Advdiff1d</v>
      </c>
      <c r="F1525" s="20">
        <v>5</v>
      </c>
      <c r="G1525" s="20">
        <v>2</v>
      </c>
      <c r="H1525" s="20">
        <v>4</v>
      </c>
      <c r="I1525" s="20">
        <v>50000</v>
      </c>
      <c r="J1525" s="20">
        <v>50000</v>
      </c>
      <c r="K1525" s="20">
        <v>1050.78</v>
      </c>
    </row>
    <row r="1526" spans="2:11" x14ac:dyDescent="0.2">
      <c r="B1526" s="26" t="str">
        <f>_xlfn.XLOOKUP(Total[[#This Row],[Metodo]],TbSolver[Metodo],TbSolver[Solver])</f>
        <v>Adams Bashford Moulton</v>
      </c>
      <c r="C1526" s="26" t="str">
        <f>_xlfn.XLOOKUP(Total[[#This Row],[Hebras]],TbTecnologia[Hebras],TbTecnologia[Tecnología])</f>
        <v>OMP</v>
      </c>
      <c r="D1526" s="15" t="str" cm="1">
        <f t="array" ref="D1526">_xlfn.XLOOKUP(Total[[#This Row],[Tecnología]]&amp;Total[[#This Row],[Metodo]],TbTipos[Tecnología]&amp;TbTipos[Metodo],TbTipos[Tipo])</f>
        <v>OMP Operaciones</v>
      </c>
      <c r="E1526" s="15" t="str" cm="1">
        <f t="array" ref="E1526">_xlfn.XLOOKUP(Total[[#This Row],[Tecnología]]&amp;Total[[#This Row],[Problema]],TbNombres[Tecnología]&amp;TbNombres[Problema],TbNombres[Nombre])</f>
        <v>Advdiff1d</v>
      </c>
      <c r="F1526" s="20">
        <v>5</v>
      </c>
      <c r="G1526" s="20">
        <v>2</v>
      </c>
      <c r="H1526" s="20">
        <v>16</v>
      </c>
      <c r="I1526" s="20">
        <v>50000</v>
      </c>
      <c r="J1526" s="20">
        <v>50000</v>
      </c>
      <c r="K1526" s="20">
        <v>402.35500000000002</v>
      </c>
    </row>
    <row r="1527" spans="2:11" x14ac:dyDescent="0.2">
      <c r="B1527" s="26" t="str">
        <f>_xlfn.XLOOKUP(Total[[#This Row],[Metodo]],TbSolver[Metodo],TbSolver[Solver])</f>
        <v>Adams Bashford Moulton</v>
      </c>
      <c r="C1527" s="26" t="str">
        <f>_xlfn.XLOOKUP(Total[[#This Row],[Hebras]],TbTecnologia[Hebras],TbTecnologia[Tecnología])</f>
        <v>OMP</v>
      </c>
      <c r="D1527" s="15" t="str" cm="1">
        <f t="array" ref="D1527">_xlfn.XLOOKUP(Total[[#This Row],[Tecnología]]&amp;Total[[#This Row],[Metodo]],TbTipos[Tecnología]&amp;TbTipos[Metodo],TbTipos[Tipo])</f>
        <v>OMP Operaciones</v>
      </c>
      <c r="E1527" s="15" t="str" cm="1">
        <f t="array" ref="E1527">_xlfn.XLOOKUP(Total[[#This Row],[Tecnología]]&amp;Total[[#This Row],[Problema]],TbNombres[Tecnología]&amp;TbNombres[Problema],TbNombres[Nombre])</f>
        <v>Brusselator1d</v>
      </c>
      <c r="F1527" s="20">
        <v>5</v>
      </c>
      <c r="G1527" s="20">
        <v>3</v>
      </c>
      <c r="H1527" s="20">
        <v>1</v>
      </c>
      <c r="I1527" s="20">
        <v>20000</v>
      </c>
      <c r="J1527" s="20">
        <v>40000</v>
      </c>
      <c r="K1527" s="20">
        <v>644.21699999999998</v>
      </c>
    </row>
    <row r="1528" spans="2:11" x14ac:dyDescent="0.2">
      <c r="B1528" s="26" t="str">
        <f>_xlfn.XLOOKUP(Total[[#This Row],[Metodo]],TbSolver[Metodo],TbSolver[Solver])</f>
        <v>Adams Bashford Moulton</v>
      </c>
      <c r="C1528" s="26" t="str">
        <f>_xlfn.XLOOKUP(Total[[#This Row],[Hebras]],TbTecnologia[Hebras],TbTecnologia[Tecnología])</f>
        <v>OMP</v>
      </c>
      <c r="D1528" s="15" t="str" cm="1">
        <f t="array" ref="D1528">_xlfn.XLOOKUP(Total[[#This Row],[Tecnología]]&amp;Total[[#This Row],[Metodo]],TbTipos[Tecnología]&amp;TbTipos[Metodo],TbTipos[Tipo])</f>
        <v>OMP Operaciones</v>
      </c>
      <c r="E1528" s="15" t="str" cm="1">
        <f t="array" ref="E1528">_xlfn.XLOOKUP(Total[[#This Row],[Tecnología]]&amp;Total[[#This Row],[Problema]],TbNombres[Tecnología]&amp;TbNombres[Problema],TbNombres[Nombre])</f>
        <v>Brusselator1d</v>
      </c>
      <c r="F1528" s="20">
        <v>5</v>
      </c>
      <c r="G1528" s="20">
        <v>3</v>
      </c>
      <c r="H1528" s="20">
        <v>4</v>
      </c>
      <c r="I1528" s="20">
        <v>20000</v>
      </c>
      <c r="J1528" s="20">
        <v>40000</v>
      </c>
      <c r="K1528" s="20">
        <v>177.84299999999999</v>
      </c>
    </row>
    <row r="1529" spans="2:11" x14ac:dyDescent="0.2">
      <c r="B1529" s="26" t="str">
        <f>_xlfn.XLOOKUP(Total[[#This Row],[Metodo]],TbSolver[Metodo],TbSolver[Solver])</f>
        <v>Adams Bashford Moulton</v>
      </c>
      <c r="C1529" s="26" t="str">
        <f>_xlfn.XLOOKUP(Total[[#This Row],[Hebras]],TbTecnologia[Hebras],TbTecnologia[Tecnología])</f>
        <v>OMP</v>
      </c>
      <c r="D1529" s="15" t="str" cm="1">
        <f t="array" ref="D1529">_xlfn.XLOOKUP(Total[[#This Row],[Tecnología]]&amp;Total[[#This Row],[Metodo]],TbTipos[Tecnología]&amp;TbTipos[Metodo],TbTipos[Tipo])</f>
        <v>OMP Operaciones</v>
      </c>
      <c r="E1529" s="15" t="str" cm="1">
        <f t="array" ref="E1529">_xlfn.XLOOKUP(Total[[#This Row],[Tecnología]]&amp;Total[[#This Row],[Problema]],TbNombres[Tecnología]&amp;TbNombres[Problema],TbNombres[Nombre])</f>
        <v>Brusselator1d</v>
      </c>
      <c r="F1529" s="20">
        <v>5</v>
      </c>
      <c r="G1529" s="20">
        <v>3</v>
      </c>
      <c r="H1529" s="20">
        <v>16</v>
      </c>
      <c r="I1529" s="20">
        <v>20000</v>
      </c>
      <c r="J1529" s="20">
        <v>40000</v>
      </c>
      <c r="K1529" s="20">
        <v>169.41300000000001</v>
      </c>
    </row>
    <row r="1530" spans="2:11" x14ac:dyDescent="0.2">
      <c r="B1530" s="26" t="str">
        <f>_xlfn.XLOOKUP(Total[[#This Row],[Metodo]],TbSolver[Metodo],TbSolver[Solver])</f>
        <v>Adams Bashford Moulton</v>
      </c>
      <c r="C1530" s="26" t="str">
        <f>_xlfn.XLOOKUP(Total[[#This Row],[Hebras]],TbTecnologia[Hebras],TbTecnologia[Tecnología])</f>
        <v>OMP</v>
      </c>
      <c r="D1530" s="15" t="str" cm="1">
        <f t="array" ref="D1530">_xlfn.XLOOKUP(Total[[#This Row],[Tecnología]]&amp;Total[[#This Row],[Metodo]],TbTipos[Tecnología]&amp;TbTipos[Metodo],TbTipos[Tipo])</f>
        <v>OMP Operaciones</v>
      </c>
      <c r="E1530" s="15" t="str" cm="1">
        <f t="array" ref="E1530">_xlfn.XLOOKUP(Total[[#This Row],[Tecnología]]&amp;Total[[#This Row],[Problema]],TbNombres[Tecnología]&amp;TbNombres[Problema],TbNombres[Nombre])</f>
        <v>Brusselator1d</v>
      </c>
      <c r="F1530" s="20">
        <v>5</v>
      </c>
      <c r="G1530" s="20">
        <v>3</v>
      </c>
      <c r="H1530" s="20">
        <v>1</v>
      </c>
      <c r="I1530" s="20">
        <v>25000</v>
      </c>
      <c r="J1530" s="20">
        <v>50000</v>
      </c>
      <c r="K1530" s="20">
        <v>835.62599999999998</v>
      </c>
    </row>
    <row r="1531" spans="2:11" x14ac:dyDescent="0.2">
      <c r="B1531" s="26" t="str">
        <f>_xlfn.XLOOKUP(Total[[#This Row],[Metodo]],TbSolver[Metodo],TbSolver[Solver])</f>
        <v>Adams Bashford Moulton</v>
      </c>
      <c r="C1531" s="26" t="str">
        <f>_xlfn.XLOOKUP(Total[[#This Row],[Hebras]],TbTecnologia[Hebras],TbTecnologia[Tecnología])</f>
        <v>OMP</v>
      </c>
      <c r="D1531" s="15" t="str" cm="1">
        <f t="array" ref="D1531">_xlfn.XLOOKUP(Total[[#This Row],[Tecnología]]&amp;Total[[#This Row],[Metodo]],TbTipos[Tecnología]&amp;TbTipos[Metodo],TbTipos[Tipo])</f>
        <v>OMP Operaciones</v>
      </c>
      <c r="E1531" s="15" t="str" cm="1">
        <f t="array" ref="E1531">_xlfn.XLOOKUP(Total[[#This Row],[Tecnología]]&amp;Total[[#This Row],[Problema]],TbNombres[Tecnología]&amp;TbNombres[Problema],TbNombres[Nombre])</f>
        <v>Brusselator1d</v>
      </c>
      <c r="F1531" s="20">
        <v>5</v>
      </c>
      <c r="G1531" s="20">
        <v>3</v>
      </c>
      <c r="H1531" s="20">
        <v>4</v>
      </c>
      <c r="I1531" s="20">
        <v>25000</v>
      </c>
      <c r="J1531" s="20">
        <v>50000</v>
      </c>
      <c r="K1531" s="20">
        <v>215.36500000000001</v>
      </c>
    </row>
    <row r="1532" spans="2:11" x14ac:dyDescent="0.2">
      <c r="B1532" s="26" t="str">
        <f>_xlfn.XLOOKUP(Total[[#This Row],[Metodo]],TbSolver[Metodo],TbSolver[Solver])</f>
        <v>Adams Bashford Moulton</v>
      </c>
      <c r="C1532" s="26" t="str">
        <f>_xlfn.XLOOKUP(Total[[#This Row],[Hebras]],TbTecnologia[Hebras],TbTecnologia[Tecnología])</f>
        <v>OMP</v>
      </c>
      <c r="D1532" s="15" t="str" cm="1">
        <f t="array" ref="D1532">_xlfn.XLOOKUP(Total[[#This Row],[Tecnología]]&amp;Total[[#This Row],[Metodo]],TbTipos[Tecnología]&amp;TbTipos[Metodo],TbTipos[Tipo])</f>
        <v>OMP Operaciones</v>
      </c>
      <c r="E1532" s="15" t="str" cm="1">
        <f t="array" ref="E1532">_xlfn.XLOOKUP(Total[[#This Row],[Tecnología]]&amp;Total[[#This Row],[Problema]],TbNombres[Tecnología]&amp;TbNombres[Problema],TbNombres[Nombre])</f>
        <v>Brusselator1d</v>
      </c>
      <c r="F1532" s="20">
        <v>5</v>
      </c>
      <c r="G1532" s="20">
        <v>3</v>
      </c>
      <c r="H1532" s="20">
        <v>16</v>
      </c>
      <c r="I1532" s="20">
        <v>25000</v>
      </c>
      <c r="J1532" s="20">
        <v>50000</v>
      </c>
      <c r="K1532" s="20">
        <v>175.33</v>
      </c>
    </row>
    <row r="1533" spans="2:11" x14ac:dyDescent="0.2">
      <c r="B1533" s="26" t="str">
        <f>_xlfn.XLOOKUP(Total[[#This Row],[Metodo]],TbSolver[Metodo],TbSolver[Solver])</f>
        <v>Adams Bashford Moulton</v>
      </c>
      <c r="C1533" s="26" t="str">
        <f>_xlfn.XLOOKUP(Total[[#This Row],[Hebras]],TbTecnologia[Hebras],TbTecnologia[Tecnología])</f>
        <v>OMP</v>
      </c>
      <c r="D1533" s="15" t="str" cm="1">
        <f t="array" ref="D1533">_xlfn.XLOOKUP(Total[[#This Row],[Tecnología]]&amp;Total[[#This Row],[Metodo]],TbTipos[Tecnología]&amp;TbTipos[Metodo],TbTipos[Tipo])</f>
        <v>OMP Operaciones</v>
      </c>
      <c r="E1533" s="15" t="str" cm="1">
        <f t="array" ref="E1533">_xlfn.XLOOKUP(Total[[#This Row],[Tecnología]]&amp;Total[[#This Row],[Problema]],TbNombres[Tecnología]&amp;TbNombres[Problema],TbNombres[Nombre])</f>
        <v>Brusselator1d</v>
      </c>
      <c r="F1533" s="20">
        <v>5</v>
      </c>
      <c r="G1533" s="20">
        <v>3</v>
      </c>
      <c r="H1533" s="20">
        <v>1</v>
      </c>
      <c r="I1533" s="20">
        <v>30000</v>
      </c>
      <c r="J1533" s="20">
        <v>60000</v>
      </c>
      <c r="K1533" s="20">
        <v>1018.56</v>
      </c>
    </row>
    <row r="1534" spans="2:11" x14ac:dyDescent="0.2">
      <c r="B1534" s="26" t="str">
        <f>_xlfn.XLOOKUP(Total[[#This Row],[Metodo]],TbSolver[Metodo],TbSolver[Solver])</f>
        <v>Adams Bashford Moulton</v>
      </c>
      <c r="C1534" s="26" t="str">
        <f>_xlfn.XLOOKUP(Total[[#This Row],[Hebras]],TbTecnologia[Hebras],TbTecnologia[Tecnología])</f>
        <v>OMP</v>
      </c>
      <c r="D1534" s="15" t="str" cm="1">
        <f t="array" ref="D1534">_xlfn.XLOOKUP(Total[[#This Row],[Tecnología]]&amp;Total[[#This Row],[Metodo]],TbTipos[Tecnología]&amp;TbTipos[Metodo],TbTipos[Tipo])</f>
        <v>OMP Operaciones</v>
      </c>
      <c r="E1534" s="15" t="str" cm="1">
        <f t="array" ref="E1534">_xlfn.XLOOKUP(Total[[#This Row],[Tecnología]]&amp;Total[[#This Row],[Problema]],TbNombres[Tecnología]&amp;TbNombres[Problema],TbNombres[Nombre])</f>
        <v>Brusselator1d</v>
      </c>
      <c r="F1534" s="20">
        <v>5</v>
      </c>
      <c r="G1534" s="20">
        <v>3</v>
      </c>
      <c r="H1534" s="20">
        <v>4</v>
      </c>
      <c r="I1534" s="20">
        <v>30000</v>
      </c>
      <c r="J1534" s="20">
        <v>60000</v>
      </c>
      <c r="K1534" s="20">
        <v>255.40799999999999</v>
      </c>
    </row>
    <row r="1535" spans="2:11" x14ac:dyDescent="0.2">
      <c r="B1535" s="26" t="str">
        <f>_xlfn.XLOOKUP(Total[[#This Row],[Metodo]],TbSolver[Metodo],TbSolver[Solver])</f>
        <v>Adams Bashford Moulton</v>
      </c>
      <c r="C1535" s="26" t="str">
        <f>_xlfn.XLOOKUP(Total[[#This Row],[Hebras]],TbTecnologia[Hebras],TbTecnologia[Tecnología])</f>
        <v>OMP</v>
      </c>
      <c r="D1535" s="15" t="str" cm="1">
        <f t="array" ref="D1535">_xlfn.XLOOKUP(Total[[#This Row],[Tecnología]]&amp;Total[[#This Row],[Metodo]],TbTipos[Tecnología]&amp;TbTipos[Metodo],TbTipos[Tipo])</f>
        <v>OMP Operaciones</v>
      </c>
      <c r="E1535" s="15" t="str" cm="1">
        <f t="array" ref="E1535">_xlfn.XLOOKUP(Total[[#This Row],[Tecnología]]&amp;Total[[#This Row],[Problema]],TbNombres[Tecnología]&amp;TbNombres[Problema],TbNombres[Nombre])</f>
        <v>Brusselator1d</v>
      </c>
      <c r="F1535" s="20">
        <v>5</v>
      </c>
      <c r="G1535" s="20">
        <v>3</v>
      </c>
      <c r="H1535" s="20">
        <v>16</v>
      </c>
      <c r="I1535" s="20">
        <v>30000</v>
      </c>
      <c r="J1535" s="20">
        <v>60000</v>
      </c>
      <c r="K1535" s="20">
        <v>167.68299999999999</v>
      </c>
    </row>
    <row r="1536" spans="2:11" x14ac:dyDescent="0.2">
      <c r="B1536" s="26" t="str">
        <f>_xlfn.XLOOKUP(Total[[#This Row],[Metodo]],TbSolver[Metodo],TbSolver[Solver])</f>
        <v>Adams Bashford Moulton</v>
      </c>
      <c r="C1536" s="26" t="str">
        <f>_xlfn.XLOOKUP(Total[[#This Row],[Hebras]],TbTecnologia[Hebras],TbTecnologia[Tecnología])</f>
        <v>OMP</v>
      </c>
      <c r="D1536" s="15" t="str" cm="1">
        <f t="array" ref="D1536">_xlfn.XLOOKUP(Total[[#This Row],[Tecnología]]&amp;Total[[#This Row],[Metodo]],TbTipos[Tecnología]&amp;TbTipos[Metodo],TbTipos[Tipo])</f>
        <v>OMP Operaciones</v>
      </c>
      <c r="E1536" s="15" t="str" cm="1">
        <f t="array" ref="E1536">_xlfn.XLOOKUP(Total[[#This Row],[Tecnología]]&amp;Total[[#This Row],[Problema]],TbNombres[Tecnología]&amp;TbNombres[Problema],TbNombres[Nombre])</f>
        <v>Brusselator1d</v>
      </c>
      <c r="F1536" s="20">
        <v>5</v>
      </c>
      <c r="G1536" s="20">
        <v>3</v>
      </c>
      <c r="H1536" s="20">
        <v>1</v>
      </c>
      <c r="I1536" s="20">
        <v>40000</v>
      </c>
      <c r="J1536" s="20">
        <v>80000</v>
      </c>
      <c r="K1536" s="20">
        <v>1409.99</v>
      </c>
    </row>
    <row r="1537" spans="2:11" x14ac:dyDescent="0.2">
      <c r="B1537" s="26" t="str">
        <f>_xlfn.XLOOKUP(Total[[#This Row],[Metodo]],TbSolver[Metodo],TbSolver[Solver])</f>
        <v>Adams Bashford Moulton</v>
      </c>
      <c r="C1537" s="26" t="str">
        <f>_xlfn.XLOOKUP(Total[[#This Row],[Hebras]],TbTecnologia[Hebras],TbTecnologia[Tecnología])</f>
        <v>OMP</v>
      </c>
      <c r="D1537" s="15" t="str" cm="1">
        <f t="array" ref="D1537">_xlfn.XLOOKUP(Total[[#This Row],[Tecnología]]&amp;Total[[#This Row],[Metodo]],TbTipos[Tecnología]&amp;TbTipos[Metodo],TbTipos[Tipo])</f>
        <v>OMP Operaciones</v>
      </c>
      <c r="E1537" s="15" t="str" cm="1">
        <f t="array" ref="E1537">_xlfn.XLOOKUP(Total[[#This Row],[Tecnología]]&amp;Total[[#This Row],[Problema]],TbNombres[Tecnología]&amp;TbNombres[Problema],TbNombres[Nombre])</f>
        <v>Brusselator1d</v>
      </c>
      <c r="F1537" s="20">
        <v>5</v>
      </c>
      <c r="G1537" s="20">
        <v>3</v>
      </c>
      <c r="H1537" s="20">
        <v>4</v>
      </c>
      <c r="I1537" s="20">
        <v>40000</v>
      </c>
      <c r="J1537" s="20">
        <v>80000</v>
      </c>
      <c r="K1537" s="20">
        <v>342.346</v>
      </c>
    </row>
    <row r="1538" spans="2:11" x14ac:dyDescent="0.2">
      <c r="B1538" s="26" t="str">
        <f>_xlfn.XLOOKUP(Total[[#This Row],[Metodo]],TbSolver[Metodo],TbSolver[Solver])</f>
        <v>Adams Bashford Moulton</v>
      </c>
      <c r="C1538" s="26" t="str">
        <f>_xlfn.XLOOKUP(Total[[#This Row],[Hebras]],TbTecnologia[Hebras],TbTecnologia[Tecnología])</f>
        <v>OMP</v>
      </c>
      <c r="D1538" s="15" t="str" cm="1">
        <f t="array" ref="D1538">_xlfn.XLOOKUP(Total[[#This Row],[Tecnología]]&amp;Total[[#This Row],[Metodo]],TbTipos[Tecnología]&amp;TbTipos[Metodo],TbTipos[Tipo])</f>
        <v>OMP Operaciones</v>
      </c>
      <c r="E1538" s="15" t="str" cm="1">
        <f t="array" ref="E1538">_xlfn.XLOOKUP(Total[[#This Row],[Tecnología]]&amp;Total[[#This Row],[Problema]],TbNombres[Tecnología]&amp;TbNombres[Problema],TbNombres[Nombre])</f>
        <v>Brusselator1d</v>
      </c>
      <c r="F1538" s="20">
        <v>5</v>
      </c>
      <c r="G1538" s="20">
        <v>3</v>
      </c>
      <c r="H1538" s="20">
        <v>16</v>
      </c>
      <c r="I1538" s="20">
        <v>40000</v>
      </c>
      <c r="J1538" s="20">
        <v>80000</v>
      </c>
      <c r="K1538" s="20">
        <v>191.15799999999999</v>
      </c>
    </row>
    <row r="1539" spans="2:11" x14ac:dyDescent="0.2">
      <c r="B1539" s="26" t="str">
        <f>_xlfn.XLOOKUP(Total[[#This Row],[Metodo]],TbSolver[Metodo],TbSolver[Solver])</f>
        <v>Adams Bashford Moulton</v>
      </c>
      <c r="C1539" s="26" t="str">
        <f>_xlfn.XLOOKUP(Total[[#This Row],[Hebras]],TbTecnologia[Hebras],TbTecnologia[Tecnología])</f>
        <v>OMP</v>
      </c>
      <c r="D1539" s="15" t="str" cm="1">
        <f t="array" ref="D1539">_xlfn.XLOOKUP(Total[[#This Row],[Tecnología]]&amp;Total[[#This Row],[Metodo]],TbTipos[Tecnología]&amp;TbTipos[Metodo],TbTipos[Tipo])</f>
        <v>OMP Operaciones</v>
      </c>
      <c r="E1539" s="15" t="str" cm="1">
        <f t="array" ref="E1539">_xlfn.XLOOKUP(Total[[#This Row],[Tecnología]]&amp;Total[[#This Row],[Problema]],TbNombres[Tecnología]&amp;TbNombres[Problema],TbNombres[Nombre])</f>
        <v>Brusselator1d</v>
      </c>
      <c r="F1539" s="20">
        <v>5</v>
      </c>
      <c r="G1539" s="20">
        <v>3</v>
      </c>
      <c r="H1539" s="20">
        <v>1</v>
      </c>
      <c r="I1539" s="20">
        <v>50000</v>
      </c>
      <c r="J1539" s="20">
        <v>100000</v>
      </c>
      <c r="K1539" s="20">
        <v>1772.73</v>
      </c>
    </row>
    <row r="1540" spans="2:11" x14ac:dyDescent="0.2">
      <c r="B1540" s="26" t="str">
        <f>_xlfn.XLOOKUP(Total[[#This Row],[Metodo]],TbSolver[Metodo],TbSolver[Solver])</f>
        <v>Adams Bashford Moulton</v>
      </c>
      <c r="C1540" s="26" t="str">
        <f>_xlfn.XLOOKUP(Total[[#This Row],[Hebras]],TbTecnologia[Hebras],TbTecnologia[Tecnología])</f>
        <v>OMP</v>
      </c>
      <c r="D1540" s="15" t="str" cm="1">
        <f t="array" ref="D1540">_xlfn.XLOOKUP(Total[[#This Row],[Tecnología]]&amp;Total[[#This Row],[Metodo]],TbTipos[Tecnología]&amp;TbTipos[Metodo],TbTipos[Tipo])</f>
        <v>OMP Operaciones</v>
      </c>
      <c r="E1540" s="15" t="str" cm="1">
        <f t="array" ref="E1540">_xlfn.XLOOKUP(Total[[#This Row],[Tecnología]]&amp;Total[[#This Row],[Problema]],TbNombres[Tecnología]&amp;TbNombres[Problema],TbNombres[Nombre])</f>
        <v>Brusselator1d</v>
      </c>
      <c r="F1540" s="20">
        <v>5</v>
      </c>
      <c r="G1540" s="20">
        <v>3</v>
      </c>
      <c r="H1540" s="20">
        <v>4</v>
      </c>
      <c r="I1540" s="20">
        <v>50000</v>
      </c>
      <c r="J1540" s="20">
        <v>100000</v>
      </c>
      <c r="K1540" s="20">
        <v>438.01799999999997</v>
      </c>
    </row>
    <row r="1541" spans="2:11" x14ac:dyDescent="0.2">
      <c r="B1541" s="26" t="str">
        <f>_xlfn.XLOOKUP(Total[[#This Row],[Metodo]],TbSolver[Metodo],TbSolver[Solver])</f>
        <v>Adams Bashford Moulton</v>
      </c>
      <c r="C1541" s="26" t="str">
        <f>_xlfn.XLOOKUP(Total[[#This Row],[Hebras]],TbTecnologia[Hebras],TbTecnologia[Tecnología])</f>
        <v>OMP</v>
      </c>
      <c r="D1541" s="15" t="str" cm="1">
        <f t="array" ref="D1541">_xlfn.XLOOKUP(Total[[#This Row],[Tecnología]]&amp;Total[[#This Row],[Metodo]],TbTipos[Tecnología]&amp;TbTipos[Metodo],TbTipos[Tipo])</f>
        <v>OMP Operaciones</v>
      </c>
      <c r="E1541" s="15" t="str" cm="1">
        <f t="array" ref="E1541">_xlfn.XLOOKUP(Total[[#This Row],[Tecnología]]&amp;Total[[#This Row],[Problema]],TbNombres[Tecnología]&amp;TbNombres[Problema],TbNombres[Nombre])</f>
        <v>Brusselator1d</v>
      </c>
      <c r="F1541" s="20">
        <v>5</v>
      </c>
      <c r="G1541" s="20">
        <v>3</v>
      </c>
      <c r="H1541" s="20">
        <v>16</v>
      </c>
      <c r="I1541" s="20">
        <v>50000</v>
      </c>
      <c r="J1541" s="20">
        <v>100000</v>
      </c>
      <c r="K1541" s="20">
        <v>219.91800000000001</v>
      </c>
    </row>
    <row r="1542" spans="2:11" x14ac:dyDescent="0.2">
      <c r="B1542" s="26" t="str">
        <f>_xlfn.XLOOKUP(Total[[#This Row],[Metodo]],TbSolver[Metodo],TbSolver[Solver])</f>
        <v>Adams Bashford Moulton</v>
      </c>
      <c r="C1542" s="26" t="str">
        <f>_xlfn.XLOOKUP(Total[[#This Row],[Hebras]],TbTecnologia[Hebras],TbTecnologia[Tecnología])</f>
        <v>OMP</v>
      </c>
      <c r="D1542" s="15" t="str" cm="1">
        <f t="array" ref="D1542">_xlfn.XLOOKUP(Total[[#This Row],[Tecnología]]&amp;Total[[#This Row],[Metodo]],TbTipos[Tecnología]&amp;TbTipos[Metodo],TbTipos[Tipo])</f>
        <v>OMP Elementos</v>
      </c>
      <c r="E1542" s="15" t="str" cm="1">
        <f t="array" ref="E1542">_xlfn.XLOOKUP(Total[[#This Row],[Tecnología]]&amp;Total[[#This Row],[Problema]],TbNombres[Tecnología]&amp;TbNombres[Problema],TbNombres[Nombre])</f>
        <v>Simple Advdiff</v>
      </c>
      <c r="F1542" s="20">
        <v>6</v>
      </c>
      <c r="G1542" s="20">
        <v>1</v>
      </c>
      <c r="H1542" s="20">
        <v>1</v>
      </c>
      <c r="I1542" s="20">
        <v>20000</v>
      </c>
      <c r="J1542" s="20">
        <v>20000</v>
      </c>
      <c r="K1542" s="20">
        <v>532.74800000000005</v>
      </c>
    </row>
    <row r="1543" spans="2:11" x14ac:dyDescent="0.2">
      <c r="B1543" s="26" t="str">
        <f>_xlfn.XLOOKUP(Total[[#This Row],[Metodo]],TbSolver[Metodo],TbSolver[Solver])</f>
        <v>Adams Bashford Moulton</v>
      </c>
      <c r="C1543" s="26" t="str">
        <f>_xlfn.XLOOKUP(Total[[#This Row],[Hebras]],TbTecnologia[Hebras],TbTecnologia[Tecnología])</f>
        <v>OMP</v>
      </c>
      <c r="D1543" s="15" t="str" cm="1">
        <f t="array" ref="D1543">_xlfn.XLOOKUP(Total[[#This Row],[Tecnología]]&amp;Total[[#This Row],[Metodo]],TbTipos[Tecnología]&amp;TbTipos[Metodo],TbTipos[Tipo])</f>
        <v>OMP Elementos</v>
      </c>
      <c r="E1543" s="15" t="str" cm="1">
        <f t="array" ref="E1543">_xlfn.XLOOKUP(Total[[#This Row],[Tecnología]]&amp;Total[[#This Row],[Problema]],TbNombres[Tecnología]&amp;TbNombres[Problema],TbNombres[Nombre])</f>
        <v>Simple Advdiff</v>
      </c>
      <c r="F1543" s="20">
        <v>6</v>
      </c>
      <c r="G1543" s="20">
        <v>1</v>
      </c>
      <c r="H1543" s="20">
        <v>4</v>
      </c>
      <c r="I1543" s="20">
        <v>20000</v>
      </c>
      <c r="J1543" s="20">
        <v>20000</v>
      </c>
      <c r="K1543" s="20">
        <v>150.83099999999999</v>
      </c>
    </row>
    <row r="1544" spans="2:11" x14ac:dyDescent="0.2">
      <c r="B1544" s="26" t="str">
        <f>_xlfn.XLOOKUP(Total[[#This Row],[Metodo]],TbSolver[Metodo],TbSolver[Solver])</f>
        <v>Adams Bashford Moulton</v>
      </c>
      <c r="C1544" s="26" t="str">
        <f>_xlfn.XLOOKUP(Total[[#This Row],[Hebras]],TbTecnologia[Hebras],TbTecnologia[Tecnología])</f>
        <v>OMP</v>
      </c>
      <c r="D1544" s="15" t="str" cm="1">
        <f t="array" ref="D1544">_xlfn.XLOOKUP(Total[[#This Row],[Tecnología]]&amp;Total[[#This Row],[Metodo]],TbTipos[Tecnología]&amp;TbTipos[Metodo],TbTipos[Tipo])</f>
        <v>OMP Elementos</v>
      </c>
      <c r="E1544" s="15" t="str" cm="1">
        <f t="array" ref="E1544">_xlfn.XLOOKUP(Total[[#This Row],[Tecnología]]&amp;Total[[#This Row],[Problema]],TbNombres[Tecnología]&amp;TbNombres[Problema],TbNombres[Nombre])</f>
        <v>Simple Advdiff</v>
      </c>
      <c r="F1544" s="20">
        <v>6</v>
      </c>
      <c r="G1544" s="20">
        <v>1</v>
      </c>
      <c r="H1544" s="20">
        <v>16</v>
      </c>
      <c r="I1544" s="20">
        <v>20000</v>
      </c>
      <c r="J1544" s="20">
        <v>20000</v>
      </c>
      <c r="K1544" s="20">
        <v>70.019400000000005</v>
      </c>
    </row>
    <row r="1545" spans="2:11" x14ac:dyDescent="0.2">
      <c r="B1545" s="26" t="str">
        <f>_xlfn.XLOOKUP(Total[[#This Row],[Metodo]],TbSolver[Metodo],TbSolver[Solver])</f>
        <v>Adams Bashford Moulton</v>
      </c>
      <c r="C1545" s="26" t="str">
        <f>_xlfn.XLOOKUP(Total[[#This Row],[Hebras]],TbTecnologia[Hebras],TbTecnologia[Tecnología])</f>
        <v>OMP</v>
      </c>
      <c r="D1545" s="15" t="str" cm="1">
        <f t="array" ref="D1545">_xlfn.XLOOKUP(Total[[#This Row],[Tecnología]]&amp;Total[[#This Row],[Metodo]],TbTipos[Tecnología]&amp;TbTipos[Metodo],TbTipos[Tipo])</f>
        <v>OMP Elementos</v>
      </c>
      <c r="E1545" s="15" t="str" cm="1">
        <f t="array" ref="E1545">_xlfn.XLOOKUP(Total[[#This Row],[Tecnología]]&amp;Total[[#This Row],[Problema]],TbNombres[Tecnología]&amp;TbNombres[Problema],TbNombres[Nombre])</f>
        <v>Simple Advdiff</v>
      </c>
      <c r="F1545" s="20">
        <v>6</v>
      </c>
      <c r="G1545" s="20">
        <v>1</v>
      </c>
      <c r="H1545" s="20">
        <v>1</v>
      </c>
      <c r="I1545" s="20">
        <v>25000</v>
      </c>
      <c r="J1545" s="20">
        <v>25000</v>
      </c>
      <c r="K1545" s="20">
        <v>666.55</v>
      </c>
    </row>
    <row r="1546" spans="2:11" x14ac:dyDescent="0.2">
      <c r="B1546" s="26" t="str">
        <f>_xlfn.XLOOKUP(Total[[#This Row],[Metodo]],TbSolver[Metodo],TbSolver[Solver])</f>
        <v>Adams Bashford Moulton</v>
      </c>
      <c r="C1546" s="26" t="str">
        <f>_xlfn.XLOOKUP(Total[[#This Row],[Hebras]],TbTecnologia[Hebras],TbTecnologia[Tecnología])</f>
        <v>OMP</v>
      </c>
      <c r="D1546" s="15" t="str" cm="1">
        <f t="array" ref="D1546">_xlfn.XLOOKUP(Total[[#This Row],[Tecnología]]&amp;Total[[#This Row],[Metodo]],TbTipos[Tecnología]&amp;TbTipos[Metodo],TbTipos[Tipo])</f>
        <v>OMP Elementos</v>
      </c>
      <c r="E1546" s="15" t="str" cm="1">
        <f t="array" ref="E1546">_xlfn.XLOOKUP(Total[[#This Row],[Tecnología]]&amp;Total[[#This Row],[Problema]],TbNombres[Tecnología]&amp;TbNombres[Problema],TbNombres[Nombre])</f>
        <v>Simple Advdiff</v>
      </c>
      <c r="F1546" s="20">
        <v>6</v>
      </c>
      <c r="G1546" s="20">
        <v>1</v>
      </c>
      <c r="H1546" s="20">
        <v>4</v>
      </c>
      <c r="I1546" s="20">
        <v>25000</v>
      </c>
      <c r="J1546" s="20">
        <v>25000</v>
      </c>
      <c r="K1546" s="20">
        <v>184.96799999999999</v>
      </c>
    </row>
    <row r="1547" spans="2:11" x14ac:dyDescent="0.2">
      <c r="B1547" s="26" t="str">
        <f>_xlfn.XLOOKUP(Total[[#This Row],[Metodo]],TbSolver[Metodo],TbSolver[Solver])</f>
        <v>Adams Bashford Moulton</v>
      </c>
      <c r="C1547" s="26" t="str">
        <f>_xlfn.XLOOKUP(Total[[#This Row],[Hebras]],TbTecnologia[Hebras],TbTecnologia[Tecnología])</f>
        <v>OMP</v>
      </c>
      <c r="D1547" s="15" t="str" cm="1">
        <f t="array" ref="D1547">_xlfn.XLOOKUP(Total[[#This Row],[Tecnología]]&amp;Total[[#This Row],[Metodo]],TbTipos[Tecnología]&amp;TbTipos[Metodo],TbTipos[Tipo])</f>
        <v>OMP Elementos</v>
      </c>
      <c r="E1547" s="15" t="str" cm="1">
        <f t="array" ref="E1547">_xlfn.XLOOKUP(Total[[#This Row],[Tecnología]]&amp;Total[[#This Row],[Problema]],TbNombres[Tecnología]&amp;TbNombres[Problema],TbNombres[Nombre])</f>
        <v>Simple Advdiff</v>
      </c>
      <c r="F1547" s="20">
        <v>6</v>
      </c>
      <c r="G1547" s="20">
        <v>1</v>
      </c>
      <c r="H1547" s="20">
        <v>16</v>
      </c>
      <c r="I1547" s="20">
        <v>25000</v>
      </c>
      <c r="J1547" s="20">
        <v>25000</v>
      </c>
      <c r="K1547" s="20">
        <v>78.273499999999999</v>
      </c>
    </row>
    <row r="1548" spans="2:11" x14ac:dyDescent="0.2">
      <c r="B1548" s="26" t="str">
        <f>_xlfn.XLOOKUP(Total[[#This Row],[Metodo]],TbSolver[Metodo],TbSolver[Solver])</f>
        <v>Adams Bashford Moulton</v>
      </c>
      <c r="C1548" s="26" t="str">
        <f>_xlfn.XLOOKUP(Total[[#This Row],[Hebras]],TbTecnologia[Hebras],TbTecnologia[Tecnología])</f>
        <v>OMP</v>
      </c>
      <c r="D1548" s="15" t="str" cm="1">
        <f t="array" ref="D1548">_xlfn.XLOOKUP(Total[[#This Row],[Tecnología]]&amp;Total[[#This Row],[Metodo]],TbTipos[Tecnología]&amp;TbTipos[Metodo],TbTipos[Tipo])</f>
        <v>OMP Elementos</v>
      </c>
      <c r="E1548" s="15" t="str" cm="1">
        <f t="array" ref="E1548">_xlfn.XLOOKUP(Total[[#This Row],[Tecnología]]&amp;Total[[#This Row],[Problema]],TbNombres[Tecnología]&amp;TbNombres[Problema],TbNombres[Nombre])</f>
        <v>Simple Advdiff</v>
      </c>
      <c r="F1548" s="20">
        <v>6</v>
      </c>
      <c r="G1548" s="20">
        <v>1</v>
      </c>
      <c r="H1548" s="20">
        <v>1</v>
      </c>
      <c r="I1548" s="20">
        <v>30000</v>
      </c>
      <c r="J1548" s="20">
        <v>30000</v>
      </c>
      <c r="K1548" s="20">
        <v>800.73</v>
      </c>
    </row>
    <row r="1549" spans="2:11" x14ac:dyDescent="0.2">
      <c r="B1549" s="26" t="str">
        <f>_xlfn.XLOOKUP(Total[[#This Row],[Metodo]],TbSolver[Metodo],TbSolver[Solver])</f>
        <v>Adams Bashford Moulton</v>
      </c>
      <c r="C1549" s="26" t="str">
        <f>_xlfn.XLOOKUP(Total[[#This Row],[Hebras]],TbTecnologia[Hebras],TbTecnologia[Tecnología])</f>
        <v>OMP</v>
      </c>
      <c r="D1549" s="15" t="str" cm="1">
        <f t="array" ref="D1549">_xlfn.XLOOKUP(Total[[#This Row],[Tecnología]]&amp;Total[[#This Row],[Metodo]],TbTipos[Tecnología]&amp;TbTipos[Metodo],TbTipos[Tipo])</f>
        <v>OMP Elementos</v>
      </c>
      <c r="E1549" s="15" t="str" cm="1">
        <f t="array" ref="E1549">_xlfn.XLOOKUP(Total[[#This Row],[Tecnología]]&amp;Total[[#This Row],[Problema]],TbNombres[Tecnología]&amp;TbNombres[Problema],TbNombres[Nombre])</f>
        <v>Simple Advdiff</v>
      </c>
      <c r="F1549" s="20">
        <v>6</v>
      </c>
      <c r="G1549" s="20">
        <v>1</v>
      </c>
      <c r="H1549" s="20">
        <v>4</v>
      </c>
      <c r="I1549" s="20">
        <v>30000</v>
      </c>
      <c r="J1549" s="20">
        <v>30000</v>
      </c>
      <c r="K1549" s="20">
        <v>224.154</v>
      </c>
    </row>
    <row r="1550" spans="2:11" x14ac:dyDescent="0.2">
      <c r="B1550" s="26" t="str">
        <f>_xlfn.XLOOKUP(Total[[#This Row],[Metodo]],TbSolver[Metodo],TbSolver[Solver])</f>
        <v>Adams Bashford Moulton</v>
      </c>
      <c r="C1550" s="26" t="str">
        <f>_xlfn.XLOOKUP(Total[[#This Row],[Hebras]],TbTecnologia[Hebras],TbTecnologia[Tecnología])</f>
        <v>OMP</v>
      </c>
      <c r="D1550" s="15" t="str" cm="1">
        <f t="array" ref="D1550">_xlfn.XLOOKUP(Total[[#This Row],[Tecnología]]&amp;Total[[#This Row],[Metodo]],TbTipos[Tecnología]&amp;TbTipos[Metodo],TbTipos[Tipo])</f>
        <v>OMP Elementos</v>
      </c>
      <c r="E1550" s="15" t="str" cm="1">
        <f t="array" ref="E1550">_xlfn.XLOOKUP(Total[[#This Row],[Tecnología]]&amp;Total[[#This Row],[Problema]],TbNombres[Tecnología]&amp;TbNombres[Problema],TbNombres[Nombre])</f>
        <v>Simple Advdiff</v>
      </c>
      <c r="F1550" s="20">
        <v>6</v>
      </c>
      <c r="G1550" s="20">
        <v>1</v>
      </c>
      <c r="H1550" s="20">
        <v>16</v>
      </c>
      <c r="I1550" s="20">
        <v>30000</v>
      </c>
      <c r="J1550" s="20">
        <v>30000</v>
      </c>
      <c r="K1550" s="20">
        <v>86.0214</v>
      </c>
    </row>
    <row r="1551" spans="2:11" x14ac:dyDescent="0.2">
      <c r="B1551" s="26" t="str">
        <f>_xlfn.XLOOKUP(Total[[#This Row],[Metodo]],TbSolver[Metodo],TbSolver[Solver])</f>
        <v>Adams Bashford Moulton</v>
      </c>
      <c r="C1551" s="26" t="str">
        <f>_xlfn.XLOOKUP(Total[[#This Row],[Hebras]],TbTecnologia[Hebras],TbTecnologia[Tecnología])</f>
        <v>OMP</v>
      </c>
      <c r="D1551" s="15" t="str" cm="1">
        <f t="array" ref="D1551">_xlfn.XLOOKUP(Total[[#This Row],[Tecnología]]&amp;Total[[#This Row],[Metodo]],TbTipos[Tecnología]&amp;TbTipos[Metodo],TbTipos[Tipo])</f>
        <v>OMP Elementos</v>
      </c>
      <c r="E1551" s="15" t="str" cm="1">
        <f t="array" ref="E1551">_xlfn.XLOOKUP(Total[[#This Row],[Tecnología]]&amp;Total[[#This Row],[Problema]],TbNombres[Tecnología]&amp;TbNombres[Problema],TbNombres[Nombre])</f>
        <v>Simple Advdiff</v>
      </c>
      <c r="F1551" s="20">
        <v>6</v>
      </c>
      <c r="G1551" s="20">
        <v>1</v>
      </c>
      <c r="H1551" s="20">
        <v>1</v>
      </c>
      <c r="I1551" s="20">
        <v>40000</v>
      </c>
      <c r="J1551" s="20">
        <v>40000</v>
      </c>
      <c r="K1551" s="20">
        <v>1081.23</v>
      </c>
    </row>
    <row r="1552" spans="2:11" x14ac:dyDescent="0.2">
      <c r="B1552" s="26" t="str">
        <f>_xlfn.XLOOKUP(Total[[#This Row],[Metodo]],TbSolver[Metodo],TbSolver[Solver])</f>
        <v>Adams Bashford Moulton</v>
      </c>
      <c r="C1552" s="26" t="str">
        <f>_xlfn.XLOOKUP(Total[[#This Row],[Hebras]],TbTecnologia[Hebras],TbTecnologia[Tecnología])</f>
        <v>OMP</v>
      </c>
      <c r="D1552" s="15" t="str" cm="1">
        <f t="array" ref="D1552">_xlfn.XLOOKUP(Total[[#This Row],[Tecnología]]&amp;Total[[#This Row],[Metodo]],TbTipos[Tecnología]&amp;TbTipos[Metodo],TbTipos[Tipo])</f>
        <v>OMP Elementos</v>
      </c>
      <c r="E1552" s="15" t="str" cm="1">
        <f t="array" ref="E1552">_xlfn.XLOOKUP(Total[[#This Row],[Tecnología]]&amp;Total[[#This Row],[Problema]],TbNombres[Tecnología]&amp;TbNombres[Problema],TbNombres[Nombre])</f>
        <v>Simple Advdiff</v>
      </c>
      <c r="F1552" s="20">
        <v>6</v>
      </c>
      <c r="G1552" s="20">
        <v>1</v>
      </c>
      <c r="H1552" s="20">
        <v>4</v>
      </c>
      <c r="I1552" s="20">
        <v>40000</v>
      </c>
      <c r="J1552" s="20">
        <v>40000</v>
      </c>
      <c r="K1552" s="20">
        <v>287.25400000000002</v>
      </c>
    </row>
    <row r="1553" spans="2:11" x14ac:dyDescent="0.2">
      <c r="B1553" s="26" t="str">
        <f>_xlfn.XLOOKUP(Total[[#This Row],[Metodo]],TbSolver[Metodo],TbSolver[Solver])</f>
        <v>Adams Bashford Moulton</v>
      </c>
      <c r="C1553" s="26" t="str">
        <f>_xlfn.XLOOKUP(Total[[#This Row],[Hebras]],TbTecnologia[Hebras],TbTecnologia[Tecnología])</f>
        <v>OMP</v>
      </c>
      <c r="D1553" s="15" t="str" cm="1">
        <f t="array" ref="D1553">_xlfn.XLOOKUP(Total[[#This Row],[Tecnología]]&amp;Total[[#This Row],[Metodo]],TbTipos[Tecnología]&amp;TbTipos[Metodo],TbTipos[Tipo])</f>
        <v>OMP Elementos</v>
      </c>
      <c r="E1553" s="15" t="str" cm="1">
        <f t="array" ref="E1553">_xlfn.XLOOKUP(Total[[#This Row],[Tecnología]]&amp;Total[[#This Row],[Problema]],TbNombres[Tecnología]&amp;TbNombres[Problema],TbNombres[Nombre])</f>
        <v>Simple Advdiff</v>
      </c>
      <c r="F1553" s="20">
        <v>6</v>
      </c>
      <c r="G1553" s="20">
        <v>1</v>
      </c>
      <c r="H1553" s="20">
        <v>16</v>
      </c>
      <c r="I1553" s="20">
        <v>40000</v>
      </c>
      <c r="J1553" s="20">
        <v>40000</v>
      </c>
      <c r="K1553" s="20">
        <v>171.32599999999999</v>
      </c>
    </row>
    <row r="1554" spans="2:11" x14ac:dyDescent="0.2">
      <c r="B1554" s="26" t="str">
        <f>_xlfn.XLOOKUP(Total[[#This Row],[Metodo]],TbSolver[Metodo],TbSolver[Solver])</f>
        <v>Adams Bashford Moulton</v>
      </c>
      <c r="C1554" s="26" t="str">
        <f>_xlfn.XLOOKUP(Total[[#This Row],[Hebras]],TbTecnologia[Hebras],TbTecnologia[Tecnología])</f>
        <v>OMP</v>
      </c>
      <c r="D1554" s="15" t="str" cm="1">
        <f t="array" ref="D1554">_xlfn.XLOOKUP(Total[[#This Row],[Tecnología]]&amp;Total[[#This Row],[Metodo]],TbTipos[Tecnología]&amp;TbTipos[Metodo],TbTipos[Tipo])</f>
        <v>OMP Elementos</v>
      </c>
      <c r="E1554" s="15" t="str" cm="1">
        <f t="array" ref="E1554">_xlfn.XLOOKUP(Total[[#This Row],[Tecnología]]&amp;Total[[#This Row],[Problema]],TbNombres[Tecnología]&amp;TbNombres[Problema],TbNombres[Nombre])</f>
        <v>Simple Advdiff</v>
      </c>
      <c r="F1554" s="20">
        <v>6</v>
      </c>
      <c r="G1554" s="20">
        <v>1</v>
      </c>
      <c r="H1554" s="20">
        <v>1</v>
      </c>
      <c r="I1554" s="20">
        <v>50000</v>
      </c>
      <c r="J1554" s="20">
        <v>50000</v>
      </c>
      <c r="K1554" s="20">
        <v>1367.14</v>
      </c>
    </row>
    <row r="1555" spans="2:11" x14ac:dyDescent="0.2">
      <c r="B1555" s="26" t="str">
        <f>_xlfn.XLOOKUP(Total[[#This Row],[Metodo]],TbSolver[Metodo],TbSolver[Solver])</f>
        <v>Adams Bashford Moulton</v>
      </c>
      <c r="C1555" s="26" t="str">
        <f>_xlfn.XLOOKUP(Total[[#This Row],[Hebras]],TbTecnologia[Hebras],TbTecnologia[Tecnología])</f>
        <v>OMP</v>
      </c>
      <c r="D1555" s="15" t="str" cm="1">
        <f t="array" ref="D1555">_xlfn.XLOOKUP(Total[[#This Row],[Tecnología]]&amp;Total[[#This Row],[Metodo]],TbTipos[Tecnología]&amp;TbTipos[Metodo],TbTipos[Tipo])</f>
        <v>OMP Elementos</v>
      </c>
      <c r="E1555" s="15" t="str" cm="1">
        <f t="array" ref="E1555">_xlfn.XLOOKUP(Total[[#This Row],[Tecnología]]&amp;Total[[#This Row],[Problema]],TbNombres[Tecnología]&amp;TbNombres[Problema],TbNombres[Nombre])</f>
        <v>Simple Advdiff</v>
      </c>
      <c r="F1555" s="20">
        <v>6</v>
      </c>
      <c r="G1555" s="20">
        <v>1</v>
      </c>
      <c r="H1555" s="20">
        <v>4</v>
      </c>
      <c r="I1555" s="20">
        <v>50000</v>
      </c>
      <c r="J1555" s="20">
        <v>50000</v>
      </c>
      <c r="K1555" s="20">
        <v>359.767</v>
      </c>
    </row>
    <row r="1556" spans="2:11" x14ac:dyDescent="0.2">
      <c r="B1556" s="26" t="str">
        <f>_xlfn.XLOOKUP(Total[[#This Row],[Metodo]],TbSolver[Metodo],TbSolver[Solver])</f>
        <v>Adams Bashford Moulton</v>
      </c>
      <c r="C1556" s="26" t="str">
        <f>_xlfn.XLOOKUP(Total[[#This Row],[Hebras]],TbTecnologia[Hebras],TbTecnologia[Tecnología])</f>
        <v>OMP</v>
      </c>
      <c r="D1556" s="15" t="str" cm="1">
        <f t="array" ref="D1556">_xlfn.XLOOKUP(Total[[#This Row],[Tecnología]]&amp;Total[[#This Row],[Metodo]],TbTipos[Tecnología]&amp;TbTipos[Metodo],TbTipos[Tipo])</f>
        <v>OMP Elementos</v>
      </c>
      <c r="E1556" s="15" t="str" cm="1">
        <f t="array" ref="E1556">_xlfn.XLOOKUP(Total[[#This Row],[Tecnología]]&amp;Total[[#This Row],[Problema]],TbNombres[Tecnología]&amp;TbNombres[Problema],TbNombres[Nombre])</f>
        <v>Simple Advdiff</v>
      </c>
      <c r="F1556" s="20">
        <v>6</v>
      </c>
      <c r="G1556" s="20">
        <v>1</v>
      </c>
      <c r="H1556" s="20">
        <v>16</v>
      </c>
      <c r="I1556" s="20">
        <v>50000</v>
      </c>
      <c r="J1556" s="20">
        <v>50000</v>
      </c>
      <c r="K1556" s="20">
        <v>150.57900000000001</v>
      </c>
    </row>
    <row r="1557" spans="2:11" x14ac:dyDescent="0.2">
      <c r="B1557" s="26" t="str">
        <f>_xlfn.XLOOKUP(Total[[#This Row],[Metodo]],TbSolver[Metodo],TbSolver[Solver])</f>
        <v>Adams Bashford Moulton</v>
      </c>
      <c r="C1557" s="26" t="str">
        <f>_xlfn.XLOOKUP(Total[[#This Row],[Hebras]],TbTecnologia[Hebras],TbTecnologia[Tecnología])</f>
        <v>OMP</v>
      </c>
      <c r="D1557" s="15" t="str" cm="1">
        <f t="array" ref="D1557">_xlfn.XLOOKUP(Total[[#This Row],[Tecnología]]&amp;Total[[#This Row],[Metodo]],TbTipos[Tecnología]&amp;TbTipos[Metodo],TbTipos[Tipo])</f>
        <v>OMP Elementos</v>
      </c>
      <c r="E1557" s="15" t="str" cm="1">
        <f t="array" ref="E1557">_xlfn.XLOOKUP(Total[[#This Row],[Tecnología]]&amp;Total[[#This Row],[Problema]],TbNombres[Tecnología]&amp;TbNombres[Problema],TbNombres[Nombre])</f>
        <v>Advdiff1d</v>
      </c>
      <c r="F1557" s="20">
        <v>6</v>
      </c>
      <c r="G1557" s="20">
        <v>2</v>
      </c>
      <c r="H1557" s="20">
        <v>1</v>
      </c>
      <c r="I1557" s="20">
        <v>20000</v>
      </c>
      <c r="J1557" s="20">
        <v>20000</v>
      </c>
      <c r="K1557" s="20">
        <v>1863.51</v>
      </c>
    </row>
    <row r="1558" spans="2:11" x14ac:dyDescent="0.2">
      <c r="B1558" s="26" t="str">
        <f>_xlfn.XLOOKUP(Total[[#This Row],[Metodo]],TbSolver[Metodo],TbSolver[Solver])</f>
        <v>Adams Bashford Moulton</v>
      </c>
      <c r="C1558" s="26" t="str">
        <f>_xlfn.XLOOKUP(Total[[#This Row],[Hebras]],TbTecnologia[Hebras],TbTecnologia[Tecnología])</f>
        <v>OMP</v>
      </c>
      <c r="D1558" s="15" t="str" cm="1">
        <f t="array" ref="D1558">_xlfn.XLOOKUP(Total[[#This Row],[Tecnología]]&amp;Total[[#This Row],[Metodo]],TbTipos[Tecnología]&amp;TbTipos[Metodo],TbTipos[Tipo])</f>
        <v>OMP Elementos</v>
      </c>
      <c r="E1558" s="15" t="str" cm="1">
        <f t="array" ref="E1558">_xlfn.XLOOKUP(Total[[#This Row],[Tecnología]]&amp;Total[[#This Row],[Problema]],TbNombres[Tecnología]&amp;TbNombres[Problema],TbNombres[Nombre])</f>
        <v>Advdiff1d</v>
      </c>
      <c r="F1558" s="20">
        <v>6</v>
      </c>
      <c r="G1558" s="20">
        <v>2</v>
      </c>
      <c r="H1558" s="20">
        <v>4</v>
      </c>
      <c r="I1558" s="20">
        <v>20000</v>
      </c>
      <c r="J1558" s="20">
        <v>20000</v>
      </c>
      <c r="K1558" s="20">
        <v>548.53300000000002</v>
      </c>
    </row>
    <row r="1559" spans="2:11" x14ac:dyDescent="0.2">
      <c r="B1559" s="26" t="str">
        <f>_xlfn.XLOOKUP(Total[[#This Row],[Metodo]],TbSolver[Metodo],TbSolver[Solver])</f>
        <v>Adams Bashford Moulton</v>
      </c>
      <c r="C1559" s="26" t="str">
        <f>_xlfn.XLOOKUP(Total[[#This Row],[Hebras]],TbTecnologia[Hebras],TbTecnologia[Tecnología])</f>
        <v>OMP</v>
      </c>
      <c r="D1559" s="15" t="str" cm="1">
        <f t="array" ref="D1559">_xlfn.XLOOKUP(Total[[#This Row],[Tecnología]]&amp;Total[[#This Row],[Metodo]],TbTipos[Tecnología]&amp;TbTipos[Metodo],TbTipos[Tipo])</f>
        <v>OMP Elementos</v>
      </c>
      <c r="E1559" s="15" t="str" cm="1">
        <f t="array" ref="E1559">_xlfn.XLOOKUP(Total[[#This Row],[Tecnología]]&amp;Total[[#This Row],[Problema]],TbNombres[Tecnología]&amp;TbNombres[Problema],TbNombres[Nombre])</f>
        <v>Advdiff1d</v>
      </c>
      <c r="F1559" s="20">
        <v>6</v>
      </c>
      <c r="G1559" s="20">
        <v>2</v>
      </c>
      <c r="H1559" s="20">
        <v>16</v>
      </c>
      <c r="I1559" s="20">
        <v>20000</v>
      </c>
      <c r="J1559" s="20">
        <v>20000</v>
      </c>
      <c r="K1559" s="20">
        <v>239.43799999999999</v>
      </c>
    </row>
    <row r="1560" spans="2:11" x14ac:dyDescent="0.2">
      <c r="B1560" s="26" t="str">
        <f>_xlfn.XLOOKUP(Total[[#This Row],[Metodo]],TbSolver[Metodo],TbSolver[Solver])</f>
        <v>Adams Bashford Moulton</v>
      </c>
      <c r="C1560" s="26" t="str">
        <f>_xlfn.XLOOKUP(Total[[#This Row],[Hebras]],TbTecnologia[Hebras],TbTecnologia[Tecnología])</f>
        <v>OMP</v>
      </c>
      <c r="D1560" s="15" t="str" cm="1">
        <f t="array" ref="D1560">_xlfn.XLOOKUP(Total[[#This Row],[Tecnología]]&amp;Total[[#This Row],[Metodo]],TbTipos[Tecnología]&amp;TbTipos[Metodo],TbTipos[Tipo])</f>
        <v>OMP Elementos</v>
      </c>
      <c r="E1560" s="15" t="str" cm="1">
        <f t="array" ref="E1560">_xlfn.XLOOKUP(Total[[#This Row],[Tecnología]]&amp;Total[[#This Row],[Problema]],TbNombres[Tecnología]&amp;TbNombres[Problema],TbNombres[Nombre])</f>
        <v>Advdiff1d</v>
      </c>
      <c r="F1560" s="20">
        <v>6</v>
      </c>
      <c r="G1560" s="20">
        <v>2</v>
      </c>
      <c r="H1560" s="20">
        <v>1</v>
      </c>
      <c r="I1560" s="20">
        <v>25000</v>
      </c>
      <c r="J1560" s="20">
        <v>25000</v>
      </c>
      <c r="K1560" s="20">
        <v>2315.2399999999998</v>
      </c>
    </row>
    <row r="1561" spans="2:11" x14ac:dyDescent="0.2">
      <c r="B1561" s="26" t="str">
        <f>_xlfn.XLOOKUP(Total[[#This Row],[Metodo]],TbSolver[Metodo],TbSolver[Solver])</f>
        <v>Adams Bashford Moulton</v>
      </c>
      <c r="C1561" s="26" t="str">
        <f>_xlfn.XLOOKUP(Total[[#This Row],[Hebras]],TbTecnologia[Hebras],TbTecnologia[Tecnología])</f>
        <v>OMP</v>
      </c>
      <c r="D1561" s="15" t="str" cm="1">
        <f t="array" ref="D1561">_xlfn.XLOOKUP(Total[[#This Row],[Tecnología]]&amp;Total[[#This Row],[Metodo]],TbTipos[Tecnología]&amp;TbTipos[Metodo],TbTipos[Tipo])</f>
        <v>OMP Elementos</v>
      </c>
      <c r="E1561" s="15" t="str" cm="1">
        <f t="array" ref="E1561">_xlfn.XLOOKUP(Total[[#This Row],[Tecnología]]&amp;Total[[#This Row],[Problema]],TbNombres[Tecnología]&amp;TbNombres[Problema],TbNombres[Nombre])</f>
        <v>Advdiff1d</v>
      </c>
      <c r="F1561" s="20">
        <v>6</v>
      </c>
      <c r="G1561" s="20">
        <v>2</v>
      </c>
      <c r="H1561" s="20">
        <v>4</v>
      </c>
      <c r="I1561" s="20">
        <v>25000</v>
      </c>
      <c r="J1561" s="20">
        <v>25000</v>
      </c>
      <c r="K1561" s="20">
        <v>683.74300000000005</v>
      </c>
    </row>
    <row r="1562" spans="2:11" x14ac:dyDescent="0.2">
      <c r="B1562" s="26" t="str">
        <f>_xlfn.XLOOKUP(Total[[#This Row],[Metodo]],TbSolver[Metodo],TbSolver[Solver])</f>
        <v>Adams Bashford Moulton</v>
      </c>
      <c r="C1562" s="26" t="str">
        <f>_xlfn.XLOOKUP(Total[[#This Row],[Hebras]],TbTecnologia[Hebras],TbTecnologia[Tecnología])</f>
        <v>OMP</v>
      </c>
      <c r="D1562" s="15" t="str" cm="1">
        <f t="array" ref="D1562">_xlfn.XLOOKUP(Total[[#This Row],[Tecnología]]&amp;Total[[#This Row],[Metodo]],TbTipos[Tecnología]&amp;TbTipos[Metodo],TbTipos[Tipo])</f>
        <v>OMP Elementos</v>
      </c>
      <c r="E1562" s="15" t="str" cm="1">
        <f t="array" ref="E1562">_xlfn.XLOOKUP(Total[[#This Row],[Tecnología]]&amp;Total[[#This Row],[Problema]],TbNombres[Tecnología]&amp;TbNombres[Problema],TbNombres[Nombre])</f>
        <v>Advdiff1d</v>
      </c>
      <c r="F1562" s="20">
        <v>6</v>
      </c>
      <c r="G1562" s="20">
        <v>2</v>
      </c>
      <c r="H1562" s="20">
        <v>16</v>
      </c>
      <c r="I1562" s="20">
        <v>25000</v>
      </c>
      <c r="J1562" s="20">
        <v>25000</v>
      </c>
      <c r="K1562" s="20">
        <v>195.07300000000001</v>
      </c>
    </row>
    <row r="1563" spans="2:11" x14ac:dyDescent="0.2">
      <c r="B1563" s="26" t="str">
        <f>_xlfn.XLOOKUP(Total[[#This Row],[Metodo]],TbSolver[Metodo],TbSolver[Solver])</f>
        <v>Adams Bashford Moulton</v>
      </c>
      <c r="C1563" s="26" t="str">
        <f>_xlfn.XLOOKUP(Total[[#This Row],[Hebras]],TbTecnologia[Hebras],TbTecnologia[Tecnología])</f>
        <v>OMP</v>
      </c>
      <c r="D1563" s="15" t="str" cm="1">
        <f t="array" ref="D1563">_xlfn.XLOOKUP(Total[[#This Row],[Tecnología]]&amp;Total[[#This Row],[Metodo]],TbTipos[Tecnología]&amp;TbTipos[Metodo],TbTipos[Tipo])</f>
        <v>OMP Elementos</v>
      </c>
      <c r="E1563" s="15" t="str" cm="1">
        <f t="array" ref="E1563">_xlfn.XLOOKUP(Total[[#This Row],[Tecnología]]&amp;Total[[#This Row],[Problema]],TbNombres[Tecnología]&amp;TbNombres[Problema],TbNombres[Nombre])</f>
        <v>Advdiff1d</v>
      </c>
      <c r="F1563" s="20">
        <v>6</v>
      </c>
      <c r="G1563" s="20">
        <v>2</v>
      </c>
      <c r="H1563" s="20">
        <v>1</v>
      </c>
      <c r="I1563" s="20">
        <v>30000</v>
      </c>
      <c r="J1563" s="20">
        <v>30000</v>
      </c>
      <c r="K1563" s="20">
        <v>2764.86</v>
      </c>
    </row>
    <row r="1564" spans="2:11" x14ac:dyDescent="0.2">
      <c r="B1564" s="26" t="str">
        <f>_xlfn.XLOOKUP(Total[[#This Row],[Metodo]],TbSolver[Metodo],TbSolver[Solver])</f>
        <v>Adams Bashford Moulton</v>
      </c>
      <c r="C1564" s="26" t="str">
        <f>_xlfn.XLOOKUP(Total[[#This Row],[Hebras]],TbTecnologia[Hebras],TbTecnologia[Tecnología])</f>
        <v>OMP</v>
      </c>
      <c r="D1564" s="15" t="str" cm="1">
        <f t="array" ref="D1564">_xlfn.XLOOKUP(Total[[#This Row],[Tecnología]]&amp;Total[[#This Row],[Metodo]],TbTipos[Tecnología]&amp;TbTipos[Metodo],TbTipos[Tipo])</f>
        <v>OMP Elementos</v>
      </c>
      <c r="E1564" s="15" t="str" cm="1">
        <f t="array" ref="E1564">_xlfn.XLOOKUP(Total[[#This Row],[Tecnología]]&amp;Total[[#This Row],[Problema]],TbNombres[Tecnología]&amp;TbNombres[Problema],TbNombres[Nombre])</f>
        <v>Advdiff1d</v>
      </c>
      <c r="F1564" s="20">
        <v>6</v>
      </c>
      <c r="G1564" s="20">
        <v>2</v>
      </c>
      <c r="H1564" s="20">
        <v>4</v>
      </c>
      <c r="I1564" s="20">
        <v>30000</v>
      </c>
      <c r="J1564" s="20">
        <v>30000</v>
      </c>
      <c r="K1564" s="20">
        <v>774.84199999999998</v>
      </c>
    </row>
    <row r="1565" spans="2:11" x14ac:dyDescent="0.2">
      <c r="B1565" s="26" t="str">
        <f>_xlfn.XLOOKUP(Total[[#This Row],[Metodo]],TbSolver[Metodo],TbSolver[Solver])</f>
        <v>Adams Bashford Moulton</v>
      </c>
      <c r="C1565" s="26" t="str">
        <f>_xlfn.XLOOKUP(Total[[#This Row],[Hebras]],TbTecnologia[Hebras],TbTecnologia[Tecnología])</f>
        <v>OMP</v>
      </c>
      <c r="D1565" s="15" t="str" cm="1">
        <f t="array" ref="D1565">_xlfn.XLOOKUP(Total[[#This Row],[Tecnología]]&amp;Total[[#This Row],[Metodo]],TbTipos[Tecnología]&amp;TbTipos[Metodo],TbTipos[Tipo])</f>
        <v>OMP Elementos</v>
      </c>
      <c r="E1565" s="15" t="str" cm="1">
        <f t="array" ref="E1565">_xlfn.XLOOKUP(Total[[#This Row],[Tecnología]]&amp;Total[[#This Row],[Problema]],TbNombres[Tecnología]&amp;TbNombres[Problema],TbNombres[Nombre])</f>
        <v>Advdiff1d</v>
      </c>
      <c r="F1565" s="20">
        <v>6</v>
      </c>
      <c r="G1565" s="20">
        <v>2</v>
      </c>
      <c r="H1565" s="20">
        <v>16</v>
      </c>
      <c r="I1565" s="20">
        <v>30000</v>
      </c>
      <c r="J1565" s="20">
        <v>30000</v>
      </c>
      <c r="K1565" s="20">
        <v>280.42899999999997</v>
      </c>
    </row>
    <row r="1566" spans="2:11" x14ac:dyDescent="0.2">
      <c r="B1566" s="26" t="str">
        <f>_xlfn.XLOOKUP(Total[[#This Row],[Metodo]],TbSolver[Metodo],TbSolver[Solver])</f>
        <v>Adams Bashford Moulton</v>
      </c>
      <c r="C1566" s="26" t="str">
        <f>_xlfn.XLOOKUP(Total[[#This Row],[Hebras]],TbTecnologia[Hebras],TbTecnologia[Tecnología])</f>
        <v>OMP</v>
      </c>
      <c r="D1566" s="15" t="str" cm="1">
        <f t="array" ref="D1566">_xlfn.XLOOKUP(Total[[#This Row],[Tecnología]]&amp;Total[[#This Row],[Metodo]],TbTipos[Tecnología]&amp;TbTipos[Metodo],TbTipos[Tipo])</f>
        <v>OMP Elementos</v>
      </c>
      <c r="E1566" s="15" t="str" cm="1">
        <f t="array" ref="E1566">_xlfn.XLOOKUP(Total[[#This Row],[Tecnología]]&amp;Total[[#This Row],[Problema]],TbNombres[Tecnología]&amp;TbNombres[Problema],TbNombres[Nombre])</f>
        <v>Advdiff1d</v>
      </c>
      <c r="F1566" s="20">
        <v>6</v>
      </c>
      <c r="G1566" s="20">
        <v>2</v>
      </c>
      <c r="H1566" s="20">
        <v>1</v>
      </c>
      <c r="I1566" s="20">
        <v>40000</v>
      </c>
      <c r="J1566" s="20">
        <v>40000</v>
      </c>
      <c r="K1566" s="20">
        <v>3681.6</v>
      </c>
    </row>
    <row r="1567" spans="2:11" x14ac:dyDescent="0.2">
      <c r="B1567" s="26" t="str">
        <f>_xlfn.XLOOKUP(Total[[#This Row],[Metodo]],TbSolver[Metodo],TbSolver[Solver])</f>
        <v>Adams Bashford Moulton</v>
      </c>
      <c r="C1567" s="26" t="str">
        <f>_xlfn.XLOOKUP(Total[[#This Row],[Hebras]],TbTecnologia[Hebras],TbTecnologia[Tecnología])</f>
        <v>OMP</v>
      </c>
      <c r="D1567" s="15" t="str" cm="1">
        <f t="array" ref="D1567">_xlfn.XLOOKUP(Total[[#This Row],[Tecnología]]&amp;Total[[#This Row],[Metodo]],TbTipos[Tecnología]&amp;TbTipos[Metodo],TbTipos[Tipo])</f>
        <v>OMP Elementos</v>
      </c>
      <c r="E1567" s="15" t="str" cm="1">
        <f t="array" ref="E1567">_xlfn.XLOOKUP(Total[[#This Row],[Tecnología]]&amp;Total[[#This Row],[Problema]],TbNombres[Tecnología]&amp;TbNombres[Problema],TbNombres[Nombre])</f>
        <v>Advdiff1d</v>
      </c>
      <c r="F1567" s="20">
        <v>6</v>
      </c>
      <c r="G1567" s="20">
        <v>2</v>
      </c>
      <c r="H1567" s="20">
        <v>4</v>
      </c>
      <c r="I1567" s="20">
        <v>40000</v>
      </c>
      <c r="J1567" s="20">
        <v>40000</v>
      </c>
      <c r="K1567" s="20">
        <v>1013.32</v>
      </c>
    </row>
    <row r="1568" spans="2:11" x14ac:dyDescent="0.2">
      <c r="B1568" s="26" t="str">
        <f>_xlfn.XLOOKUP(Total[[#This Row],[Metodo]],TbSolver[Metodo],TbSolver[Solver])</f>
        <v>Adams Bashford Moulton</v>
      </c>
      <c r="C1568" s="26" t="str">
        <f>_xlfn.XLOOKUP(Total[[#This Row],[Hebras]],TbTecnologia[Hebras],TbTecnologia[Tecnología])</f>
        <v>OMP</v>
      </c>
      <c r="D1568" s="15" t="str" cm="1">
        <f t="array" ref="D1568">_xlfn.XLOOKUP(Total[[#This Row],[Tecnología]]&amp;Total[[#This Row],[Metodo]],TbTipos[Tecnología]&amp;TbTipos[Metodo],TbTipos[Tipo])</f>
        <v>OMP Elementos</v>
      </c>
      <c r="E1568" s="15" t="str" cm="1">
        <f t="array" ref="E1568">_xlfn.XLOOKUP(Total[[#This Row],[Tecnología]]&amp;Total[[#This Row],[Problema]],TbNombres[Tecnología]&amp;TbNombres[Problema],TbNombres[Nombre])</f>
        <v>Advdiff1d</v>
      </c>
      <c r="F1568" s="20">
        <v>6</v>
      </c>
      <c r="G1568" s="20">
        <v>2</v>
      </c>
      <c r="H1568" s="20">
        <v>16</v>
      </c>
      <c r="I1568" s="20">
        <v>40000</v>
      </c>
      <c r="J1568" s="20">
        <v>40000</v>
      </c>
      <c r="K1568" s="20">
        <v>335.28500000000003</v>
      </c>
    </row>
    <row r="1569" spans="2:11" x14ac:dyDescent="0.2">
      <c r="B1569" s="26" t="str">
        <f>_xlfn.XLOOKUP(Total[[#This Row],[Metodo]],TbSolver[Metodo],TbSolver[Solver])</f>
        <v>Adams Bashford Moulton</v>
      </c>
      <c r="C1569" s="26" t="str">
        <f>_xlfn.XLOOKUP(Total[[#This Row],[Hebras]],TbTecnologia[Hebras],TbTecnologia[Tecnología])</f>
        <v>OMP</v>
      </c>
      <c r="D1569" s="15" t="str" cm="1">
        <f t="array" ref="D1569">_xlfn.XLOOKUP(Total[[#This Row],[Tecnología]]&amp;Total[[#This Row],[Metodo]],TbTipos[Tecnología]&amp;TbTipos[Metodo],TbTipos[Tipo])</f>
        <v>OMP Elementos</v>
      </c>
      <c r="E1569" s="15" t="str" cm="1">
        <f t="array" ref="E1569">_xlfn.XLOOKUP(Total[[#This Row],[Tecnología]]&amp;Total[[#This Row],[Problema]],TbNombres[Tecnología]&amp;TbNombres[Problema],TbNombres[Nombre])</f>
        <v>Advdiff1d</v>
      </c>
      <c r="F1569" s="20">
        <v>6</v>
      </c>
      <c r="G1569" s="20">
        <v>2</v>
      </c>
      <c r="H1569" s="20">
        <v>1</v>
      </c>
      <c r="I1569" s="20">
        <v>50000</v>
      </c>
      <c r="J1569" s="20">
        <v>50000</v>
      </c>
      <c r="K1569" s="20">
        <v>4652.57</v>
      </c>
    </row>
    <row r="1570" spans="2:11" x14ac:dyDescent="0.2">
      <c r="B1570" s="26" t="str">
        <f>_xlfn.XLOOKUP(Total[[#This Row],[Metodo]],TbSolver[Metodo],TbSolver[Solver])</f>
        <v>Adams Bashford Moulton</v>
      </c>
      <c r="C1570" s="26" t="str">
        <f>_xlfn.XLOOKUP(Total[[#This Row],[Hebras]],TbTecnologia[Hebras],TbTecnologia[Tecnología])</f>
        <v>OMP</v>
      </c>
      <c r="D1570" s="15" t="str" cm="1">
        <f t="array" ref="D1570">_xlfn.XLOOKUP(Total[[#This Row],[Tecnología]]&amp;Total[[#This Row],[Metodo]],TbTipos[Tecnología]&amp;TbTipos[Metodo],TbTipos[Tipo])</f>
        <v>OMP Elementos</v>
      </c>
      <c r="E1570" s="15" t="str" cm="1">
        <f t="array" ref="E1570">_xlfn.XLOOKUP(Total[[#This Row],[Tecnología]]&amp;Total[[#This Row],[Problema]],TbNombres[Tecnología]&amp;TbNombres[Problema],TbNombres[Nombre])</f>
        <v>Advdiff1d</v>
      </c>
      <c r="F1570" s="20">
        <v>6</v>
      </c>
      <c r="G1570" s="20">
        <v>2</v>
      </c>
      <c r="H1570" s="20">
        <v>4</v>
      </c>
      <c r="I1570" s="20">
        <v>50000</v>
      </c>
      <c r="J1570" s="20">
        <v>50000</v>
      </c>
      <c r="K1570" s="20">
        <v>1291.79</v>
      </c>
    </row>
    <row r="1571" spans="2:11" x14ac:dyDescent="0.2">
      <c r="B1571" s="26" t="str">
        <f>_xlfn.XLOOKUP(Total[[#This Row],[Metodo]],TbSolver[Metodo],TbSolver[Solver])</f>
        <v>Adams Bashford Moulton</v>
      </c>
      <c r="C1571" s="26" t="str">
        <f>_xlfn.XLOOKUP(Total[[#This Row],[Hebras]],TbTecnologia[Hebras],TbTecnologia[Tecnología])</f>
        <v>OMP</v>
      </c>
      <c r="D1571" s="15" t="str" cm="1">
        <f t="array" ref="D1571">_xlfn.XLOOKUP(Total[[#This Row],[Tecnología]]&amp;Total[[#This Row],[Metodo]],TbTipos[Tecnología]&amp;TbTipos[Metodo],TbTipos[Tipo])</f>
        <v>OMP Elementos</v>
      </c>
      <c r="E1571" s="15" t="str" cm="1">
        <f t="array" ref="E1571">_xlfn.XLOOKUP(Total[[#This Row],[Tecnología]]&amp;Total[[#This Row],[Problema]],TbNombres[Tecnología]&amp;TbNombres[Problema],TbNombres[Nombre])</f>
        <v>Advdiff1d</v>
      </c>
      <c r="F1571" s="20">
        <v>6</v>
      </c>
      <c r="G1571" s="20">
        <v>2</v>
      </c>
      <c r="H1571" s="20">
        <v>16</v>
      </c>
      <c r="I1571" s="20">
        <v>50000</v>
      </c>
      <c r="J1571" s="20">
        <v>50000</v>
      </c>
      <c r="K1571" s="20">
        <v>455.31299999999999</v>
      </c>
    </row>
    <row r="1572" spans="2:11" x14ac:dyDescent="0.2">
      <c r="B1572" s="26" t="str">
        <f>_xlfn.XLOOKUP(Total[[#This Row],[Metodo]],TbSolver[Metodo],TbSolver[Solver])</f>
        <v>Adams Bashford Moulton</v>
      </c>
      <c r="C1572" s="26" t="str">
        <f>_xlfn.XLOOKUP(Total[[#This Row],[Hebras]],TbTecnologia[Hebras],TbTecnologia[Tecnología])</f>
        <v>OMP</v>
      </c>
      <c r="D1572" s="15" t="str" cm="1">
        <f t="array" ref="D1572">_xlfn.XLOOKUP(Total[[#This Row],[Tecnología]]&amp;Total[[#This Row],[Metodo]],TbTipos[Tecnología]&amp;TbTipos[Metodo],TbTipos[Tipo])</f>
        <v>OMP Elementos</v>
      </c>
      <c r="E1572" s="15" t="str" cm="1">
        <f t="array" ref="E1572">_xlfn.XLOOKUP(Total[[#This Row],[Tecnología]]&amp;Total[[#This Row],[Problema]],TbNombres[Tecnología]&amp;TbNombres[Problema],TbNombres[Nombre])</f>
        <v>Brusselator1d</v>
      </c>
      <c r="F1572" s="20">
        <v>6</v>
      </c>
      <c r="G1572" s="20">
        <v>3</v>
      </c>
      <c r="H1572" s="20">
        <v>1</v>
      </c>
      <c r="I1572" s="20">
        <v>20000</v>
      </c>
      <c r="J1572" s="20">
        <v>40000</v>
      </c>
      <c r="K1572" s="20">
        <v>1167.27</v>
      </c>
    </row>
    <row r="1573" spans="2:11" x14ac:dyDescent="0.2">
      <c r="B1573" s="26" t="str">
        <f>_xlfn.XLOOKUP(Total[[#This Row],[Metodo]],TbSolver[Metodo],TbSolver[Solver])</f>
        <v>Adams Bashford Moulton</v>
      </c>
      <c r="C1573" s="26" t="str">
        <f>_xlfn.XLOOKUP(Total[[#This Row],[Hebras]],TbTecnologia[Hebras],TbTecnologia[Tecnología])</f>
        <v>OMP</v>
      </c>
      <c r="D1573" s="15" t="str" cm="1">
        <f t="array" ref="D1573">_xlfn.XLOOKUP(Total[[#This Row],[Tecnología]]&amp;Total[[#This Row],[Metodo]],TbTipos[Tecnología]&amp;TbTipos[Metodo],TbTipos[Tipo])</f>
        <v>OMP Elementos</v>
      </c>
      <c r="E1573" s="15" t="str" cm="1">
        <f t="array" ref="E1573">_xlfn.XLOOKUP(Total[[#This Row],[Tecnología]]&amp;Total[[#This Row],[Problema]],TbNombres[Tecnología]&amp;TbNombres[Problema],TbNombres[Nombre])</f>
        <v>Brusselator1d</v>
      </c>
      <c r="F1573" s="20">
        <v>6</v>
      </c>
      <c r="G1573" s="20">
        <v>3</v>
      </c>
      <c r="H1573" s="20">
        <v>4</v>
      </c>
      <c r="I1573" s="20">
        <v>20000</v>
      </c>
      <c r="J1573" s="20">
        <v>40000</v>
      </c>
      <c r="K1573" s="20">
        <v>309.46699999999998</v>
      </c>
    </row>
    <row r="1574" spans="2:11" x14ac:dyDescent="0.2">
      <c r="B1574" s="26" t="str">
        <f>_xlfn.XLOOKUP(Total[[#This Row],[Metodo]],TbSolver[Metodo],TbSolver[Solver])</f>
        <v>Adams Bashford Moulton</v>
      </c>
      <c r="C1574" s="26" t="str">
        <f>_xlfn.XLOOKUP(Total[[#This Row],[Hebras]],TbTecnologia[Hebras],TbTecnologia[Tecnología])</f>
        <v>OMP</v>
      </c>
      <c r="D1574" s="15" t="str" cm="1">
        <f t="array" ref="D1574">_xlfn.XLOOKUP(Total[[#This Row],[Tecnología]]&amp;Total[[#This Row],[Metodo]],TbTipos[Tecnología]&amp;TbTipos[Metodo],TbTipos[Tipo])</f>
        <v>OMP Elementos</v>
      </c>
      <c r="E1574" s="15" t="str" cm="1">
        <f t="array" ref="E1574">_xlfn.XLOOKUP(Total[[#This Row],[Tecnología]]&amp;Total[[#This Row],[Problema]],TbNombres[Tecnología]&amp;TbNombres[Problema],TbNombres[Nombre])</f>
        <v>Brusselator1d</v>
      </c>
      <c r="F1574" s="20">
        <v>6</v>
      </c>
      <c r="G1574" s="20">
        <v>3</v>
      </c>
      <c r="H1574" s="20">
        <v>16</v>
      </c>
      <c r="I1574" s="20">
        <v>20000</v>
      </c>
      <c r="J1574" s="20">
        <v>40000</v>
      </c>
      <c r="K1574" s="20">
        <v>141.559</v>
      </c>
    </row>
    <row r="1575" spans="2:11" x14ac:dyDescent="0.2">
      <c r="B1575" s="26" t="str">
        <f>_xlfn.XLOOKUP(Total[[#This Row],[Metodo]],TbSolver[Metodo],TbSolver[Solver])</f>
        <v>Adams Bashford Moulton</v>
      </c>
      <c r="C1575" s="26" t="str">
        <f>_xlfn.XLOOKUP(Total[[#This Row],[Hebras]],TbTecnologia[Hebras],TbTecnologia[Tecnología])</f>
        <v>OMP</v>
      </c>
      <c r="D1575" s="15" t="str" cm="1">
        <f t="array" ref="D1575">_xlfn.XLOOKUP(Total[[#This Row],[Tecnología]]&amp;Total[[#This Row],[Metodo]],TbTipos[Tecnología]&amp;TbTipos[Metodo],TbTipos[Tipo])</f>
        <v>OMP Elementos</v>
      </c>
      <c r="E1575" s="15" t="str" cm="1">
        <f t="array" ref="E1575">_xlfn.XLOOKUP(Total[[#This Row],[Tecnología]]&amp;Total[[#This Row],[Problema]],TbNombres[Tecnología]&amp;TbNombres[Problema],TbNombres[Nombre])</f>
        <v>Brusselator1d</v>
      </c>
      <c r="F1575" s="20">
        <v>6</v>
      </c>
      <c r="G1575" s="20">
        <v>3</v>
      </c>
      <c r="H1575" s="20">
        <v>1</v>
      </c>
      <c r="I1575" s="20">
        <v>25000</v>
      </c>
      <c r="J1575" s="20">
        <v>50000</v>
      </c>
      <c r="K1575" s="20">
        <v>1447.05</v>
      </c>
    </row>
    <row r="1576" spans="2:11" x14ac:dyDescent="0.2">
      <c r="B1576" s="26" t="str">
        <f>_xlfn.XLOOKUP(Total[[#This Row],[Metodo]],TbSolver[Metodo],TbSolver[Solver])</f>
        <v>Adams Bashford Moulton</v>
      </c>
      <c r="C1576" s="26" t="str">
        <f>_xlfn.XLOOKUP(Total[[#This Row],[Hebras]],TbTecnologia[Hebras],TbTecnologia[Tecnología])</f>
        <v>OMP</v>
      </c>
      <c r="D1576" s="15" t="str" cm="1">
        <f t="array" ref="D1576">_xlfn.XLOOKUP(Total[[#This Row],[Tecnología]]&amp;Total[[#This Row],[Metodo]],TbTipos[Tecnología]&amp;TbTipos[Metodo],TbTipos[Tipo])</f>
        <v>OMP Elementos</v>
      </c>
      <c r="E1576" s="15" t="str" cm="1">
        <f t="array" ref="E1576">_xlfn.XLOOKUP(Total[[#This Row],[Tecnología]]&amp;Total[[#This Row],[Problema]],TbNombres[Tecnología]&amp;TbNombres[Problema],TbNombres[Nombre])</f>
        <v>Brusselator1d</v>
      </c>
      <c r="F1576" s="20">
        <v>6</v>
      </c>
      <c r="G1576" s="20">
        <v>3</v>
      </c>
      <c r="H1576" s="20">
        <v>4</v>
      </c>
      <c r="I1576" s="20">
        <v>25000</v>
      </c>
      <c r="J1576" s="20">
        <v>50000</v>
      </c>
      <c r="K1576" s="20">
        <v>383.76600000000002</v>
      </c>
    </row>
    <row r="1577" spans="2:11" x14ac:dyDescent="0.2">
      <c r="B1577" s="26" t="str">
        <f>_xlfn.XLOOKUP(Total[[#This Row],[Metodo]],TbSolver[Metodo],TbSolver[Solver])</f>
        <v>Adams Bashford Moulton</v>
      </c>
      <c r="C1577" s="26" t="str">
        <f>_xlfn.XLOOKUP(Total[[#This Row],[Hebras]],TbTecnologia[Hebras],TbTecnologia[Tecnología])</f>
        <v>OMP</v>
      </c>
      <c r="D1577" s="15" t="str" cm="1">
        <f t="array" ref="D1577">_xlfn.XLOOKUP(Total[[#This Row],[Tecnología]]&amp;Total[[#This Row],[Metodo]],TbTipos[Tecnología]&amp;TbTipos[Metodo],TbTipos[Tipo])</f>
        <v>OMP Elementos</v>
      </c>
      <c r="E1577" s="15" t="str" cm="1">
        <f t="array" ref="E1577">_xlfn.XLOOKUP(Total[[#This Row],[Tecnología]]&amp;Total[[#This Row],[Problema]],TbNombres[Tecnología]&amp;TbNombres[Problema],TbNombres[Nombre])</f>
        <v>Brusselator1d</v>
      </c>
      <c r="F1577" s="20">
        <v>6</v>
      </c>
      <c r="G1577" s="20">
        <v>3</v>
      </c>
      <c r="H1577" s="20">
        <v>16</v>
      </c>
      <c r="I1577" s="20">
        <v>25000</v>
      </c>
      <c r="J1577" s="20">
        <v>50000</v>
      </c>
      <c r="K1577" s="20">
        <v>184.202</v>
      </c>
    </row>
    <row r="1578" spans="2:11" x14ac:dyDescent="0.2">
      <c r="B1578" s="26" t="str">
        <f>_xlfn.XLOOKUP(Total[[#This Row],[Metodo]],TbSolver[Metodo],TbSolver[Solver])</f>
        <v>Adams Bashford Moulton</v>
      </c>
      <c r="C1578" s="26" t="str">
        <f>_xlfn.XLOOKUP(Total[[#This Row],[Hebras]],TbTecnologia[Hebras],TbTecnologia[Tecnología])</f>
        <v>OMP</v>
      </c>
      <c r="D1578" s="15" t="str" cm="1">
        <f t="array" ref="D1578">_xlfn.XLOOKUP(Total[[#This Row],[Tecnología]]&amp;Total[[#This Row],[Metodo]],TbTipos[Tecnología]&amp;TbTipos[Metodo],TbTipos[Tipo])</f>
        <v>OMP Elementos</v>
      </c>
      <c r="E1578" s="15" t="str" cm="1">
        <f t="array" ref="E1578">_xlfn.XLOOKUP(Total[[#This Row],[Tecnología]]&amp;Total[[#This Row],[Problema]],TbNombres[Tecnología]&amp;TbNombres[Problema],TbNombres[Nombre])</f>
        <v>Brusselator1d</v>
      </c>
      <c r="F1578" s="20">
        <v>6</v>
      </c>
      <c r="G1578" s="20">
        <v>3</v>
      </c>
      <c r="H1578" s="20">
        <v>1</v>
      </c>
      <c r="I1578" s="20">
        <v>30000</v>
      </c>
      <c r="J1578" s="20">
        <v>60000</v>
      </c>
      <c r="K1578" s="20">
        <v>1741.89</v>
      </c>
    </row>
    <row r="1579" spans="2:11" x14ac:dyDescent="0.2">
      <c r="B1579" s="26" t="str">
        <f>_xlfn.XLOOKUP(Total[[#This Row],[Metodo]],TbSolver[Metodo],TbSolver[Solver])</f>
        <v>Adams Bashford Moulton</v>
      </c>
      <c r="C1579" s="26" t="str">
        <f>_xlfn.XLOOKUP(Total[[#This Row],[Hebras]],TbTecnologia[Hebras],TbTecnologia[Tecnología])</f>
        <v>OMP</v>
      </c>
      <c r="D1579" s="15" t="str" cm="1">
        <f t="array" ref="D1579">_xlfn.XLOOKUP(Total[[#This Row],[Tecnología]]&amp;Total[[#This Row],[Metodo]],TbTipos[Tecnología]&amp;TbTipos[Metodo],TbTipos[Tipo])</f>
        <v>OMP Elementos</v>
      </c>
      <c r="E1579" s="15" t="str" cm="1">
        <f t="array" ref="E1579">_xlfn.XLOOKUP(Total[[#This Row],[Tecnología]]&amp;Total[[#This Row],[Problema]],TbNombres[Tecnología]&amp;TbNombres[Problema],TbNombres[Nombre])</f>
        <v>Brusselator1d</v>
      </c>
      <c r="F1579" s="20">
        <v>6</v>
      </c>
      <c r="G1579" s="20">
        <v>3</v>
      </c>
      <c r="H1579" s="20">
        <v>4</v>
      </c>
      <c r="I1579" s="20">
        <v>30000</v>
      </c>
      <c r="J1579" s="20">
        <v>60000</v>
      </c>
      <c r="K1579" s="20">
        <v>457.08600000000001</v>
      </c>
    </row>
    <row r="1580" spans="2:11" x14ac:dyDescent="0.2">
      <c r="B1580" s="26" t="str">
        <f>_xlfn.XLOOKUP(Total[[#This Row],[Metodo]],TbSolver[Metodo],TbSolver[Solver])</f>
        <v>Adams Bashford Moulton</v>
      </c>
      <c r="C1580" s="26" t="str">
        <f>_xlfn.XLOOKUP(Total[[#This Row],[Hebras]],TbTecnologia[Hebras],TbTecnologia[Tecnología])</f>
        <v>OMP</v>
      </c>
      <c r="D1580" s="15" t="str" cm="1">
        <f t="array" ref="D1580">_xlfn.XLOOKUP(Total[[#This Row],[Tecnología]]&amp;Total[[#This Row],[Metodo]],TbTipos[Tecnología]&amp;TbTipos[Metodo],TbTipos[Tipo])</f>
        <v>OMP Elementos</v>
      </c>
      <c r="E1580" s="15" t="str" cm="1">
        <f t="array" ref="E1580">_xlfn.XLOOKUP(Total[[#This Row],[Tecnología]]&amp;Total[[#This Row],[Problema]],TbNombres[Tecnología]&amp;TbNombres[Problema],TbNombres[Nombre])</f>
        <v>Brusselator1d</v>
      </c>
      <c r="F1580" s="20">
        <v>6</v>
      </c>
      <c r="G1580" s="20">
        <v>3</v>
      </c>
      <c r="H1580" s="20">
        <v>16</v>
      </c>
      <c r="I1580" s="20">
        <v>30000</v>
      </c>
      <c r="J1580" s="20">
        <v>60000</v>
      </c>
      <c r="K1580" s="20">
        <v>167.673</v>
      </c>
    </row>
    <row r="1581" spans="2:11" x14ac:dyDescent="0.2">
      <c r="B1581" s="26" t="str">
        <f>_xlfn.XLOOKUP(Total[[#This Row],[Metodo]],TbSolver[Metodo],TbSolver[Solver])</f>
        <v>Adams Bashford Moulton</v>
      </c>
      <c r="C1581" s="26" t="str">
        <f>_xlfn.XLOOKUP(Total[[#This Row],[Hebras]],TbTecnologia[Hebras],TbTecnologia[Tecnología])</f>
        <v>OMP</v>
      </c>
      <c r="D1581" s="15" t="str" cm="1">
        <f t="array" ref="D1581">_xlfn.XLOOKUP(Total[[#This Row],[Tecnología]]&amp;Total[[#This Row],[Metodo]],TbTipos[Tecnología]&amp;TbTipos[Metodo],TbTipos[Tipo])</f>
        <v>OMP Elementos</v>
      </c>
      <c r="E1581" s="15" t="str" cm="1">
        <f t="array" ref="E1581">_xlfn.XLOOKUP(Total[[#This Row],[Tecnología]]&amp;Total[[#This Row],[Problema]],TbNombres[Tecnología]&amp;TbNombres[Problema],TbNombres[Nombre])</f>
        <v>Brusselator1d</v>
      </c>
      <c r="F1581" s="20">
        <v>6</v>
      </c>
      <c r="G1581" s="20">
        <v>3</v>
      </c>
      <c r="H1581" s="20">
        <v>1</v>
      </c>
      <c r="I1581" s="20">
        <v>40000</v>
      </c>
      <c r="J1581" s="20">
        <v>80000</v>
      </c>
      <c r="K1581" s="20">
        <v>2342.64</v>
      </c>
    </row>
    <row r="1582" spans="2:11" x14ac:dyDescent="0.2">
      <c r="B1582" s="26" t="str">
        <f>_xlfn.XLOOKUP(Total[[#This Row],[Metodo]],TbSolver[Metodo],TbSolver[Solver])</f>
        <v>Adams Bashford Moulton</v>
      </c>
      <c r="C1582" s="26" t="str">
        <f>_xlfn.XLOOKUP(Total[[#This Row],[Hebras]],TbTecnologia[Hebras],TbTecnologia[Tecnología])</f>
        <v>OMP</v>
      </c>
      <c r="D1582" s="15" t="str" cm="1">
        <f t="array" ref="D1582">_xlfn.XLOOKUP(Total[[#This Row],[Tecnología]]&amp;Total[[#This Row],[Metodo]],TbTipos[Tecnología]&amp;TbTipos[Metodo],TbTipos[Tipo])</f>
        <v>OMP Elementos</v>
      </c>
      <c r="E1582" s="15" t="str" cm="1">
        <f t="array" ref="E1582">_xlfn.XLOOKUP(Total[[#This Row],[Tecnología]]&amp;Total[[#This Row],[Problema]],TbNombres[Tecnología]&amp;TbNombres[Problema],TbNombres[Nombre])</f>
        <v>Brusselator1d</v>
      </c>
      <c r="F1582" s="20">
        <v>6</v>
      </c>
      <c r="G1582" s="20">
        <v>3</v>
      </c>
      <c r="H1582" s="20">
        <v>4</v>
      </c>
      <c r="I1582" s="20">
        <v>40000</v>
      </c>
      <c r="J1582" s="20">
        <v>80000</v>
      </c>
      <c r="K1582" s="20">
        <v>620.35900000000004</v>
      </c>
    </row>
    <row r="1583" spans="2:11" x14ac:dyDescent="0.2">
      <c r="B1583" s="26" t="str">
        <f>_xlfn.XLOOKUP(Total[[#This Row],[Metodo]],TbSolver[Metodo],TbSolver[Solver])</f>
        <v>Adams Bashford Moulton</v>
      </c>
      <c r="C1583" s="26" t="str">
        <f>_xlfn.XLOOKUP(Total[[#This Row],[Hebras]],TbTecnologia[Hebras],TbTecnologia[Tecnología])</f>
        <v>OMP</v>
      </c>
      <c r="D1583" s="15" t="str" cm="1">
        <f t="array" ref="D1583">_xlfn.XLOOKUP(Total[[#This Row],[Tecnología]]&amp;Total[[#This Row],[Metodo]],TbTipos[Tecnología]&amp;TbTipos[Metodo],TbTipos[Tipo])</f>
        <v>OMP Elementos</v>
      </c>
      <c r="E1583" s="15" t="str" cm="1">
        <f t="array" ref="E1583">_xlfn.XLOOKUP(Total[[#This Row],[Tecnología]]&amp;Total[[#This Row],[Problema]],TbNombres[Tecnología]&amp;TbNombres[Problema],TbNombres[Nombre])</f>
        <v>Brusselator1d</v>
      </c>
      <c r="F1583" s="20">
        <v>6</v>
      </c>
      <c r="G1583" s="20">
        <v>3</v>
      </c>
      <c r="H1583" s="20">
        <v>16</v>
      </c>
      <c r="I1583" s="20">
        <v>40000</v>
      </c>
      <c r="J1583" s="20">
        <v>80000</v>
      </c>
      <c r="K1583" s="20">
        <v>256.63499999999999</v>
      </c>
    </row>
    <row r="1584" spans="2:11" x14ac:dyDescent="0.2">
      <c r="B1584" s="26" t="str">
        <f>_xlfn.XLOOKUP(Total[[#This Row],[Metodo]],TbSolver[Metodo],TbSolver[Solver])</f>
        <v>Adams Bashford Moulton</v>
      </c>
      <c r="C1584" s="26" t="str">
        <f>_xlfn.XLOOKUP(Total[[#This Row],[Hebras]],TbTecnologia[Hebras],TbTecnologia[Tecnología])</f>
        <v>OMP</v>
      </c>
      <c r="D1584" s="15" t="str" cm="1">
        <f t="array" ref="D1584">_xlfn.XLOOKUP(Total[[#This Row],[Tecnología]]&amp;Total[[#This Row],[Metodo]],TbTipos[Tecnología]&amp;TbTipos[Metodo],TbTipos[Tipo])</f>
        <v>OMP Elementos</v>
      </c>
      <c r="E1584" s="15" t="str" cm="1">
        <f t="array" ref="E1584">_xlfn.XLOOKUP(Total[[#This Row],[Tecnología]]&amp;Total[[#This Row],[Problema]],TbNombres[Tecnología]&amp;TbNombres[Problema],TbNombres[Nombre])</f>
        <v>Brusselator1d</v>
      </c>
      <c r="F1584" s="20">
        <v>6</v>
      </c>
      <c r="G1584" s="20">
        <v>3</v>
      </c>
      <c r="H1584" s="20">
        <v>1</v>
      </c>
      <c r="I1584" s="20">
        <v>50000</v>
      </c>
      <c r="J1584" s="20">
        <v>100000</v>
      </c>
      <c r="K1584" s="20">
        <v>2914.04</v>
      </c>
    </row>
    <row r="1585" spans="2:11" x14ac:dyDescent="0.2">
      <c r="B1585" s="26" t="str">
        <f>_xlfn.XLOOKUP(Total[[#This Row],[Metodo]],TbSolver[Metodo],TbSolver[Solver])</f>
        <v>Adams Bashford Moulton</v>
      </c>
      <c r="C1585" s="26" t="str">
        <f>_xlfn.XLOOKUP(Total[[#This Row],[Hebras]],TbTecnologia[Hebras],TbTecnologia[Tecnología])</f>
        <v>OMP</v>
      </c>
      <c r="D1585" s="15" t="str" cm="1">
        <f t="array" ref="D1585">_xlfn.XLOOKUP(Total[[#This Row],[Tecnología]]&amp;Total[[#This Row],[Metodo]],TbTipos[Tecnología]&amp;TbTipos[Metodo],TbTipos[Tipo])</f>
        <v>OMP Elementos</v>
      </c>
      <c r="E1585" s="15" t="str" cm="1">
        <f t="array" ref="E1585">_xlfn.XLOOKUP(Total[[#This Row],[Tecnología]]&amp;Total[[#This Row],[Problema]],TbNombres[Tecnología]&amp;TbNombres[Problema],TbNombres[Nombre])</f>
        <v>Brusselator1d</v>
      </c>
      <c r="F1585" s="20">
        <v>6</v>
      </c>
      <c r="G1585" s="20">
        <v>3</v>
      </c>
      <c r="H1585" s="20">
        <v>4</v>
      </c>
      <c r="I1585" s="20">
        <v>50000</v>
      </c>
      <c r="J1585" s="20">
        <v>100000</v>
      </c>
      <c r="K1585" s="20">
        <v>785.55499999999995</v>
      </c>
    </row>
    <row r="1586" spans="2:11" x14ac:dyDescent="0.2">
      <c r="B1586" s="26" t="str">
        <f>_xlfn.XLOOKUP(Total[[#This Row],[Metodo]],TbSolver[Metodo],TbSolver[Solver])</f>
        <v>Adams Bashford Moulton</v>
      </c>
      <c r="C1586" s="26" t="str">
        <f>_xlfn.XLOOKUP(Total[[#This Row],[Hebras]],TbTecnologia[Hebras],TbTecnologia[Tecnología])</f>
        <v>OMP</v>
      </c>
      <c r="D1586" s="15" t="str" cm="1">
        <f t="array" ref="D1586">_xlfn.XLOOKUP(Total[[#This Row],[Tecnología]]&amp;Total[[#This Row],[Metodo]],TbTipos[Tecnología]&amp;TbTipos[Metodo],TbTipos[Tipo])</f>
        <v>OMP Elementos</v>
      </c>
      <c r="E1586" s="15" t="str" cm="1">
        <f t="array" ref="E1586">_xlfn.XLOOKUP(Total[[#This Row],[Tecnología]]&amp;Total[[#This Row],[Problema]],TbNombres[Tecnología]&amp;TbNombres[Problema],TbNombres[Nombre])</f>
        <v>Brusselator1d</v>
      </c>
      <c r="F1586" s="20">
        <v>6</v>
      </c>
      <c r="G1586" s="20">
        <v>3</v>
      </c>
      <c r="H1586" s="20">
        <v>16</v>
      </c>
      <c r="I1586" s="20">
        <v>50000</v>
      </c>
      <c r="J1586" s="20">
        <v>100000</v>
      </c>
      <c r="K1586" s="20">
        <v>237.23599999999999</v>
      </c>
    </row>
    <row r="1587" spans="2:11" x14ac:dyDescent="0.2">
      <c r="B1587" s="26" t="str">
        <f>_xlfn.XLOOKUP(Total[[#This Row],[Metodo]],TbSolver[Metodo],TbSolver[Solver])</f>
        <v>Runge Kutta</v>
      </c>
      <c r="C1587" s="26" t="str">
        <f>_xlfn.XLOOKUP(Total[[#This Row],[Hebras]],TbTecnologia[Hebras],TbTecnologia[Tecnología])</f>
        <v>OMP</v>
      </c>
      <c r="D1587" s="15" t="str" cm="1">
        <f t="array" ref="D1587">_xlfn.XLOOKUP(Total[[#This Row],[Tecnología]]&amp;Total[[#This Row],[Metodo]],TbTipos[Tecnología]&amp;TbTipos[Metodo],TbTipos[Tipo])</f>
        <v>OMP Operaciones</v>
      </c>
      <c r="E1587" s="15" t="str" cm="1">
        <f t="array" ref="E1587">_xlfn.XLOOKUP(Total[[#This Row],[Tecnología]]&amp;Total[[#This Row],[Problema]],TbNombres[Tecnología]&amp;TbNombres[Problema],TbNombres[Nombre])</f>
        <v>Brusselator2d</v>
      </c>
      <c r="F1587" s="20">
        <v>1</v>
      </c>
      <c r="G1587" s="20">
        <v>4</v>
      </c>
      <c r="H1587" s="20">
        <v>1</v>
      </c>
      <c r="I1587" s="20">
        <v>225</v>
      </c>
      <c r="J1587" s="20">
        <v>101250</v>
      </c>
      <c r="K1587" s="20">
        <v>2042.65</v>
      </c>
    </row>
    <row r="1588" spans="2:11" x14ac:dyDescent="0.2">
      <c r="B1588" s="26" t="str">
        <f>_xlfn.XLOOKUP(Total[[#This Row],[Metodo]],TbSolver[Metodo],TbSolver[Solver])</f>
        <v>Runge Kutta</v>
      </c>
      <c r="C1588" s="26" t="str">
        <f>_xlfn.XLOOKUP(Total[[#This Row],[Hebras]],TbTecnologia[Hebras],TbTecnologia[Tecnología])</f>
        <v>OMP</v>
      </c>
      <c r="D1588" s="15" t="str" cm="1">
        <f t="array" ref="D1588">_xlfn.XLOOKUP(Total[[#This Row],[Tecnología]]&amp;Total[[#This Row],[Metodo]],TbTipos[Tecnología]&amp;TbTipos[Metodo],TbTipos[Tipo])</f>
        <v>OMP Operaciones</v>
      </c>
      <c r="E1588" s="15" t="str" cm="1">
        <f t="array" ref="E1588">_xlfn.XLOOKUP(Total[[#This Row],[Tecnología]]&amp;Total[[#This Row],[Problema]],TbNombres[Tecnología]&amp;TbNombres[Problema],TbNombres[Nombre])</f>
        <v>Brusselator2d</v>
      </c>
      <c r="F1588" s="20">
        <v>1</v>
      </c>
      <c r="G1588" s="20">
        <v>4</v>
      </c>
      <c r="H1588" s="20">
        <v>4</v>
      </c>
      <c r="I1588" s="20">
        <v>225</v>
      </c>
      <c r="J1588" s="20">
        <v>101250</v>
      </c>
      <c r="K1588" s="20">
        <v>521.51700000000005</v>
      </c>
    </row>
    <row r="1589" spans="2:11" x14ac:dyDescent="0.2">
      <c r="B1589" s="26" t="str">
        <f>_xlfn.XLOOKUP(Total[[#This Row],[Metodo]],TbSolver[Metodo],TbSolver[Solver])</f>
        <v>Runge Kutta</v>
      </c>
      <c r="C1589" s="26" t="str">
        <f>_xlfn.XLOOKUP(Total[[#This Row],[Hebras]],TbTecnologia[Hebras],TbTecnologia[Tecnología])</f>
        <v>OMP</v>
      </c>
      <c r="D1589" s="15" t="str" cm="1">
        <f t="array" ref="D1589">_xlfn.XLOOKUP(Total[[#This Row],[Tecnología]]&amp;Total[[#This Row],[Metodo]],TbTipos[Tecnología]&amp;TbTipos[Metodo],TbTipos[Tipo])</f>
        <v>OMP Operaciones</v>
      </c>
      <c r="E1589" s="15" t="str" cm="1">
        <f t="array" ref="E1589">_xlfn.XLOOKUP(Total[[#This Row],[Tecnología]]&amp;Total[[#This Row],[Problema]],TbNombres[Tecnología]&amp;TbNombres[Problema],TbNombres[Nombre])</f>
        <v>Brusselator2d</v>
      </c>
      <c r="F1589" s="20">
        <v>1</v>
      </c>
      <c r="G1589" s="20">
        <v>4</v>
      </c>
      <c r="H1589" s="20">
        <v>16</v>
      </c>
      <c r="I1589" s="20">
        <v>225</v>
      </c>
      <c r="J1589" s="20">
        <v>101250</v>
      </c>
      <c r="K1589" s="20">
        <v>204.79599999999999</v>
      </c>
    </row>
    <row r="1590" spans="2:11" x14ac:dyDescent="0.2">
      <c r="B1590" s="26" t="str">
        <f>_xlfn.XLOOKUP(Total[[#This Row],[Metodo]],TbSolver[Metodo],TbSolver[Solver])</f>
        <v>Runge Kutta</v>
      </c>
      <c r="C1590" s="26" t="str">
        <f>_xlfn.XLOOKUP(Total[[#This Row],[Hebras]],TbTecnologia[Hebras],TbTecnologia[Tecnología])</f>
        <v>OMP</v>
      </c>
      <c r="D1590" s="15" t="str" cm="1">
        <f t="array" ref="D1590">_xlfn.XLOOKUP(Total[[#This Row],[Tecnología]]&amp;Total[[#This Row],[Metodo]],TbTipos[Tecnología]&amp;TbTipos[Metodo],TbTipos[Tipo])</f>
        <v>OMP Operaciones</v>
      </c>
      <c r="E1590" s="15" t="str" cm="1">
        <f t="array" ref="E1590">_xlfn.XLOOKUP(Total[[#This Row],[Tecnología]]&amp;Total[[#This Row],[Problema]],TbNombres[Tecnología]&amp;TbNombres[Problema],TbNombres[Nombre])</f>
        <v>Brusselator2d</v>
      </c>
      <c r="F1590" s="20">
        <v>1</v>
      </c>
      <c r="G1590" s="20">
        <v>4</v>
      </c>
      <c r="H1590" s="20">
        <v>1</v>
      </c>
      <c r="I1590" s="20">
        <v>250</v>
      </c>
      <c r="J1590" s="20">
        <v>125000</v>
      </c>
      <c r="K1590" s="20">
        <v>2531.0100000000002</v>
      </c>
    </row>
    <row r="1591" spans="2:11" x14ac:dyDescent="0.2">
      <c r="B1591" s="26" t="str">
        <f>_xlfn.XLOOKUP(Total[[#This Row],[Metodo]],TbSolver[Metodo],TbSolver[Solver])</f>
        <v>Runge Kutta</v>
      </c>
      <c r="C1591" s="26" t="str">
        <f>_xlfn.XLOOKUP(Total[[#This Row],[Hebras]],TbTecnologia[Hebras],TbTecnologia[Tecnología])</f>
        <v>OMP</v>
      </c>
      <c r="D1591" s="15" t="str" cm="1">
        <f t="array" ref="D1591">_xlfn.XLOOKUP(Total[[#This Row],[Tecnología]]&amp;Total[[#This Row],[Metodo]],TbTipos[Tecnología]&amp;TbTipos[Metodo],TbTipos[Tipo])</f>
        <v>OMP Operaciones</v>
      </c>
      <c r="E1591" s="15" t="str" cm="1">
        <f t="array" ref="E1591">_xlfn.XLOOKUP(Total[[#This Row],[Tecnología]]&amp;Total[[#This Row],[Problema]],TbNombres[Tecnología]&amp;TbNombres[Problema],TbNombres[Nombre])</f>
        <v>Brusselator2d</v>
      </c>
      <c r="F1591" s="20">
        <v>1</v>
      </c>
      <c r="G1591" s="20">
        <v>4</v>
      </c>
      <c r="H1591" s="20">
        <v>4</v>
      </c>
      <c r="I1591" s="20">
        <v>250</v>
      </c>
      <c r="J1591" s="20">
        <v>125000</v>
      </c>
      <c r="K1591" s="20">
        <v>636.94899999999996</v>
      </c>
    </row>
    <row r="1592" spans="2:11" x14ac:dyDescent="0.2">
      <c r="B1592" s="26" t="str">
        <f>_xlfn.XLOOKUP(Total[[#This Row],[Metodo]],TbSolver[Metodo],TbSolver[Solver])</f>
        <v>Runge Kutta</v>
      </c>
      <c r="C1592" s="26" t="str">
        <f>_xlfn.XLOOKUP(Total[[#This Row],[Hebras]],TbTecnologia[Hebras],TbTecnologia[Tecnología])</f>
        <v>OMP</v>
      </c>
      <c r="D1592" s="15" t="str" cm="1">
        <f t="array" ref="D1592">_xlfn.XLOOKUP(Total[[#This Row],[Tecnología]]&amp;Total[[#This Row],[Metodo]],TbTipos[Tecnología]&amp;TbTipos[Metodo],TbTipos[Tipo])</f>
        <v>OMP Operaciones</v>
      </c>
      <c r="E1592" s="15" t="str" cm="1">
        <f t="array" ref="E1592">_xlfn.XLOOKUP(Total[[#This Row],[Tecnología]]&amp;Total[[#This Row],[Problema]],TbNombres[Tecnología]&amp;TbNombres[Problema],TbNombres[Nombre])</f>
        <v>Brusselator2d</v>
      </c>
      <c r="F1592" s="20">
        <v>1</v>
      </c>
      <c r="G1592" s="20">
        <v>4</v>
      </c>
      <c r="H1592" s="20">
        <v>16</v>
      </c>
      <c r="I1592" s="20">
        <v>250</v>
      </c>
      <c r="J1592" s="20">
        <v>125000</v>
      </c>
      <c r="K1592" s="20">
        <v>236.42</v>
      </c>
    </row>
    <row r="1593" spans="2:11" x14ac:dyDescent="0.2">
      <c r="B1593" s="26" t="str">
        <f>_xlfn.XLOOKUP(Total[[#This Row],[Metodo]],TbSolver[Metodo],TbSolver[Solver])</f>
        <v>Runge Kutta</v>
      </c>
      <c r="C1593" s="26" t="str">
        <f>_xlfn.XLOOKUP(Total[[#This Row],[Hebras]],TbTecnologia[Hebras],TbTecnologia[Tecnología])</f>
        <v>OMP</v>
      </c>
      <c r="D1593" s="15" t="str" cm="1">
        <f t="array" ref="D1593">_xlfn.XLOOKUP(Total[[#This Row],[Tecnología]]&amp;Total[[#This Row],[Metodo]],TbTipos[Tecnología]&amp;TbTipos[Metodo],TbTipos[Tipo])</f>
        <v>OMP Elementos</v>
      </c>
      <c r="E1593" s="15" t="str" cm="1">
        <f t="array" ref="E1593">_xlfn.XLOOKUP(Total[[#This Row],[Tecnología]]&amp;Total[[#This Row],[Problema]],TbNombres[Tecnología]&amp;TbNombres[Problema],TbNombres[Nombre])</f>
        <v>Brusselator2d</v>
      </c>
      <c r="F1593" s="20">
        <v>2</v>
      </c>
      <c r="G1593" s="20">
        <v>4</v>
      </c>
      <c r="H1593" s="20">
        <v>1</v>
      </c>
      <c r="I1593" s="20">
        <v>225</v>
      </c>
      <c r="J1593" s="20">
        <v>101250</v>
      </c>
      <c r="K1593" s="20">
        <v>5455.33</v>
      </c>
    </row>
    <row r="1594" spans="2:11" x14ac:dyDescent="0.2">
      <c r="B1594" s="26" t="str">
        <f>_xlfn.XLOOKUP(Total[[#This Row],[Metodo]],TbSolver[Metodo],TbSolver[Solver])</f>
        <v>Runge Kutta</v>
      </c>
      <c r="C1594" s="26" t="str">
        <f>_xlfn.XLOOKUP(Total[[#This Row],[Hebras]],TbTecnologia[Hebras],TbTecnologia[Tecnología])</f>
        <v>OMP</v>
      </c>
      <c r="D1594" s="15" t="str" cm="1">
        <f t="array" ref="D1594">_xlfn.XLOOKUP(Total[[#This Row],[Tecnología]]&amp;Total[[#This Row],[Metodo]],TbTipos[Tecnología]&amp;TbTipos[Metodo],TbTipos[Tipo])</f>
        <v>OMP Elementos</v>
      </c>
      <c r="E1594" s="15" t="str" cm="1">
        <f t="array" ref="E1594">_xlfn.XLOOKUP(Total[[#This Row],[Tecnología]]&amp;Total[[#This Row],[Problema]],TbNombres[Tecnología]&amp;TbNombres[Problema],TbNombres[Nombre])</f>
        <v>Brusselator2d</v>
      </c>
      <c r="F1594" s="20">
        <v>2</v>
      </c>
      <c r="G1594" s="20">
        <v>4</v>
      </c>
      <c r="H1594" s="20">
        <v>4</v>
      </c>
      <c r="I1594" s="20">
        <v>225</v>
      </c>
      <c r="J1594" s="20">
        <v>101250</v>
      </c>
      <c r="K1594" s="20">
        <v>1467.49</v>
      </c>
    </row>
    <row r="1595" spans="2:11" x14ac:dyDescent="0.2">
      <c r="B1595" s="26" t="str">
        <f>_xlfn.XLOOKUP(Total[[#This Row],[Metodo]],TbSolver[Metodo],TbSolver[Solver])</f>
        <v>Runge Kutta</v>
      </c>
      <c r="C1595" s="26" t="str">
        <f>_xlfn.XLOOKUP(Total[[#This Row],[Hebras]],TbTecnologia[Hebras],TbTecnologia[Tecnología])</f>
        <v>OMP</v>
      </c>
      <c r="D1595" s="15" t="str" cm="1">
        <f t="array" ref="D1595">_xlfn.XLOOKUP(Total[[#This Row],[Tecnología]]&amp;Total[[#This Row],[Metodo]],TbTipos[Tecnología]&amp;TbTipos[Metodo],TbTipos[Tipo])</f>
        <v>OMP Elementos</v>
      </c>
      <c r="E1595" s="15" t="str" cm="1">
        <f t="array" ref="E1595">_xlfn.XLOOKUP(Total[[#This Row],[Tecnología]]&amp;Total[[#This Row],[Problema]],TbNombres[Tecnología]&amp;TbNombres[Problema],TbNombres[Nombre])</f>
        <v>Brusselator2d</v>
      </c>
      <c r="F1595" s="20">
        <v>2</v>
      </c>
      <c r="G1595" s="20">
        <v>4</v>
      </c>
      <c r="H1595" s="20">
        <v>16</v>
      </c>
      <c r="I1595" s="20">
        <v>225</v>
      </c>
      <c r="J1595" s="20">
        <v>101250</v>
      </c>
      <c r="K1595" s="20">
        <v>422.089</v>
      </c>
    </row>
    <row r="1596" spans="2:11" x14ac:dyDescent="0.2">
      <c r="B1596" s="26" t="str">
        <f>_xlfn.XLOOKUP(Total[[#This Row],[Metodo]],TbSolver[Metodo],TbSolver[Solver])</f>
        <v>Runge Kutta</v>
      </c>
      <c r="C1596" s="26" t="str">
        <f>_xlfn.XLOOKUP(Total[[#This Row],[Hebras]],TbTecnologia[Hebras],TbTecnologia[Tecnología])</f>
        <v>OMP</v>
      </c>
      <c r="D1596" s="15" t="str" cm="1">
        <f t="array" ref="D1596">_xlfn.XLOOKUP(Total[[#This Row],[Tecnología]]&amp;Total[[#This Row],[Metodo]],TbTipos[Tecnología]&amp;TbTipos[Metodo],TbTipos[Tipo])</f>
        <v>OMP Elementos</v>
      </c>
      <c r="E1596" s="15" t="str" cm="1">
        <f t="array" ref="E1596">_xlfn.XLOOKUP(Total[[#This Row],[Tecnología]]&amp;Total[[#This Row],[Problema]],TbNombres[Tecnología]&amp;TbNombres[Problema],TbNombres[Nombre])</f>
        <v>Brusselator2d</v>
      </c>
      <c r="F1596" s="20">
        <v>2</v>
      </c>
      <c r="G1596" s="20">
        <v>4</v>
      </c>
      <c r="H1596" s="20">
        <v>1</v>
      </c>
      <c r="I1596" s="20">
        <v>250</v>
      </c>
      <c r="J1596" s="20">
        <v>125000</v>
      </c>
      <c r="K1596" s="20">
        <v>6701.91</v>
      </c>
    </row>
    <row r="1597" spans="2:11" x14ac:dyDescent="0.2">
      <c r="B1597" s="26" t="str">
        <f>_xlfn.XLOOKUP(Total[[#This Row],[Metodo]],TbSolver[Metodo],TbSolver[Solver])</f>
        <v>Runge Kutta</v>
      </c>
      <c r="C1597" s="26" t="str">
        <f>_xlfn.XLOOKUP(Total[[#This Row],[Hebras]],TbTecnologia[Hebras],TbTecnologia[Tecnología])</f>
        <v>OMP</v>
      </c>
      <c r="D1597" s="15" t="str" cm="1">
        <f t="array" ref="D1597">_xlfn.XLOOKUP(Total[[#This Row],[Tecnología]]&amp;Total[[#This Row],[Metodo]],TbTipos[Tecnología]&amp;TbTipos[Metodo],TbTipos[Tipo])</f>
        <v>OMP Elementos</v>
      </c>
      <c r="E1597" s="15" t="str" cm="1">
        <f t="array" ref="E1597">_xlfn.XLOOKUP(Total[[#This Row],[Tecnología]]&amp;Total[[#This Row],[Problema]],TbNombres[Tecnología]&amp;TbNombres[Problema],TbNombres[Nombre])</f>
        <v>Brusselator2d</v>
      </c>
      <c r="F1597" s="20">
        <v>2</v>
      </c>
      <c r="G1597" s="20">
        <v>4</v>
      </c>
      <c r="H1597" s="20">
        <v>4</v>
      </c>
      <c r="I1597" s="20">
        <v>250</v>
      </c>
      <c r="J1597" s="20">
        <v>125000</v>
      </c>
      <c r="K1597" s="20">
        <v>1808.36</v>
      </c>
    </row>
    <row r="1598" spans="2:11" x14ac:dyDescent="0.2">
      <c r="B1598" s="26" t="str">
        <f>_xlfn.XLOOKUP(Total[[#This Row],[Metodo]],TbSolver[Metodo],TbSolver[Solver])</f>
        <v>Runge Kutta</v>
      </c>
      <c r="C1598" s="26" t="str">
        <f>_xlfn.XLOOKUP(Total[[#This Row],[Hebras]],TbTecnologia[Hebras],TbTecnologia[Tecnología])</f>
        <v>OMP</v>
      </c>
      <c r="D1598" s="15" t="str" cm="1">
        <f t="array" ref="D1598">_xlfn.XLOOKUP(Total[[#This Row],[Tecnología]]&amp;Total[[#This Row],[Metodo]],TbTipos[Tecnología]&amp;TbTipos[Metodo],TbTipos[Tipo])</f>
        <v>OMP Elementos</v>
      </c>
      <c r="E1598" s="15" t="str" cm="1">
        <f t="array" ref="E1598">_xlfn.XLOOKUP(Total[[#This Row],[Tecnología]]&amp;Total[[#This Row],[Problema]],TbNombres[Tecnología]&amp;TbNombres[Problema],TbNombres[Nombre])</f>
        <v>Brusselator2d</v>
      </c>
      <c r="F1598" s="20">
        <v>2</v>
      </c>
      <c r="G1598" s="20">
        <v>4</v>
      </c>
      <c r="H1598" s="20">
        <v>16</v>
      </c>
      <c r="I1598" s="20">
        <v>250</v>
      </c>
      <c r="J1598" s="20">
        <v>125000</v>
      </c>
      <c r="K1598" s="20">
        <v>507.97399999999999</v>
      </c>
    </row>
    <row r="1599" spans="2:11" x14ac:dyDescent="0.2">
      <c r="B1599" s="26" t="str">
        <f>_xlfn.XLOOKUP(Total[[#This Row],[Metodo]],TbSolver[Metodo],TbSolver[Solver])</f>
        <v>Adams Bashford</v>
      </c>
      <c r="C1599" s="26" t="str">
        <f>_xlfn.XLOOKUP(Total[[#This Row],[Hebras]],TbTecnologia[Hebras],TbTecnologia[Tecnología])</f>
        <v>OMP</v>
      </c>
      <c r="D1599" s="15" t="str" cm="1">
        <f t="array" ref="D1599">_xlfn.XLOOKUP(Total[[#This Row],[Tecnología]]&amp;Total[[#This Row],[Metodo]],TbTipos[Tecnología]&amp;TbTipos[Metodo],TbTipos[Tipo])</f>
        <v>OMP Operaciones</v>
      </c>
      <c r="E1599" s="15" t="str" cm="1">
        <f t="array" ref="E1599">_xlfn.XLOOKUP(Total[[#This Row],[Tecnología]]&amp;Total[[#This Row],[Problema]],TbNombres[Tecnología]&amp;TbNombres[Problema],TbNombres[Nombre])</f>
        <v>Brusselator2d</v>
      </c>
      <c r="F1599" s="20">
        <v>3</v>
      </c>
      <c r="G1599" s="20">
        <v>4</v>
      </c>
      <c r="H1599" s="20">
        <v>1</v>
      </c>
      <c r="I1599" s="20">
        <v>225</v>
      </c>
      <c r="J1599" s="20">
        <v>101250</v>
      </c>
      <c r="K1599" s="20">
        <v>680.04600000000005</v>
      </c>
    </row>
    <row r="1600" spans="2:11" x14ac:dyDescent="0.2">
      <c r="B1600" s="26" t="str">
        <f>_xlfn.XLOOKUP(Total[[#This Row],[Metodo]],TbSolver[Metodo],TbSolver[Solver])</f>
        <v>Adams Bashford</v>
      </c>
      <c r="C1600" s="26" t="str">
        <f>_xlfn.XLOOKUP(Total[[#This Row],[Hebras]],TbTecnologia[Hebras],TbTecnologia[Tecnología])</f>
        <v>OMP</v>
      </c>
      <c r="D1600" s="15" t="str" cm="1">
        <f t="array" ref="D1600">_xlfn.XLOOKUP(Total[[#This Row],[Tecnología]]&amp;Total[[#This Row],[Metodo]],TbTipos[Tecnología]&amp;TbTipos[Metodo],TbTipos[Tipo])</f>
        <v>OMP Operaciones</v>
      </c>
      <c r="E1600" s="15" t="str" cm="1">
        <f t="array" ref="E1600">_xlfn.XLOOKUP(Total[[#This Row],[Tecnología]]&amp;Total[[#This Row],[Problema]],TbNombres[Tecnología]&amp;TbNombres[Problema],TbNombres[Nombre])</f>
        <v>Brusselator2d</v>
      </c>
      <c r="F1600" s="20">
        <v>3</v>
      </c>
      <c r="G1600" s="20">
        <v>4</v>
      </c>
      <c r="H1600" s="20">
        <v>4</v>
      </c>
      <c r="I1600" s="20">
        <v>225</v>
      </c>
      <c r="J1600" s="20">
        <v>101250</v>
      </c>
      <c r="K1600" s="20">
        <v>170.012</v>
      </c>
    </row>
    <row r="1601" spans="2:11" x14ac:dyDescent="0.2">
      <c r="B1601" s="26" t="str">
        <f>_xlfn.XLOOKUP(Total[[#This Row],[Metodo]],TbSolver[Metodo],TbSolver[Solver])</f>
        <v>Adams Bashford</v>
      </c>
      <c r="C1601" s="26" t="str">
        <f>_xlfn.XLOOKUP(Total[[#This Row],[Hebras]],TbTecnologia[Hebras],TbTecnologia[Tecnología])</f>
        <v>OMP</v>
      </c>
      <c r="D1601" s="15" t="str" cm="1">
        <f t="array" ref="D1601">_xlfn.XLOOKUP(Total[[#This Row],[Tecnología]]&amp;Total[[#This Row],[Metodo]],TbTipos[Tecnología]&amp;TbTipos[Metodo],TbTipos[Tipo])</f>
        <v>OMP Operaciones</v>
      </c>
      <c r="E1601" s="15" t="str" cm="1">
        <f t="array" ref="E1601">_xlfn.XLOOKUP(Total[[#This Row],[Tecnología]]&amp;Total[[#This Row],[Problema]],TbNombres[Tecnología]&amp;TbNombres[Problema],TbNombres[Nombre])</f>
        <v>Brusselator2d</v>
      </c>
      <c r="F1601" s="20">
        <v>3</v>
      </c>
      <c r="G1601" s="20">
        <v>4</v>
      </c>
      <c r="H1601" s="20">
        <v>16</v>
      </c>
      <c r="I1601" s="20">
        <v>225</v>
      </c>
      <c r="J1601" s="20">
        <v>101250</v>
      </c>
      <c r="K1601" s="20">
        <v>73.405699999999996</v>
      </c>
    </row>
    <row r="1602" spans="2:11" x14ac:dyDescent="0.2">
      <c r="B1602" s="26" t="str">
        <f>_xlfn.XLOOKUP(Total[[#This Row],[Metodo]],TbSolver[Metodo],TbSolver[Solver])</f>
        <v>Adams Bashford</v>
      </c>
      <c r="C1602" s="26" t="str">
        <f>_xlfn.XLOOKUP(Total[[#This Row],[Hebras]],TbTecnologia[Hebras],TbTecnologia[Tecnología])</f>
        <v>OMP</v>
      </c>
      <c r="D1602" s="15" t="str" cm="1">
        <f t="array" ref="D1602">_xlfn.XLOOKUP(Total[[#This Row],[Tecnología]]&amp;Total[[#This Row],[Metodo]],TbTipos[Tecnología]&amp;TbTipos[Metodo],TbTipos[Tipo])</f>
        <v>OMP Operaciones</v>
      </c>
      <c r="E1602" s="15" t="str" cm="1">
        <f t="array" ref="E1602">_xlfn.XLOOKUP(Total[[#This Row],[Tecnología]]&amp;Total[[#This Row],[Problema]],TbNombres[Tecnología]&amp;TbNombres[Problema],TbNombres[Nombre])</f>
        <v>Brusselator2d</v>
      </c>
      <c r="F1602" s="20">
        <v>3</v>
      </c>
      <c r="G1602" s="20">
        <v>4</v>
      </c>
      <c r="H1602" s="20">
        <v>1</v>
      </c>
      <c r="I1602" s="20">
        <v>250</v>
      </c>
      <c r="J1602" s="20">
        <v>125000</v>
      </c>
      <c r="K1602" s="20">
        <v>847.87</v>
      </c>
    </row>
    <row r="1603" spans="2:11" x14ac:dyDescent="0.2">
      <c r="B1603" s="26" t="str">
        <f>_xlfn.XLOOKUP(Total[[#This Row],[Metodo]],TbSolver[Metodo],TbSolver[Solver])</f>
        <v>Adams Bashford</v>
      </c>
      <c r="C1603" s="26" t="str">
        <f>_xlfn.XLOOKUP(Total[[#This Row],[Hebras]],TbTecnologia[Hebras],TbTecnologia[Tecnología])</f>
        <v>OMP</v>
      </c>
      <c r="D1603" s="15" t="str" cm="1">
        <f t="array" ref="D1603">_xlfn.XLOOKUP(Total[[#This Row],[Tecnología]]&amp;Total[[#This Row],[Metodo]],TbTipos[Tecnología]&amp;TbTipos[Metodo],TbTipos[Tipo])</f>
        <v>OMP Operaciones</v>
      </c>
      <c r="E1603" s="15" t="str" cm="1">
        <f t="array" ref="E1603">_xlfn.XLOOKUP(Total[[#This Row],[Tecnología]]&amp;Total[[#This Row],[Problema]],TbNombres[Tecnología]&amp;TbNombres[Problema],TbNombres[Nombre])</f>
        <v>Brusselator2d</v>
      </c>
      <c r="F1603" s="20">
        <v>3</v>
      </c>
      <c r="G1603" s="20">
        <v>4</v>
      </c>
      <c r="H1603" s="20">
        <v>4</v>
      </c>
      <c r="I1603" s="20">
        <v>250</v>
      </c>
      <c r="J1603" s="20">
        <v>125000</v>
      </c>
      <c r="K1603" s="20">
        <v>214.10599999999999</v>
      </c>
    </row>
    <row r="1604" spans="2:11" x14ac:dyDescent="0.2">
      <c r="B1604" s="26" t="str">
        <f>_xlfn.XLOOKUP(Total[[#This Row],[Metodo]],TbSolver[Metodo],TbSolver[Solver])</f>
        <v>Adams Bashford</v>
      </c>
      <c r="C1604" s="26" t="str">
        <f>_xlfn.XLOOKUP(Total[[#This Row],[Hebras]],TbTecnologia[Hebras],TbTecnologia[Tecnología])</f>
        <v>OMP</v>
      </c>
      <c r="D1604" s="15" t="str" cm="1">
        <f t="array" ref="D1604">_xlfn.XLOOKUP(Total[[#This Row],[Tecnología]]&amp;Total[[#This Row],[Metodo]],TbTipos[Tecnología]&amp;TbTipos[Metodo],TbTipos[Tipo])</f>
        <v>OMP Operaciones</v>
      </c>
      <c r="E1604" s="15" t="str" cm="1">
        <f t="array" ref="E1604">_xlfn.XLOOKUP(Total[[#This Row],[Tecnología]]&amp;Total[[#This Row],[Problema]],TbNombres[Tecnología]&amp;TbNombres[Problema],TbNombres[Nombre])</f>
        <v>Brusselator2d</v>
      </c>
      <c r="F1604" s="20">
        <v>3</v>
      </c>
      <c r="G1604" s="20">
        <v>4</v>
      </c>
      <c r="H1604" s="20">
        <v>16</v>
      </c>
      <c r="I1604" s="20">
        <v>250</v>
      </c>
      <c r="J1604" s="20">
        <v>125000</v>
      </c>
      <c r="K1604" s="20">
        <v>82.703999999999994</v>
      </c>
    </row>
    <row r="1605" spans="2:11" x14ac:dyDescent="0.2">
      <c r="B1605" s="26" t="str">
        <f>_xlfn.XLOOKUP(Total[[#This Row],[Metodo]],TbSolver[Metodo],TbSolver[Solver])</f>
        <v>Adams Bashford</v>
      </c>
      <c r="C1605" s="26" t="str">
        <f>_xlfn.XLOOKUP(Total[[#This Row],[Hebras]],TbTecnologia[Hebras],TbTecnologia[Tecnología])</f>
        <v>OMP</v>
      </c>
      <c r="D1605" s="15" t="str" cm="1">
        <f t="array" ref="D1605">_xlfn.XLOOKUP(Total[[#This Row],[Tecnología]]&amp;Total[[#This Row],[Metodo]],TbTipos[Tecnología]&amp;TbTipos[Metodo],TbTipos[Tipo])</f>
        <v>OMP Elementos</v>
      </c>
      <c r="E1605" s="15" t="str" cm="1">
        <f t="array" ref="E1605">_xlfn.XLOOKUP(Total[[#This Row],[Tecnología]]&amp;Total[[#This Row],[Problema]],TbNombres[Tecnología]&amp;TbNombres[Problema],TbNombres[Nombre])</f>
        <v>Brusselator2d</v>
      </c>
      <c r="F1605" s="20">
        <v>4</v>
      </c>
      <c r="G1605" s="20">
        <v>4</v>
      </c>
      <c r="H1605" s="20">
        <v>1</v>
      </c>
      <c r="I1605" s="20">
        <v>225</v>
      </c>
      <c r="J1605" s="20">
        <v>101250</v>
      </c>
      <c r="K1605" s="20">
        <v>1396.82</v>
      </c>
    </row>
    <row r="1606" spans="2:11" x14ac:dyDescent="0.2">
      <c r="B1606" s="26" t="str">
        <f>_xlfn.XLOOKUP(Total[[#This Row],[Metodo]],TbSolver[Metodo],TbSolver[Solver])</f>
        <v>Adams Bashford</v>
      </c>
      <c r="C1606" s="26" t="str">
        <f>_xlfn.XLOOKUP(Total[[#This Row],[Hebras]],TbTecnologia[Hebras],TbTecnologia[Tecnología])</f>
        <v>OMP</v>
      </c>
      <c r="D1606" s="15" t="str" cm="1">
        <f t="array" ref="D1606">_xlfn.XLOOKUP(Total[[#This Row],[Tecnología]]&amp;Total[[#This Row],[Metodo]],TbTipos[Tecnología]&amp;TbTipos[Metodo],TbTipos[Tipo])</f>
        <v>OMP Elementos</v>
      </c>
      <c r="E1606" s="15" t="str" cm="1">
        <f t="array" ref="E1606">_xlfn.XLOOKUP(Total[[#This Row],[Tecnología]]&amp;Total[[#This Row],[Problema]],TbNombres[Tecnología]&amp;TbNombres[Problema],TbNombres[Nombre])</f>
        <v>Brusselator2d</v>
      </c>
      <c r="F1606" s="20">
        <v>4</v>
      </c>
      <c r="G1606" s="20">
        <v>4</v>
      </c>
      <c r="H1606" s="20">
        <v>4</v>
      </c>
      <c r="I1606" s="20">
        <v>225</v>
      </c>
      <c r="J1606" s="20">
        <v>101250</v>
      </c>
      <c r="K1606" s="20">
        <v>363.87900000000002</v>
      </c>
    </row>
    <row r="1607" spans="2:11" x14ac:dyDescent="0.2">
      <c r="B1607" s="26" t="str">
        <f>_xlfn.XLOOKUP(Total[[#This Row],[Metodo]],TbSolver[Metodo],TbSolver[Solver])</f>
        <v>Adams Bashford</v>
      </c>
      <c r="C1607" s="26" t="str">
        <f>_xlfn.XLOOKUP(Total[[#This Row],[Hebras]],TbTecnologia[Hebras],TbTecnologia[Tecnología])</f>
        <v>OMP</v>
      </c>
      <c r="D1607" s="15" t="str" cm="1">
        <f t="array" ref="D1607">_xlfn.XLOOKUP(Total[[#This Row],[Tecnología]]&amp;Total[[#This Row],[Metodo]],TbTipos[Tecnología]&amp;TbTipos[Metodo],TbTipos[Tipo])</f>
        <v>OMP Elementos</v>
      </c>
      <c r="E1607" s="15" t="str" cm="1">
        <f t="array" ref="E1607">_xlfn.XLOOKUP(Total[[#This Row],[Tecnología]]&amp;Total[[#This Row],[Problema]],TbNombres[Tecnología]&amp;TbNombres[Problema],TbNombres[Nombre])</f>
        <v>Brusselator2d</v>
      </c>
      <c r="F1607" s="20">
        <v>4</v>
      </c>
      <c r="G1607" s="20">
        <v>4</v>
      </c>
      <c r="H1607" s="20">
        <v>16</v>
      </c>
      <c r="I1607" s="20">
        <v>225</v>
      </c>
      <c r="J1607" s="20">
        <v>101250</v>
      </c>
      <c r="K1607" s="20">
        <v>112.46599999999999</v>
      </c>
    </row>
    <row r="1608" spans="2:11" x14ac:dyDescent="0.2">
      <c r="B1608" s="26" t="str">
        <f>_xlfn.XLOOKUP(Total[[#This Row],[Metodo]],TbSolver[Metodo],TbSolver[Solver])</f>
        <v>Adams Bashford</v>
      </c>
      <c r="C1608" s="26" t="str">
        <f>_xlfn.XLOOKUP(Total[[#This Row],[Hebras]],TbTecnologia[Hebras],TbTecnologia[Tecnología])</f>
        <v>OMP</v>
      </c>
      <c r="D1608" s="15" t="str" cm="1">
        <f t="array" ref="D1608">_xlfn.XLOOKUP(Total[[#This Row],[Tecnología]]&amp;Total[[#This Row],[Metodo]],TbTipos[Tecnología]&amp;TbTipos[Metodo],TbTipos[Tipo])</f>
        <v>OMP Elementos</v>
      </c>
      <c r="E1608" s="15" t="str" cm="1">
        <f t="array" ref="E1608">_xlfn.XLOOKUP(Total[[#This Row],[Tecnología]]&amp;Total[[#This Row],[Problema]],TbNombres[Tecnología]&amp;TbNombres[Problema],TbNombres[Nombre])</f>
        <v>Brusselator2d</v>
      </c>
      <c r="F1608" s="20">
        <v>4</v>
      </c>
      <c r="G1608" s="20">
        <v>4</v>
      </c>
      <c r="H1608" s="20">
        <v>1</v>
      </c>
      <c r="I1608" s="20">
        <v>250</v>
      </c>
      <c r="J1608" s="20">
        <v>125000</v>
      </c>
      <c r="K1608" s="20">
        <v>1727.69</v>
      </c>
    </row>
    <row r="1609" spans="2:11" x14ac:dyDescent="0.2">
      <c r="B1609" s="26" t="str">
        <f>_xlfn.XLOOKUP(Total[[#This Row],[Metodo]],TbSolver[Metodo],TbSolver[Solver])</f>
        <v>Adams Bashford</v>
      </c>
      <c r="C1609" s="26" t="str">
        <f>_xlfn.XLOOKUP(Total[[#This Row],[Hebras]],TbTecnologia[Hebras],TbTecnologia[Tecnología])</f>
        <v>OMP</v>
      </c>
      <c r="D1609" s="15" t="str" cm="1">
        <f t="array" ref="D1609">_xlfn.XLOOKUP(Total[[#This Row],[Tecnología]]&amp;Total[[#This Row],[Metodo]],TbTipos[Tecnología]&amp;TbTipos[Metodo],TbTipos[Tipo])</f>
        <v>OMP Elementos</v>
      </c>
      <c r="E1609" s="15" t="str" cm="1">
        <f t="array" ref="E1609">_xlfn.XLOOKUP(Total[[#This Row],[Tecnología]]&amp;Total[[#This Row],[Problema]],TbNombres[Tecnología]&amp;TbNombres[Problema],TbNombres[Nombre])</f>
        <v>Brusselator2d</v>
      </c>
      <c r="F1609" s="20">
        <v>4</v>
      </c>
      <c r="G1609" s="20">
        <v>4</v>
      </c>
      <c r="H1609" s="20">
        <v>4</v>
      </c>
      <c r="I1609" s="20">
        <v>250</v>
      </c>
      <c r="J1609" s="20">
        <v>125000</v>
      </c>
      <c r="K1609" s="20">
        <v>454.25</v>
      </c>
    </row>
    <row r="1610" spans="2:11" x14ac:dyDescent="0.2">
      <c r="B1610" s="26" t="str">
        <f>_xlfn.XLOOKUP(Total[[#This Row],[Metodo]],TbSolver[Metodo],TbSolver[Solver])</f>
        <v>Adams Bashford</v>
      </c>
      <c r="C1610" s="26" t="str">
        <f>_xlfn.XLOOKUP(Total[[#This Row],[Hebras]],TbTecnologia[Hebras],TbTecnologia[Tecnología])</f>
        <v>OMP</v>
      </c>
      <c r="D1610" s="15" t="str" cm="1">
        <f t="array" ref="D1610">_xlfn.XLOOKUP(Total[[#This Row],[Tecnología]]&amp;Total[[#This Row],[Metodo]],TbTipos[Tecnología]&amp;TbTipos[Metodo],TbTipos[Tipo])</f>
        <v>OMP Elementos</v>
      </c>
      <c r="E1610" s="15" t="str" cm="1">
        <f t="array" ref="E1610">_xlfn.XLOOKUP(Total[[#This Row],[Tecnología]]&amp;Total[[#This Row],[Problema]],TbNombres[Tecnología]&amp;TbNombres[Problema],TbNombres[Nombre])</f>
        <v>Brusselator2d</v>
      </c>
      <c r="F1610" s="20">
        <v>4</v>
      </c>
      <c r="G1610" s="20">
        <v>4</v>
      </c>
      <c r="H1610" s="20">
        <v>16</v>
      </c>
      <c r="I1610" s="20">
        <v>250</v>
      </c>
      <c r="J1610" s="20">
        <v>125000</v>
      </c>
      <c r="K1610" s="20">
        <v>138.602</v>
      </c>
    </row>
    <row r="1611" spans="2:11" x14ac:dyDescent="0.2">
      <c r="B1611" s="26" t="str">
        <f>_xlfn.XLOOKUP(Total[[#This Row],[Metodo]],TbSolver[Metodo],TbSolver[Solver])</f>
        <v>Adams Bashford Moulton</v>
      </c>
      <c r="C1611" s="26" t="str">
        <f>_xlfn.XLOOKUP(Total[[#This Row],[Hebras]],TbTecnologia[Hebras],TbTecnologia[Tecnología])</f>
        <v>OMP</v>
      </c>
      <c r="D1611" s="15" t="str" cm="1">
        <f t="array" ref="D1611">_xlfn.XLOOKUP(Total[[#This Row],[Tecnología]]&amp;Total[[#This Row],[Metodo]],TbTipos[Tecnología]&amp;TbTipos[Metodo],TbTipos[Tipo])</f>
        <v>OMP Operaciones</v>
      </c>
      <c r="E1611" s="15" t="str" cm="1">
        <f t="array" ref="E1611">_xlfn.XLOOKUP(Total[[#This Row],[Tecnología]]&amp;Total[[#This Row],[Problema]],TbNombres[Tecnología]&amp;TbNombres[Problema],TbNombres[Nombre])</f>
        <v>Brusselator2d</v>
      </c>
      <c r="F1611" s="20">
        <v>5</v>
      </c>
      <c r="G1611" s="20">
        <v>4</v>
      </c>
      <c r="H1611" s="20">
        <v>1</v>
      </c>
      <c r="I1611" s="20">
        <v>225</v>
      </c>
      <c r="J1611" s="20">
        <v>101250</v>
      </c>
      <c r="K1611" s="20">
        <v>2168.54</v>
      </c>
    </row>
    <row r="1612" spans="2:11" x14ac:dyDescent="0.2">
      <c r="B1612" s="26" t="str">
        <f>_xlfn.XLOOKUP(Total[[#This Row],[Metodo]],TbSolver[Metodo],TbSolver[Solver])</f>
        <v>Adams Bashford Moulton</v>
      </c>
      <c r="C1612" s="26" t="str">
        <f>_xlfn.XLOOKUP(Total[[#This Row],[Hebras]],TbTecnologia[Hebras],TbTecnologia[Tecnología])</f>
        <v>OMP</v>
      </c>
      <c r="D1612" s="15" t="str" cm="1">
        <f t="array" ref="D1612">_xlfn.XLOOKUP(Total[[#This Row],[Tecnología]]&amp;Total[[#This Row],[Metodo]],TbTipos[Tecnología]&amp;TbTipos[Metodo],TbTipos[Tipo])</f>
        <v>OMP Operaciones</v>
      </c>
      <c r="E1612" s="15" t="str" cm="1">
        <f t="array" ref="E1612">_xlfn.XLOOKUP(Total[[#This Row],[Tecnología]]&amp;Total[[#This Row],[Problema]],TbNombres[Tecnología]&amp;TbNombres[Problema],TbNombres[Nombre])</f>
        <v>Brusselator2d</v>
      </c>
      <c r="F1612" s="20">
        <v>5</v>
      </c>
      <c r="G1612" s="20">
        <v>4</v>
      </c>
      <c r="H1612" s="20">
        <v>4</v>
      </c>
      <c r="I1612" s="20">
        <v>225</v>
      </c>
      <c r="J1612" s="20">
        <v>101250</v>
      </c>
      <c r="K1612" s="20">
        <v>551.56500000000005</v>
      </c>
    </row>
    <row r="1613" spans="2:11" x14ac:dyDescent="0.2">
      <c r="B1613" s="26" t="str">
        <f>_xlfn.XLOOKUP(Total[[#This Row],[Metodo]],TbSolver[Metodo],TbSolver[Solver])</f>
        <v>Adams Bashford Moulton</v>
      </c>
      <c r="C1613" s="26" t="str">
        <f>_xlfn.XLOOKUP(Total[[#This Row],[Hebras]],TbTecnologia[Hebras],TbTecnologia[Tecnología])</f>
        <v>OMP</v>
      </c>
      <c r="D1613" s="15" t="str" cm="1">
        <f t="array" ref="D1613">_xlfn.XLOOKUP(Total[[#This Row],[Tecnología]]&amp;Total[[#This Row],[Metodo]],TbTipos[Tecnología]&amp;TbTipos[Metodo],TbTipos[Tipo])</f>
        <v>OMP Operaciones</v>
      </c>
      <c r="E1613" s="15" t="str" cm="1">
        <f t="array" ref="E1613">_xlfn.XLOOKUP(Total[[#This Row],[Tecnología]]&amp;Total[[#This Row],[Problema]],TbNombres[Tecnología]&amp;TbNombres[Problema],TbNombres[Nombre])</f>
        <v>Brusselator2d</v>
      </c>
      <c r="F1613" s="20">
        <v>5</v>
      </c>
      <c r="G1613" s="20">
        <v>4</v>
      </c>
      <c r="H1613" s="20">
        <v>16</v>
      </c>
      <c r="I1613" s="20">
        <v>225</v>
      </c>
      <c r="J1613" s="20">
        <v>101250</v>
      </c>
      <c r="K1613" s="20">
        <v>236.23599999999999</v>
      </c>
    </row>
    <row r="1614" spans="2:11" x14ac:dyDescent="0.2">
      <c r="B1614" s="26" t="str">
        <f>_xlfn.XLOOKUP(Total[[#This Row],[Metodo]],TbSolver[Metodo],TbSolver[Solver])</f>
        <v>Adams Bashford Moulton</v>
      </c>
      <c r="C1614" s="26" t="str">
        <f>_xlfn.XLOOKUP(Total[[#This Row],[Hebras]],TbTecnologia[Hebras],TbTecnologia[Tecnología])</f>
        <v>OMP</v>
      </c>
      <c r="D1614" s="15" t="str" cm="1">
        <f t="array" ref="D1614">_xlfn.XLOOKUP(Total[[#This Row],[Tecnología]]&amp;Total[[#This Row],[Metodo]],TbTipos[Tecnología]&amp;TbTipos[Metodo],TbTipos[Tipo])</f>
        <v>OMP Operaciones</v>
      </c>
      <c r="E1614" s="15" t="str" cm="1">
        <f t="array" ref="E1614">_xlfn.XLOOKUP(Total[[#This Row],[Tecnología]]&amp;Total[[#This Row],[Problema]],TbNombres[Tecnología]&amp;TbNombres[Problema],TbNombres[Nombre])</f>
        <v>Brusselator2d</v>
      </c>
      <c r="F1614" s="20">
        <v>5</v>
      </c>
      <c r="G1614" s="20">
        <v>4</v>
      </c>
      <c r="H1614" s="20">
        <v>1</v>
      </c>
      <c r="I1614" s="20">
        <v>250</v>
      </c>
      <c r="J1614" s="20">
        <v>125000</v>
      </c>
      <c r="K1614" s="20">
        <v>2692.79</v>
      </c>
    </row>
    <row r="1615" spans="2:11" x14ac:dyDescent="0.2">
      <c r="B1615" s="26" t="str">
        <f>_xlfn.XLOOKUP(Total[[#This Row],[Metodo]],TbSolver[Metodo],TbSolver[Solver])</f>
        <v>Adams Bashford Moulton</v>
      </c>
      <c r="C1615" s="26" t="str">
        <f>_xlfn.XLOOKUP(Total[[#This Row],[Hebras]],TbTecnologia[Hebras],TbTecnologia[Tecnología])</f>
        <v>OMP</v>
      </c>
      <c r="D1615" s="15" t="str" cm="1">
        <f t="array" ref="D1615">_xlfn.XLOOKUP(Total[[#This Row],[Tecnología]]&amp;Total[[#This Row],[Metodo]],TbTipos[Tecnología]&amp;TbTipos[Metodo],TbTipos[Tipo])</f>
        <v>OMP Operaciones</v>
      </c>
      <c r="E1615" s="15" t="str" cm="1">
        <f t="array" ref="E1615">_xlfn.XLOOKUP(Total[[#This Row],[Tecnología]]&amp;Total[[#This Row],[Problema]],TbNombres[Tecnología]&amp;TbNombres[Problema],TbNombres[Nombre])</f>
        <v>Brusselator2d</v>
      </c>
      <c r="F1615" s="20">
        <v>5</v>
      </c>
      <c r="G1615" s="20">
        <v>4</v>
      </c>
      <c r="H1615" s="20">
        <v>4</v>
      </c>
      <c r="I1615" s="20">
        <v>250</v>
      </c>
      <c r="J1615" s="20">
        <v>125000</v>
      </c>
      <c r="K1615" s="20">
        <v>675.12300000000005</v>
      </c>
    </row>
    <row r="1616" spans="2:11" x14ac:dyDescent="0.2">
      <c r="B1616" s="26" t="str">
        <f>_xlfn.XLOOKUP(Total[[#This Row],[Metodo]],TbSolver[Metodo],TbSolver[Solver])</f>
        <v>Adams Bashford Moulton</v>
      </c>
      <c r="C1616" s="26" t="str">
        <f>_xlfn.XLOOKUP(Total[[#This Row],[Hebras]],TbTecnologia[Hebras],TbTecnologia[Tecnología])</f>
        <v>OMP</v>
      </c>
      <c r="D1616" s="15" t="str" cm="1">
        <f t="array" ref="D1616">_xlfn.XLOOKUP(Total[[#This Row],[Tecnología]]&amp;Total[[#This Row],[Metodo]],TbTipos[Tecnología]&amp;TbTipos[Metodo],TbTipos[Tipo])</f>
        <v>OMP Operaciones</v>
      </c>
      <c r="E1616" s="15" t="str" cm="1">
        <f t="array" ref="E1616">_xlfn.XLOOKUP(Total[[#This Row],[Tecnología]]&amp;Total[[#This Row],[Problema]],TbNombres[Tecnología]&amp;TbNombres[Problema],TbNombres[Nombre])</f>
        <v>Brusselator2d</v>
      </c>
      <c r="F1616" s="20">
        <v>5</v>
      </c>
      <c r="G1616" s="20">
        <v>4</v>
      </c>
      <c r="H1616" s="20">
        <v>16</v>
      </c>
      <c r="I1616" s="20">
        <v>250</v>
      </c>
      <c r="J1616" s="20">
        <v>125000</v>
      </c>
      <c r="K1616" s="20">
        <v>264.40199999999999</v>
      </c>
    </row>
    <row r="1617" spans="2:11" x14ac:dyDescent="0.2">
      <c r="B1617" s="26" t="str">
        <f>_xlfn.XLOOKUP(Total[[#This Row],[Metodo]],TbSolver[Metodo],TbSolver[Solver])</f>
        <v>Adams Bashford Moulton</v>
      </c>
      <c r="C1617" s="26" t="str">
        <f>_xlfn.XLOOKUP(Total[[#This Row],[Hebras]],TbTecnologia[Hebras],TbTecnologia[Tecnología])</f>
        <v>OMP</v>
      </c>
      <c r="D1617" s="15" t="str" cm="1">
        <f t="array" ref="D1617">_xlfn.XLOOKUP(Total[[#This Row],[Tecnología]]&amp;Total[[#This Row],[Metodo]],TbTipos[Tecnología]&amp;TbTipos[Metodo],TbTipos[Tipo])</f>
        <v>OMP Elementos</v>
      </c>
      <c r="E1617" s="15" t="str" cm="1">
        <f t="array" ref="E1617">_xlfn.XLOOKUP(Total[[#This Row],[Tecnología]]&amp;Total[[#This Row],[Problema]],TbNombres[Tecnología]&amp;TbNombres[Problema],TbNombres[Nombre])</f>
        <v>Brusselator2d</v>
      </c>
      <c r="F1617" s="20">
        <v>6</v>
      </c>
      <c r="G1617" s="20">
        <v>4</v>
      </c>
      <c r="H1617" s="20">
        <v>1</v>
      </c>
      <c r="I1617" s="20">
        <v>225</v>
      </c>
      <c r="J1617" s="20">
        <v>101250</v>
      </c>
      <c r="K1617" s="20">
        <v>4832.4399999999996</v>
      </c>
    </row>
    <row r="1618" spans="2:11" x14ac:dyDescent="0.2">
      <c r="B1618" s="26" t="str">
        <f>_xlfn.XLOOKUP(Total[[#This Row],[Metodo]],TbSolver[Metodo],TbSolver[Solver])</f>
        <v>Adams Bashford Moulton</v>
      </c>
      <c r="C1618" s="26" t="str">
        <f>_xlfn.XLOOKUP(Total[[#This Row],[Hebras]],TbTecnologia[Hebras],TbTecnologia[Tecnología])</f>
        <v>OMP</v>
      </c>
      <c r="D1618" s="15" t="str" cm="1">
        <f t="array" ref="D1618">_xlfn.XLOOKUP(Total[[#This Row],[Tecnología]]&amp;Total[[#This Row],[Metodo]],TbTipos[Tecnología]&amp;TbTipos[Metodo],TbTipos[Tipo])</f>
        <v>OMP Elementos</v>
      </c>
      <c r="E1618" s="15" t="str" cm="1">
        <f t="array" ref="E1618">_xlfn.XLOOKUP(Total[[#This Row],[Tecnología]]&amp;Total[[#This Row],[Problema]],TbNombres[Tecnología]&amp;TbNombres[Problema],TbNombres[Nombre])</f>
        <v>Brusselator2d</v>
      </c>
      <c r="F1618" s="20">
        <v>6</v>
      </c>
      <c r="G1618" s="20">
        <v>4</v>
      </c>
      <c r="H1618" s="20">
        <v>4</v>
      </c>
      <c r="I1618" s="20">
        <v>225</v>
      </c>
      <c r="J1618" s="20">
        <v>101250</v>
      </c>
      <c r="K1618" s="20">
        <v>1286.0899999999999</v>
      </c>
    </row>
    <row r="1619" spans="2:11" x14ac:dyDescent="0.2">
      <c r="B1619" s="26" t="str">
        <f>_xlfn.XLOOKUP(Total[[#This Row],[Metodo]],TbSolver[Metodo],TbSolver[Solver])</f>
        <v>Adams Bashford Moulton</v>
      </c>
      <c r="C1619" s="26" t="str">
        <f>_xlfn.XLOOKUP(Total[[#This Row],[Hebras]],TbTecnologia[Hebras],TbTecnologia[Tecnología])</f>
        <v>OMP</v>
      </c>
      <c r="D1619" s="15" t="str" cm="1">
        <f t="array" ref="D1619">_xlfn.XLOOKUP(Total[[#This Row],[Tecnología]]&amp;Total[[#This Row],[Metodo]],TbTipos[Tecnología]&amp;TbTipos[Metodo],TbTipos[Tipo])</f>
        <v>OMP Elementos</v>
      </c>
      <c r="E1619" s="15" t="str" cm="1">
        <f t="array" ref="E1619">_xlfn.XLOOKUP(Total[[#This Row],[Tecnología]]&amp;Total[[#This Row],[Problema]],TbNombres[Tecnología]&amp;TbNombres[Problema],TbNombres[Nombre])</f>
        <v>Brusselator2d</v>
      </c>
      <c r="F1619" s="20">
        <v>6</v>
      </c>
      <c r="G1619" s="20">
        <v>4</v>
      </c>
      <c r="H1619" s="20">
        <v>16</v>
      </c>
      <c r="I1619" s="20">
        <v>225</v>
      </c>
      <c r="J1619" s="20">
        <v>101250</v>
      </c>
      <c r="K1619" s="20">
        <v>366.22</v>
      </c>
    </row>
    <row r="1620" spans="2:11" x14ac:dyDescent="0.2">
      <c r="B1620" s="26" t="str">
        <f>_xlfn.XLOOKUP(Total[[#This Row],[Metodo]],TbSolver[Metodo],TbSolver[Solver])</f>
        <v>Adams Bashford Moulton</v>
      </c>
      <c r="C1620" s="26" t="str">
        <f>_xlfn.XLOOKUP(Total[[#This Row],[Hebras]],TbTecnologia[Hebras],TbTecnologia[Tecnología])</f>
        <v>OMP</v>
      </c>
      <c r="D1620" s="15" t="str" cm="1">
        <f t="array" ref="D1620">_xlfn.XLOOKUP(Total[[#This Row],[Tecnología]]&amp;Total[[#This Row],[Metodo]],TbTipos[Tecnología]&amp;TbTipos[Metodo],TbTipos[Tipo])</f>
        <v>OMP Elementos</v>
      </c>
      <c r="E1620" s="15" t="str" cm="1">
        <f t="array" ref="E1620">_xlfn.XLOOKUP(Total[[#This Row],[Tecnología]]&amp;Total[[#This Row],[Problema]],TbNombres[Tecnología]&amp;TbNombres[Problema],TbNombres[Nombre])</f>
        <v>Brusselator2d</v>
      </c>
      <c r="F1620" s="20">
        <v>6</v>
      </c>
      <c r="G1620" s="20">
        <v>4</v>
      </c>
      <c r="H1620" s="20">
        <v>1</v>
      </c>
      <c r="I1620" s="20">
        <v>250</v>
      </c>
      <c r="J1620" s="20">
        <v>125000</v>
      </c>
      <c r="K1620" s="20">
        <v>5982.94</v>
      </c>
    </row>
    <row r="1621" spans="2:11" x14ac:dyDescent="0.2">
      <c r="B1621" s="26" t="str">
        <f>_xlfn.XLOOKUP(Total[[#This Row],[Metodo]],TbSolver[Metodo],TbSolver[Solver])</f>
        <v>Adams Bashford Moulton</v>
      </c>
      <c r="C1621" s="26" t="str">
        <f>_xlfn.XLOOKUP(Total[[#This Row],[Hebras]],TbTecnologia[Hebras],TbTecnologia[Tecnología])</f>
        <v>OMP</v>
      </c>
      <c r="D1621" s="15" t="str" cm="1">
        <f t="array" ref="D1621">_xlfn.XLOOKUP(Total[[#This Row],[Tecnología]]&amp;Total[[#This Row],[Metodo]],TbTipos[Tecnología]&amp;TbTipos[Metodo],TbTipos[Tipo])</f>
        <v>OMP Elementos</v>
      </c>
      <c r="E1621" s="15" t="str" cm="1">
        <f t="array" ref="E1621">_xlfn.XLOOKUP(Total[[#This Row],[Tecnología]]&amp;Total[[#This Row],[Problema]],TbNombres[Tecnología]&amp;TbNombres[Problema],TbNombres[Nombre])</f>
        <v>Brusselator2d</v>
      </c>
      <c r="F1621" s="20">
        <v>6</v>
      </c>
      <c r="G1621" s="20">
        <v>4</v>
      </c>
      <c r="H1621" s="20">
        <v>4</v>
      </c>
      <c r="I1621" s="20">
        <v>250</v>
      </c>
      <c r="J1621" s="20">
        <v>125000</v>
      </c>
      <c r="K1621" s="20">
        <v>1593.61</v>
      </c>
    </row>
    <row r="1622" spans="2:11" x14ac:dyDescent="0.2">
      <c r="B1622" s="26" t="str">
        <f>_xlfn.XLOOKUP(Total[[#This Row],[Metodo]],TbSolver[Metodo],TbSolver[Solver])</f>
        <v>Adams Bashford Moulton</v>
      </c>
      <c r="C1622" s="26" t="str">
        <f>_xlfn.XLOOKUP(Total[[#This Row],[Hebras]],TbTecnologia[Hebras],TbTecnologia[Tecnología])</f>
        <v>OMP</v>
      </c>
      <c r="D1622" s="15" t="str" cm="1">
        <f t="array" ref="D1622">_xlfn.XLOOKUP(Total[[#This Row],[Tecnología]]&amp;Total[[#This Row],[Metodo]],TbTipos[Tecnología]&amp;TbTipos[Metodo],TbTipos[Tipo])</f>
        <v>OMP Elementos</v>
      </c>
      <c r="E1622" s="15" t="str" cm="1">
        <f t="array" ref="E1622">_xlfn.XLOOKUP(Total[[#This Row],[Tecnología]]&amp;Total[[#This Row],[Problema]],TbNombres[Tecnología]&amp;TbNombres[Problema],TbNombres[Nombre])</f>
        <v>Brusselator2d</v>
      </c>
      <c r="F1622" s="20">
        <v>6</v>
      </c>
      <c r="G1622" s="20">
        <v>4</v>
      </c>
      <c r="H1622" s="20">
        <v>16</v>
      </c>
      <c r="I1622" s="20">
        <v>250</v>
      </c>
      <c r="J1622" s="20">
        <v>125000</v>
      </c>
      <c r="K1622" s="20">
        <v>445.08100000000002</v>
      </c>
    </row>
    <row r="1623" spans="2:11" x14ac:dyDescent="0.2">
      <c r="B1623" s="26" t="str">
        <f>_xlfn.XLOOKUP(Total[[#This Row],[Metodo]],TbSolver[Metodo],TbSolver[Solver])</f>
        <v>Adams Bashford</v>
      </c>
      <c r="C1623" s="26" t="str">
        <f>_xlfn.XLOOKUP(Total[[#This Row],[Hebras]],TbTecnologia[Hebras],TbTecnologia[Tecnología])</f>
        <v>CUDA</v>
      </c>
      <c r="D1623" s="15" t="str" cm="1">
        <f t="array" ref="D1623">_xlfn.XLOOKUP(Total[[#This Row],[Tecnología]]&amp;Total[[#This Row],[Metodo]],TbTipos[Tecnología]&amp;TbTipos[Metodo],TbTipos[Tipo])</f>
        <v>CUDA sin graph</v>
      </c>
      <c r="E1623" s="15" t="str" cm="1">
        <f t="array" ref="E1623">_xlfn.XLOOKUP(Total[[#This Row],[Tecnología]]&amp;Total[[#This Row],[Problema]],TbNombres[Tecnología]&amp;TbNombres[Problema],TbNombres[Nombre])</f>
        <v>Brusselator1d</v>
      </c>
      <c r="F1623" s="1">
        <v>3</v>
      </c>
      <c r="G1623" s="1">
        <v>5</v>
      </c>
      <c r="H1623" s="1">
        <v>256</v>
      </c>
      <c r="I1623" s="1">
        <v>300000</v>
      </c>
      <c r="J1623" s="1">
        <v>600000</v>
      </c>
      <c r="K1623" s="1">
        <v>92.214299999999994</v>
      </c>
    </row>
    <row r="1624" spans="2:11" x14ac:dyDescent="0.2">
      <c r="B1624" s="26" t="str">
        <f>_xlfn.XLOOKUP(Total[[#This Row],[Metodo]],TbSolver[Metodo],TbSolver[Solver])</f>
        <v>Adams Bashford Moulton</v>
      </c>
      <c r="C1624" s="26" t="str">
        <f>_xlfn.XLOOKUP(Total[[#This Row],[Hebras]],TbTecnologia[Hebras],TbTecnologia[Tecnología])</f>
        <v>CUDA</v>
      </c>
      <c r="D1624" s="15" t="str" cm="1">
        <f t="array" ref="D1624">_xlfn.XLOOKUP(Total[[#This Row],[Tecnología]]&amp;Total[[#This Row],[Metodo]],TbTipos[Tecnología]&amp;TbTipos[Metodo],TbTipos[Tipo])</f>
        <v>CUDA sin graph</v>
      </c>
      <c r="E1624" s="15" t="str" cm="1">
        <f t="array" ref="E1624">_xlfn.XLOOKUP(Total[[#This Row],[Tecnología]]&amp;Total[[#This Row],[Problema]],TbNombres[Tecnología]&amp;TbNombres[Problema],TbNombres[Nombre])</f>
        <v>Brusselator1d</v>
      </c>
      <c r="F1624" s="1">
        <v>5</v>
      </c>
      <c r="G1624" s="1">
        <v>5</v>
      </c>
      <c r="H1624" s="1">
        <v>256</v>
      </c>
      <c r="I1624" s="1">
        <v>300000</v>
      </c>
      <c r="J1624" s="1">
        <v>600000</v>
      </c>
      <c r="K1624" s="1">
        <v>302.76299999999998</v>
      </c>
    </row>
    <row r="1625" spans="2:11" x14ac:dyDescent="0.2">
      <c r="B1625" s="26" t="str">
        <f>_xlfn.XLOOKUP(Total[[#This Row],[Metodo]],TbSolver[Metodo],TbSolver[Solver])</f>
        <v>Adams Bashford</v>
      </c>
      <c r="C1625" s="26" t="str">
        <f>_xlfn.XLOOKUP(Total[[#This Row],[Hebras]],TbTecnologia[Hebras],TbTecnologia[Tecnología])</f>
        <v>CUDA</v>
      </c>
      <c r="D1625" s="15" t="str" cm="1">
        <f t="array" ref="D1625">_xlfn.XLOOKUP(Total[[#This Row],[Tecnología]]&amp;Total[[#This Row],[Metodo]],TbTipos[Tecnología]&amp;TbTipos[Metodo],TbTipos[Tipo])</f>
        <v>CUDA sin graph</v>
      </c>
      <c r="E1625" s="15" t="str" cm="1">
        <f t="array" ref="E1625">_xlfn.XLOOKUP(Total[[#This Row],[Tecnología]]&amp;Total[[#This Row],[Problema]],TbNombres[Tecnología]&amp;TbNombres[Problema],TbNombres[Nombre])</f>
        <v>Brusselator1d</v>
      </c>
      <c r="F1625" s="1">
        <v>3</v>
      </c>
      <c r="G1625" s="1">
        <v>5</v>
      </c>
      <c r="H1625" s="1">
        <v>256</v>
      </c>
      <c r="I1625" s="1">
        <v>500000</v>
      </c>
      <c r="J1625" s="1">
        <v>1000000</v>
      </c>
      <c r="K1625" s="1">
        <v>152.18700000000001</v>
      </c>
    </row>
    <row r="1626" spans="2:11" x14ac:dyDescent="0.2">
      <c r="B1626" s="26" t="str">
        <f>_xlfn.XLOOKUP(Total[[#This Row],[Metodo]],TbSolver[Metodo],TbSolver[Solver])</f>
        <v>Adams Bashford Moulton</v>
      </c>
      <c r="C1626" s="26" t="str">
        <f>_xlfn.XLOOKUP(Total[[#This Row],[Hebras]],TbTecnologia[Hebras],TbTecnologia[Tecnología])</f>
        <v>CUDA</v>
      </c>
      <c r="D1626" s="15" t="str" cm="1">
        <f t="array" ref="D1626">_xlfn.XLOOKUP(Total[[#This Row],[Tecnología]]&amp;Total[[#This Row],[Metodo]],TbTipos[Tecnología]&amp;TbTipos[Metodo],TbTipos[Tipo])</f>
        <v>CUDA sin graph</v>
      </c>
      <c r="E1626" s="15" t="str" cm="1">
        <f t="array" ref="E1626">_xlfn.XLOOKUP(Total[[#This Row],[Tecnología]]&amp;Total[[#This Row],[Problema]],TbNombres[Tecnología]&amp;TbNombres[Problema],TbNombres[Nombre])</f>
        <v>Brusselator1d</v>
      </c>
      <c r="F1626" s="1">
        <v>5</v>
      </c>
      <c r="G1626" s="1">
        <v>5</v>
      </c>
      <c r="H1626" s="1">
        <v>256</v>
      </c>
      <c r="I1626" s="1">
        <v>500000</v>
      </c>
      <c r="J1626" s="1">
        <v>1000000</v>
      </c>
      <c r="K1626" s="1">
        <v>488.18</v>
      </c>
    </row>
    <row r="1627" spans="2:11" x14ac:dyDescent="0.2">
      <c r="B1627" s="26" t="str">
        <f>_xlfn.XLOOKUP(Total[[#This Row],[Metodo]],TbSolver[Metodo],TbSolver[Solver])</f>
        <v>Adams Bashford</v>
      </c>
      <c r="C1627" s="26" t="str">
        <f>_xlfn.XLOOKUP(Total[[#This Row],[Hebras]],TbTecnologia[Hebras],TbTecnologia[Tecnología])</f>
        <v>CUDA</v>
      </c>
      <c r="D1627" s="15" t="str" cm="1">
        <f t="array" ref="D1627">_xlfn.XLOOKUP(Total[[#This Row],[Tecnología]]&amp;Total[[#This Row],[Metodo]],TbTipos[Tecnología]&amp;TbTipos[Metodo],TbTipos[Tipo])</f>
        <v>CUDA sin graph</v>
      </c>
      <c r="E1627" s="15" t="str" cm="1">
        <f t="array" ref="E1627">_xlfn.XLOOKUP(Total[[#This Row],[Tecnología]]&amp;Total[[#This Row],[Problema]],TbNombres[Tecnología]&amp;TbNombres[Problema],TbNombres[Nombre])</f>
        <v>Brusselator1d</v>
      </c>
      <c r="F1627" s="1">
        <v>3</v>
      </c>
      <c r="G1627" s="1">
        <v>5</v>
      </c>
      <c r="H1627" s="1">
        <v>256</v>
      </c>
      <c r="I1627" s="1">
        <v>600000</v>
      </c>
      <c r="J1627" s="1">
        <v>1200000</v>
      </c>
      <c r="K1627" s="1">
        <v>180.57599999999999</v>
      </c>
    </row>
    <row r="1628" spans="2:11" x14ac:dyDescent="0.2">
      <c r="B1628" s="26" t="str">
        <f>_xlfn.XLOOKUP(Total[[#This Row],[Metodo]],TbSolver[Metodo],TbSolver[Solver])</f>
        <v>Adams Bashford Moulton</v>
      </c>
      <c r="C1628" s="26" t="str">
        <f>_xlfn.XLOOKUP(Total[[#This Row],[Hebras]],TbTecnologia[Hebras],TbTecnologia[Tecnología])</f>
        <v>CUDA</v>
      </c>
      <c r="D1628" s="15" t="str" cm="1">
        <f t="array" ref="D1628">_xlfn.XLOOKUP(Total[[#This Row],[Tecnología]]&amp;Total[[#This Row],[Metodo]],TbTipos[Tecnología]&amp;TbTipos[Metodo],TbTipos[Tipo])</f>
        <v>CUDA sin graph</v>
      </c>
      <c r="E1628" s="15" t="str" cm="1">
        <f t="array" ref="E1628">_xlfn.XLOOKUP(Total[[#This Row],[Tecnología]]&amp;Total[[#This Row],[Problema]],TbNombres[Tecnología]&amp;TbNombres[Problema],TbNombres[Nombre])</f>
        <v>Brusselator1d</v>
      </c>
      <c r="F1628" s="1">
        <v>5</v>
      </c>
      <c r="G1628" s="1">
        <v>5</v>
      </c>
      <c r="H1628" s="1">
        <v>256</v>
      </c>
      <c r="I1628" s="1">
        <v>600000</v>
      </c>
      <c r="J1628" s="1">
        <v>1200000</v>
      </c>
      <c r="K1628" s="1">
        <v>579.96500000000003</v>
      </c>
    </row>
    <row r="1629" spans="2:11" x14ac:dyDescent="0.2">
      <c r="B1629" s="26" t="str">
        <f>_xlfn.XLOOKUP(Total[[#This Row],[Metodo]],TbSolver[Metodo],TbSolver[Solver])</f>
        <v>Adams Bashford</v>
      </c>
      <c r="C1629" s="26" t="str">
        <f>_xlfn.XLOOKUP(Total[[#This Row],[Hebras]],TbTecnologia[Hebras],TbTecnologia[Tecnología])</f>
        <v>CUDA</v>
      </c>
      <c r="D1629" s="15" t="str" cm="1">
        <f t="array" ref="D1629">_xlfn.XLOOKUP(Total[[#This Row],[Tecnología]]&amp;Total[[#This Row],[Metodo]],TbTipos[Tecnología]&amp;TbTipos[Metodo],TbTipos[Tipo])</f>
        <v>CUDA sin graph</v>
      </c>
      <c r="E1629" s="15" t="str" cm="1">
        <f t="array" ref="E1629">_xlfn.XLOOKUP(Total[[#This Row],[Tecnología]]&amp;Total[[#This Row],[Problema]],TbNombres[Tecnología]&amp;TbNombres[Problema],TbNombres[Nombre])</f>
        <v>Brusselator1d</v>
      </c>
      <c r="F1629" s="1">
        <v>3</v>
      </c>
      <c r="G1629" s="1">
        <v>5</v>
      </c>
      <c r="H1629" s="1">
        <v>256</v>
      </c>
      <c r="I1629" s="1">
        <v>700000</v>
      </c>
      <c r="J1629" s="1">
        <v>1400000</v>
      </c>
      <c r="K1629" s="1">
        <v>209.34700000000001</v>
      </c>
    </row>
    <row r="1630" spans="2:11" x14ac:dyDescent="0.2">
      <c r="B1630" s="26" t="str">
        <f>_xlfn.XLOOKUP(Total[[#This Row],[Metodo]],TbSolver[Metodo],TbSolver[Solver])</f>
        <v>Adams Bashford Moulton</v>
      </c>
      <c r="C1630" s="26" t="str">
        <f>_xlfn.XLOOKUP(Total[[#This Row],[Hebras]],TbTecnologia[Hebras],TbTecnologia[Tecnología])</f>
        <v>CUDA</v>
      </c>
      <c r="D1630" s="15" t="str" cm="1">
        <f t="array" ref="D1630">_xlfn.XLOOKUP(Total[[#This Row],[Tecnología]]&amp;Total[[#This Row],[Metodo]],TbTipos[Tecnología]&amp;TbTipos[Metodo],TbTipos[Tipo])</f>
        <v>CUDA sin graph</v>
      </c>
      <c r="E1630" s="15" t="str" cm="1">
        <f t="array" ref="E1630">_xlfn.XLOOKUP(Total[[#This Row],[Tecnología]]&amp;Total[[#This Row],[Problema]],TbNombres[Tecnología]&amp;TbNombres[Problema],TbNombres[Nombre])</f>
        <v>Brusselator1d</v>
      </c>
      <c r="F1630" s="1">
        <v>5</v>
      </c>
      <c r="G1630" s="1">
        <v>5</v>
      </c>
      <c r="H1630" s="1">
        <v>256</v>
      </c>
      <c r="I1630" s="1">
        <v>700000</v>
      </c>
      <c r="J1630" s="1">
        <v>1400000</v>
      </c>
      <c r="K1630" s="1">
        <v>673.23500000000001</v>
      </c>
    </row>
    <row r="1631" spans="2:11" x14ac:dyDescent="0.2">
      <c r="B1631" s="26" t="str">
        <f>_xlfn.XLOOKUP(Total[[#This Row],[Metodo]],TbSolver[Metodo],TbSolver[Solver])</f>
        <v>Adams Bashford</v>
      </c>
      <c r="C1631" s="26" t="str">
        <f>_xlfn.XLOOKUP(Total[[#This Row],[Hebras]],TbTecnologia[Hebras],TbTecnologia[Tecnología])</f>
        <v>CUDA</v>
      </c>
      <c r="D1631" s="15" t="str" cm="1">
        <f t="array" ref="D1631">_xlfn.XLOOKUP(Total[[#This Row],[Tecnología]]&amp;Total[[#This Row],[Metodo]],TbTipos[Tecnología]&amp;TbTipos[Metodo],TbTipos[Tipo])</f>
        <v>CUDA sin graph</v>
      </c>
      <c r="E1631" s="15" t="str" cm="1">
        <f t="array" ref="E1631">_xlfn.XLOOKUP(Total[[#This Row],[Tecnología]]&amp;Total[[#This Row],[Problema]],TbNombres[Tecnología]&amp;TbNombres[Problema],TbNombres[Nombre])</f>
        <v>Brusselator1d</v>
      </c>
      <c r="F1631" s="1">
        <v>3</v>
      </c>
      <c r="G1631" s="1">
        <v>5</v>
      </c>
      <c r="H1631" s="1">
        <v>256</v>
      </c>
      <c r="I1631" s="1">
        <v>800000</v>
      </c>
      <c r="J1631" s="1">
        <v>1600000</v>
      </c>
      <c r="K1631" s="1">
        <v>238.00299999999999</v>
      </c>
    </row>
    <row r="1632" spans="2:11" x14ac:dyDescent="0.2">
      <c r="B1632" s="26" t="str">
        <f>_xlfn.XLOOKUP(Total[[#This Row],[Metodo]],TbSolver[Metodo],TbSolver[Solver])</f>
        <v>Adams Bashford Moulton</v>
      </c>
      <c r="C1632" s="26" t="str">
        <f>_xlfn.XLOOKUP(Total[[#This Row],[Hebras]],TbTecnologia[Hebras],TbTecnologia[Tecnología])</f>
        <v>CUDA</v>
      </c>
      <c r="D1632" s="15" t="str" cm="1">
        <f t="array" ref="D1632">_xlfn.XLOOKUP(Total[[#This Row],[Tecnología]]&amp;Total[[#This Row],[Metodo]],TbTipos[Tecnología]&amp;TbTipos[Metodo],TbTipos[Tipo])</f>
        <v>CUDA sin graph</v>
      </c>
      <c r="E1632" s="15" t="str" cm="1">
        <f t="array" ref="E1632">_xlfn.XLOOKUP(Total[[#This Row],[Tecnología]]&amp;Total[[#This Row],[Problema]],TbNombres[Tecnología]&amp;TbNombres[Problema],TbNombres[Nombre])</f>
        <v>Brusselator1d</v>
      </c>
      <c r="F1632" s="1">
        <v>5</v>
      </c>
      <c r="G1632" s="1">
        <v>5</v>
      </c>
      <c r="H1632" s="1">
        <v>256</v>
      </c>
      <c r="I1632" s="1">
        <v>800000</v>
      </c>
      <c r="J1632" s="1">
        <v>1600000</v>
      </c>
      <c r="K1632" s="1">
        <v>765.30100000000004</v>
      </c>
    </row>
    <row r="1633" spans="2:11" x14ac:dyDescent="0.2">
      <c r="B1633" s="26" t="str">
        <f>_xlfn.XLOOKUP(Total[[#This Row],[Metodo]],TbSolver[Metodo],TbSolver[Solver])</f>
        <v>Adams Bashford</v>
      </c>
      <c r="C1633" s="26" t="str">
        <f>_xlfn.XLOOKUP(Total[[#This Row],[Hebras]],TbTecnologia[Hebras],TbTecnologia[Tecnología])</f>
        <v>CUDA</v>
      </c>
      <c r="D1633" s="15" t="str" cm="1">
        <f t="array" ref="D1633">_xlfn.XLOOKUP(Total[[#This Row],[Tecnología]]&amp;Total[[#This Row],[Metodo]],TbTipos[Tecnología]&amp;TbTipos[Metodo],TbTipos[Tipo])</f>
        <v>CUDA sin graph</v>
      </c>
      <c r="E1633" s="15" t="str" cm="1">
        <f t="array" ref="E1633">_xlfn.XLOOKUP(Total[[#This Row],[Tecnología]]&amp;Total[[#This Row],[Problema]],TbNombres[Tecnología]&amp;TbNombres[Problema],TbNombres[Nombre])</f>
        <v>Brusselator1d</v>
      </c>
      <c r="F1633" s="1">
        <v>3</v>
      </c>
      <c r="G1633" s="1">
        <v>5</v>
      </c>
      <c r="H1633" s="1">
        <v>256</v>
      </c>
      <c r="I1633" s="1">
        <v>900000</v>
      </c>
      <c r="J1633" s="1">
        <v>1800000</v>
      </c>
      <c r="K1633" s="1">
        <v>267.29599999999999</v>
      </c>
    </row>
    <row r="1634" spans="2:11" x14ac:dyDescent="0.2">
      <c r="B1634" s="26" t="str">
        <f>_xlfn.XLOOKUP(Total[[#This Row],[Metodo]],TbSolver[Metodo],TbSolver[Solver])</f>
        <v>Adams Bashford Moulton</v>
      </c>
      <c r="C1634" s="26" t="str">
        <f>_xlfn.XLOOKUP(Total[[#This Row],[Hebras]],TbTecnologia[Hebras],TbTecnologia[Tecnología])</f>
        <v>CUDA</v>
      </c>
      <c r="D1634" s="15" t="str" cm="1">
        <f t="array" ref="D1634">_xlfn.XLOOKUP(Total[[#This Row],[Tecnología]]&amp;Total[[#This Row],[Metodo]],TbTipos[Tecnología]&amp;TbTipos[Metodo],TbTipos[Tipo])</f>
        <v>CUDA sin graph</v>
      </c>
      <c r="E1634" s="15" t="str" cm="1">
        <f t="array" ref="E1634">_xlfn.XLOOKUP(Total[[#This Row],[Tecnología]]&amp;Total[[#This Row],[Problema]],TbNombres[Tecnología]&amp;TbNombres[Problema],TbNombres[Nombre])</f>
        <v>Brusselator1d</v>
      </c>
      <c r="F1634" s="1">
        <v>5</v>
      </c>
      <c r="G1634" s="1">
        <v>5</v>
      </c>
      <c r="H1634" s="1">
        <v>256</v>
      </c>
      <c r="I1634" s="1">
        <v>900000</v>
      </c>
      <c r="J1634" s="1">
        <v>1800000</v>
      </c>
      <c r="K1634" s="1">
        <v>861.78300000000002</v>
      </c>
    </row>
    <row r="1635" spans="2:11" x14ac:dyDescent="0.2">
      <c r="B1635" s="26" t="str">
        <f>_xlfn.XLOOKUP(Total[[#This Row],[Metodo]],TbSolver[Metodo],TbSolver[Solver])</f>
        <v>Adams Bashford</v>
      </c>
      <c r="C1635" s="26" t="str">
        <f>_xlfn.XLOOKUP(Total[[#This Row],[Hebras]],TbTecnologia[Hebras],TbTecnologia[Tecnología])</f>
        <v>CUDA</v>
      </c>
      <c r="D1635" s="15" t="str" cm="1">
        <f t="array" ref="D1635">_xlfn.XLOOKUP(Total[[#This Row],[Tecnología]]&amp;Total[[#This Row],[Metodo]],TbTipos[Tecnología]&amp;TbTipos[Metodo],TbTipos[Tipo])</f>
        <v>CUDA sin graph</v>
      </c>
      <c r="E1635" s="15" t="str" cm="1">
        <f t="array" ref="E1635">_xlfn.XLOOKUP(Total[[#This Row],[Tecnología]]&amp;Total[[#This Row],[Problema]],TbNombres[Tecnología]&amp;TbNombres[Problema],TbNombres[Nombre])</f>
        <v>Brusselator1d</v>
      </c>
      <c r="F1635" s="1">
        <v>3</v>
      </c>
      <c r="G1635" s="1">
        <v>5</v>
      </c>
      <c r="H1635" s="1">
        <v>256</v>
      </c>
      <c r="I1635" s="1">
        <v>1000000</v>
      </c>
      <c r="J1635" s="1">
        <v>2000000</v>
      </c>
      <c r="K1635" s="1">
        <v>296.84699999999998</v>
      </c>
    </row>
    <row r="1636" spans="2:11" x14ac:dyDescent="0.2">
      <c r="B1636" s="26" t="str">
        <f>_xlfn.XLOOKUP(Total[[#This Row],[Metodo]],TbSolver[Metodo],TbSolver[Solver])</f>
        <v>Adams Bashford Moulton</v>
      </c>
      <c r="C1636" s="26" t="str">
        <f>_xlfn.XLOOKUP(Total[[#This Row],[Hebras]],TbTecnologia[Hebras],TbTecnologia[Tecnología])</f>
        <v>CUDA</v>
      </c>
      <c r="D1636" s="15" t="str" cm="1">
        <f t="array" ref="D1636">_xlfn.XLOOKUP(Total[[#This Row],[Tecnología]]&amp;Total[[#This Row],[Metodo]],TbTipos[Tecnología]&amp;TbTipos[Metodo],TbTipos[Tipo])</f>
        <v>CUDA sin graph</v>
      </c>
      <c r="E1636" s="15" t="str" cm="1">
        <f t="array" ref="E1636">_xlfn.XLOOKUP(Total[[#This Row],[Tecnología]]&amp;Total[[#This Row],[Problema]],TbNombres[Tecnología]&amp;TbNombres[Problema],TbNombres[Nombre])</f>
        <v>Brusselator1d</v>
      </c>
      <c r="F1636" s="1">
        <v>5</v>
      </c>
      <c r="G1636" s="1">
        <v>5</v>
      </c>
      <c r="H1636" s="1">
        <v>256</v>
      </c>
      <c r="I1636" s="1">
        <v>1000000</v>
      </c>
      <c r="J1636" s="1">
        <v>2000000</v>
      </c>
      <c r="K1636" s="1">
        <v>952.55600000000004</v>
      </c>
    </row>
    <row r="1637" spans="2:11" x14ac:dyDescent="0.2">
      <c r="B1637" s="41" t="str">
        <f>_xlfn.XLOOKUP(Total[[#This Row],[Metodo]],TbSolver[Metodo],TbSolver[Solver])</f>
        <v>Adams Bashford</v>
      </c>
      <c r="C1637" s="41" t="str">
        <f>_xlfn.XLOOKUP(Total[[#This Row],[Hebras]],TbTecnologia[Hebras],TbTecnologia[Tecnología])</f>
        <v>CUDA</v>
      </c>
      <c r="D1637" s="42" t="str" cm="1">
        <f t="array" ref="D1637">_xlfn.XLOOKUP(Total[[#This Row],[Tecnología]]&amp;Total[[#This Row],[Metodo]],TbTipos[Tecnología]&amp;TbTipos[Metodo],TbTipos[Tipo])</f>
        <v>CUDA sin graph</v>
      </c>
      <c r="E1637" s="42" t="str" cm="1">
        <f t="array" ref="E1637">_xlfn.XLOOKUP(Total[[#This Row],[Tecnología]]&amp;Total[[#This Row],[Problema]],TbNombres[Tecnología]&amp;TbNombres[Problema],TbNombres[Nombre])</f>
        <v>Brusselator1d</v>
      </c>
      <c r="F1637" s="43">
        <v>3</v>
      </c>
      <c r="G1637" s="43">
        <v>5</v>
      </c>
      <c r="H1637" s="43">
        <v>256</v>
      </c>
      <c r="I1637" s="43">
        <v>150000</v>
      </c>
      <c r="J1637" s="43">
        <v>300000</v>
      </c>
      <c r="K1637" s="43">
        <v>49.077300000000001</v>
      </c>
    </row>
    <row r="1638" spans="2:11" x14ac:dyDescent="0.2">
      <c r="B1638" s="41" t="str">
        <f>_xlfn.XLOOKUP(Total[[#This Row],[Metodo]],TbSolver[Metodo],TbSolver[Solver])</f>
        <v>Adams Bashford</v>
      </c>
      <c r="C1638" s="41" t="str">
        <f>_xlfn.XLOOKUP(Total[[#This Row],[Hebras]],TbTecnologia[Hebras],TbTecnologia[Tecnología])</f>
        <v>CUDA</v>
      </c>
      <c r="D1638" s="42" t="str" cm="1">
        <f t="array" ref="D1638">_xlfn.XLOOKUP(Total[[#This Row],[Tecnología]]&amp;Total[[#This Row],[Metodo]],TbTipos[Tecnología]&amp;TbTipos[Metodo],TbTipos[Tipo])</f>
        <v>CUDA sin graph</v>
      </c>
      <c r="E1638" s="42" t="str" cm="1">
        <f t="array" ref="E1638">_xlfn.XLOOKUP(Total[[#This Row],[Tecnología]]&amp;Total[[#This Row],[Problema]],TbNombres[Tecnología]&amp;TbNombres[Problema],TbNombres[Nombre])</f>
        <v>Brusselator1d</v>
      </c>
      <c r="F1638" s="43">
        <v>3</v>
      </c>
      <c r="G1638" s="43">
        <v>5</v>
      </c>
      <c r="H1638" s="43">
        <v>256</v>
      </c>
      <c r="I1638" s="43">
        <v>250000</v>
      </c>
      <c r="J1638" s="43">
        <v>500000</v>
      </c>
      <c r="K1638" s="43">
        <v>78.499799999999993</v>
      </c>
    </row>
    <row r="1639" spans="2:11" x14ac:dyDescent="0.2">
      <c r="B1639" s="41" t="str">
        <f>_xlfn.XLOOKUP(Total[[#This Row],[Metodo]],TbSolver[Metodo],TbSolver[Solver])</f>
        <v>Adams Bashford</v>
      </c>
      <c r="C1639" s="41" t="str">
        <f>_xlfn.XLOOKUP(Total[[#This Row],[Hebras]],TbTecnologia[Hebras],TbTecnologia[Tecnología])</f>
        <v>CUDA</v>
      </c>
      <c r="D1639" s="42" t="str" cm="1">
        <f t="array" ref="D1639">_xlfn.XLOOKUP(Total[[#This Row],[Tecnología]]&amp;Total[[#This Row],[Metodo]],TbTipos[Tecnología]&amp;TbTipos[Metodo],TbTipos[Tipo])</f>
        <v>CUDA sin graph</v>
      </c>
      <c r="E1639" s="42" t="str" cm="1">
        <f t="array" ref="E1639">_xlfn.XLOOKUP(Total[[#This Row],[Tecnología]]&amp;Total[[#This Row],[Problema]],TbNombres[Tecnología]&amp;TbNombres[Problema],TbNombres[Nombre])</f>
        <v>Brusselator1d</v>
      </c>
      <c r="F1639" s="43">
        <v>3</v>
      </c>
      <c r="G1639" s="43">
        <v>5</v>
      </c>
      <c r="H1639" s="43">
        <v>256</v>
      </c>
      <c r="I1639" s="43">
        <v>350000</v>
      </c>
      <c r="J1639" s="43">
        <v>700000</v>
      </c>
      <c r="K1639" s="43">
        <v>108.71599999999999</v>
      </c>
    </row>
    <row r="1640" spans="2:11" x14ac:dyDescent="0.2">
      <c r="B1640" s="41" t="str">
        <f>_xlfn.XLOOKUP(Total[[#This Row],[Metodo]],TbSolver[Metodo],TbSolver[Solver])</f>
        <v>Adams Bashford</v>
      </c>
      <c r="C1640" s="41" t="str">
        <f>_xlfn.XLOOKUP(Total[[#This Row],[Hebras]],TbTecnologia[Hebras],TbTecnologia[Tecnología])</f>
        <v>CUDA</v>
      </c>
      <c r="D1640" s="42" t="str" cm="1">
        <f t="array" ref="D1640">_xlfn.XLOOKUP(Total[[#This Row],[Tecnología]]&amp;Total[[#This Row],[Metodo]],TbTipos[Tecnología]&amp;TbTipos[Metodo],TbTipos[Tipo])</f>
        <v>CUDA sin graph</v>
      </c>
      <c r="E1640" s="42" t="str" cm="1">
        <f t="array" ref="E1640">_xlfn.XLOOKUP(Total[[#This Row],[Tecnología]]&amp;Total[[#This Row],[Problema]],TbNombres[Tecnología]&amp;TbNombres[Problema],TbNombres[Nombre])</f>
        <v>Brusselator1d</v>
      </c>
      <c r="F1640" s="43">
        <v>3</v>
      </c>
      <c r="G1640" s="43">
        <v>5</v>
      </c>
      <c r="H1640" s="43">
        <v>256</v>
      </c>
      <c r="I1640" s="43">
        <v>400000</v>
      </c>
      <c r="J1640" s="43">
        <v>800000</v>
      </c>
      <c r="K1640" s="43">
        <v>123.306</v>
      </c>
    </row>
    <row r="1641" spans="2:11" x14ac:dyDescent="0.2">
      <c r="B1641" s="41" t="str">
        <f>_xlfn.XLOOKUP(Total[[#This Row],[Metodo]],TbSolver[Metodo],TbSolver[Solver])</f>
        <v>Adams Bashford</v>
      </c>
      <c r="C1641" s="41" t="str">
        <f>_xlfn.XLOOKUP(Total[[#This Row],[Hebras]],TbTecnologia[Hebras],TbTecnologia[Tecnología])</f>
        <v>CUDA</v>
      </c>
      <c r="D1641" s="42" t="str" cm="1">
        <f t="array" ref="D1641">_xlfn.XLOOKUP(Total[[#This Row],[Tecnología]]&amp;Total[[#This Row],[Metodo]],TbTipos[Tecnología]&amp;TbTipos[Metodo],TbTipos[Tipo])</f>
        <v>CUDA sin graph</v>
      </c>
      <c r="E1641" s="42" t="str" cm="1">
        <f t="array" ref="E1641">_xlfn.XLOOKUP(Total[[#This Row],[Tecnología]]&amp;Total[[#This Row],[Problema]],TbNombres[Tecnología]&amp;TbNombres[Problema],TbNombres[Nombre])</f>
        <v>Brusselator1d</v>
      </c>
      <c r="F1641" s="43">
        <v>3</v>
      </c>
      <c r="G1641" s="43">
        <v>5</v>
      </c>
      <c r="H1641" s="43">
        <v>256</v>
      </c>
      <c r="I1641" s="43">
        <v>450000</v>
      </c>
      <c r="J1641" s="43">
        <v>900000</v>
      </c>
      <c r="K1641" s="43">
        <v>137.59899999999999</v>
      </c>
    </row>
    <row r="1642" spans="2:11" x14ac:dyDescent="0.2">
      <c r="B1642" s="41" t="str">
        <f>_xlfn.XLOOKUP(Total[[#This Row],[Metodo]],TbSolver[Metodo],TbSolver[Solver])</f>
        <v>Adams Bashford</v>
      </c>
      <c r="C1642" s="41" t="str">
        <f>_xlfn.XLOOKUP(Total[[#This Row],[Hebras]],TbTecnologia[Hebras],TbTecnologia[Tecnología])</f>
        <v>CUDA</v>
      </c>
      <c r="D1642" s="42" t="str" cm="1">
        <f t="array" ref="D1642">_xlfn.XLOOKUP(Total[[#This Row],[Tecnología]]&amp;Total[[#This Row],[Metodo]],TbTipos[Tecnología]&amp;TbTipos[Metodo],TbTipos[Tipo])</f>
        <v>CUDA sin graph</v>
      </c>
      <c r="E1642" s="42" t="str" cm="1">
        <f t="array" ref="E1642">_xlfn.XLOOKUP(Total[[#This Row],[Tecnología]]&amp;Total[[#This Row],[Problema]],TbNombres[Tecnología]&amp;TbNombres[Problema],TbNombres[Nombre])</f>
        <v>Brusselator1d shuffle</v>
      </c>
      <c r="F1642" s="43">
        <v>3</v>
      </c>
      <c r="G1642" s="43">
        <v>6</v>
      </c>
      <c r="H1642" s="43">
        <v>256</v>
      </c>
      <c r="I1642" s="43">
        <v>40000</v>
      </c>
      <c r="J1642" s="43">
        <v>80000</v>
      </c>
      <c r="K1642" s="43">
        <v>10.548500000000001</v>
      </c>
    </row>
    <row r="1643" spans="2:11" x14ac:dyDescent="0.2">
      <c r="B1643" s="41" t="str">
        <f>_xlfn.XLOOKUP(Total[[#This Row],[Metodo]],TbSolver[Metodo],TbSolver[Solver])</f>
        <v>Adams Bashford</v>
      </c>
      <c r="C1643" s="41" t="str">
        <f>_xlfn.XLOOKUP(Total[[#This Row],[Hebras]],TbTecnologia[Hebras],TbTecnologia[Tecnología])</f>
        <v>CUDA</v>
      </c>
      <c r="D1643" s="42" t="str" cm="1">
        <f t="array" ref="D1643">_xlfn.XLOOKUP(Total[[#This Row],[Tecnología]]&amp;Total[[#This Row],[Metodo]],TbTipos[Tecnología]&amp;TbTipos[Metodo],TbTipos[Tipo])</f>
        <v>CUDA sin graph</v>
      </c>
      <c r="E1643" s="42" t="str" cm="1">
        <f t="array" ref="E1643">_xlfn.XLOOKUP(Total[[#This Row],[Tecnología]]&amp;Total[[#This Row],[Problema]],TbNombres[Tecnología]&amp;TbNombres[Problema],TbNombres[Nombre])</f>
        <v>Brusselator1d shuffle</v>
      </c>
      <c r="F1643" s="43">
        <v>3</v>
      </c>
      <c r="G1643" s="43">
        <v>6</v>
      </c>
      <c r="H1643" s="43">
        <v>256</v>
      </c>
      <c r="I1643" s="43">
        <v>75000</v>
      </c>
      <c r="J1643" s="43">
        <v>150000</v>
      </c>
      <c r="K1643" s="43">
        <v>21.8507</v>
      </c>
    </row>
    <row r="1644" spans="2:11" x14ac:dyDescent="0.2">
      <c r="B1644" s="41" t="str">
        <f>_xlfn.XLOOKUP(Total[[#This Row],[Metodo]],TbSolver[Metodo],TbSolver[Solver])</f>
        <v>Adams Bashford</v>
      </c>
      <c r="C1644" s="41" t="str">
        <f>_xlfn.XLOOKUP(Total[[#This Row],[Hebras]],TbTecnologia[Hebras],TbTecnologia[Tecnología])</f>
        <v>CUDA</v>
      </c>
      <c r="D1644" s="42" t="str" cm="1">
        <f t="array" ref="D1644">_xlfn.XLOOKUP(Total[[#This Row],[Tecnología]]&amp;Total[[#This Row],[Metodo]],TbTipos[Tecnología]&amp;TbTipos[Metodo],TbTipos[Tipo])</f>
        <v>CUDA sin graph</v>
      </c>
      <c r="E1644" s="42" t="str" cm="1">
        <f t="array" ref="E1644">_xlfn.XLOOKUP(Total[[#This Row],[Tecnología]]&amp;Total[[#This Row],[Problema]],TbNombres[Tecnología]&amp;TbNombres[Problema],TbNombres[Nombre])</f>
        <v>Brusselator1d shuffle</v>
      </c>
      <c r="F1644" s="43">
        <v>3</v>
      </c>
      <c r="G1644" s="43">
        <v>6</v>
      </c>
      <c r="H1644" s="43">
        <v>256</v>
      </c>
      <c r="I1644" s="43">
        <v>125000</v>
      </c>
      <c r="J1644" s="43">
        <v>250000</v>
      </c>
      <c r="K1644" s="43">
        <v>37.765799999999999</v>
      </c>
    </row>
    <row r="1645" spans="2:11" x14ac:dyDescent="0.2">
      <c r="B1645" s="41" t="str">
        <f>_xlfn.XLOOKUP(Total[[#This Row],[Metodo]],TbSolver[Metodo],TbSolver[Solver])</f>
        <v>Adams Bashford</v>
      </c>
      <c r="C1645" s="41" t="str">
        <f>_xlfn.XLOOKUP(Total[[#This Row],[Hebras]],TbTecnologia[Hebras],TbTecnologia[Tecnología])</f>
        <v>CUDA</v>
      </c>
      <c r="D1645" s="42" t="str" cm="1">
        <f t="array" ref="D1645">_xlfn.XLOOKUP(Total[[#This Row],[Tecnología]]&amp;Total[[#This Row],[Metodo]],TbTipos[Tecnología]&amp;TbTipos[Metodo],TbTipos[Tipo])</f>
        <v>CUDA sin graph</v>
      </c>
      <c r="E1645" s="42" t="str" cm="1">
        <f t="array" ref="E1645">_xlfn.XLOOKUP(Total[[#This Row],[Tecnología]]&amp;Total[[#This Row],[Problema]],TbNombres[Tecnología]&amp;TbNombres[Problema],TbNombres[Nombre])</f>
        <v>Brusselator1d shuffle</v>
      </c>
      <c r="F1645" s="43">
        <v>3</v>
      </c>
      <c r="G1645" s="43">
        <v>6</v>
      </c>
      <c r="H1645" s="43">
        <v>256</v>
      </c>
      <c r="I1645" s="43">
        <v>150000</v>
      </c>
      <c r="J1645" s="43">
        <v>300000</v>
      </c>
      <c r="K1645" s="43">
        <v>47.618600000000001</v>
      </c>
    </row>
    <row r="1646" spans="2:11" x14ac:dyDescent="0.2">
      <c r="B1646" s="41" t="str">
        <f>_xlfn.XLOOKUP(Total[[#This Row],[Metodo]],TbSolver[Metodo],TbSolver[Solver])</f>
        <v>Adams Bashford</v>
      </c>
      <c r="C1646" s="41" t="str">
        <f>_xlfn.XLOOKUP(Total[[#This Row],[Hebras]],TbTecnologia[Hebras],TbTecnologia[Tecnología])</f>
        <v>CUDA</v>
      </c>
      <c r="D1646" s="42" t="str" cm="1">
        <f t="array" ref="D1646">_xlfn.XLOOKUP(Total[[#This Row],[Tecnología]]&amp;Total[[#This Row],[Metodo]],TbTipos[Tecnología]&amp;TbTipos[Metodo],TbTipos[Tipo])</f>
        <v>CUDA sin graph</v>
      </c>
      <c r="E1646" s="42" t="str" cm="1">
        <f t="array" ref="E1646">_xlfn.XLOOKUP(Total[[#This Row],[Tecnología]]&amp;Total[[#This Row],[Problema]],TbNombres[Tecnología]&amp;TbNombres[Problema],TbNombres[Nombre])</f>
        <v>Brusselator1d shuffle</v>
      </c>
      <c r="F1646" s="43">
        <v>3</v>
      </c>
      <c r="G1646" s="43">
        <v>6</v>
      </c>
      <c r="H1646" s="43">
        <v>256</v>
      </c>
      <c r="I1646" s="43">
        <v>175000</v>
      </c>
      <c r="J1646" s="43">
        <v>350000</v>
      </c>
      <c r="K1646" s="43">
        <v>56.924599999999998</v>
      </c>
    </row>
    <row r="1647" spans="2:11" x14ac:dyDescent="0.2">
      <c r="B1647" s="41" t="str">
        <f>_xlfn.XLOOKUP(Total[[#This Row],[Metodo]],TbSolver[Metodo],TbSolver[Solver])</f>
        <v>Adams Bashford</v>
      </c>
      <c r="C1647" s="41" t="str">
        <f>_xlfn.XLOOKUP(Total[[#This Row],[Hebras]],TbTecnologia[Hebras],TbTecnologia[Tecnología])</f>
        <v>CUDA</v>
      </c>
      <c r="D1647" s="42" t="str" cm="1">
        <f t="array" ref="D1647">_xlfn.XLOOKUP(Total[[#This Row],[Tecnología]]&amp;Total[[#This Row],[Metodo]],TbTipos[Tecnología]&amp;TbTipos[Metodo],TbTipos[Tipo])</f>
        <v>CUDA sin graph</v>
      </c>
      <c r="E1647" s="42" t="str" cm="1">
        <f t="array" ref="E1647">_xlfn.XLOOKUP(Total[[#This Row],[Tecnología]]&amp;Total[[#This Row],[Problema]],TbNombres[Tecnología]&amp;TbNombres[Problema],TbNombres[Nombre])</f>
        <v>Brusselator1d shuffle</v>
      </c>
      <c r="F1647" s="43">
        <v>3</v>
      </c>
      <c r="G1647" s="43">
        <v>6</v>
      </c>
      <c r="H1647" s="43">
        <v>256</v>
      </c>
      <c r="I1647" s="43">
        <v>250000</v>
      </c>
      <c r="J1647" s="43">
        <v>500000</v>
      </c>
      <c r="K1647" s="43">
        <v>79.241900000000001</v>
      </c>
    </row>
    <row r="1648" spans="2:11" x14ac:dyDescent="0.2">
      <c r="B1648" s="41" t="str">
        <f>_xlfn.XLOOKUP(Total[[#This Row],[Metodo]],TbSolver[Metodo],TbSolver[Solver])</f>
        <v>Adams Bashford</v>
      </c>
      <c r="C1648" s="41" t="str">
        <f>_xlfn.XLOOKUP(Total[[#This Row],[Hebras]],TbTecnologia[Hebras],TbTecnologia[Tecnología])</f>
        <v>CUDA</v>
      </c>
      <c r="D1648" s="42" t="str" cm="1">
        <f t="array" ref="D1648">_xlfn.XLOOKUP(Total[[#This Row],[Tecnología]]&amp;Total[[#This Row],[Metodo]],TbTipos[Tecnología]&amp;TbTipos[Metodo],TbTipos[Tipo])</f>
        <v>CUDA sin graph</v>
      </c>
      <c r="E1648" s="42" t="str" cm="1">
        <f t="array" ref="E1648">_xlfn.XLOOKUP(Total[[#This Row],[Tecnología]]&amp;Total[[#This Row],[Problema]],TbNombres[Tecnología]&amp;TbNombres[Problema],TbNombres[Nombre])</f>
        <v>Brusselator1d shuffle</v>
      </c>
      <c r="F1648" s="43">
        <v>3</v>
      </c>
      <c r="G1648" s="43">
        <v>6</v>
      </c>
      <c r="H1648" s="43">
        <v>256</v>
      </c>
      <c r="I1648" s="43">
        <v>300000</v>
      </c>
      <c r="J1648" s="43">
        <v>600000</v>
      </c>
      <c r="K1648" s="43">
        <v>93.808400000000006</v>
      </c>
    </row>
    <row r="1649" spans="2:11" x14ac:dyDescent="0.2">
      <c r="B1649" s="41" t="str">
        <f>_xlfn.XLOOKUP(Total[[#This Row],[Metodo]],TbSolver[Metodo],TbSolver[Solver])</f>
        <v>Adams Bashford</v>
      </c>
      <c r="C1649" s="41" t="str">
        <f>_xlfn.XLOOKUP(Total[[#This Row],[Hebras]],TbTecnologia[Hebras],TbTecnologia[Tecnología])</f>
        <v>CUDA</v>
      </c>
      <c r="D1649" s="42" t="str" cm="1">
        <f t="array" ref="D1649">_xlfn.XLOOKUP(Total[[#This Row],[Tecnología]]&amp;Total[[#This Row],[Metodo]],TbTipos[Tecnología]&amp;TbTipos[Metodo],TbTipos[Tipo])</f>
        <v>CUDA sin graph</v>
      </c>
      <c r="E1649" s="42" t="str" cm="1">
        <f t="array" ref="E1649">_xlfn.XLOOKUP(Total[[#This Row],[Tecnología]]&amp;Total[[#This Row],[Problema]],TbNombres[Tecnología]&amp;TbNombres[Problema],TbNombres[Nombre])</f>
        <v>Brusselator1d shuffle</v>
      </c>
      <c r="F1649" s="43">
        <v>3</v>
      </c>
      <c r="G1649" s="43">
        <v>6</v>
      </c>
      <c r="H1649" s="43">
        <v>256</v>
      </c>
      <c r="I1649" s="43">
        <v>350000</v>
      </c>
      <c r="J1649" s="43">
        <v>700000</v>
      </c>
      <c r="K1649" s="43">
        <v>108.27200000000001</v>
      </c>
    </row>
    <row r="1650" spans="2:11" x14ac:dyDescent="0.2">
      <c r="B1650" s="41" t="str">
        <f>_xlfn.XLOOKUP(Total[[#This Row],[Metodo]],TbSolver[Metodo],TbSolver[Solver])</f>
        <v>Adams Bashford</v>
      </c>
      <c r="C1650" s="41" t="str">
        <f>_xlfn.XLOOKUP(Total[[#This Row],[Hebras]],TbTecnologia[Hebras],TbTecnologia[Tecnología])</f>
        <v>CUDA</v>
      </c>
      <c r="D1650" s="42" t="str" cm="1">
        <f t="array" ref="D1650">_xlfn.XLOOKUP(Total[[#This Row],[Tecnología]]&amp;Total[[#This Row],[Metodo]],TbTipos[Tecnología]&amp;TbTipos[Metodo],TbTipos[Tipo])</f>
        <v>CUDA sin graph</v>
      </c>
      <c r="E1650" s="42" t="str" cm="1">
        <f t="array" ref="E1650">_xlfn.XLOOKUP(Total[[#This Row],[Tecnología]]&amp;Total[[#This Row],[Problema]],TbNombres[Tecnología]&amp;TbNombres[Problema],TbNombres[Nombre])</f>
        <v>Brusselator1d shuffle</v>
      </c>
      <c r="F1650" s="43">
        <v>3</v>
      </c>
      <c r="G1650" s="43">
        <v>6</v>
      </c>
      <c r="H1650" s="43">
        <v>256</v>
      </c>
      <c r="I1650" s="43">
        <v>400000</v>
      </c>
      <c r="J1650" s="43">
        <v>800000</v>
      </c>
      <c r="K1650" s="43">
        <v>122.247</v>
      </c>
    </row>
    <row r="1651" spans="2:11" x14ac:dyDescent="0.2">
      <c r="B1651" s="41" t="str">
        <f>_xlfn.XLOOKUP(Total[[#This Row],[Metodo]],TbSolver[Metodo],TbSolver[Solver])</f>
        <v>Adams Bashford</v>
      </c>
      <c r="C1651" s="41" t="str">
        <f>_xlfn.XLOOKUP(Total[[#This Row],[Hebras]],TbTecnologia[Hebras],TbTecnologia[Tecnología])</f>
        <v>CUDA</v>
      </c>
      <c r="D1651" s="42" t="str" cm="1">
        <f t="array" ref="D1651">_xlfn.XLOOKUP(Total[[#This Row],[Tecnología]]&amp;Total[[#This Row],[Metodo]],TbTipos[Tecnología]&amp;TbTipos[Metodo],TbTipos[Tipo])</f>
        <v>CUDA sin graph</v>
      </c>
      <c r="E1651" s="42" t="str" cm="1">
        <f t="array" ref="E1651">_xlfn.XLOOKUP(Total[[#This Row],[Tecnología]]&amp;Total[[#This Row],[Problema]],TbNombres[Tecnología]&amp;TbNombres[Problema],TbNombres[Nombre])</f>
        <v>Brusselator1d shuffle</v>
      </c>
      <c r="F1651" s="43">
        <v>3</v>
      </c>
      <c r="G1651" s="43">
        <v>6</v>
      </c>
      <c r="H1651" s="43">
        <v>256</v>
      </c>
      <c r="I1651" s="43">
        <v>450000</v>
      </c>
      <c r="J1651" s="43">
        <v>900000</v>
      </c>
      <c r="K1651" s="43">
        <v>136.72999999999999</v>
      </c>
    </row>
    <row r="1652" spans="2:11" x14ac:dyDescent="0.2">
      <c r="B1652" s="41" t="str">
        <f>_xlfn.XLOOKUP(Total[[#This Row],[Metodo]],TbSolver[Metodo],TbSolver[Solver])</f>
        <v>Adams Bashford</v>
      </c>
      <c r="C1652" s="41" t="str">
        <f>_xlfn.XLOOKUP(Total[[#This Row],[Hebras]],TbTecnologia[Hebras],TbTecnologia[Tecnología])</f>
        <v>CUDA</v>
      </c>
      <c r="D1652" s="42" t="str" cm="1">
        <f t="array" ref="D1652">_xlfn.XLOOKUP(Total[[#This Row],[Tecnología]]&amp;Total[[#This Row],[Metodo]],TbTipos[Tecnología]&amp;TbTipos[Metodo],TbTipos[Tipo])</f>
        <v>CUDA sin graph</v>
      </c>
      <c r="E1652" s="42" t="str" cm="1">
        <f t="array" ref="E1652">_xlfn.XLOOKUP(Total[[#This Row],[Tecnología]]&amp;Total[[#This Row],[Problema]],TbNombres[Tecnología]&amp;TbNombres[Problema],TbNombres[Nombre])</f>
        <v>Brusselator1d shuffle</v>
      </c>
      <c r="F1652" s="43">
        <v>3</v>
      </c>
      <c r="G1652" s="43">
        <v>6</v>
      </c>
      <c r="H1652" s="43">
        <v>256</v>
      </c>
      <c r="I1652" s="43">
        <v>500000</v>
      </c>
      <c r="J1652" s="43">
        <v>1000000</v>
      </c>
      <c r="K1652" s="43">
        <v>151.23500000000001</v>
      </c>
    </row>
    <row r="1653" spans="2:11" x14ac:dyDescent="0.2">
      <c r="B1653" s="41" t="str">
        <f>_xlfn.XLOOKUP(Total[[#This Row],[Metodo]],TbSolver[Metodo],TbSolver[Solver])</f>
        <v>Adams Bashford</v>
      </c>
      <c r="C1653" s="41" t="str">
        <f>_xlfn.XLOOKUP(Total[[#This Row],[Hebras]],TbTecnologia[Hebras],TbTecnologia[Tecnología])</f>
        <v>CUDA</v>
      </c>
      <c r="D1653" s="42" t="str" cm="1">
        <f t="array" ref="D1653">_xlfn.XLOOKUP(Total[[#This Row],[Tecnología]]&amp;Total[[#This Row],[Metodo]],TbTipos[Tecnología]&amp;TbTipos[Metodo],TbTipos[Tipo])</f>
        <v>CUDA sin graph</v>
      </c>
      <c r="E1653" s="42" t="str" cm="1">
        <f t="array" ref="E1653">_xlfn.XLOOKUP(Total[[#This Row],[Tecnología]]&amp;Total[[#This Row],[Problema]],TbNombres[Tecnología]&amp;TbNombres[Problema],TbNombres[Nombre])</f>
        <v>Brusselator1d shuffle</v>
      </c>
      <c r="F1653" s="43">
        <v>3</v>
      </c>
      <c r="G1653" s="43">
        <v>6</v>
      </c>
      <c r="H1653" s="43">
        <v>256</v>
      </c>
      <c r="I1653" s="43">
        <v>600000</v>
      </c>
      <c r="J1653" s="43">
        <v>1200000</v>
      </c>
      <c r="K1653" s="43">
        <v>179.84100000000001</v>
      </c>
    </row>
    <row r="1654" spans="2:11" x14ac:dyDescent="0.2">
      <c r="B1654" s="41" t="str">
        <f>_xlfn.XLOOKUP(Total[[#This Row],[Metodo]],TbSolver[Metodo],TbSolver[Solver])</f>
        <v>Adams Bashford</v>
      </c>
      <c r="C1654" s="41" t="str">
        <f>_xlfn.XLOOKUP(Total[[#This Row],[Hebras]],TbTecnologia[Hebras],TbTecnologia[Tecnología])</f>
        <v>CUDA</v>
      </c>
      <c r="D1654" s="42" t="str" cm="1">
        <f t="array" ref="D1654">_xlfn.XLOOKUP(Total[[#This Row],[Tecnología]]&amp;Total[[#This Row],[Metodo]],TbTipos[Tecnología]&amp;TbTipos[Metodo],TbTipos[Tipo])</f>
        <v>CUDA sin graph</v>
      </c>
      <c r="E1654" s="42" t="str" cm="1">
        <f t="array" ref="E1654">_xlfn.XLOOKUP(Total[[#This Row],[Tecnología]]&amp;Total[[#This Row],[Problema]],TbNombres[Tecnología]&amp;TbNombres[Problema],TbNombres[Nombre])</f>
        <v>Brusselator1d shuffle</v>
      </c>
      <c r="F1654" s="43">
        <v>3</v>
      </c>
      <c r="G1654" s="43">
        <v>6</v>
      </c>
      <c r="H1654" s="43">
        <v>256</v>
      </c>
      <c r="I1654" s="43">
        <v>700000</v>
      </c>
      <c r="J1654" s="43">
        <v>1400000</v>
      </c>
      <c r="K1654" s="43">
        <v>208.619</v>
      </c>
    </row>
    <row r="1655" spans="2:11" x14ac:dyDescent="0.2">
      <c r="B1655" s="41" t="str">
        <f>_xlfn.XLOOKUP(Total[[#This Row],[Metodo]],TbSolver[Metodo],TbSolver[Solver])</f>
        <v>Adams Bashford</v>
      </c>
      <c r="C1655" s="41" t="str">
        <f>_xlfn.XLOOKUP(Total[[#This Row],[Hebras]],TbTecnologia[Hebras],TbTecnologia[Tecnología])</f>
        <v>CUDA</v>
      </c>
      <c r="D1655" s="42" t="str" cm="1">
        <f t="array" ref="D1655">_xlfn.XLOOKUP(Total[[#This Row],[Tecnología]]&amp;Total[[#This Row],[Metodo]],TbTipos[Tecnología]&amp;TbTipos[Metodo],TbTipos[Tipo])</f>
        <v>CUDA sin graph</v>
      </c>
      <c r="E1655" s="42" t="str" cm="1">
        <f t="array" ref="E1655">_xlfn.XLOOKUP(Total[[#This Row],[Tecnología]]&amp;Total[[#This Row],[Problema]],TbNombres[Tecnología]&amp;TbNombres[Problema],TbNombres[Nombre])</f>
        <v>Brusselator1d shuffle</v>
      </c>
      <c r="F1655" s="43">
        <v>3</v>
      </c>
      <c r="G1655" s="43">
        <v>6</v>
      </c>
      <c r="H1655" s="43">
        <v>256</v>
      </c>
      <c r="I1655" s="43">
        <v>800000</v>
      </c>
      <c r="J1655" s="43">
        <v>1600000</v>
      </c>
      <c r="K1655" s="43">
        <v>237.40600000000001</v>
      </c>
    </row>
    <row r="1656" spans="2:11" x14ac:dyDescent="0.2">
      <c r="B1656" s="41" t="str">
        <f>_xlfn.XLOOKUP(Total[[#This Row],[Metodo]],TbSolver[Metodo],TbSolver[Solver])</f>
        <v>Adams Bashford</v>
      </c>
      <c r="C1656" s="41" t="str">
        <f>_xlfn.XLOOKUP(Total[[#This Row],[Hebras]],TbTecnologia[Hebras],TbTecnologia[Tecnología])</f>
        <v>CUDA</v>
      </c>
      <c r="D1656" s="42" t="str" cm="1">
        <f t="array" ref="D1656">_xlfn.XLOOKUP(Total[[#This Row],[Tecnología]]&amp;Total[[#This Row],[Metodo]],TbTipos[Tecnología]&amp;TbTipos[Metodo],TbTipos[Tipo])</f>
        <v>CUDA sin graph</v>
      </c>
      <c r="E1656" s="42" t="str" cm="1">
        <f t="array" ref="E1656">_xlfn.XLOOKUP(Total[[#This Row],[Tecnología]]&amp;Total[[#This Row],[Problema]],TbNombres[Tecnología]&amp;TbNombres[Problema],TbNombres[Nombre])</f>
        <v>Brusselator1d shuffle</v>
      </c>
      <c r="F1656" s="43">
        <v>3</v>
      </c>
      <c r="G1656" s="43">
        <v>6</v>
      </c>
      <c r="H1656" s="43">
        <v>256</v>
      </c>
      <c r="I1656" s="43">
        <v>900000</v>
      </c>
      <c r="J1656" s="43">
        <v>1800000</v>
      </c>
      <c r="K1656" s="43">
        <v>266.38499999999999</v>
      </c>
    </row>
    <row r="1657" spans="2:11" x14ac:dyDescent="0.2">
      <c r="B1657" s="41" t="str">
        <f>_xlfn.XLOOKUP(Total[[#This Row],[Metodo]],TbSolver[Metodo],TbSolver[Solver])</f>
        <v>Adams Bashford</v>
      </c>
      <c r="C1657" s="41" t="str">
        <f>_xlfn.XLOOKUP(Total[[#This Row],[Hebras]],TbTecnologia[Hebras],TbTecnologia[Tecnología])</f>
        <v>CUDA</v>
      </c>
      <c r="D1657" s="42" t="str" cm="1">
        <f t="array" ref="D1657">_xlfn.XLOOKUP(Total[[#This Row],[Tecnología]]&amp;Total[[#This Row],[Metodo]],TbTipos[Tecnología]&amp;TbTipos[Metodo],TbTipos[Tipo])</f>
        <v>CUDA sin graph</v>
      </c>
      <c r="E1657" s="42" t="str" cm="1">
        <f t="array" ref="E1657">_xlfn.XLOOKUP(Total[[#This Row],[Tecnología]]&amp;Total[[#This Row],[Problema]],TbNombres[Tecnología]&amp;TbNombres[Problema],TbNombres[Nombre])</f>
        <v>Brusselator1d shuffle</v>
      </c>
      <c r="F1657" s="43">
        <v>3</v>
      </c>
      <c r="G1657" s="43">
        <v>6</v>
      </c>
      <c r="H1657" s="43">
        <v>256</v>
      </c>
      <c r="I1657" s="43">
        <v>1000000</v>
      </c>
      <c r="J1657" s="43">
        <v>2000000</v>
      </c>
      <c r="K1657" s="43">
        <v>294.94799999999998</v>
      </c>
    </row>
    <row r="1658" spans="2:11" x14ac:dyDescent="0.2">
      <c r="B1658" s="41" t="str">
        <f>_xlfn.XLOOKUP(Total[[#This Row],[Metodo]],TbSolver[Metodo],TbSolver[Solver])</f>
        <v>Adams Bashford</v>
      </c>
      <c r="C1658" s="41" t="str">
        <f>_xlfn.XLOOKUP(Total[[#This Row],[Hebras]],TbTecnologia[Hebras],TbTecnologia[Tecnología])</f>
        <v>CUDA</v>
      </c>
      <c r="D1658" s="42" t="str" cm="1">
        <f t="array" ref="D1658">_xlfn.XLOOKUP(Total[[#This Row],[Tecnología]]&amp;Total[[#This Row],[Metodo]],TbTipos[Tecnología]&amp;TbTipos[Metodo],TbTipos[Tipo])</f>
        <v>CUDA sin graph</v>
      </c>
      <c r="E1658" s="42" t="str" cm="1">
        <f t="array" ref="E1658">_xlfn.XLOOKUP(Total[[#This Row],[Tecnología]]&amp;Total[[#This Row],[Problema]],TbNombres[Tecnología]&amp;TbNombres[Problema],TbNombres[Nombre])</f>
        <v>Brusselator1d grid</v>
      </c>
      <c r="F1658" s="43">
        <v>3</v>
      </c>
      <c r="G1658" s="43">
        <v>7</v>
      </c>
      <c r="H1658" s="43">
        <v>256</v>
      </c>
      <c r="I1658" s="43">
        <v>40000</v>
      </c>
      <c r="J1658" s="43">
        <v>80000</v>
      </c>
      <c r="K1658" s="43">
        <v>10.6911</v>
      </c>
    </row>
    <row r="1659" spans="2:11" x14ac:dyDescent="0.2">
      <c r="B1659" s="41" t="str">
        <f>_xlfn.XLOOKUP(Total[[#This Row],[Metodo]],TbSolver[Metodo],TbSolver[Solver])</f>
        <v>Adams Bashford</v>
      </c>
      <c r="C1659" s="41" t="str">
        <f>_xlfn.XLOOKUP(Total[[#This Row],[Hebras]],TbTecnologia[Hebras],TbTecnologia[Tecnología])</f>
        <v>CUDA</v>
      </c>
      <c r="D1659" s="42" t="str" cm="1">
        <f t="array" ref="D1659">_xlfn.XLOOKUP(Total[[#This Row],[Tecnología]]&amp;Total[[#This Row],[Metodo]],TbTipos[Tecnología]&amp;TbTipos[Metodo],TbTipos[Tipo])</f>
        <v>CUDA sin graph</v>
      </c>
      <c r="E1659" s="42" t="str" cm="1">
        <f t="array" ref="E1659">_xlfn.XLOOKUP(Total[[#This Row],[Tecnología]]&amp;Total[[#This Row],[Problema]],TbNombres[Tecnología]&amp;TbNombres[Problema],TbNombres[Nombre])</f>
        <v>Brusselator1d grid</v>
      </c>
      <c r="F1659" s="43">
        <v>3</v>
      </c>
      <c r="G1659" s="43">
        <v>7</v>
      </c>
      <c r="H1659" s="43">
        <v>256</v>
      </c>
      <c r="I1659" s="43">
        <v>75000</v>
      </c>
      <c r="J1659" s="43">
        <v>150000</v>
      </c>
      <c r="K1659" s="43">
        <v>22.024799999999999</v>
      </c>
    </row>
    <row r="1660" spans="2:11" x14ac:dyDescent="0.2">
      <c r="B1660" s="41" t="str">
        <f>_xlfn.XLOOKUP(Total[[#This Row],[Metodo]],TbSolver[Metodo],TbSolver[Solver])</f>
        <v>Adams Bashford</v>
      </c>
      <c r="C1660" s="41" t="str">
        <f>_xlfn.XLOOKUP(Total[[#This Row],[Hebras]],TbTecnologia[Hebras],TbTecnologia[Tecnología])</f>
        <v>CUDA</v>
      </c>
      <c r="D1660" s="42" t="str" cm="1">
        <f t="array" ref="D1660">_xlfn.XLOOKUP(Total[[#This Row],[Tecnología]]&amp;Total[[#This Row],[Metodo]],TbTipos[Tecnología]&amp;TbTipos[Metodo],TbTipos[Tipo])</f>
        <v>CUDA sin graph</v>
      </c>
      <c r="E1660" s="42" t="str" cm="1">
        <f t="array" ref="E1660">_xlfn.XLOOKUP(Total[[#This Row],[Tecnología]]&amp;Total[[#This Row],[Problema]],TbNombres[Tecnología]&amp;TbNombres[Problema],TbNombres[Nombre])</f>
        <v>Brusselator1d grid</v>
      </c>
      <c r="F1660" s="43">
        <v>3</v>
      </c>
      <c r="G1660" s="43">
        <v>7</v>
      </c>
      <c r="H1660" s="43">
        <v>256</v>
      </c>
      <c r="I1660" s="43">
        <v>125000</v>
      </c>
      <c r="J1660" s="43">
        <v>250000</v>
      </c>
      <c r="K1660" s="43">
        <v>38.727499999999999</v>
      </c>
    </row>
    <row r="1661" spans="2:11" x14ac:dyDescent="0.2">
      <c r="B1661" s="41" t="str">
        <f>_xlfn.XLOOKUP(Total[[#This Row],[Metodo]],TbSolver[Metodo],TbSolver[Solver])</f>
        <v>Adams Bashford</v>
      </c>
      <c r="C1661" s="41" t="str">
        <f>_xlfn.XLOOKUP(Total[[#This Row],[Hebras]],TbTecnologia[Hebras],TbTecnologia[Tecnología])</f>
        <v>CUDA</v>
      </c>
      <c r="D1661" s="42" t="str" cm="1">
        <f t="array" ref="D1661">_xlfn.XLOOKUP(Total[[#This Row],[Tecnología]]&amp;Total[[#This Row],[Metodo]],TbTipos[Tecnología]&amp;TbTipos[Metodo],TbTipos[Tipo])</f>
        <v>CUDA sin graph</v>
      </c>
      <c r="E1661" s="42" t="str" cm="1">
        <f t="array" ref="E1661">_xlfn.XLOOKUP(Total[[#This Row],[Tecnología]]&amp;Total[[#This Row],[Problema]],TbNombres[Tecnología]&amp;TbNombres[Problema],TbNombres[Nombre])</f>
        <v>Brusselator1d grid</v>
      </c>
      <c r="F1661" s="43">
        <v>3</v>
      </c>
      <c r="G1661" s="43">
        <v>7</v>
      </c>
      <c r="H1661" s="43">
        <v>256</v>
      </c>
      <c r="I1661" s="43">
        <v>150000</v>
      </c>
      <c r="J1661" s="43">
        <v>300000</v>
      </c>
      <c r="K1661" s="43">
        <v>47.109400000000001</v>
      </c>
    </row>
    <row r="1662" spans="2:11" x14ac:dyDescent="0.2">
      <c r="B1662" s="41" t="str">
        <f>_xlfn.XLOOKUP(Total[[#This Row],[Metodo]],TbSolver[Metodo],TbSolver[Solver])</f>
        <v>Adams Bashford</v>
      </c>
      <c r="C1662" s="41" t="str">
        <f>_xlfn.XLOOKUP(Total[[#This Row],[Hebras]],TbTecnologia[Hebras],TbTecnologia[Tecnología])</f>
        <v>CUDA</v>
      </c>
      <c r="D1662" s="42" t="str" cm="1">
        <f t="array" ref="D1662">_xlfn.XLOOKUP(Total[[#This Row],[Tecnología]]&amp;Total[[#This Row],[Metodo]],TbTipos[Tecnología]&amp;TbTipos[Metodo],TbTipos[Tipo])</f>
        <v>CUDA sin graph</v>
      </c>
      <c r="E1662" s="42" t="str" cm="1">
        <f t="array" ref="E1662">_xlfn.XLOOKUP(Total[[#This Row],[Tecnología]]&amp;Total[[#This Row],[Problema]],TbNombres[Tecnología]&amp;TbNombres[Problema],TbNombres[Nombre])</f>
        <v>Brusselator1d grid</v>
      </c>
      <c r="F1662" s="43">
        <v>3</v>
      </c>
      <c r="G1662" s="43">
        <v>7</v>
      </c>
      <c r="H1662" s="43">
        <v>256</v>
      </c>
      <c r="I1662" s="43">
        <v>175000</v>
      </c>
      <c r="J1662" s="43">
        <v>350000</v>
      </c>
      <c r="K1662" s="43">
        <v>55.116900000000001</v>
      </c>
    </row>
    <row r="1663" spans="2:11" x14ac:dyDescent="0.2">
      <c r="B1663" s="41" t="str">
        <f>_xlfn.XLOOKUP(Total[[#This Row],[Metodo]],TbSolver[Metodo],TbSolver[Solver])</f>
        <v>Adams Bashford</v>
      </c>
      <c r="C1663" s="41" t="str">
        <f>_xlfn.XLOOKUP(Total[[#This Row],[Hebras]],TbTecnologia[Hebras],TbTecnologia[Tecnología])</f>
        <v>CUDA</v>
      </c>
      <c r="D1663" s="42" t="str" cm="1">
        <f t="array" ref="D1663">_xlfn.XLOOKUP(Total[[#This Row],[Tecnología]]&amp;Total[[#This Row],[Metodo]],TbTipos[Tecnología]&amp;TbTipos[Metodo],TbTipos[Tipo])</f>
        <v>CUDA sin graph</v>
      </c>
      <c r="E1663" s="42" t="str" cm="1">
        <f t="array" ref="E1663">_xlfn.XLOOKUP(Total[[#This Row],[Tecnología]]&amp;Total[[#This Row],[Problema]],TbNombres[Tecnología]&amp;TbNombres[Problema],TbNombres[Nombre])</f>
        <v>Brusselator1d grid</v>
      </c>
      <c r="F1663" s="43">
        <v>3</v>
      </c>
      <c r="G1663" s="43">
        <v>7</v>
      </c>
      <c r="H1663" s="43">
        <v>256</v>
      </c>
      <c r="I1663" s="43">
        <v>250000</v>
      </c>
      <c r="J1663" s="43">
        <v>500000</v>
      </c>
      <c r="K1663" s="43">
        <v>79.390100000000004</v>
      </c>
    </row>
    <row r="1664" spans="2:11" x14ac:dyDescent="0.2">
      <c r="B1664" s="41" t="str">
        <f>_xlfn.XLOOKUP(Total[[#This Row],[Metodo]],TbSolver[Metodo],TbSolver[Solver])</f>
        <v>Adams Bashford</v>
      </c>
      <c r="C1664" s="41" t="str">
        <f>_xlfn.XLOOKUP(Total[[#This Row],[Hebras]],TbTecnologia[Hebras],TbTecnologia[Tecnología])</f>
        <v>CUDA</v>
      </c>
      <c r="D1664" s="42" t="str" cm="1">
        <f t="array" ref="D1664">_xlfn.XLOOKUP(Total[[#This Row],[Tecnología]]&amp;Total[[#This Row],[Metodo]],TbTipos[Tecnología]&amp;TbTipos[Metodo],TbTipos[Tipo])</f>
        <v>CUDA sin graph</v>
      </c>
      <c r="E1664" s="42" t="str" cm="1">
        <f t="array" ref="E1664">_xlfn.XLOOKUP(Total[[#This Row],[Tecnología]]&amp;Total[[#This Row],[Problema]],TbNombres[Tecnología]&amp;TbNombres[Problema],TbNombres[Nombre])</f>
        <v>Brusselator1d grid</v>
      </c>
      <c r="F1664" s="43">
        <v>3</v>
      </c>
      <c r="G1664" s="43">
        <v>7</v>
      </c>
      <c r="H1664" s="43">
        <v>256</v>
      </c>
      <c r="I1664" s="43">
        <v>300000</v>
      </c>
      <c r="J1664" s="43">
        <v>600000</v>
      </c>
      <c r="K1664" s="43">
        <v>94.276300000000006</v>
      </c>
    </row>
    <row r="1665" spans="2:11" x14ac:dyDescent="0.2">
      <c r="B1665" s="41" t="str">
        <f>_xlfn.XLOOKUP(Total[[#This Row],[Metodo]],TbSolver[Metodo],TbSolver[Solver])</f>
        <v>Adams Bashford</v>
      </c>
      <c r="C1665" s="41" t="str">
        <f>_xlfn.XLOOKUP(Total[[#This Row],[Hebras]],TbTecnologia[Hebras],TbTecnologia[Tecnología])</f>
        <v>CUDA</v>
      </c>
      <c r="D1665" s="42" t="str" cm="1">
        <f t="array" ref="D1665">_xlfn.XLOOKUP(Total[[#This Row],[Tecnología]]&amp;Total[[#This Row],[Metodo]],TbTipos[Tecnología]&amp;TbTipos[Metodo],TbTipos[Tipo])</f>
        <v>CUDA sin graph</v>
      </c>
      <c r="E1665" s="42" t="str" cm="1">
        <f t="array" ref="E1665">_xlfn.XLOOKUP(Total[[#This Row],[Tecnología]]&amp;Total[[#This Row],[Problema]],TbNombres[Tecnología]&amp;TbNombres[Problema],TbNombres[Nombre])</f>
        <v>Brusselator1d grid</v>
      </c>
      <c r="F1665" s="43">
        <v>3</v>
      </c>
      <c r="G1665" s="43">
        <v>7</v>
      </c>
      <c r="H1665" s="43">
        <v>256</v>
      </c>
      <c r="I1665" s="43">
        <v>350000</v>
      </c>
      <c r="J1665" s="43">
        <v>700000</v>
      </c>
      <c r="K1665" s="43">
        <v>108.879</v>
      </c>
    </row>
    <row r="1666" spans="2:11" x14ac:dyDescent="0.2">
      <c r="B1666" s="41" t="str">
        <f>_xlfn.XLOOKUP(Total[[#This Row],[Metodo]],TbSolver[Metodo],TbSolver[Solver])</f>
        <v>Adams Bashford</v>
      </c>
      <c r="C1666" s="41" t="str">
        <f>_xlfn.XLOOKUP(Total[[#This Row],[Hebras]],TbTecnologia[Hebras],TbTecnologia[Tecnología])</f>
        <v>CUDA</v>
      </c>
      <c r="D1666" s="42" t="str" cm="1">
        <f t="array" ref="D1666">_xlfn.XLOOKUP(Total[[#This Row],[Tecnología]]&amp;Total[[#This Row],[Metodo]],TbTipos[Tecnología]&amp;TbTipos[Metodo],TbTipos[Tipo])</f>
        <v>CUDA sin graph</v>
      </c>
      <c r="E1666" s="42" t="str" cm="1">
        <f t="array" ref="E1666">_xlfn.XLOOKUP(Total[[#This Row],[Tecnología]]&amp;Total[[#This Row],[Problema]],TbNombres[Tecnología]&amp;TbNombres[Problema],TbNombres[Nombre])</f>
        <v>Brusselator1d grid</v>
      </c>
      <c r="F1666" s="43">
        <v>3</v>
      </c>
      <c r="G1666" s="43">
        <v>7</v>
      </c>
      <c r="H1666" s="43">
        <v>256</v>
      </c>
      <c r="I1666" s="43">
        <v>400000</v>
      </c>
      <c r="J1666" s="43">
        <v>800000</v>
      </c>
      <c r="K1666" s="43">
        <v>122.502</v>
      </c>
    </row>
    <row r="1667" spans="2:11" x14ac:dyDescent="0.2">
      <c r="B1667" s="41" t="str">
        <f>_xlfn.XLOOKUP(Total[[#This Row],[Metodo]],TbSolver[Metodo],TbSolver[Solver])</f>
        <v>Adams Bashford</v>
      </c>
      <c r="C1667" s="41" t="str">
        <f>_xlfn.XLOOKUP(Total[[#This Row],[Hebras]],TbTecnologia[Hebras],TbTecnologia[Tecnología])</f>
        <v>CUDA</v>
      </c>
      <c r="D1667" s="42" t="str" cm="1">
        <f t="array" ref="D1667">_xlfn.XLOOKUP(Total[[#This Row],[Tecnología]]&amp;Total[[#This Row],[Metodo]],TbTipos[Tecnología]&amp;TbTipos[Metodo],TbTipos[Tipo])</f>
        <v>CUDA sin graph</v>
      </c>
      <c r="E1667" s="42" t="str" cm="1">
        <f t="array" ref="E1667">_xlfn.XLOOKUP(Total[[#This Row],[Tecnología]]&amp;Total[[#This Row],[Problema]],TbNombres[Tecnología]&amp;TbNombres[Problema],TbNombres[Nombre])</f>
        <v>Brusselator1d grid</v>
      </c>
      <c r="F1667" s="43">
        <v>3</v>
      </c>
      <c r="G1667" s="43">
        <v>7</v>
      </c>
      <c r="H1667" s="43">
        <v>256</v>
      </c>
      <c r="I1667" s="43">
        <v>450000</v>
      </c>
      <c r="J1667" s="43">
        <v>900000</v>
      </c>
      <c r="K1667" s="43">
        <v>137.17400000000001</v>
      </c>
    </row>
    <row r="1668" spans="2:11" x14ac:dyDescent="0.2">
      <c r="B1668" s="41" t="str">
        <f>_xlfn.XLOOKUP(Total[[#This Row],[Metodo]],TbSolver[Metodo],TbSolver[Solver])</f>
        <v>Adams Bashford</v>
      </c>
      <c r="C1668" s="41" t="str">
        <f>_xlfn.XLOOKUP(Total[[#This Row],[Hebras]],TbTecnologia[Hebras],TbTecnologia[Tecnología])</f>
        <v>CUDA</v>
      </c>
      <c r="D1668" s="42" t="str" cm="1">
        <f t="array" ref="D1668">_xlfn.XLOOKUP(Total[[#This Row],[Tecnología]]&amp;Total[[#This Row],[Metodo]],TbTipos[Tecnología]&amp;TbTipos[Metodo],TbTipos[Tipo])</f>
        <v>CUDA sin graph</v>
      </c>
      <c r="E1668" s="42" t="str" cm="1">
        <f t="array" ref="E1668">_xlfn.XLOOKUP(Total[[#This Row],[Tecnología]]&amp;Total[[#This Row],[Problema]],TbNombres[Tecnología]&amp;TbNombres[Problema],TbNombres[Nombre])</f>
        <v>Brusselator1d grid</v>
      </c>
      <c r="F1668" s="43">
        <v>3</v>
      </c>
      <c r="G1668" s="43">
        <v>7</v>
      </c>
      <c r="H1668" s="43">
        <v>256</v>
      </c>
      <c r="I1668" s="43">
        <v>500000</v>
      </c>
      <c r="J1668" s="43">
        <v>1000000</v>
      </c>
      <c r="K1668" s="43">
        <v>151.697</v>
      </c>
    </row>
    <row r="1669" spans="2:11" x14ac:dyDescent="0.2">
      <c r="B1669" s="41" t="str">
        <f>_xlfn.XLOOKUP(Total[[#This Row],[Metodo]],TbSolver[Metodo],TbSolver[Solver])</f>
        <v>Adams Bashford</v>
      </c>
      <c r="C1669" s="41" t="str">
        <f>_xlfn.XLOOKUP(Total[[#This Row],[Hebras]],TbTecnologia[Hebras],TbTecnologia[Tecnología])</f>
        <v>CUDA</v>
      </c>
      <c r="D1669" s="42" t="str" cm="1">
        <f t="array" ref="D1669">_xlfn.XLOOKUP(Total[[#This Row],[Tecnología]]&amp;Total[[#This Row],[Metodo]],TbTipos[Tecnología]&amp;TbTipos[Metodo],TbTipos[Tipo])</f>
        <v>CUDA sin graph</v>
      </c>
      <c r="E1669" s="42" t="str" cm="1">
        <f t="array" ref="E1669">_xlfn.XLOOKUP(Total[[#This Row],[Tecnología]]&amp;Total[[#This Row],[Problema]],TbNombres[Tecnología]&amp;TbNombres[Problema],TbNombres[Nombre])</f>
        <v>Brusselator1d grid</v>
      </c>
      <c r="F1669" s="43">
        <v>3</v>
      </c>
      <c r="G1669" s="43">
        <v>7</v>
      </c>
      <c r="H1669" s="43">
        <v>256</v>
      </c>
      <c r="I1669" s="43">
        <v>600000</v>
      </c>
      <c r="J1669" s="43">
        <v>1200000</v>
      </c>
      <c r="K1669" s="43">
        <v>180.08</v>
      </c>
    </row>
    <row r="1670" spans="2:11" x14ac:dyDescent="0.2">
      <c r="B1670" s="41" t="str">
        <f>_xlfn.XLOOKUP(Total[[#This Row],[Metodo]],TbSolver[Metodo],TbSolver[Solver])</f>
        <v>Adams Bashford</v>
      </c>
      <c r="C1670" s="41" t="str">
        <f>_xlfn.XLOOKUP(Total[[#This Row],[Hebras]],TbTecnologia[Hebras],TbTecnologia[Tecnología])</f>
        <v>CUDA</v>
      </c>
      <c r="D1670" s="42" t="str" cm="1">
        <f t="array" ref="D1670">_xlfn.XLOOKUP(Total[[#This Row],[Tecnología]]&amp;Total[[#This Row],[Metodo]],TbTipos[Tecnología]&amp;TbTipos[Metodo],TbTipos[Tipo])</f>
        <v>CUDA sin graph</v>
      </c>
      <c r="E1670" s="42" t="str" cm="1">
        <f t="array" ref="E1670">_xlfn.XLOOKUP(Total[[#This Row],[Tecnología]]&amp;Total[[#This Row],[Problema]],TbNombres[Tecnología]&amp;TbNombres[Problema],TbNombres[Nombre])</f>
        <v>Brusselator1d grid</v>
      </c>
      <c r="F1670" s="43">
        <v>3</v>
      </c>
      <c r="G1670" s="43">
        <v>7</v>
      </c>
      <c r="H1670" s="43">
        <v>256</v>
      </c>
      <c r="I1670" s="43">
        <v>700000</v>
      </c>
      <c r="J1670" s="43">
        <v>1400000</v>
      </c>
      <c r="K1670" s="43">
        <v>209.053</v>
      </c>
    </row>
    <row r="1671" spans="2:11" x14ac:dyDescent="0.2">
      <c r="B1671" s="41" t="str">
        <f>_xlfn.XLOOKUP(Total[[#This Row],[Metodo]],TbSolver[Metodo],TbSolver[Solver])</f>
        <v>Adams Bashford</v>
      </c>
      <c r="C1671" s="41" t="str">
        <f>_xlfn.XLOOKUP(Total[[#This Row],[Hebras]],TbTecnologia[Hebras],TbTecnologia[Tecnología])</f>
        <v>CUDA</v>
      </c>
      <c r="D1671" s="42" t="str" cm="1">
        <f t="array" ref="D1671">_xlfn.XLOOKUP(Total[[#This Row],[Tecnología]]&amp;Total[[#This Row],[Metodo]],TbTipos[Tecnología]&amp;TbTipos[Metodo],TbTipos[Tipo])</f>
        <v>CUDA sin graph</v>
      </c>
      <c r="E1671" s="42" t="str" cm="1">
        <f t="array" ref="E1671">_xlfn.XLOOKUP(Total[[#This Row],[Tecnología]]&amp;Total[[#This Row],[Problema]],TbNombres[Tecnología]&amp;TbNombres[Problema],TbNombres[Nombre])</f>
        <v>Brusselator1d grid</v>
      </c>
      <c r="F1671" s="43">
        <v>3</v>
      </c>
      <c r="G1671" s="43">
        <v>7</v>
      </c>
      <c r="H1671" s="43">
        <v>256</v>
      </c>
      <c r="I1671" s="43">
        <v>800000</v>
      </c>
      <c r="J1671" s="43">
        <v>1600000</v>
      </c>
      <c r="K1671" s="43">
        <v>237.44800000000001</v>
      </c>
    </row>
    <row r="1672" spans="2:11" x14ac:dyDescent="0.2">
      <c r="B1672" s="41" t="str">
        <f>_xlfn.XLOOKUP(Total[[#This Row],[Metodo]],TbSolver[Metodo],TbSolver[Solver])</f>
        <v>Adams Bashford</v>
      </c>
      <c r="C1672" s="41" t="str">
        <f>_xlfn.XLOOKUP(Total[[#This Row],[Hebras]],TbTecnologia[Hebras],TbTecnologia[Tecnología])</f>
        <v>CUDA</v>
      </c>
      <c r="D1672" s="42" t="str" cm="1">
        <f t="array" ref="D1672">_xlfn.XLOOKUP(Total[[#This Row],[Tecnología]]&amp;Total[[#This Row],[Metodo]],TbTipos[Tecnología]&amp;TbTipos[Metodo],TbTipos[Tipo])</f>
        <v>CUDA sin graph</v>
      </c>
      <c r="E1672" s="42" t="str" cm="1">
        <f t="array" ref="E1672">_xlfn.XLOOKUP(Total[[#This Row],[Tecnología]]&amp;Total[[#This Row],[Problema]],TbNombres[Tecnología]&amp;TbNombres[Problema],TbNombres[Nombre])</f>
        <v>Brusselator1d grid</v>
      </c>
      <c r="F1672" s="43">
        <v>3</v>
      </c>
      <c r="G1672" s="43">
        <v>7</v>
      </c>
      <c r="H1672" s="43">
        <v>256</v>
      </c>
      <c r="I1672" s="43">
        <v>900000</v>
      </c>
      <c r="J1672" s="43">
        <v>1800000</v>
      </c>
      <c r="K1672" s="43">
        <v>266.49</v>
      </c>
    </row>
    <row r="1673" spans="2:11" x14ac:dyDescent="0.2">
      <c r="B1673" s="41" t="str">
        <f>_xlfn.XLOOKUP(Total[[#This Row],[Metodo]],TbSolver[Metodo],TbSolver[Solver])</f>
        <v>Adams Bashford</v>
      </c>
      <c r="C1673" s="41" t="str">
        <f>_xlfn.XLOOKUP(Total[[#This Row],[Hebras]],TbTecnologia[Hebras],TbTecnologia[Tecnología])</f>
        <v>CUDA</v>
      </c>
      <c r="D1673" s="42" t="str" cm="1">
        <f t="array" ref="D1673">_xlfn.XLOOKUP(Total[[#This Row],[Tecnología]]&amp;Total[[#This Row],[Metodo]],TbTipos[Tecnología]&amp;TbTipos[Metodo],TbTipos[Tipo])</f>
        <v>CUDA sin graph</v>
      </c>
      <c r="E1673" s="42" t="str" cm="1">
        <f t="array" ref="E1673">_xlfn.XLOOKUP(Total[[#This Row],[Tecnología]]&amp;Total[[#This Row],[Problema]],TbNombres[Tecnología]&amp;TbNombres[Problema],TbNombres[Nombre])</f>
        <v>Brusselator1d grid</v>
      </c>
      <c r="F1673" s="43">
        <v>3</v>
      </c>
      <c r="G1673" s="43">
        <v>7</v>
      </c>
      <c r="H1673" s="43">
        <v>256</v>
      </c>
      <c r="I1673" s="43">
        <v>1000000</v>
      </c>
      <c r="J1673" s="43">
        <v>2000000</v>
      </c>
      <c r="K1673" s="43">
        <v>295.24200000000002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3C39-208D-4279-9812-58FAB4248505}">
  <dimension ref="B2:X43"/>
  <sheetViews>
    <sheetView workbookViewId="0">
      <selection activeCell="J3" sqref="J3"/>
    </sheetView>
  </sheetViews>
  <sheetFormatPr baseColWidth="10" defaultColWidth="9.140625" defaultRowHeight="12.75" x14ac:dyDescent="0.2"/>
  <cols>
    <col min="1" max="1" width="5.7109375" style="1" customWidth="1"/>
    <col min="2" max="2" width="17.5703125" style="1" bestFit="1" customWidth="1"/>
    <col min="3" max="3" width="21" style="1" bestFit="1" customWidth="1"/>
    <col min="4" max="4" width="5.7109375" style="1" customWidth="1"/>
    <col min="5" max="5" width="15.7109375" style="1" bestFit="1" customWidth="1"/>
    <col min="6" max="6" width="14.42578125" style="1" bestFit="1" customWidth="1"/>
    <col min="7" max="7" width="18.7109375" style="1" bestFit="1" customWidth="1"/>
    <col min="8" max="8" width="5.7109375" style="1" customWidth="1"/>
    <col min="9" max="9" width="11.42578125" style="1" customWidth="1"/>
    <col min="10" max="10" width="21" style="1" bestFit="1" customWidth="1"/>
    <col min="11" max="12" width="9.140625" style="1"/>
    <col min="13" max="13" width="15.7109375" style="1" customWidth="1"/>
    <col min="14" max="14" width="20" style="1" customWidth="1"/>
    <col min="15" max="15" width="9.140625" style="1"/>
    <col min="16" max="16" width="5.7109375" style="1" customWidth="1"/>
    <col min="17" max="17" width="8.85546875" style="1" bestFit="1" customWidth="1"/>
    <col min="18" max="18" width="12.5703125" style="1" bestFit="1" customWidth="1"/>
    <col min="19" max="19" width="9.140625" style="1"/>
    <col min="20" max="20" width="5.7109375" style="1" customWidth="1"/>
    <col min="21" max="21" width="8.85546875" style="1" customWidth="1"/>
    <col min="22" max="22" width="18.7109375" style="1" bestFit="1" customWidth="1"/>
    <col min="23" max="16384" width="9.140625" style="1"/>
  </cols>
  <sheetData>
    <row r="2" spans="2:24" x14ac:dyDescent="0.2">
      <c r="B2" s="1" t="s">
        <v>1</v>
      </c>
      <c r="C2" s="1" t="s">
        <v>31</v>
      </c>
      <c r="E2" s="1" t="s">
        <v>23</v>
      </c>
      <c r="F2" s="1" t="s">
        <v>1</v>
      </c>
      <c r="G2" s="1" t="s">
        <v>6</v>
      </c>
      <c r="I2" s="32" t="s">
        <v>31</v>
      </c>
      <c r="J2" s="10" t="s">
        <v>57</v>
      </c>
      <c r="K2" s="11">
        <f>COUNTIF(Total[Solver],$J2)</f>
        <v>578</v>
      </c>
      <c r="M2" s="32" t="s">
        <v>24</v>
      </c>
      <c r="N2" s="10" t="s">
        <v>26</v>
      </c>
      <c r="O2" s="11">
        <f>COUNTIFS(Total[Tecnología],$M$2,Total[Nombre],$N2)</f>
        <v>252</v>
      </c>
      <c r="Q2" s="32" t="s">
        <v>1</v>
      </c>
      <c r="R2" s="10">
        <v>1</v>
      </c>
      <c r="S2" s="11">
        <f>COUNTIF(Total[Metodo],$R2)</f>
        <v>289</v>
      </c>
      <c r="U2" s="35" t="s">
        <v>57</v>
      </c>
      <c r="V2" s="10" t="s">
        <v>26</v>
      </c>
      <c r="W2" s="10">
        <f>COUNTIFS(Total[Solver],$U$2,Total[Nombre],$V2)</f>
        <v>140</v>
      </c>
      <c r="X2" s="38">
        <f>W2+W3</f>
        <v>152</v>
      </c>
    </row>
    <row r="3" spans="2:24" x14ac:dyDescent="0.2">
      <c r="B3" s="1">
        <v>1</v>
      </c>
      <c r="C3" s="1" t="s">
        <v>57</v>
      </c>
      <c r="E3" s="1" t="s">
        <v>24</v>
      </c>
      <c r="F3" s="1">
        <v>1</v>
      </c>
      <c r="G3" s="1" t="s">
        <v>19</v>
      </c>
      <c r="I3" s="33"/>
      <c r="J3" s="1" t="s">
        <v>41</v>
      </c>
      <c r="K3" s="12">
        <f>COUNTIF(Total[Solver],$J3)</f>
        <v>582</v>
      </c>
      <c r="M3" s="33"/>
      <c r="N3" s="1" t="s">
        <v>27</v>
      </c>
      <c r="O3" s="12">
        <f>COUNTIFS(Total[Tecnología],$M$2,Total[Nombre],$N3)</f>
        <v>252</v>
      </c>
      <c r="Q3" s="33"/>
      <c r="R3" s="1">
        <v>2</v>
      </c>
      <c r="S3" s="12">
        <f>COUNTIF(Total[Metodo],$R3)</f>
        <v>289</v>
      </c>
      <c r="U3" s="36"/>
      <c r="V3" s="1" t="s">
        <v>32</v>
      </c>
      <c r="W3" s="1">
        <f>COUNTIFS(Total[Solver],$U$2,Total[Nombre],$V3)</f>
        <v>12</v>
      </c>
      <c r="X3" s="39"/>
    </row>
    <row r="4" spans="2:24" x14ac:dyDescent="0.2">
      <c r="B4" s="1">
        <v>2</v>
      </c>
      <c r="C4" s="1" t="s">
        <v>57</v>
      </c>
      <c r="E4" s="1" t="s">
        <v>24</v>
      </c>
      <c r="F4" s="1">
        <v>2</v>
      </c>
      <c r="G4" s="1" t="s">
        <v>20</v>
      </c>
      <c r="I4" s="34"/>
      <c r="J4" s="13" t="s">
        <v>40</v>
      </c>
      <c r="K4" s="14">
        <f>COUNTIF(Total[Solver],$J4)</f>
        <v>511</v>
      </c>
      <c r="M4" s="33"/>
      <c r="N4" s="1" t="s">
        <v>28</v>
      </c>
      <c r="O4" s="12">
        <f>COUNTIFS(Total[Tecnología],$M$2,Total[Nombre],$N4)</f>
        <v>252</v>
      </c>
      <c r="Q4" s="33"/>
      <c r="R4" s="1">
        <v>3</v>
      </c>
      <c r="S4" s="12">
        <f>COUNTIF(Total[Metodo],$R4)</f>
        <v>338</v>
      </c>
      <c r="U4" s="36"/>
      <c r="V4" s="1" t="s">
        <v>42</v>
      </c>
      <c r="W4" s="1">
        <f>COUNTIFS(Total[Solver],$U$2,Total[Nombre],$V4)</f>
        <v>140</v>
      </c>
      <c r="X4" s="39">
        <f>W4+W5</f>
        <v>152</v>
      </c>
    </row>
    <row r="5" spans="2:24" x14ac:dyDescent="0.2">
      <c r="B5" s="1">
        <v>3</v>
      </c>
      <c r="C5" s="1" t="s">
        <v>41</v>
      </c>
      <c r="E5" s="1" t="s">
        <v>24</v>
      </c>
      <c r="F5" s="1">
        <v>3</v>
      </c>
      <c r="G5" s="1" t="s">
        <v>19</v>
      </c>
      <c r="K5" s="1">
        <f>SUM(K2:K4)</f>
        <v>1671</v>
      </c>
      <c r="M5" s="33"/>
      <c r="N5" s="1" t="s">
        <v>29</v>
      </c>
      <c r="O5" s="12">
        <f>COUNTIFS(Total[Tecnología],$M$2,Total[Nombre],$N5)</f>
        <v>181</v>
      </c>
      <c r="Q5" s="33"/>
      <c r="R5" s="1">
        <v>4</v>
      </c>
      <c r="S5" s="12">
        <f>COUNTIF(Total[Metodo],$R5)</f>
        <v>244</v>
      </c>
      <c r="U5" s="36"/>
      <c r="V5" s="1" t="s">
        <v>33</v>
      </c>
      <c r="W5" s="1">
        <f>COUNTIFS(Total[Solver],$U$2,Total[Nombre],$V5)</f>
        <v>12</v>
      </c>
      <c r="X5" s="39"/>
    </row>
    <row r="6" spans="2:24" x14ac:dyDescent="0.2">
      <c r="B6" s="1">
        <v>4</v>
      </c>
      <c r="C6" s="1" t="s">
        <v>41</v>
      </c>
      <c r="E6" s="1" t="s">
        <v>24</v>
      </c>
      <c r="F6" s="1">
        <v>4</v>
      </c>
      <c r="G6" s="1" t="s">
        <v>20</v>
      </c>
      <c r="M6" s="32" t="s">
        <v>25</v>
      </c>
      <c r="N6" s="10" t="s">
        <v>26</v>
      </c>
      <c r="O6" s="11">
        <f>COUNTIFS(Total[Tecnología],$M$6,Total[Nombre],$N6)</f>
        <v>131</v>
      </c>
      <c r="Q6" s="33"/>
      <c r="R6" s="1">
        <v>5</v>
      </c>
      <c r="S6" s="12">
        <f>COUNTIF(Total[Metodo],$R6)</f>
        <v>266</v>
      </c>
      <c r="U6" s="36"/>
      <c r="V6" s="1" t="s">
        <v>28</v>
      </c>
      <c r="W6" s="1">
        <f>COUNTIFS(Total[Solver],$U$2,Total[Nombre],$V6)</f>
        <v>140</v>
      </c>
      <c r="X6" s="39">
        <f>W6+W7+W8</f>
        <v>176</v>
      </c>
    </row>
    <row r="7" spans="2:24" x14ac:dyDescent="0.2">
      <c r="B7" s="1">
        <v>5</v>
      </c>
      <c r="C7" s="1" t="s">
        <v>40</v>
      </c>
      <c r="E7" s="1" t="s">
        <v>24</v>
      </c>
      <c r="F7" s="1">
        <v>5</v>
      </c>
      <c r="G7" s="1" t="s">
        <v>19</v>
      </c>
      <c r="I7" s="32" t="s">
        <v>23</v>
      </c>
      <c r="J7" s="10" t="s">
        <v>24</v>
      </c>
      <c r="K7" s="11">
        <f>COUNTIF(Total[Tecnología],$J7)</f>
        <v>937</v>
      </c>
      <c r="M7" s="33"/>
      <c r="N7" s="1" t="s">
        <v>32</v>
      </c>
      <c r="O7" s="12">
        <f>COUNTIFS(Total[Tecnología],$M$6,Total[Nombre],$N7)</f>
        <v>41</v>
      </c>
      <c r="Q7" s="34"/>
      <c r="R7" s="13">
        <v>6</v>
      </c>
      <c r="S7" s="14">
        <f>COUNTIF(Total[Metodo],$R7)</f>
        <v>245</v>
      </c>
      <c r="U7" s="36"/>
      <c r="V7" s="1" t="s">
        <v>34</v>
      </c>
      <c r="W7" s="1">
        <f>COUNTIFS(Total[Solver],$U$2,Total[Nombre],$V7)</f>
        <v>12</v>
      </c>
      <c r="X7" s="39"/>
    </row>
    <row r="8" spans="2:24" x14ac:dyDescent="0.2">
      <c r="B8" s="1">
        <v>6</v>
      </c>
      <c r="C8" s="1" t="s">
        <v>40</v>
      </c>
      <c r="E8" s="1" t="s">
        <v>24</v>
      </c>
      <c r="F8" s="1">
        <v>6</v>
      </c>
      <c r="G8" s="1" t="s">
        <v>20</v>
      </c>
      <c r="I8" s="34"/>
      <c r="J8" s="13" t="s">
        <v>25</v>
      </c>
      <c r="K8" s="14">
        <f>COUNTIF(Total[Tecnología],$J8)</f>
        <v>734</v>
      </c>
      <c r="M8" s="33"/>
      <c r="N8" s="1" t="s">
        <v>27</v>
      </c>
      <c r="O8" s="12">
        <f>COUNTIFS(Total[Tecnología],$M$6,Total[Nombre],$N8)</f>
        <v>131</v>
      </c>
      <c r="S8" s="1">
        <f>SUM(S2:S7)</f>
        <v>1671</v>
      </c>
      <c r="U8" s="36"/>
      <c r="V8" s="1" t="s">
        <v>35</v>
      </c>
      <c r="W8" s="1">
        <f>COUNTIFS(Total[Solver],$U$2,Total[Nombre],$V8)</f>
        <v>24</v>
      </c>
      <c r="X8" s="39"/>
    </row>
    <row r="9" spans="2:24" x14ac:dyDescent="0.2">
      <c r="E9" s="1" t="s">
        <v>25</v>
      </c>
      <c r="F9" s="1">
        <v>1</v>
      </c>
      <c r="G9" s="1" t="s">
        <v>22</v>
      </c>
      <c r="K9" s="1">
        <f>SUM(K7:K8)</f>
        <v>1671</v>
      </c>
      <c r="M9" s="33"/>
      <c r="N9" s="1" t="s">
        <v>33</v>
      </c>
      <c r="O9" s="12">
        <f>COUNTIFS(Total[Tecnología],$M$6,Total[Nombre],$N9)</f>
        <v>41</v>
      </c>
      <c r="U9" s="36"/>
      <c r="V9" s="1" t="s">
        <v>29</v>
      </c>
      <c r="W9" s="1">
        <f>COUNTIFS(Total[Solver],$U$2,Total[Nombre],$V9)</f>
        <v>90</v>
      </c>
      <c r="X9" s="39">
        <f>W9+W10</f>
        <v>98</v>
      </c>
    </row>
    <row r="10" spans="2:24" x14ac:dyDescent="0.2">
      <c r="B10" s="1" t="s">
        <v>3</v>
      </c>
      <c r="C10" s="1" t="s">
        <v>23</v>
      </c>
      <c r="E10" s="1" t="s">
        <v>25</v>
      </c>
      <c r="F10" s="1">
        <v>2</v>
      </c>
      <c r="G10" s="1" t="s">
        <v>21</v>
      </c>
      <c r="M10" s="33"/>
      <c r="N10" s="1" t="s">
        <v>28</v>
      </c>
      <c r="O10" s="12">
        <f>COUNTIFS(Total[Tecnología],$M$6,Total[Nombre],$N10)</f>
        <v>150</v>
      </c>
      <c r="Q10" s="32" t="s">
        <v>2</v>
      </c>
      <c r="R10" s="10">
        <v>1</v>
      </c>
      <c r="S10" s="11">
        <f>COUNTIF(Total[Problema],$R10)</f>
        <v>383</v>
      </c>
      <c r="U10" s="37"/>
      <c r="V10" s="13" t="s">
        <v>36</v>
      </c>
      <c r="W10" s="13">
        <f>COUNTIFS(Total[Solver],$U$2,Total[Nombre],$V10)</f>
        <v>8</v>
      </c>
      <c r="X10" s="40"/>
    </row>
    <row r="11" spans="2:24" x14ac:dyDescent="0.2">
      <c r="B11" s="1">
        <v>1</v>
      </c>
      <c r="C11" s="1" t="s">
        <v>24</v>
      </c>
      <c r="E11" s="1" t="s">
        <v>25</v>
      </c>
      <c r="F11" s="1">
        <v>3</v>
      </c>
      <c r="G11" s="1" t="s">
        <v>22</v>
      </c>
      <c r="I11" s="35" t="s">
        <v>38</v>
      </c>
      <c r="J11" s="10" t="s">
        <v>19</v>
      </c>
      <c r="K11" s="11">
        <f>COUNTIF(Total[Tipo],$J11)</f>
        <v>468</v>
      </c>
      <c r="M11" s="33"/>
      <c r="N11" s="1" t="s">
        <v>34</v>
      </c>
      <c r="O11" s="12">
        <f>COUNTIFS(Total[Tecnología],$M$6,Total[Nombre],$N11)</f>
        <v>57</v>
      </c>
      <c r="Q11" s="33"/>
      <c r="R11" s="1">
        <v>2</v>
      </c>
      <c r="S11" s="12">
        <f>COUNTIF(Total[Problema],$R11)</f>
        <v>293</v>
      </c>
      <c r="U11" s="7"/>
      <c r="X11" s="1">
        <f>SUM(X2:X10)</f>
        <v>578</v>
      </c>
    </row>
    <row r="12" spans="2:24" x14ac:dyDescent="0.2">
      <c r="B12" s="1">
        <v>4</v>
      </c>
      <c r="C12" s="1" t="s">
        <v>24</v>
      </c>
      <c r="E12" s="1" t="s">
        <v>25</v>
      </c>
      <c r="F12" s="1">
        <v>4</v>
      </c>
      <c r="G12" s="1" t="s">
        <v>21</v>
      </c>
      <c r="I12" s="36"/>
      <c r="J12" s="1" t="s">
        <v>20</v>
      </c>
      <c r="K12" s="12">
        <f>COUNTIF(Total[Tipo],$J12)</f>
        <v>469</v>
      </c>
      <c r="M12" s="33"/>
      <c r="N12" s="1" t="s">
        <v>35</v>
      </c>
      <c r="O12" s="12">
        <f>COUNTIFS(Total[Tecnología],$M$6,Total[Nombre],$N12)</f>
        <v>69</v>
      </c>
      <c r="Q12" s="33"/>
      <c r="R12" s="1">
        <v>3</v>
      </c>
      <c r="S12" s="12">
        <f>COUNTIF(Total[Problema],$R12)</f>
        <v>383</v>
      </c>
    </row>
    <row r="13" spans="2:24" x14ac:dyDescent="0.2">
      <c r="B13" s="1">
        <v>16</v>
      </c>
      <c r="C13" s="1" t="s">
        <v>24</v>
      </c>
      <c r="E13" s="1" t="s">
        <v>25</v>
      </c>
      <c r="F13" s="1">
        <v>5</v>
      </c>
      <c r="G13" s="1" t="s">
        <v>22</v>
      </c>
      <c r="I13" s="36"/>
      <c r="J13" s="1" t="s">
        <v>22</v>
      </c>
      <c r="K13" s="12">
        <f>COUNTIF(Total[Tipo],$J13)</f>
        <v>425</v>
      </c>
      <c r="M13" s="33"/>
      <c r="N13" s="1" t="s">
        <v>29</v>
      </c>
      <c r="O13" s="12">
        <f>COUNTIFS(Total[Tecnología],$M$6,Total[Nombre],$N13)</f>
        <v>90</v>
      </c>
      <c r="Q13" s="33"/>
      <c r="R13" s="1">
        <v>4</v>
      </c>
      <c r="S13" s="12">
        <f>COUNTIF(Total[Problema],$R13)</f>
        <v>222</v>
      </c>
      <c r="U13" s="35" t="s">
        <v>41</v>
      </c>
      <c r="V13" s="10" t="s">
        <v>26</v>
      </c>
      <c r="W13" s="10">
        <f>COUNTIFS(Total[Solver],$U$13,Total[Nombre],$V13)</f>
        <v>124</v>
      </c>
      <c r="X13" s="38">
        <f>W13+W14</f>
        <v>141</v>
      </c>
    </row>
    <row r="14" spans="2:24" x14ac:dyDescent="0.2">
      <c r="B14" s="1">
        <v>256</v>
      </c>
      <c r="C14" s="1" t="s">
        <v>25</v>
      </c>
      <c r="E14" s="1" t="s">
        <v>25</v>
      </c>
      <c r="F14" s="1">
        <v>6</v>
      </c>
      <c r="G14" s="1" t="s">
        <v>21</v>
      </c>
      <c r="I14" s="37"/>
      <c r="J14" s="13" t="s">
        <v>21</v>
      </c>
      <c r="K14" s="14">
        <f>COUNTIF(Total[Tipo],$J14)</f>
        <v>309</v>
      </c>
      <c r="M14" s="34"/>
      <c r="N14" s="13" t="s">
        <v>36</v>
      </c>
      <c r="O14" s="14">
        <f>COUNTIFS(Total[Tecnología],$M$6,Total[Nombre],$N14)</f>
        <v>24</v>
      </c>
      <c r="Q14" s="33"/>
      <c r="R14" s="1">
        <v>5</v>
      </c>
      <c r="S14" s="12">
        <f>COUNTIF(Total[Problema],$R14)</f>
        <v>150</v>
      </c>
      <c r="U14" s="36"/>
      <c r="V14" s="1" t="s">
        <v>32</v>
      </c>
      <c r="W14" s="1">
        <f>COUNTIFS(Total[Solver],$U$13,Total[Nombre],$V14)</f>
        <v>17</v>
      </c>
      <c r="X14" s="39"/>
    </row>
    <row r="15" spans="2:24" x14ac:dyDescent="0.2">
      <c r="K15" s="1">
        <f>SUM(K11:K14)</f>
        <v>1671</v>
      </c>
      <c r="O15" s="1">
        <f>SUM(O2:O14)</f>
        <v>1671</v>
      </c>
      <c r="Q15" s="33"/>
      <c r="R15" s="1">
        <v>6</v>
      </c>
      <c r="S15" s="12">
        <f>COUNTIF(Total[Problema],$R15)</f>
        <v>57</v>
      </c>
      <c r="U15" s="36"/>
      <c r="V15" s="1" t="s">
        <v>42</v>
      </c>
      <c r="W15" s="1">
        <f>COUNTIFS(Total[Solver],$U$13,Total[Nombre],$V15)</f>
        <v>124</v>
      </c>
      <c r="X15" s="39">
        <f>W15+W16</f>
        <v>141</v>
      </c>
    </row>
    <row r="16" spans="2:24" x14ac:dyDescent="0.2">
      <c r="B16" s="32" t="s">
        <v>39</v>
      </c>
      <c r="C16" s="38"/>
      <c r="E16" s="1" t="s">
        <v>23</v>
      </c>
      <c r="F16" s="1" t="s">
        <v>2</v>
      </c>
      <c r="G16" s="1" t="s">
        <v>30</v>
      </c>
      <c r="Q16" s="33"/>
      <c r="R16" s="1">
        <v>7</v>
      </c>
      <c r="S16" s="12">
        <f>COUNTIF(Total[Problema],$R16)</f>
        <v>69</v>
      </c>
      <c r="U16" s="36"/>
      <c r="V16" s="1" t="s">
        <v>33</v>
      </c>
      <c r="W16" s="1">
        <f>COUNTIFS(Total[Solver],$U$13,Total[Nombre],$V16)</f>
        <v>17</v>
      </c>
      <c r="X16" s="39"/>
    </row>
    <row r="17" spans="2:24" x14ac:dyDescent="0.2">
      <c r="B17" s="18" t="s">
        <v>43</v>
      </c>
      <c r="C17" s="12">
        <f>COUNTA(Runge1[T (s)])</f>
        <v>152</v>
      </c>
      <c r="E17" s="1" t="s">
        <v>24</v>
      </c>
      <c r="F17" s="1">
        <v>1</v>
      </c>
      <c r="G17" s="1" t="s">
        <v>26</v>
      </c>
      <c r="I17" s="35" t="s">
        <v>37</v>
      </c>
      <c r="J17" s="10" t="s">
        <v>26</v>
      </c>
      <c r="K17" s="11">
        <f>COUNTIF(Total[Nombre],$J17)</f>
        <v>383</v>
      </c>
      <c r="M17" s="35" t="s">
        <v>57</v>
      </c>
      <c r="N17" s="10" t="s">
        <v>19</v>
      </c>
      <c r="O17" s="11">
        <f>COUNTIFS(Total[Solver],M17,Total[Tipo],N17)</f>
        <v>156</v>
      </c>
      <c r="Q17" s="33"/>
      <c r="R17" s="1">
        <v>8</v>
      </c>
      <c r="S17" s="12">
        <f>COUNTIF(Total[Problema],$R17)</f>
        <v>90</v>
      </c>
      <c r="U17" s="36"/>
      <c r="V17" s="1" t="s">
        <v>28</v>
      </c>
      <c r="W17" s="1">
        <f>COUNTIFS(Total[Solver],$U$13,Total[Nombre],$V17)</f>
        <v>136</v>
      </c>
      <c r="X17" s="39">
        <f>W17+W18+W19</f>
        <v>202</v>
      </c>
    </row>
    <row r="18" spans="2:24" x14ac:dyDescent="0.2">
      <c r="B18" s="18" t="s">
        <v>44</v>
      </c>
      <c r="C18" s="12">
        <f>COUNTA(Runge2[T (s)])</f>
        <v>152</v>
      </c>
      <c r="E18" s="1" t="s">
        <v>24</v>
      </c>
      <c r="F18" s="1">
        <v>2</v>
      </c>
      <c r="G18" s="1" t="s">
        <v>27</v>
      </c>
      <c r="I18" s="36"/>
      <c r="J18" s="1" t="s">
        <v>32</v>
      </c>
      <c r="K18" s="12">
        <f>COUNTIF(Total[Nombre],$J18)</f>
        <v>41</v>
      </c>
      <c r="M18" s="37"/>
      <c r="N18" s="13" t="s">
        <v>20</v>
      </c>
      <c r="O18" s="14">
        <f>COUNTIFS(Total[Solver],M17,Total[Tipo],N18)</f>
        <v>156</v>
      </c>
      <c r="Q18" s="34"/>
      <c r="R18" s="13">
        <v>9</v>
      </c>
      <c r="S18" s="14">
        <f>COUNTIF(Total[Problema],$R18)</f>
        <v>24</v>
      </c>
      <c r="U18" s="36"/>
      <c r="V18" s="1" t="s">
        <v>34</v>
      </c>
      <c r="W18" s="1">
        <f>COUNTIFS(Total[Solver],$U$13,Total[Nombre],$V18)</f>
        <v>33</v>
      </c>
      <c r="X18" s="39"/>
    </row>
    <row r="19" spans="2:24" x14ac:dyDescent="0.2">
      <c r="B19" s="18" t="s">
        <v>45</v>
      </c>
      <c r="C19" s="12">
        <f>COUNTA(Runge3[T (s)])</f>
        <v>176</v>
      </c>
      <c r="E19" s="1" t="s">
        <v>24</v>
      </c>
      <c r="F19" s="1">
        <v>3</v>
      </c>
      <c r="G19" s="1" t="s">
        <v>28</v>
      </c>
      <c r="I19" s="36"/>
      <c r="J19" s="1" t="s">
        <v>27</v>
      </c>
      <c r="K19" s="12">
        <f>COUNTIF(Total[Nombre],$J19)</f>
        <v>383</v>
      </c>
      <c r="M19" s="35" t="s">
        <v>41</v>
      </c>
      <c r="N19" s="10" t="s">
        <v>19</v>
      </c>
      <c r="O19" s="11">
        <f>COUNTIFS(Total[Solver],$M$19,Total[Tipo],$N19)</f>
        <v>156</v>
      </c>
      <c r="S19" s="1">
        <f>SUM(S10:S18)</f>
        <v>1671</v>
      </c>
      <c r="U19" s="36"/>
      <c r="V19" s="1" t="s">
        <v>35</v>
      </c>
      <c r="W19" s="1">
        <f>COUNTIFS(Total[Solver],$U$13,Total[Nombre],$V19)</f>
        <v>33</v>
      </c>
      <c r="X19" s="39"/>
    </row>
    <row r="20" spans="2:24" ht="12.75" customHeight="1" x14ac:dyDescent="0.2">
      <c r="B20" s="18" t="s">
        <v>46</v>
      </c>
      <c r="C20" s="12">
        <f>COUNTA(Runge4[T (s)])</f>
        <v>98</v>
      </c>
      <c r="E20" s="1" t="s">
        <v>24</v>
      </c>
      <c r="F20" s="1">
        <v>4</v>
      </c>
      <c r="G20" s="1" t="s">
        <v>29</v>
      </c>
      <c r="I20" s="36"/>
      <c r="J20" s="1" t="s">
        <v>33</v>
      </c>
      <c r="K20" s="12">
        <f>COUNTIF(Total[Nombre],$J20)</f>
        <v>41</v>
      </c>
      <c r="M20" s="37"/>
      <c r="N20" s="13" t="s">
        <v>20</v>
      </c>
      <c r="O20" s="14">
        <f>COUNTIFS(Total[Solver],$M$19,Total[Tipo],$N20)</f>
        <v>156</v>
      </c>
      <c r="U20" s="36"/>
      <c r="V20" s="1" t="s">
        <v>29</v>
      </c>
      <c r="W20" s="1">
        <f>COUNTIFS(Total[Solver],$U$13,Total[Nombre],$V20)</f>
        <v>90</v>
      </c>
      <c r="X20" s="39">
        <f>W20+W21</f>
        <v>98</v>
      </c>
    </row>
    <row r="21" spans="2:24" x14ac:dyDescent="0.2">
      <c r="B21" s="18" t="s">
        <v>47</v>
      </c>
      <c r="C21" s="12">
        <f>COUNTA(Bash1[T (s)])</f>
        <v>141</v>
      </c>
      <c r="E21" s="1" t="s">
        <v>25</v>
      </c>
      <c r="F21" s="1">
        <v>1</v>
      </c>
      <c r="G21" s="1" t="s">
        <v>26</v>
      </c>
      <c r="I21" s="36"/>
      <c r="J21" s="1" t="s">
        <v>28</v>
      </c>
      <c r="K21" s="12">
        <f>COUNTIF(Total[Nombre],$J21)</f>
        <v>402</v>
      </c>
      <c r="M21" s="35" t="s">
        <v>40</v>
      </c>
      <c r="N21" s="10" t="s">
        <v>19</v>
      </c>
      <c r="O21" s="11">
        <f>COUNTIFS(Total[Solver],$M$21,Total[Tipo],$N21)</f>
        <v>156</v>
      </c>
      <c r="U21" s="37"/>
      <c r="V21" s="13" t="s">
        <v>36</v>
      </c>
      <c r="W21" s="13">
        <f>COUNTIFS(Total[Solver],$U$13,Total[Nombre],$V21)</f>
        <v>8</v>
      </c>
      <c r="X21" s="40"/>
    </row>
    <row r="22" spans="2:24" x14ac:dyDescent="0.2">
      <c r="B22" s="18" t="s">
        <v>48</v>
      </c>
      <c r="C22" s="12">
        <f>COUNTA(Bash2[T (s)])</f>
        <v>141</v>
      </c>
      <c r="E22" s="1" t="s">
        <v>25</v>
      </c>
      <c r="F22" s="1">
        <v>2</v>
      </c>
      <c r="G22" s="1" t="s">
        <v>32</v>
      </c>
      <c r="I22" s="36"/>
      <c r="J22" s="1" t="s">
        <v>34</v>
      </c>
      <c r="K22" s="12">
        <f>COUNTIF(Total[Nombre],$J22)</f>
        <v>57</v>
      </c>
      <c r="M22" s="37"/>
      <c r="N22" s="13" t="s">
        <v>20</v>
      </c>
      <c r="O22" s="14">
        <f>COUNTIFS(Total[Solver],$M$21,Total[Tipo],$N22)</f>
        <v>157</v>
      </c>
      <c r="X22" s="1">
        <f>SUM(X13:X21)</f>
        <v>582</v>
      </c>
    </row>
    <row r="23" spans="2:24" x14ac:dyDescent="0.2">
      <c r="B23" s="18" t="s">
        <v>49</v>
      </c>
      <c r="C23" s="12">
        <f>COUNTA(Bash3[T (s)])</f>
        <v>202</v>
      </c>
      <c r="E23" s="1" t="s">
        <v>25</v>
      </c>
      <c r="F23" s="1">
        <v>3</v>
      </c>
      <c r="G23" s="1" t="s">
        <v>27</v>
      </c>
      <c r="I23" s="36"/>
      <c r="J23" s="1" t="s">
        <v>35</v>
      </c>
      <c r="K23" s="12">
        <f>COUNTIF(Total[Nombre],$J23)</f>
        <v>69</v>
      </c>
      <c r="M23" s="35" t="s">
        <v>57</v>
      </c>
      <c r="N23" s="10" t="s">
        <v>22</v>
      </c>
      <c r="O23" s="11">
        <f>COUNTIFS(Total[Solver],$M$23,Total[Tipo],$N23)</f>
        <v>133</v>
      </c>
    </row>
    <row r="24" spans="2:24" x14ac:dyDescent="0.2">
      <c r="B24" s="18" t="s">
        <v>50</v>
      </c>
      <c r="C24" s="12">
        <f>COUNTA(Bash4[T (s)])</f>
        <v>98</v>
      </c>
      <c r="E24" s="1" t="s">
        <v>25</v>
      </c>
      <c r="F24" s="1">
        <v>4</v>
      </c>
      <c r="G24" s="1" t="s">
        <v>33</v>
      </c>
      <c r="I24" s="36"/>
      <c r="J24" s="1" t="s">
        <v>29</v>
      </c>
      <c r="K24" s="12">
        <f>COUNTIF(Total[Nombre],$J24)</f>
        <v>271</v>
      </c>
      <c r="M24" s="37"/>
      <c r="N24" s="13" t="s">
        <v>21</v>
      </c>
      <c r="O24" s="14">
        <f>COUNTIFS(Total[Solver],$M$23,Total[Tipo],$N24)</f>
        <v>133</v>
      </c>
      <c r="U24" s="35" t="s">
        <v>40</v>
      </c>
      <c r="V24" s="10" t="s">
        <v>26</v>
      </c>
      <c r="W24" s="10">
        <f>COUNTIFS(Total[Solver],$U$24,Total[Nombre],$V24)</f>
        <v>119</v>
      </c>
      <c r="X24" s="38">
        <f>W24+W25</f>
        <v>131</v>
      </c>
    </row>
    <row r="25" spans="2:24" x14ac:dyDescent="0.2">
      <c r="B25" s="18" t="s">
        <v>51</v>
      </c>
      <c r="C25" s="12">
        <f>COUNTA(Moult1[T (s)])</f>
        <v>131</v>
      </c>
      <c r="E25" s="1" t="s">
        <v>25</v>
      </c>
      <c r="F25" s="1">
        <v>5</v>
      </c>
      <c r="G25" s="1" t="s">
        <v>28</v>
      </c>
      <c r="I25" s="37"/>
      <c r="J25" s="13" t="s">
        <v>36</v>
      </c>
      <c r="K25" s="14">
        <f>COUNTIF(Total[Nombre],$J25)</f>
        <v>24</v>
      </c>
      <c r="M25" s="35" t="s">
        <v>41</v>
      </c>
      <c r="N25" s="10" t="s">
        <v>22</v>
      </c>
      <c r="O25" s="11">
        <f>COUNTIFS(Total[Solver],$M$25,Total[Tipo],$N25)</f>
        <v>182</v>
      </c>
      <c r="U25" s="36"/>
      <c r="V25" s="1" t="s">
        <v>32</v>
      </c>
      <c r="W25" s="1">
        <f>COUNTIFS(Total[Solver],$U$24,Total[Nombre],$V25)</f>
        <v>12</v>
      </c>
      <c r="X25" s="39"/>
    </row>
    <row r="26" spans="2:24" x14ac:dyDescent="0.2">
      <c r="B26" s="18" t="s">
        <v>52</v>
      </c>
      <c r="C26" s="12">
        <f>COUNTA(Moult2[T (s)])</f>
        <v>131</v>
      </c>
      <c r="E26" s="1" t="s">
        <v>25</v>
      </c>
      <c r="F26" s="1">
        <v>6</v>
      </c>
      <c r="G26" s="1" t="s">
        <v>34</v>
      </c>
      <c r="K26" s="1">
        <f>SUM(K17:K25)</f>
        <v>1671</v>
      </c>
      <c r="M26" s="37"/>
      <c r="N26" s="13" t="s">
        <v>21</v>
      </c>
      <c r="O26" s="14">
        <f>COUNTIFS(Total[Solver],$M$25,Total[Tipo],$N26)</f>
        <v>88</v>
      </c>
      <c r="U26" s="36"/>
      <c r="V26" s="1" t="s">
        <v>42</v>
      </c>
      <c r="W26" s="1">
        <f>COUNTIFS(Total[Solver],$U$24,Total[Nombre],$V26)</f>
        <v>119</v>
      </c>
      <c r="X26" s="39">
        <f>W26+W27</f>
        <v>131</v>
      </c>
    </row>
    <row r="27" spans="2:24" x14ac:dyDescent="0.2">
      <c r="B27" s="18" t="s">
        <v>53</v>
      </c>
      <c r="C27" s="12">
        <f>COUNTA(Moult3[T (s)])</f>
        <v>150</v>
      </c>
      <c r="E27" s="1" t="s">
        <v>25</v>
      </c>
      <c r="F27" s="1">
        <v>7</v>
      </c>
      <c r="G27" s="1" t="s">
        <v>35</v>
      </c>
      <c r="M27" s="35" t="s">
        <v>40</v>
      </c>
      <c r="N27" s="10" t="s">
        <v>22</v>
      </c>
      <c r="O27" s="11">
        <f>COUNTIFS(Total[Solver],$M$27,Total[Tipo],$N27)</f>
        <v>110</v>
      </c>
      <c r="U27" s="36"/>
      <c r="V27" s="1" t="s">
        <v>33</v>
      </c>
      <c r="W27" s="1">
        <f>COUNTIFS(Total[Solver],$U$24,Total[Nombre],$V27)</f>
        <v>12</v>
      </c>
      <c r="X27" s="39"/>
    </row>
    <row r="28" spans="2:24" x14ac:dyDescent="0.2">
      <c r="B28" s="19" t="s">
        <v>54</v>
      </c>
      <c r="C28" s="14">
        <f>COUNTA(Moult4[T (s)])</f>
        <v>99</v>
      </c>
      <c r="E28" s="1" t="s">
        <v>25</v>
      </c>
      <c r="F28" s="1">
        <v>8</v>
      </c>
      <c r="G28" s="1" t="s">
        <v>29</v>
      </c>
      <c r="I28" s="32" t="s">
        <v>3</v>
      </c>
      <c r="J28" s="10">
        <v>1</v>
      </c>
      <c r="K28" s="11">
        <f>COUNTIF(Total[Hebras],$J28)</f>
        <v>313</v>
      </c>
      <c r="M28" s="37"/>
      <c r="N28" s="13" t="s">
        <v>21</v>
      </c>
      <c r="O28" s="14">
        <f>COUNTIFS(Total[Solver],$M$27,Total[Tipo],$N28)</f>
        <v>88</v>
      </c>
      <c r="U28" s="36"/>
      <c r="V28" s="1" t="s">
        <v>28</v>
      </c>
      <c r="W28" s="1">
        <f>COUNTIFS(Total[Solver],$U$24,Total[Nombre],$V28)</f>
        <v>126</v>
      </c>
      <c r="X28" s="39">
        <f>W28+W29+W30</f>
        <v>150</v>
      </c>
    </row>
    <row r="29" spans="2:24" x14ac:dyDescent="0.2">
      <c r="E29" s="1" t="s">
        <v>25</v>
      </c>
      <c r="F29" s="1">
        <v>9</v>
      </c>
      <c r="G29" s="1" t="s">
        <v>36</v>
      </c>
      <c r="I29" s="33"/>
      <c r="J29" s="1">
        <v>4</v>
      </c>
      <c r="K29" s="12">
        <f>COUNTIF(Total[Hebras],$J29)</f>
        <v>312</v>
      </c>
      <c r="O29" s="1">
        <f>SUM(O17:O28)</f>
        <v>1671</v>
      </c>
      <c r="U29" s="36"/>
      <c r="V29" s="1" t="s">
        <v>34</v>
      </c>
      <c r="W29" s="1">
        <f>COUNTIFS(Total[Solver],$U$24,Total[Nombre],$V29)</f>
        <v>12</v>
      </c>
      <c r="X29" s="39"/>
    </row>
    <row r="30" spans="2:24" x14ac:dyDescent="0.2">
      <c r="B30" s="28" t="s">
        <v>56</v>
      </c>
      <c r="C30" s="29"/>
      <c r="I30" s="33"/>
      <c r="J30" s="1">
        <v>16</v>
      </c>
      <c r="K30" s="12">
        <f>COUNTIF(Total[Hebras],$J30)</f>
        <v>312</v>
      </c>
      <c r="U30" s="36"/>
      <c r="V30" s="1" t="s">
        <v>35</v>
      </c>
      <c r="W30" s="1">
        <f>COUNTIFS(Total[Solver],$U$24,Total[Nombre],$V30)</f>
        <v>12</v>
      </c>
      <c r="X30" s="39"/>
    </row>
    <row r="31" spans="2:24" x14ac:dyDescent="0.2">
      <c r="B31" s="30">
        <f>COUNTA(Total[T (s)])</f>
        <v>1671</v>
      </c>
      <c r="C31" s="31"/>
      <c r="E31" s="7"/>
      <c r="F31" s="7"/>
      <c r="G31" s="7"/>
      <c r="I31" s="34"/>
      <c r="J31" s="13">
        <v>256</v>
      </c>
      <c r="K31" s="14">
        <f>COUNTIF(Total[Hebras],$J31)</f>
        <v>734</v>
      </c>
      <c r="Q31" s="7"/>
      <c r="U31" s="36"/>
      <c r="V31" s="1" t="s">
        <v>29</v>
      </c>
      <c r="W31" s="1">
        <f>COUNTIFS(Total[Solver],$U$24,Total[Nombre],$V31)</f>
        <v>91</v>
      </c>
      <c r="X31" s="39">
        <f>W31+W32</f>
        <v>99</v>
      </c>
    </row>
    <row r="32" spans="2:24" x14ac:dyDescent="0.2">
      <c r="B32" s="28" t="s">
        <v>55</v>
      </c>
      <c r="C32" s="29"/>
      <c r="E32" s="7"/>
      <c r="K32" s="1">
        <f>SUM(K28:K31)</f>
        <v>1671</v>
      </c>
      <c r="Q32" s="7"/>
      <c r="U32" s="37"/>
      <c r="V32" s="13" t="s">
        <v>36</v>
      </c>
      <c r="W32" s="13">
        <f>COUNTIFS(Total[Solver],$U$24,Total[Nombre],$V32)</f>
        <v>8</v>
      </c>
      <c r="X32" s="40"/>
    </row>
    <row r="33" spans="2:24" x14ac:dyDescent="0.2">
      <c r="B33" s="30">
        <f>SUM(C17:C28)</f>
        <v>1671</v>
      </c>
      <c r="C33" s="31"/>
      <c r="E33" s="7"/>
      <c r="X33" s="1">
        <f>SUM(X24:X32)</f>
        <v>511</v>
      </c>
    </row>
    <row r="34" spans="2:24" x14ac:dyDescent="0.2">
      <c r="E34" s="7"/>
    </row>
    <row r="35" spans="2:24" x14ac:dyDescent="0.2">
      <c r="E35" s="7"/>
    </row>
    <row r="36" spans="2:24" x14ac:dyDescent="0.2">
      <c r="E36" s="7"/>
    </row>
    <row r="37" spans="2:24" x14ac:dyDescent="0.2">
      <c r="E37" s="7"/>
    </row>
    <row r="38" spans="2:24" x14ac:dyDescent="0.2">
      <c r="E38" s="7"/>
    </row>
    <row r="39" spans="2:24" x14ac:dyDescent="0.2">
      <c r="E39" s="7"/>
    </row>
    <row r="40" spans="2:24" x14ac:dyDescent="0.2">
      <c r="E40" s="7"/>
    </row>
    <row r="41" spans="2:24" x14ac:dyDescent="0.2">
      <c r="E41" s="7"/>
    </row>
    <row r="42" spans="2:24" x14ac:dyDescent="0.2">
      <c r="E42" s="7"/>
    </row>
    <row r="43" spans="2:24" x14ac:dyDescent="0.2">
      <c r="E43" s="7"/>
    </row>
  </sheetData>
  <mergeCells count="35">
    <mergeCell ref="B32:C32"/>
    <mergeCell ref="B33:C33"/>
    <mergeCell ref="U24:U32"/>
    <mergeCell ref="X2:X3"/>
    <mergeCell ref="X4:X5"/>
    <mergeCell ref="X6:X8"/>
    <mergeCell ref="X9:X10"/>
    <mergeCell ref="X13:X14"/>
    <mergeCell ref="X15:X16"/>
    <mergeCell ref="X17:X19"/>
    <mergeCell ref="X20:X21"/>
    <mergeCell ref="X24:X25"/>
    <mergeCell ref="X26:X27"/>
    <mergeCell ref="X28:X30"/>
    <mergeCell ref="X31:X32"/>
    <mergeCell ref="B16:C16"/>
    <mergeCell ref="U2:U10"/>
    <mergeCell ref="U13:U21"/>
    <mergeCell ref="M27:M28"/>
    <mergeCell ref="I17:I25"/>
    <mergeCell ref="M6:M14"/>
    <mergeCell ref="Q2:Q7"/>
    <mergeCell ref="Q10:Q18"/>
    <mergeCell ref="B30:C30"/>
    <mergeCell ref="B31:C31"/>
    <mergeCell ref="M2:M5"/>
    <mergeCell ref="I28:I31"/>
    <mergeCell ref="I2:I4"/>
    <mergeCell ref="I7:I8"/>
    <mergeCell ref="I11:I14"/>
    <mergeCell ref="M17:M18"/>
    <mergeCell ref="M19:M20"/>
    <mergeCell ref="M21:M22"/>
    <mergeCell ref="M23:M24"/>
    <mergeCell ref="M25:M2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RungeKutta</vt:lpstr>
      <vt:lpstr>Bashford</vt:lpstr>
      <vt:lpstr>Moulton</vt:lpstr>
      <vt:lpstr>Completo</vt:lpstr>
      <vt:lpstr>Auxiliares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Navarro</dc:creator>
  <cp:lastModifiedBy>Pepe Navarro</cp:lastModifiedBy>
  <dcterms:created xsi:type="dcterms:W3CDTF">2026-07-21T10:07:17Z</dcterms:created>
  <dcterms:modified xsi:type="dcterms:W3CDTF">2026-08-31T10:25:00Z</dcterms:modified>
</cp:coreProperties>
</file>