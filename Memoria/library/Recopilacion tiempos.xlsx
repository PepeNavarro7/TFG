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Google Drive\Uni\TFG\Memoria\library\"/>
    </mc:Choice>
  </mc:AlternateContent>
  <xr:revisionPtr revIDLastSave="0" documentId="13_ncr:1_{72387635-0F98-43C1-BF0B-53987516780D}" xr6:coauthVersionLast="47" xr6:coauthVersionMax="47" xr10:uidLastSave="{00000000-0000-0000-0000-000000000000}"/>
  <bookViews>
    <workbookView xWindow="-120" yWindow="-120" windowWidth="29040" windowHeight="15720" activeTab="3" xr2:uid="{56EB3B85-1326-422B-B675-B183A5440612}"/>
  </bookViews>
  <sheets>
    <sheet name="RungeKutta" sheetId="11" r:id="rId1"/>
    <sheet name="Bashford" sheetId="12" r:id="rId2"/>
    <sheet name="Moulton" sheetId="13" r:id="rId3"/>
    <sheet name="Completo" sheetId="10" r:id="rId4"/>
    <sheet name="Auxiliares" sheetId="1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0" i="11" l="1" a="1"/>
  <c r="AA20" i="11" s="1"/>
  <c r="AA32" i="11" a="1"/>
  <c r="AA32" i="11" s="1"/>
  <c r="AA33" i="11" a="1"/>
  <c r="AA33" i="11" s="1"/>
  <c r="AA34" i="11" a="1"/>
  <c r="AA34" i="11" s="1"/>
  <c r="AA48" i="11" a="1"/>
  <c r="AA48" i="11" s="1"/>
  <c r="AA49" i="11" a="1"/>
  <c r="AA49" i="11" s="1"/>
  <c r="AA60" i="11" a="1"/>
  <c r="AA60" i="11" s="1"/>
  <c r="AA61" i="11" a="1"/>
  <c r="AA61" i="11" s="1"/>
  <c r="AA62" i="11" a="1"/>
  <c r="AA62" i="11" s="1"/>
  <c r="AA75" i="11" a="1"/>
  <c r="AA75" i="11" s="1"/>
  <c r="AA76" i="11" a="1"/>
  <c r="AA76" i="11" s="1"/>
  <c r="AA77" i="11" a="1"/>
  <c r="AA77" i="11" s="1"/>
  <c r="AA91" i="11" a="1"/>
  <c r="AA91" i="11" s="1"/>
  <c r="AA92" i="11" a="1"/>
  <c r="AA92" i="11" s="1"/>
  <c r="Z7" i="11" a="1"/>
  <c r="Z7" i="11" s="1"/>
  <c r="Z12" i="11" a="1"/>
  <c r="Z12" i="11" s="1"/>
  <c r="Z13" i="11" a="1"/>
  <c r="Z13" i="11" s="1"/>
  <c r="Z20" i="11" a="1"/>
  <c r="Z20" i="11" s="1"/>
  <c r="Z21" i="11" a="1"/>
  <c r="Z21" i="11" s="1"/>
  <c r="Z22" i="11" a="1"/>
  <c r="Z22" i="11" s="1"/>
  <c r="Z27" i="11" a="1"/>
  <c r="Z27" i="11" s="1"/>
  <c r="Z33" i="11" a="1"/>
  <c r="Z33" i="11" s="1"/>
  <c r="Z34" i="11" a="1"/>
  <c r="Z34" i="11" s="1"/>
  <c r="Z35" i="11" a="1"/>
  <c r="Z35" i="11" s="1"/>
  <c r="Z36" i="11" a="1"/>
  <c r="Z36" i="11" s="1"/>
  <c r="Z44" i="11" a="1"/>
  <c r="Z44" i="11" s="1"/>
  <c r="Z45" i="11" a="1"/>
  <c r="Z45" i="11" s="1"/>
  <c r="Z48" i="11" a="1"/>
  <c r="Z48" i="11" s="1"/>
  <c r="Z49" i="11" a="1"/>
  <c r="Z49" i="11" s="1"/>
  <c r="Z50" i="11" a="1"/>
  <c r="Z50" i="11" s="1"/>
  <c r="Z59" i="11" a="1"/>
  <c r="Z59" i="11" s="1"/>
  <c r="Z61" i="11" a="1"/>
  <c r="Z61" i="11" s="1"/>
  <c r="Z64" i="11" a="1"/>
  <c r="Z64" i="11" s="1"/>
  <c r="Z65" i="11" a="1"/>
  <c r="Z65" i="11" s="1"/>
  <c r="Z75" i="11" a="1"/>
  <c r="Z75" i="11" s="1"/>
  <c r="Z76" i="11" a="1"/>
  <c r="Z76" i="11" s="1"/>
  <c r="Z77" i="11" a="1"/>
  <c r="Z77" i="11" s="1"/>
  <c r="Z78" i="11" a="1"/>
  <c r="Z78" i="11"/>
  <c r="Z84" i="11" a="1"/>
  <c r="Z84" i="11" s="1"/>
  <c r="Z91" i="11" a="1"/>
  <c r="Z91" i="11" s="1"/>
  <c r="Z92" i="11" a="1"/>
  <c r="Z92" i="11" s="1"/>
  <c r="Z93" i="11" a="1"/>
  <c r="Z93" i="11" s="1"/>
  <c r="Z97" i="11" a="1"/>
  <c r="Z97" i="11" s="1"/>
  <c r="Z98" i="11" a="1"/>
  <c r="Z98" i="11" s="1"/>
  <c r="Y7" i="11"/>
  <c r="AA7" i="11" s="1" a="1"/>
  <c r="AA7" i="11" s="1"/>
  <c r="Y8" i="11"/>
  <c r="AA8" i="11" s="1" a="1"/>
  <c r="AA8" i="11" s="1"/>
  <c r="Y9" i="11"/>
  <c r="Z9" i="11" s="1" a="1"/>
  <c r="Z9" i="11" s="1"/>
  <c r="Y10" i="11"/>
  <c r="Z10" i="11" s="1" a="1"/>
  <c r="Z10" i="11" s="1"/>
  <c r="Y11" i="11"/>
  <c r="Z11" i="11" s="1" a="1"/>
  <c r="Z11" i="11" s="1"/>
  <c r="Y12" i="11"/>
  <c r="AA12" i="11" s="1" a="1"/>
  <c r="AA12" i="11" s="1"/>
  <c r="Y13" i="11"/>
  <c r="AA13" i="11" s="1" a="1"/>
  <c r="AA13" i="11" s="1"/>
  <c r="Y14" i="11"/>
  <c r="Z14" i="11" s="1" a="1"/>
  <c r="Z14" i="11" s="1"/>
  <c r="Y15" i="11"/>
  <c r="Z15" i="11" s="1" a="1"/>
  <c r="Z15" i="11" s="1"/>
  <c r="Y16" i="11"/>
  <c r="Z16" i="11" s="1" a="1"/>
  <c r="Z16" i="11" s="1"/>
  <c r="Y17" i="11"/>
  <c r="Z17" i="11" s="1" a="1"/>
  <c r="Z17" i="11" s="1"/>
  <c r="Y18" i="11"/>
  <c r="Z18" i="11" s="1" a="1"/>
  <c r="Z18" i="11" s="1"/>
  <c r="Y19" i="11"/>
  <c r="Z19" i="11" s="1" a="1"/>
  <c r="Z19" i="11" s="1"/>
  <c r="Y20" i="11"/>
  <c r="Y21" i="11"/>
  <c r="AA21" i="11" s="1" a="1"/>
  <c r="AA21" i="11" s="1"/>
  <c r="Y22" i="11"/>
  <c r="AA22" i="11" s="1" a="1"/>
  <c r="AA22" i="11" s="1"/>
  <c r="Y23" i="11"/>
  <c r="Z23" i="11" s="1" a="1"/>
  <c r="Z23" i="11" s="1"/>
  <c r="Y24" i="11"/>
  <c r="Z24" i="11" s="1" a="1"/>
  <c r="Z24" i="11" s="1"/>
  <c r="Y25" i="11"/>
  <c r="Z25" i="11" s="1" a="1"/>
  <c r="Z25" i="11" s="1"/>
  <c r="Y26" i="11"/>
  <c r="Z26" i="11" s="1" a="1"/>
  <c r="Z26" i="11" s="1"/>
  <c r="Y27" i="11"/>
  <c r="AA27" i="11" s="1" a="1"/>
  <c r="AA27" i="11" s="1"/>
  <c r="Y28" i="11"/>
  <c r="Z28" i="11" s="1" a="1"/>
  <c r="Z28" i="11" s="1"/>
  <c r="Y29" i="11"/>
  <c r="Z29" i="11" s="1" a="1"/>
  <c r="Z29" i="11" s="1"/>
  <c r="Y30" i="11"/>
  <c r="Z30" i="11" s="1" a="1"/>
  <c r="Z30" i="11" s="1"/>
  <c r="Y31" i="11"/>
  <c r="Z31" i="11" s="1" a="1"/>
  <c r="Z31" i="11" s="1"/>
  <c r="Y32" i="11"/>
  <c r="Z32" i="11" s="1" a="1"/>
  <c r="Z32" i="11" s="1"/>
  <c r="Y33" i="11"/>
  <c r="Y34" i="11"/>
  <c r="Y35" i="11"/>
  <c r="AA35" i="11" s="1" a="1"/>
  <c r="AA35" i="11" s="1"/>
  <c r="Y36" i="11"/>
  <c r="AA36" i="11" s="1" a="1"/>
  <c r="AA36" i="11" s="1"/>
  <c r="Y37" i="11"/>
  <c r="AA37" i="11" s="1" a="1"/>
  <c r="AA37" i="11" s="1"/>
  <c r="Y38" i="11"/>
  <c r="Z38" i="11" s="1" a="1"/>
  <c r="Z38" i="11" s="1"/>
  <c r="Y39" i="11"/>
  <c r="Z39" i="11" s="1" a="1"/>
  <c r="Z39" i="11" s="1"/>
  <c r="Y40" i="11"/>
  <c r="Z40" i="11" s="1" a="1"/>
  <c r="Z40" i="11" s="1"/>
  <c r="Y41" i="11"/>
  <c r="Z41" i="11" s="1" a="1"/>
  <c r="Z41" i="11" s="1"/>
  <c r="Y42" i="11"/>
  <c r="Z42" i="11" s="1" a="1"/>
  <c r="Z42" i="11" s="1"/>
  <c r="Y43" i="11"/>
  <c r="Z43" i="11" s="1" a="1"/>
  <c r="Z43" i="11" s="1"/>
  <c r="Y44" i="11"/>
  <c r="AA44" i="11" s="1" a="1"/>
  <c r="AA44" i="11" s="1"/>
  <c r="Y45" i="11"/>
  <c r="AA45" i="11" s="1" a="1"/>
  <c r="AA45" i="11" s="1"/>
  <c r="Y46" i="11"/>
  <c r="Z46" i="11" s="1" a="1"/>
  <c r="Z46" i="11" s="1"/>
  <c r="Y47" i="11"/>
  <c r="Z47" i="11" s="1" a="1"/>
  <c r="Z47" i="11" s="1"/>
  <c r="Y48" i="11"/>
  <c r="Y49" i="11"/>
  <c r="Y50" i="11"/>
  <c r="AA50" i="11" s="1" a="1"/>
  <c r="AA50" i="11" s="1"/>
  <c r="Y51" i="11"/>
  <c r="AA51" i="11" s="1" a="1"/>
  <c r="AA51" i="11" s="1"/>
  <c r="Y52" i="11"/>
  <c r="Z52" i="11" s="1" a="1"/>
  <c r="Z52" i="11" s="1"/>
  <c r="Y53" i="11"/>
  <c r="Z53" i="11" s="1" a="1"/>
  <c r="Z53" i="11" s="1"/>
  <c r="Y54" i="11"/>
  <c r="Z54" i="11" s="1" a="1"/>
  <c r="Z54" i="11" s="1"/>
  <c r="Y55" i="11"/>
  <c r="Z55" i="11" s="1" a="1"/>
  <c r="Z55" i="11" s="1"/>
  <c r="Y56" i="11"/>
  <c r="Z56" i="11" s="1" a="1"/>
  <c r="Z56" i="11" s="1"/>
  <c r="Y57" i="11"/>
  <c r="Z57" i="11" s="1" a="1"/>
  <c r="Z57" i="11" s="1"/>
  <c r="Y58" i="11"/>
  <c r="Z58" i="11" s="1" a="1"/>
  <c r="Z58" i="11" s="1"/>
  <c r="Y59" i="11"/>
  <c r="AA59" i="11" s="1" a="1"/>
  <c r="AA59" i="11" s="1"/>
  <c r="Y60" i="11"/>
  <c r="Z60" i="11" s="1" a="1"/>
  <c r="Z60" i="11" s="1"/>
  <c r="Y61" i="11"/>
  <c r="Y62" i="11"/>
  <c r="Z62" i="11" s="1" a="1"/>
  <c r="Z62" i="11" s="1"/>
  <c r="Y63" i="11"/>
  <c r="Z63" i="11" s="1" a="1"/>
  <c r="Z63" i="11" s="1"/>
  <c r="Y64" i="11"/>
  <c r="AA64" i="11" s="1" a="1"/>
  <c r="AA64" i="11" s="1"/>
  <c r="Y65" i="11"/>
  <c r="AA65" i="11" s="1" a="1"/>
  <c r="AA65" i="11" s="1"/>
  <c r="Y66" i="11"/>
  <c r="Z66" i="11" s="1" a="1"/>
  <c r="Z66" i="11" s="1"/>
  <c r="Y67" i="11"/>
  <c r="Z67" i="11" s="1" a="1"/>
  <c r="Z67" i="11" s="1"/>
  <c r="Y68" i="11"/>
  <c r="Z68" i="11" s="1" a="1"/>
  <c r="Z68" i="11" s="1"/>
  <c r="Y69" i="11"/>
  <c r="Z69" i="11" s="1" a="1"/>
  <c r="Z69" i="11" s="1"/>
  <c r="Y70" i="11"/>
  <c r="Z70" i="11" s="1" a="1"/>
  <c r="Z70" i="11" s="1"/>
  <c r="Y71" i="11"/>
  <c r="Z71" i="11" s="1" a="1"/>
  <c r="Z71" i="11" s="1"/>
  <c r="Y72" i="11"/>
  <c r="Z72" i="11" s="1" a="1"/>
  <c r="Z72" i="11" s="1"/>
  <c r="Y73" i="11"/>
  <c r="Z73" i="11" s="1" a="1"/>
  <c r="Z73" i="11" s="1"/>
  <c r="Y74" i="11"/>
  <c r="Z74" i="11" s="1" a="1"/>
  <c r="Z74" i="11" s="1"/>
  <c r="Y75" i="11"/>
  <c r="Y76" i="11"/>
  <c r="Y77" i="11"/>
  <c r="Y78" i="11"/>
  <c r="AA78" i="11" s="1" a="1"/>
  <c r="AA78" i="11" s="1"/>
  <c r="Y79" i="11"/>
  <c r="AA79" i="11" s="1" a="1"/>
  <c r="AA79" i="11" s="1"/>
  <c r="Y80" i="11"/>
  <c r="Z80" i="11" s="1" a="1"/>
  <c r="Z80" i="11" s="1"/>
  <c r="Y81" i="11"/>
  <c r="Z81" i="11" s="1" a="1"/>
  <c r="Z81" i="11" s="1"/>
  <c r="Y82" i="11"/>
  <c r="Z82" i="11" s="1" a="1"/>
  <c r="Z82" i="11" s="1"/>
  <c r="Y83" i="11"/>
  <c r="Z83" i="11" s="1" a="1"/>
  <c r="Z83" i="11" s="1"/>
  <c r="Y84" i="11"/>
  <c r="AA84" i="11" s="1" a="1"/>
  <c r="AA84" i="11" s="1"/>
  <c r="Y85" i="11"/>
  <c r="Z85" i="11" s="1" a="1"/>
  <c r="Z85" i="11" s="1"/>
  <c r="Y86" i="11"/>
  <c r="Z86" i="11" s="1" a="1"/>
  <c r="Z86" i="11" s="1"/>
  <c r="Y87" i="11"/>
  <c r="Z87" i="11" s="1" a="1"/>
  <c r="Z87" i="11" s="1"/>
  <c r="Y88" i="11"/>
  <c r="Z88" i="11" s="1" a="1"/>
  <c r="Z88" i="11" s="1"/>
  <c r="Y89" i="11"/>
  <c r="Z89" i="11" s="1" a="1"/>
  <c r="Z89" i="11" s="1"/>
  <c r="Y90" i="11"/>
  <c r="Z90" i="11" s="1" a="1"/>
  <c r="Z90" i="11" s="1"/>
  <c r="Y91" i="11"/>
  <c r="Y92" i="11"/>
  <c r="Y93" i="11"/>
  <c r="AA93" i="11" s="1" a="1"/>
  <c r="AA93" i="11" s="1"/>
  <c r="Y94" i="11"/>
  <c r="AA94" i="11" s="1" a="1"/>
  <c r="AA94" i="11" s="1"/>
  <c r="Y95" i="11"/>
  <c r="Z95" i="11" s="1" a="1"/>
  <c r="Z95" i="11" s="1"/>
  <c r="Y96" i="11"/>
  <c r="Z96" i="11" s="1" a="1"/>
  <c r="Z96" i="11" s="1"/>
  <c r="Y97" i="11"/>
  <c r="AA97" i="11" s="1" a="1"/>
  <c r="AA97" i="11" s="1"/>
  <c r="Y98" i="11"/>
  <c r="AA98" i="11" s="1" a="1"/>
  <c r="AA98" i="11" s="1"/>
  <c r="Y99" i="11"/>
  <c r="Z99" i="11" s="1" a="1"/>
  <c r="Z99" i="11" s="1"/>
  <c r="Y100" i="11"/>
  <c r="Z100" i="11" s="1" a="1"/>
  <c r="Z100" i="11" s="1"/>
  <c r="Y101" i="11"/>
  <c r="Z101" i="11" s="1" a="1"/>
  <c r="Z101" i="11" s="1"/>
  <c r="Y102" i="11"/>
  <c r="Z102" i="11" s="1" a="1"/>
  <c r="Z102" i="11" s="1"/>
  <c r="Y103" i="11"/>
  <c r="Z103" i="11" s="1" a="1"/>
  <c r="Z103" i="11" s="1"/>
  <c r="Y104" i="11"/>
  <c r="Z104" i="11" s="1" a="1"/>
  <c r="Z104" i="11" s="1"/>
  <c r="X7" i="11"/>
  <c r="X8" i="11"/>
  <c r="X9" i="11"/>
  <c r="X10" i="11"/>
  <c r="X11" i="11"/>
  <c r="X12" i="11"/>
  <c r="X13" i="11"/>
  <c r="X14" i="11"/>
  <c r="X15" i="11"/>
  <c r="X16" i="11"/>
  <c r="X17" i="11"/>
  <c r="X18" i="11"/>
  <c r="X19" i="11"/>
  <c r="X20" i="11"/>
  <c r="X21" i="11"/>
  <c r="X22" i="11"/>
  <c r="X23" i="11"/>
  <c r="X24" i="11"/>
  <c r="X25" i="11"/>
  <c r="X26" i="11"/>
  <c r="X27" i="11"/>
  <c r="X28" i="11"/>
  <c r="X29" i="11"/>
  <c r="X30" i="11"/>
  <c r="X31" i="11"/>
  <c r="X32" i="11"/>
  <c r="X33" i="11"/>
  <c r="X34" i="11"/>
  <c r="X35" i="11"/>
  <c r="X36" i="11"/>
  <c r="X37" i="11"/>
  <c r="X38" i="11"/>
  <c r="X39" i="11"/>
  <c r="X40" i="11"/>
  <c r="X41" i="11"/>
  <c r="X42" i="11"/>
  <c r="X43" i="11"/>
  <c r="X44" i="11"/>
  <c r="X45" i="11"/>
  <c r="X46" i="11"/>
  <c r="X47" i="11"/>
  <c r="X48" i="11"/>
  <c r="X49" i="11"/>
  <c r="X50" i="11"/>
  <c r="X51" i="11"/>
  <c r="X52" i="11"/>
  <c r="X53" i="11"/>
  <c r="X54" i="11"/>
  <c r="X55" i="11"/>
  <c r="X56" i="11"/>
  <c r="X57" i="11"/>
  <c r="X58" i="11"/>
  <c r="X59" i="11"/>
  <c r="X60" i="11"/>
  <c r="X61" i="11"/>
  <c r="X62" i="11"/>
  <c r="X63" i="11"/>
  <c r="X64" i="11"/>
  <c r="X65" i="11"/>
  <c r="X66" i="11"/>
  <c r="X67" i="11"/>
  <c r="X68" i="11"/>
  <c r="X69" i="11"/>
  <c r="X70" i="11"/>
  <c r="X71" i="11"/>
  <c r="X72" i="11"/>
  <c r="X73" i="11"/>
  <c r="X74" i="11"/>
  <c r="X75" i="11"/>
  <c r="X76" i="11"/>
  <c r="X77" i="11"/>
  <c r="X78" i="11"/>
  <c r="X79" i="11"/>
  <c r="X80" i="11"/>
  <c r="X81" i="11"/>
  <c r="X82" i="11"/>
  <c r="X83" i="11"/>
  <c r="X84" i="11"/>
  <c r="X85" i="11"/>
  <c r="X86" i="11"/>
  <c r="X87" i="11"/>
  <c r="X88" i="11"/>
  <c r="X89" i="11"/>
  <c r="X90" i="11"/>
  <c r="X91" i="11"/>
  <c r="X92" i="11"/>
  <c r="X93" i="11"/>
  <c r="X94" i="11"/>
  <c r="X95" i="11"/>
  <c r="X96" i="11"/>
  <c r="X97" i="11"/>
  <c r="X98" i="11"/>
  <c r="X99" i="11"/>
  <c r="X100" i="11"/>
  <c r="X101" i="11"/>
  <c r="X102" i="11"/>
  <c r="X103" i="11"/>
  <c r="X104" i="11"/>
  <c r="P33" i="10"/>
  <c r="P34" i="10"/>
  <c r="P35" i="10"/>
  <c r="P32" i="10"/>
  <c r="P24" i="10"/>
  <c r="P25" i="10"/>
  <c r="P26" i="10"/>
  <c r="P27" i="10"/>
  <c r="P28" i="10"/>
  <c r="P29" i="10"/>
  <c r="P30" i="10"/>
  <c r="P31" i="10"/>
  <c r="P23" i="10"/>
  <c r="P18" i="10"/>
  <c r="P19" i="10"/>
  <c r="P20" i="10"/>
  <c r="P21" i="10"/>
  <c r="P22" i="10"/>
  <c r="P17" i="10"/>
  <c r="B672" i="10"/>
  <c r="B673" i="10"/>
  <c r="B674" i="10"/>
  <c r="B675" i="10"/>
  <c r="B676" i="10"/>
  <c r="B677" i="10"/>
  <c r="B678" i="10"/>
  <c r="B679" i="10"/>
  <c r="B680" i="10"/>
  <c r="B681" i="10"/>
  <c r="B682" i="10"/>
  <c r="B683" i="10"/>
  <c r="B684" i="10"/>
  <c r="B685" i="10"/>
  <c r="B686" i="10"/>
  <c r="B687" i="10"/>
  <c r="B688" i="10"/>
  <c r="B689" i="10"/>
  <c r="B690" i="10"/>
  <c r="B691" i="10"/>
  <c r="B692" i="10"/>
  <c r="B693" i="10"/>
  <c r="B694" i="10"/>
  <c r="B695" i="10"/>
  <c r="B696" i="10"/>
  <c r="B697" i="10"/>
  <c r="B698" i="10"/>
  <c r="B699" i="10"/>
  <c r="B700" i="10"/>
  <c r="B701" i="10"/>
  <c r="B702" i="10"/>
  <c r="B703" i="10"/>
  <c r="B704" i="10"/>
  <c r="B705" i="10"/>
  <c r="B706" i="10"/>
  <c r="B707" i="10"/>
  <c r="B708" i="10"/>
  <c r="B709" i="10"/>
  <c r="B710" i="10"/>
  <c r="B711" i="10"/>
  <c r="B712" i="10"/>
  <c r="B713" i="10"/>
  <c r="B714" i="10"/>
  <c r="B715" i="10"/>
  <c r="B716" i="10"/>
  <c r="B717" i="10"/>
  <c r="B718" i="10"/>
  <c r="B719" i="10"/>
  <c r="B720" i="10"/>
  <c r="B721" i="10"/>
  <c r="B722" i="10"/>
  <c r="B723" i="10"/>
  <c r="B724" i="10"/>
  <c r="B725" i="10"/>
  <c r="B726" i="10"/>
  <c r="B727" i="10"/>
  <c r="B728" i="10"/>
  <c r="B729" i="10"/>
  <c r="B730" i="10"/>
  <c r="B731" i="10"/>
  <c r="B732" i="10"/>
  <c r="B733" i="10"/>
  <c r="B734" i="10"/>
  <c r="B735" i="10"/>
  <c r="B736" i="10"/>
  <c r="B737" i="10"/>
  <c r="B738" i="10"/>
  <c r="B739" i="10"/>
  <c r="B740" i="10"/>
  <c r="B741" i="10"/>
  <c r="B742" i="10"/>
  <c r="B743" i="10"/>
  <c r="B744" i="10"/>
  <c r="B745" i="10"/>
  <c r="B746" i="10"/>
  <c r="C672" i="10"/>
  <c r="D672" i="10" s="1" a="1"/>
  <c r="D672" i="10" s="1"/>
  <c r="C673" i="10"/>
  <c r="D673" i="10" s="1" a="1"/>
  <c r="D673" i="10" s="1"/>
  <c r="C674" i="10"/>
  <c r="C675" i="10"/>
  <c r="E675" i="10" s="1" a="1"/>
  <c r="E675" i="10" s="1"/>
  <c r="C676" i="10"/>
  <c r="E676" i="10" s="1" a="1"/>
  <c r="E676" i="10" s="1"/>
  <c r="C677" i="10"/>
  <c r="C678" i="10"/>
  <c r="D678" i="10" s="1" a="1"/>
  <c r="D678" i="10" s="1"/>
  <c r="C679" i="10"/>
  <c r="C680" i="10"/>
  <c r="D680" i="10" s="1" a="1"/>
  <c r="D680" i="10" s="1"/>
  <c r="C681" i="10"/>
  <c r="D681" i="10" s="1" a="1"/>
  <c r="D681" i="10" s="1"/>
  <c r="C682" i="10"/>
  <c r="E682" i="10" s="1" a="1"/>
  <c r="E682" i="10" s="1"/>
  <c r="C683" i="10"/>
  <c r="C684" i="10"/>
  <c r="E684" i="10" s="1" a="1"/>
  <c r="E684" i="10" s="1"/>
  <c r="C685" i="10"/>
  <c r="C686" i="10"/>
  <c r="D686" i="10" s="1" a="1"/>
  <c r="D686" i="10" s="1"/>
  <c r="C687" i="10"/>
  <c r="E687" i="10" s="1" a="1"/>
  <c r="E687" i="10" s="1"/>
  <c r="C688" i="10"/>
  <c r="D688" i="10" s="1" a="1"/>
  <c r="D688" i="10" s="1"/>
  <c r="C689" i="10"/>
  <c r="D689" i="10" s="1" a="1"/>
  <c r="D689" i="10" s="1"/>
  <c r="C690" i="10"/>
  <c r="C691" i="10"/>
  <c r="D691" i="10" s="1" a="1"/>
  <c r="D691" i="10" s="1"/>
  <c r="C692" i="10"/>
  <c r="E692" i="10" s="1" a="1"/>
  <c r="E692" i="10" s="1"/>
  <c r="C693" i="10"/>
  <c r="C694" i="10"/>
  <c r="D694" i="10" s="1" a="1"/>
  <c r="D694" i="10" s="1"/>
  <c r="C695" i="10"/>
  <c r="D695" i="10" s="1" a="1"/>
  <c r="D695" i="10" s="1"/>
  <c r="C696" i="10"/>
  <c r="D696" i="10" s="1" a="1"/>
  <c r="D696" i="10" s="1"/>
  <c r="C697" i="10"/>
  <c r="D697" i="10" s="1" a="1"/>
  <c r="D697" i="10" s="1"/>
  <c r="C698" i="10"/>
  <c r="D698" i="10" s="1" a="1"/>
  <c r="D698" i="10" s="1"/>
  <c r="C699" i="10"/>
  <c r="D699" i="10" s="1" a="1"/>
  <c r="D699" i="10" s="1"/>
  <c r="C700" i="10"/>
  <c r="E700" i="10" s="1" a="1"/>
  <c r="E700" i="10" s="1"/>
  <c r="C701" i="10"/>
  <c r="D701" i="10" s="1" a="1"/>
  <c r="D701" i="10" s="1"/>
  <c r="C702" i="10"/>
  <c r="D702" i="10" s="1" a="1"/>
  <c r="D702" i="10" s="1"/>
  <c r="C703" i="10"/>
  <c r="E703" i="10" s="1" a="1"/>
  <c r="E703" i="10" s="1"/>
  <c r="C704" i="10"/>
  <c r="D704" i="10" s="1" a="1"/>
  <c r="D704" i="10" s="1"/>
  <c r="C705" i="10"/>
  <c r="D705" i="10" s="1" a="1"/>
  <c r="D705" i="10" s="1"/>
  <c r="C706" i="10"/>
  <c r="D706" i="10" s="1" a="1"/>
  <c r="D706" i="10" s="1"/>
  <c r="C707" i="10"/>
  <c r="E707" i="10" s="1" a="1"/>
  <c r="E707" i="10" s="1"/>
  <c r="C708" i="10"/>
  <c r="E708" i="10" s="1" a="1"/>
  <c r="E708" i="10" s="1"/>
  <c r="C709" i="10"/>
  <c r="C710" i="10"/>
  <c r="D710" i="10" s="1" a="1"/>
  <c r="D710" i="10" s="1"/>
  <c r="C711" i="10"/>
  <c r="D711" i="10" s="1" a="1"/>
  <c r="D711" i="10" s="1"/>
  <c r="C712" i="10"/>
  <c r="D712" i="10" s="1" a="1"/>
  <c r="D712" i="10" s="1"/>
  <c r="C713" i="10"/>
  <c r="D713" i="10" s="1" a="1"/>
  <c r="D713" i="10" s="1"/>
  <c r="C714" i="10"/>
  <c r="D714" i="10" s="1" a="1"/>
  <c r="D714" i="10" s="1"/>
  <c r="C715" i="10"/>
  <c r="D715" i="10" s="1" a="1"/>
  <c r="D715" i="10" s="1"/>
  <c r="C716" i="10"/>
  <c r="E716" i="10" s="1" a="1"/>
  <c r="E716" i="10" s="1"/>
  <c r="C717" i="10"/>
  <c r="D717" i="10" s="1" a="1"/>
  <c r="D717" i="10" s="1"/>
  <c r="C718" i="10"/>
  <c r="D718" i="10" s="1" a="1"/>
  <c r="D718" i="10" s="1"/>
  <c r="C719" i="10"/>
  <c r="E719" i="10" s="1" a="1"/>
  <c r="E719" i="10" s="1"/>
  <c r="C720" i="10"/>
  <c r="D720" i="10" s="1" a="1"/>
  <c r="D720" i="10" s="1"/>
  <c r="C721" i="10"/>
  <c r="D721" i="10" s="1" a="1"/>
  <c r="D721" i="10" s="1"/>
  <c r="C722" i="10"/>
  <c r="D722" i="10" s="1" a="1"/>
  <c r="D722" i="10" s="1"/>
  <c r="C723" i="10"/>
  <c r="E723" i="10" s="1" a="1"/>
  <c r="E723" i="10" s="1"/>
  <c r="C724" i="10"/>
  <c r="E724" i="10" s="1" a="1"/>
  <c r="E724" i="10" s="1"/>
  <c r="C725" i="10"/>
  <c r="C726" i="10"/>
  <c r="D726" i="10" s="1" a="1"/>
  <c r="D726" i="10" s="1"/>
  <c r="C727" i="10"/>
  <c r="C728" i="10"/>
  <c r="D728" i="10" s="1" a="1"/>
  <c r="D728" i="10" s="1"/>
  <c r="C729" i="10"/>
  <c r="D729" i="10" s="1" a="1"/>
  <c r="D729" i="10" s="1"/>
  <c r="C730" i="10"/>
  <c r="D730" i="10" s="1" a="1"/>
  <c r="D730" i="10" s="1"/>
  <c r="C731" i="10"/>
  <c r="D731" i="10" s="1" a="1"/>
  <c r="D731" i="10" s="1"/>
  <c r="C732" i="10"/>
  <c r="D732" i="10" s="1" a="1"/>
  <c r="D732" i="10" s="1"/>
  <c r="C733" i="10"/>
  <c r="C734" i="10"/>
  <c r="D734" i="10" s="1" a="1"/>
  <c r="D734" i="10" s="1"/>
  <c r="C735" i="10"/>
  <c r="E735" i="10" s="1" a="1"/>
  <c r="E735" i="10" s="1"/>
  <c r="C736" i="10"/>
  <c r="D736" i="10" s="1" a="1"/>
  <c r="D736" i="10" s="1"/>
  <c r="C737" i="10"/>
  <c r="D737" i="10" s="1" a="1"/>
  <c r="D737" i="10" s="1"/>
  <c r="C738" i="10"/>
  <c r="D738" i="10" s="1" a="1"/>
  <c r="D738" i="10" s="1"/>
  <c r="C739" i="10"/>
  <c r="E739" i="10" s="1" a="1"/>
  <c r="E739" i="10" s="1"/>
  <c r="C740" i="10"/>
  <c r="E740" i="10" s="1" a="1"/>
  <c r="E740" i="10" s="1"/>
  <c r="C741" i="10"/>
  <c r="C742" i="10"/>
  <c r="D742" i="10" s="1" a="1"/>
  <c r="D742" i="10" s="1"/>
  <c r="C743" i="10"/>
  <c r="C744" i="10"/>
  <c r="D744" i="10" s="1" a="1"/>
  <c r="D744" i="10" s="1"/>
  <c r="C745" i="10"/>
  <c r="D745" i="10" s="1" a="1"/>
  <c r="D745" i="10" s="1"/>
  <c r="C746" i="10"/>
  <c r="D746" i="10" s="1" a="1"/>
  <c r="D746" i="10" s="1"/>
  <c r="D674" i="10" a="1"/>
  <c r="D674" i="10" s="1"/>
  <c r="D677" i="10" a="1"/>
  <c r="D677" i="10" s="1"/>
  <c r="D679" i="10" a="1"/>
  <c r="D679" i="10" s="1"/>
  <c r="D682" i="10" a="1"/>
  <c r="D682" i="10" s="1"/>
  <c r="D683" i="10" a="1"/>
  <c r="D683" i="10" s="1"/>
  <c r="D685" i="10" a="1"/>
  <c r="D685" i="10" s="1"/>
  <c r="D690" i="10" a="1"/>
  <c r="D690" i="10" s="1"/>
  <c r="D693" i="10" a="1"/>
  <c r="D693" i="10" s="1"/>
  <c r="D700" i="10" a="1"/>
  <c r="D700" i="10" s="1"/>
  <c r="D709" i="10" a="1"/>
  <c r="D709" i="10" s="1"/>
  <c r="D725" i="10" a="1"/>
  <c r="D725" i="10" s="1"/>
  <c r="D727" i="10" a="1"/>
  <c r="D727" i="10" s="1"/>
  <c r="D733" i="10" a="1"/>
  <c r="D733" i="10" s="1"/>
  <c r="D741" i="10" a="1"/>
  <c r="D741" i="10" s="1"/>
  <c r="D743" i="10" a="1"/>
  <c r="D743" i="10" s="1"/>
  <c r="E674" i="10" a="1"/>
  <c r="E674" i="10" s="1"/>
  <c r="E677" i="10" a="1"/>
  <c r="E677" i="10" s="1"/>
  <c r="E679" i="10" a="1"/>
  <c r="E679" i="10" s="1"/>
  <c r="E681" i="10" a="1"/>
  <c r="E681" i="10" s="1"/>
  <c r="E683" i="10" a="1"/>
  <c r="E683" i="10" s="1"/>
  <c r="E685" i="10" a="1"/>
  <c r="E685" i="10" s="1"/>
  <c r="E690" i="10" a="1"/>
  <c r="E690" i="10" s="1"/>
  <c r="E693" i="10" a="1"/>
  <c r="E693" i="10" s="1"/>
  <c r="E696" i="10" a="1"/>
  <c r="E696" i="10" s="1"/>
  <c r="E699" i="10" a="1"/>
  <c r="E699" i="10" s="1"/>
  <c r="E701" i="10" a="1"/>
  <c r="E701" i="10" s="1"/>
  <c r="E706" i="10" a="1"/>
  <c r="E706" i="10" s="1"/>
  <c r="E709" i="10" a="1"/>
  <c r="E709" i="10" s="1"/>
  <c r="E711" i="10" a="1"/>
  <c r="E711" i="10" s="1"/>
  <c r="E712" i="10" a="1"/>
  <c r="E712" i="10" s="1"/>
  <c r="E713" i="10" a="1"/>
  <c r="E713" i="10" s="1"/>
  <c r="E714" i="10" a="1"/>
  <c r="E714" i="10" s="1"/>
  <c r="E717" i="10" a="1"/>
  <c r="E717" i="10" s="1"/>
  <c r="E722" i="10" a="1"/>
  <c r="E722" i="10" s="1"/>
  <c r="E725" i="10" a="1"/>
  <c r="E725" i="10" s="1"/>
  <c r="E726" i="10" a="1"/>
  <c r="E726" i="10" s="1"/>
  <c r="E727" i="10" a="1"/>
  <c r="E727" i="10" s="1"/>
  <c r="E733" i="10" a="1"/>
  <c r="E733" i="10" s="1"/>
  <c r="E741" i="10" a="1"/>
  <c r="E741" i="10" s="1"/>
  <c r="E743" i="10" a="1"/>
  <c r="E743" i="10" s="1"/>
  <c r="E746" i="10" a="1"/>
  <c r="E746" i="10" s="1"/>
  <c r="AI7" i="13"/>
  <c r="AI8" i="13"/>
  <c r="AI9" i="13"/>
  <c r="AI10" i="13"/>
  <c r="AI11" i="13"/>
  <c r="AI12" i="13"/>
  <c r="AI13" i="13"/>
  <c r="AI14" i="13"/>
  <c r="AI15" i="13"/>
  <c r="AI16" i="13"/>
  <c r="AI17" i="13"/>
  <c r="AI18" i="13"/>
  <c r="AI19" i="13"/>
  <c r="AI20" i="13"/>
  <c r="AI21" i="13"/>
  <c r="AI22" i="13"/>
  <c r="AI23" i="13"/>
  <c r="AI24" i="13"/>
  <c r="AI25" i="13"/>
  <c r="AI26" i="13"/>
  <c r="AI27" i="13"/>
  <c r="AI28" i="13"/>
  <c r="AI29" i="13"/>
  <c r="AI30" i="13"/>
  <c r="AI31" i="13"/>
  <c r="AI32" i="13"/>
  <c r="AI33" i="13"/>
  <c r="AI34" i="13"/>
  <c r="AI35" i="13"/>
  <c r="AI36" i="13"/>
  <c r="AI37" i="13"/>
  <c r="AI38" i="13"/>
  <c r="AI39" i="13"/>
  <c r="AI40" i="13"/>
  <c r="AI41" i="13"/>
  <c r="AI42" i="13"/>
  <c r="AI43" i="13"/>
  <c r="AI44" i="13"/>
  <c r="AI45" i="13"/>
  <c r="AI46" i="13"/>
  <c r="AI47" i="13"/>
  <c r="X12" i="13"/>
  <c r="X7" i="13"/>
  <c r="X8" i="13"/>
  <c r="X9" i="13"/>
  <c r="X10" i="13"/>
  <c r="X11" i="13"/>
  <c r="X13" i="13"/>
  <c r="X14" i="13"/>
  <c r="X15" i="13"/>
  <c r="X16" i="13"/>
  <c r="X17" i="13"/>
  <c r="X18" i="13"/>
  <c r="X19" i="13"/>
  <c r="X20" i="13"/>
  <c r="X21" i="13"/>
  <c r="X22" i="13"/>
  <c r="X23" i="13"/>
  <c r="X24" i="13"/>
  <c r="X25" i="13"/>
  <c r="X26" i="13"/>
  <c r="X27" i="13"/>
  <c r="X28" i="13"/>
  <c r="X29" i="13"/>
  <c r="X30" i="13"/>
  <c r="X31" i="13"/>
  <c r="X32" i="13"/>
  <c r="X33" i="13"/>
  <c r="X34" i="13"/>
  <c r="X35" i="13"/>
  <c r="X36" i="13"/>
  <c r="X37" i="13"/>
  <c r="X38" i="13"/>
  <c r="X39" i="13"/>
  <c r="X40" i="13"/>
  <c r="X41" i="13"/>
  <c r="X42" i="13"/>
  <c r="X43" i="13"/>
  <c r="X44" i="13"/>
  <c r="X45" i="13"/>
  <c r="X46" i="13"/>
  <c r="X47" i="13"/>
  <c r="X48" i="13"/>
  <c r="X49" i="13"/>
  <c r="X50" i="13"/>
  <c r="X51" i="13"/>
  <c r="X52" i="13"/>
  <c r="X53" i="13"/>
  <c r="X54" i="13"/>
  <c r="X55" i="13"/>
  <c r="X56" i="13"/>
  <c r="X57" i="13"/>
  <c r="X58" i="13"/>
  <c r="X59" i="13"/>
  <c r="X60" i="13"/>
  <c r="X61" i="13"/>
  <c r="X62" i="13"/>
  <c r="X63" i="13"/>
  <c r="X64" i="13"/>
  <c r="X65" i="13"/>
  <c r="X66" i="13"/>
  <c r="X67" i="13"/>
  <c r="X68" i="13"/>
  <c r="X69" i="13"/>
  <c r="X70" i="13"/>
  <c r="X71" i="13"/>
  <c r="M7" i="13"/>
  <c r="M8" i="13"/>
  <c r="M9" i="13"/>
  <c r="M10" i="13"/>
  <c r="M11" i="13"/>
  <c r="M12" i="13"/>
  <c r="M13" i="13"/>
  <c r="M14" i="13"/>
  <c r="M15" i="13"/>
  <c r="M16" i="13"/>
  <c r="M17" i="13"/>
  <c r="M18" i="13"/>
  <c r="M19" i="13"/>
  <c r="M20" i="13"/>
  <c r="M21" i="13"/>
  <c r="M22" i="13"/>
  <c r="M23" i="13"/>
  <c r="M24" i="13"/>
  <c r="M25" i="13"/>
  <c r="M26" i="13"/>
  <c r="M27" i="13"/>
  <c r="M28" i="13"/>
  <c r="M29" i="13"/>
  <c r="M30" i="13"/>
  <c r="M31" i="13"/>
  <c r="M32" i="13"/>
  <c r="M33" i="13"/>
  <c r="M34" i="13"/>
  <c r="M35" i="13"/>
  <c r="M36" i="13"/>
  <c r="M37" i="13"/>
  <c r="M38" i="13"/>
  <c r="M39" i="13"/>
  <c r="M40" i="13"/>
  <c r="M41" i="13"/>
  <c r="M42" i="13"/>
  <c r="M43" i="13"/>
  <c r="M44" i="13"/>
  <c r="M45" i="13"/>
  <c r="M46" i="13"/>
  <c r="M47" i="13"/>
  <c r="M48" i="13"/>
  <c r="M49" i="13"/>
  <c r="M50" i="13"/>
  <c r="M51" i="13"/>
  <c r="M52" i="13"/>
  <c r="M53" i="13"/>
  <c r="M54" i="13"/>
  <c r="M55" i="13"/>
  <c r="M56" i="13"/>
  <c r="M57" i="13"/>
  <c r="M58" i="13"/>
  <c r="M59" i="13"/>
  <c r="B9" i="13"/>
  <c r="B7" i="13"/>
  <c r="B8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47" i="13"/>
  <c r="B48" i="13"/>
  <c r="B49" i="13"/>
  <c r="B50" i="13"/>
  <c r="B51" i="13"/>
  <c r="B52" i="13"/>
  <c r="B53" i="13"/>
  <c r="B54" i="13"/>
  <c r="B55" i="13"/>
  <c r="B56" i="13"/>
  <c r="B57" i="13"/>
  <c r="B58" i="13"/>
  <c r="B59" i="13"/>
  <c r="AI16" i="12"/>
  <c r="AI7" i="12"/>
  <c r="AI8" i="12"/>
  <c r="AI9" i="12"/>
  <c r="AI10" i="12"/>
  <c r="AI11" i="12"/>
  <c r="AI12" i="12"/>
  <c r="AI13" i="12"/>
  <c r="AI14" i="12"/>
  <c r="AI15" i="12"/>
  <c r="AI17" i="12"/>
  <c r="AI18" i="12"/>
  <c r="AI19" i="12"/>
  <c r="AI20" i="12"/>
  <c r="AI21" i="12"/>
  <c r="AI22" i="12"/>
  <c r="AI23" i="12"/>
  <c r="AI24" i="12"/>
  <c r="AI25" i="12"/>
  <c r="AI26" i="12"/>
  <c r="AI27" i="12"/>
  <c r="AI28" i="12"/>
  <c r="AI29" i="12"/>
  <c r="AI30" i="12"/>
  <c r="AI31" i="12"/>
  <c r="AI32" i="12"/>
  <c r="AI33" i="12"/>
  <c r="AI34" i="12"/>
  <c r="AI35" i="12"/>
  <c r="AI36" i="12"/>
  <c r="AI37" i="12"/>
  <c r="AI38" i="12"/>
  <c r="AI39" i="12"/>
  <c r="AI40" i="12"/>
  <c r="AI41" i="12"/>
  <c r="AI42" i="12"/>
  <c r="AI43" i="12"/>
  <c r="AI44" i="12"/>
  <c r="AI45" i="12"/>
  <c r="AI4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0" i="12"/>
  <c r="M51" i="12"/>
  <c r="M52" i="12"/>
  <c r="M53" i="12"/>
  <c r="M54" i="12"/>
  <c r="M55" i="12"/>
  <c r="M56" i="12"/>
  <c r="M57" i="12"/>
  <c r="M58" i="12"/>
  <c r="M59" i="12"/>
  <c r="M60" i="12"/>
  <c r="M61" i="12"/>
  <c r="M62" i="12"/>
  <c r="M63" i="12"/>
  <c r="M64" i="12"/>
  <c r="M65" i="12"/>
  <c r="M66" i="12"/>
  <c r="M67" i="12"/>
  <c r="M68" i="12"/>
  <c r="M69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34" i="11"/>
  <c r="AI7" i="11"/>
  <c r="AI8" i="11"/>
  <c r="AI9" i="11"/>
  <c r="AI10" i="11"/>
  <c r="AI11" i="11"/>
  <c r="AI12" i="11"/>
  <c r="AI13" i="11"/>
  <c r="AI14" i="11"/>
  <c r="AI15" i="11"/>
  <c r="AI16" i="11"/>
  <c r="AI17" i="11"/>
  <c r="AI18" i="11"/>
  <c r="AI19" i="11"/>
  <c r="AI20" i="11"/>
  <c r="AI21" i="11"/>
  <c r="AI22" i="11"/>
  <c r="AI23" i="11"/>
  <c r="AI24" i="11"/>
  <c r="AI25" i="11"/>
  <c r="AI26" i="11"/>
  <c r="AI27" i="11"/>
  <c r="AI28" i="11"/>
  <c r="AI29" i="11"/>
  <c r="AI30" i="11"/>
  <c r="AI31" i="11"/>
  <c r="AI32" i="11"/>
  <c r="AI33" i="11"/>
  <c r="AI34" i="11"/>
  <c r="AI35" i="11"/>
  <c r="AI36" i="11"/>
  <c r="AI37" i="11"/>
  <c r="AI38" i="11"/>
  <c r="AI39" i="11"/>
  <c r="AI40" i="11"/>
  <c r="AI41" i="11"/>
  <c r="AI42" i="11"/>
  <c r="AI43" i="11"/>
  <c r="AI44" i="11"/>
  <c r="AI45" i="11"/>
  <c r="AI4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B9" i="11"/>
  <c r="B7" i="11"/>
  <c r="B8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80" i="11"/>
  <c r="B6" i="10"/>
  <c r="B3" i="10"/>
  <c r="P4" i="10" s="1"/>
  <c r="B4" i="10"/>
  <c r="B5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56" i="10"/>
  <c r="B57" i="10"/>
  <c r="B58" i="10"/>
  <c r="B59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107" i="10"/>
  <c r="B108" i="10"/>
  <c r="B109" i="10"/>
  <c r="B110" i="10"/>
  <c r="B111" i="10"/>
  <c r="B112" i="10"/>
  <c r="B113" i="10"/>
  <c r="B114" i="10"/>
  <c r="B115" i="10"/>
  <c r="B116" i="10"/>
  <c r="B117" i="10"/>
  <c r="B118" i="10"/>
  <c r="B119" i="10"/>
  <c r="B120" i="10"/>
  <c r="B121" i="10"/>
  <c r="B122" i="10"/>
  <c r="B123" i="10"/>
  <c r="B124" i="10"/>
  <c r="B125" i="10"/>
  <c r="B126" i="10"/>
  <c r="B127" i="10"/>
  <c r="B128" i="10"/>
  <c r="B129" i="10"/>
  <c r="B130" i="10"/>
  <c r="B131" i="10"/>
  <c r="B132" i="10"/>
  <c r="B133" i="10"/>
  <c r="B134" i="10"/>
  <c r="B135" i="10"/>
  <c r="B136" i="10"/>
  <c r="B137" i="10"/>
  <c r="B138" i="10"/>
  <c r="B139" i="10"/>
  <c r="B140" i="10"/>
  <c r="B141" i="10"/>
  <c r="B142" i="10"/>
  <c r="B143" i="10"/>
  <c r="B144" i="10"/>
  <c r="B145" i="10"/>
  <c r="B146" i="10"/>
  <c r="B147" i="10"/>
  <c r="B148" i="10"/>
  <c r="B149" i="10"/>
  <c r="B150" i="10"/>
  <c r="B151" i="10"/>
  <c r="B152" i="10"/>
  <c r="B153" i="10"/>
  <c r="B154" i="10"/>
  <c r="B155" i="10"/>
  <c r="B156" i="10"/>
  <c r="B157" i="10"/>
  <c r="B158" i="10"/>
  <c r="B159" i="10"/>
  <c r="B160" i="10"/>
  <c r="B161" i="10"/>
  <c r="B162" i="10"/>
  <c r="B163" i="10"/>
  <c r="B164" i="10"/>
  <c r="B165" i="10"/>
  <c r="B166" i="10"/>
  <c r="B167" i="10"/>
  <c r="B168" i="10"/>
  <c r="B169" i="10"/>
  <c r="B170" i="10"/>
  <c r="B171" i="10"/>
  <c r="B172" i="10"/>
  <c r="B173" i="10"/>
  <c r="B174" i="10"/>
  <c r="B175" i="10"/>
  <c r="B176" i="10"/>
  <c r="B177" i="10"/>
  <c r="B178" i="10"/>
  <c r="B179" i="10"/>
  <c r="B180" i="10"/>
  <c r="B181" i="10"/>
  <c r="B182" i="10"/>
  <c r="B183" i="10"/>
  <c r="B184" i="10"/>
  <c r="B185" i="10"/>
  <c r="B186" i="10"/>
  <c r="B187" i="10"/>
  <c r="B188" i="10"/>
  <c r="B189" i="10"/>
  <c r="B190" i="10"/>
  <c r="B191" i="10"/>
  <c r="B192" i="10"/>
  <c r="B193" i="10"/>
  <c r="B194" i="10"/>
  <c r="B195" i="10"/>
  <c r="B196" i="10"/>
  <c r="B197" i="10"/>
  <c r="B198" i="10"/>
  <c r="B199" i="10"/>
  <c r="B200" i="10"/>
  <c r="B201" i="10"/>
  <c r="B202" i="10"/>
  <c r="B203" i="10"/>
  <c r="B204" i="10"/>
  <c r="B205" i="10"/>
  <c r="B206" i="10"/>
  <c r="B207" i="10"/>
  <c r="B208" i="10"/>
  <c r="B209" i="10"/>
  <c r="B210" i="10"/>
  <c r="B211" i="10"/>
  <c r="B212" i="10"/>
  <c r="B213" i="10"/>
  <c r="B214" i="10"/>
  <c r="B215" i="10"/>
  <c r="B216" i="10"/>
  <c r="B217" i="10"/>
  <c r="B218" i="10"/>
  <c r="B219" i="10"/>
  <c r="B220" i="10"/>
  <c r="B221" i="10"/>
  <c r="B222" i="10"/>
  <c r="B223" i="10"/>
  <c r="B224" i="10"/>
  <c r="B225" i="10"/>
  <c r="B226" i="10"/>
  <c r="B227" i="10"/>
  <c r="B228" i="10"/>
  <c r="B229" i="10"/>
  <c r="B230" i="10"/>
  <c r="B231" i="10"/>
  <c r="B232" i="10"/>
  <c r="B233" i="10"/>
  <c r="B234" i="10"/>
  <c r="B235" i="10"/>
  <c r="B236" i="10"/>
  <c r="B237" i="10"/>
  <c r="B238" i="10"/>
  <c r="B239" i="10"/>
  <c r="B240" i="10"/>
  <c r="B241" i="10"/>
  <c r="B242" i="10"/>
  <c r="B243" i="10"/>
  <c r="B244" i="10"/>
  <c r="B245" i="10"/>
  <c r="B246" i="10"/>
  <c r="B247" i="10"/>
  <c r="B248" i="10"/>
  <c r="B249" i="10"/>
  <c r="B250" i="10"/>
  <c r="B251" i="10"/>
  <c r="B252" i="10"/>
  <c r="B253" i="10"/>
  <c r="B254" i="10"/>
  <c r="B255" i="10"/>
  <c r="B256" i="10"/>
  <c r="B257" i="10"/>
  <c r="B258" i="10"/>
  <c r="B259" i="10"/>
  <c r="B260" i="10"/>
  <c r="B261" i="10"/>
  <c r="B262" i="10"/>
  <c r="B263" i="10"/>
  <c r="B264" i="10"/>
  <c r="B265" i="10"/>
  <c r="B266" i="10"/>
  <c r="B267" i="10"/>
  <c r="B268" i="10"/>
  <c r="B269" i="10"/>
  <c r="B270" i="10"/>
  <c r="B271" i="10"/>
  <c r="B272" i="10"/>
  <c r="B273" i="10"/>
  <c r="B274" i="10"/>
  <c r="B275" i="10"/>
  <c r="B276" i="10"/>
  <c r="B277" i="10"/>
  <c r="B278" i="10"/>
  <c r="B279" i="10"/>
  <c r="B280" i="10"/>
  <c r="B281" i="10"/>
  <c r="B282" i="10"/>
  <c r="B283" i="10"/>
  <c r="B284" i="10"/>
  <c r="B285" i="10"/>
  <c r="B286" i="10"/>
  <c r="B287" i="10"/>
  <c r="B288" i="10"/>
  <c r="B289" i="10"/>
  <c r="B290" i="10"/>
  <c r="B291" i="10"/>
  <c r="B292" i="10"/>
  <c r="B293" i="10"/>
  <c r="B294" i="10"/>
  <c r="B295" i="10"/>
  <c r="B296" i="10"/>
  <c r="B297" i="10"/>
  <c r="B298" i="10"/>
  <c r="B299" i="10"/>
  <c r="B300" i="10"/>
  <c r="B301" i="10"/>
  <c r="B302" i="10"/>
  <c r="B303" i="10"/>
  <c r="B304" i="10"/>
  <c r="B305" i="10"/>
  <c r="B306" i="10"/>
  <c r="B307" i="10"/>
  <c r="B308" i="10"/>
  <c r="B309" i="10"/>
  <c r="B310" i="10"/>
  <c r="B311" i="10"/>
  <c r="B312" i="10"/>
  <c r="B313" i="10"/>
  <c r="B314" i="10"/>
  <c r="B315" i="10"/>
  <c r="B316" i="10"/>
  <c r="B317" i="10"/>
  <c r="B318" i="10"/>
  <c r="B319" i="10"/>
  <c r="B320" i="10"/>
  <c r="B321" i="10"/>
  <c r="B322" i="10"/>
  <c r="B323" i="10"/>
  <c r="B324" i="10"/>
  <c r="B325" i="10"/>
  <c r="B326" i="10"/>
  <c r="B327" i="10"/>
  <c r="B328" i="10"/>
  <c r="B329" i="10"/>
  <c r="B330" i="10"/>
  <c r="B331" i="10"/>
  <c r="B332" i="10"/>
  <c r="B333" i="10"/>
  <c r="B334" i="10"/>
  <c r="B335" i="10"/>
  <c r="B336" i="10"/>
  <c r="B337" i="10"/>
  <c r="B338" i="10"/>
  <c r="B339" i="10"/>
  <c r="B340" i="10"/>
  <c r="B341" i="10"/>
  <c r="B342" i="10"/>
  <c r="B343" i="10"/>
  <c r="B344" i="10"/>
  <c r="B345" i="10"/>
  <c r="B346" i="10"/>
  <c r="B347" i="10"/>
  <c r="B348" i="10"/>
  <c r="B349" i="10"/>
  <c r="B350" i="10"/>
  <c r="B351" i="10"/>
  <c r="B352" i="10"/>
  <c r="B353" i="10"/>
  <c r="B354" i="10"/>
  <c r="B355" i="10"/>
  <c r="B356" i="10"/>
  <c r="B357" i="10"/>
  <c r="B358" i="10"/>
  <c r="B359" i="10"/>
  <c r="B360" i="10"/>
  <c r="B361" i="10"/>
  <c r="B362" i="10"/>
  <c r="B363" i="10"/>
  <c r="B364" i="10"/>
  <c r="B365" i="10"/>
  <c r="B366" i="10"/>
  <c r="B367" i="10"/>
  <c r="B368" i="10"/>
  <c r="B369" i="10"/>
  <c r="B370" i="10"/>
  <c r="B371" i="10"/>
  <c r="B372" i="10"/>
  <c r="B373" i="10"/>
  <c r="B374" i="10"/>
  <c r="B375" i="10"/>
  <c r="B376" i="10"/>
  <c r="B377" i="10"/>
  <c r="B378" i="10"/>
  <c r="B379" i="10"/>
  <c r="B380" i="10"/>
  <c r="B381" i="10"/>
  <c r="B382" i="10"/>
  <c r="B383" i="10"/>
  <c r="B384" i="10"/>
  <c r="B385" i="10"/>
  <c r="B386" i="10"/>
  <c r="B387" i="10"/>
  <c r="B388" i="10"/>
  <c r="B389" i="10"/>
  <c r="B390" i="10"/>
  <c r="B391" i="10"/>
  <c r="B392" i="10"/>
  <c r="B393" i="10"/>
  <c r="B394" i="10"/>
  <c r="B395" i="10"/>
  <c r="B396" i="10"/>
  <c r="B397" i="10"/>
  <c r="B398" i="10"/>
  <c r="B399" i="10"/>
  <c r="B400" i="10"/>
  <c r="B401" i="10"/>
  <c r="B402" i="10"/>
  <c r="B403" i="10"/>
  <c r="B404" i="10"/>
  <c r="B405" i="10"/>
  <c r="B406" i="10"/>
  <c r="B407" i="10"/>
  <c r="B408" i="10"/>
  <c r="B409" i="10"/>
  <c r="B410" i="10"/>
  <c r="B411" i="10"/>
  <c r="B412" i="10"/>
  <c r="B413" i="10"/>
  <c r="B414" i="10"/>
  <c r="B415" i="10"/>
  <c r="B416" i="10"/>
  <c r="B417" i="10"/>
  <c r="B418" i="10"/>
  <c r="B419" i="10"/>
  <c r="B420" i="10"/>
  <c r="B421" i="10"/>
  <c r="B422" i="10"/>
  <c r="B423" i="10"/>
  <c r="B424" i="10"/>
  <c r="B425" i="10"/>
  <c r="B426" i="10"/>
  <c r="B427" i="10"/>
  <c r="B428" i="10"/>
  <c r="B429" i="10"/>
  <c r="B430" i="10"/>
  <c r="B431" i="10"/>
  <c r="B432" i="10"/>
  <c r="B433" i="10"/>
  <c r="B434" i="10"/>
  <c r="B435" i="10"/>
  <c r="B436" i="10"/>
  <c r="B437" i="10"/>
  <c r="B438" i="10"/>
  <c r="B439" i="10"/>
  <c r="B440" i="10"/>
  <c r="B441" i="10"/>
  <c r="B442" i="10"/>
  <c r="B443" i="10"/>
  <c r="B444" i="10"/>
  <c r="B445" i="10"/>
  <c r="B446" i="10"/>
  <c r="B447" i="10"/>
  <c r="B448" i="10"/>
  <c r="B449" i="10"/>
  <c r="B450" i="10"/>
  <c r="B451" i="10"/>
  <c r="B452" i="10"/>
  <c r="B453" i="10"/>
  <c r="B454" i="10"/>
  <c r="B455" i="10"/>
  <c r="B456" i="10"/>
  <c r="B457" i="10"/>
  <c r="B458" i="10"/>
  <c r="B459" i="10"/>
  <c r="B460" i="10"/>
  <c r="B461" i="10"/>
  <c r="B462" i="10"/>
  <c r="B463" i="10"/>
  <c r="B464" i="10"/>
  <c r="B465" i="10"/>
  <c r="B466" i="10"/>
  <c r="B467" i="10"/>
  <c r="B468" i="10"/>
  <c r="B469" i="10"/>
  <c r="B470" i="10"/>
  <c r="B471" i="10"/>
  <c r="B472" i="10"/>
  <c r="B473" i="10"/>
  <c r="B474" i="10"/>
  <c r="B475" i="10"/>
  <c r="B476" i="10"/>
  <c r="B477" i="10"/>
  <c r="B478" i="10"/>
  <c r="B479" i="10"/>
  <c r="B480" i="10"/>
  <c r="B481" i="10"/>
  <c r="B482" i="10"/>
  <c r="B483" i="10"/>
  <c r="B484" i="10"/>
  <c r="B485" i="10"/>
  <c r="B486" i="10"/>
  <c r="B487" i="10"/>
  <c r="B488" i="10"/>
  <c r="B489" i="10"/>
  <c r="B490" i="10"/>
  <c r="B491" i="10"/>
  <c r="B492" i="10"/>
  <c r="B493" i="10"/>
  <c r="B494" i="10"/>
  <c r="B495" i="10"/>
  <c r="B496" i="10"/>
  <c r="B497" i="10"/>
  <c r="B498" i="10"/>
  <c r="B499" i="10"/>
  <c r="B500" i="10"/>
  <c r="B501" i="10"/>
  <c r="B502" i="10"/>
  <c r="B503" i="10"/>
  <c r="B504" i="10"/>
  <c r="B505" i="10"/>
  <c r="B506" i="10"/>
  <c r="B507" i="10"/>
  <c r="B508" i="10"/>
  <c r="B509" i="10"/>
  <c r="B510" i="10"/>
  <c r="B511" i="10"/>
  <c r="B512" i="10"/>
  <c r="B513" i="10"/>
  <c r="B514" i="10"/>
  <c r="B515" i="10"/>
  <c r="B516" i="10"/>
  <c r="B517" i="10"/>
  <c r="B518" i="10"/>
  <c r="B519" i="10"/>
  <c r="B520" i="10"/>
  <c r="B521" i="10"/>
  <c r="B522" i="10"/>
  <c r="B523" i="10"/>
  <c r="B524" i="10"/>
  <c r="B525" i="10"/>
  <c r="B526" i="10"/>
  <c r="B527" i="10"/>
  <c r="B528" i="10"/>
  <c r="B529" i="10"/>
  <c r="B530" i="10"/>
  <c r="B531" i="10"/>
  <c r="B532" i="10"/>
  <c r="B533" i="10"/>
  <c r="B534" i="10"/>
  <c r="B535" i="10"/>
  <c r="B536" i="10"/>
  <c r="B537" i="10"/>
  <c r="B538" i="10"/>
  <c r="B539" i="10"/>
  <c r="B540" i="10"/>
  <c r="B541" i="10"/>
  <c r="B542" i="10"/>
  <c r="B543" i="10"/>
  <c r="B544" i="10"/>
  <c r="B545" i="10"/>
  <c r="B546" i="10"/>
  <c r="B547" i="10"/>
  <c r="B548" i="10"/>
  <c r="B549" i="10"/>
  <c r="B550" i="10"/>
  <c r="B551" i="10"/>
  <c r="B552" i="10"/>
  <c r="B553" i="10"/>
  <c r="B554" i="10"/>
  <c r="B555" i="10"/>
  <c r="B556" i="10"/>
  <c r="B557" i="10"/>
  <c r="B558" i="10"/>
  <c r="B559" i="10"/>
  <c r="B560" i="10"/>
  <c r="B561" i="10"/>
  <c r="B562" i="10"/>
  <c r="B563" i="10"/>
  <c r="B564" i="10"/>
  <c r="B565" i="10"/>
  <c r="B566" i="10"/>
  <c r="B567" i="10"/>
  <c r="B568" i="10"/>
  <c r="B569" i="10"/>
  <c r="B570" i="10"/>
  <c r="B571" i="10"/>
  <c r="B572" i="10"/>
  <c r="B573" i="10"/>
  <c r="B574" i="10"/>
  <c r="B575" i="10"/>
  <c r="B576" i="10"/>
  <c r="B577" i="10"/>
  <c r="B578" i="10"/>
  <c r="B579" i="10"/>
  <c r="B580" i="10"/>
  <c r="B581" i="10"/>
  <c r="B582" i="10"/>
  <c r="B583" i="10"/>
  <c r="B584" i="10"/>
  <c r="B585" i="10"/>
  <c r="B586" i="10"/>
  <c r="B587" i="10"/>
  <c r="B588" i="10"/>
  <c r="B589" i="10"/>
  <c r="B590" i="10"/>
  <c r="B591" i="10"/>
  <c r="B592" i="10"/>
  <c r="B593" i="10"/>
  <c r="B594" i="10"/>
  <c r="B595" i="10"/>
  <c r="B596" i="10"/>
  <c r="B597" i="10"/>
  <c r="B598" i="10"/>
  <c r="B599" i="10"/>
  <c r="B600" i="10"/>
  <c r="B601" i="10"/>
  <c r="B602" i="10"/>
  <c r="B603" i="10"/>
  <c r="B604" i="10"/>
  <c r="B605" i="10"/>
  <c r="B606" i="10"/>
  <c r="B607" i="10"/>
  <c r="B608" i="10"/>
  <c r="B609" i="10"/>
  <c r="B610" i="10"/>
  <c r="B611" i="10"/>
  <c r="B612" i="10"/>
  <c r="B613" i="10"/>
  <c r="B614" i="10"/>
  <c r="B615" i="10"/>
  <c r="B616" i="10"/>
  <c r="B617" i="10"/>
  <c r="B618" i="10"/>
  <c r="B619" i="10"/>
  <c r="B620" i="10"/>
  <c r="B621" i="10"/>
  <c r="B622" i="10"/>
  <c r="B623" i="10"/>
  <c r="B624" i="10"/>
  <c r="B625" i="10"/>
  <c r="B626" i="10"/>
  <c r="B627" i="10"/>
  <c r="B628" i="10"/>
  <c r="B629" i="10"/>
  <c r="B630" i="10"/>
  <c r="B631" i="10"/>
  <c r="B632" i="10"/>
  <c r="B633" i="10"/>
  <c r="B634" i="10"/>
  <c r="B635" i="10"/>
  <c r="B636" i="10"/>
  <c r="B637" i="10"/>
  <c r="B638" i="10"/>
  <c r="B639" i="10"/>
  <c r="B640" i="10"/>
  <c r="B641" i="10"/>
  <c r="B642" i="10"/>
  <c r="B643" i="10"/>
  <c r="B644" i="10"/>
  <c r="B645" i="10"/>
  <c r="B646" i="10"/>
  <c r="B647" i="10"/>
  <c r="B648" i="10"/>
  <c r="B649" i="10"/>
  <c r="B650" i="10"/>
  <c r="B651" i="10"/>
  <c r="B652" i="10"/>
  <c r="B653" i="10"/>
  <c r="B654" i="10"/>
  <c r="B655" i="10"/>
  <c r="B656" i="10"/>
  <c r="B657" i="10"/>
  <c r="B658" i="10"/>
  <c r="B659" i="10"/>
  <c r="B660" i="10"/>
  <c r="B661" i="10"/>
  <c r="B662" i="10"/>
  <c r="B663" i="10"/>
  <c r="B664" i="10"/>
  <c r="B665" i="10"/>
  <c r="B666" i="10"/>
  <c r="B667" i="10"/>
  <c r="B668" i="10"/>
  <c r="B669" i="10"/>
  <c r="B670" i="10"/>
  <c r="B671" i="10"/>
  <c r="N68" i="11"/>
  <c r="O68" i="11" s="1" a="1"/>
  <c r="O68" i="11" s="1"/>
  <c r="N69" i="11"/>
  <c r="P69" i="11" s="1" a="1"/>
  <c r="P69" i="11" s="1"/>
  <c r="N70" i="11"/>
  <c r="O70" i="11" s="1" a="1"/>
  <c r="O70" i="11" s="1"/>
  <c r="N71" i="11"/>
  <c r="O71" i="11" s="1" a="1"/>
  <c r="O71" i="11" s="1"/>
  <c r="N72" i="11"/>
  <c r="O72" i="11" s="1" a="1"/>
  <c r="O72" i="11" s="1"/>
  <c r="N73" i="11"/>
  <c r="P73" i="11" s="1" a="1"/>
  <c r="P73" i="11" s="1"/>
  <c r="N74" i="11"/>
  <c r="P74" i="11" s="1" a="1"/>
  <c r="P74" i="11" s="1"/>
  <c r="N75" i="11"/>
  <c r="P75" i="11" s="1" a="1"/>
  <c r="P75" i="11" s="1"/>
  <c r="N76" i="11"/>
  <c r="P76" i="11" s="1" a="1"/>
  <c r="P76" i="11" s="1"/>
  <c r="N77" i="11"/>
  <c r="P77" i="11" s="1" a="1"/>
  <c r="P77" i="11" s="1"/>
  <c r="N78" i="11"/>
  <c r="O78" i="11" s="1" a="1"/>
  <c r="O78" i="11" s="1"/>
  <c r="N79" i="11"/>
  <c r="O79" i="11" s="1" a="1"/>
  <c r="O79" i="11" s="1"/>
  <c r="N80" i="11"/>
  <c r="O80" i="11" s="1" a="1"/>
  <c r="O80" i="11" s="1"/>
  <c r="C68" i="11"/>
  <c r="E68" i="11" s="1" a="1"/>
  <c r="E68" i="11" s="1"/>
  <c r="C69" i="11"/>
  <c r="D69" i="11" s="1" a="1"/>
  <c r="D69" i="11" s="1"/>
  <c r="C70" i="11"/>
  <c r="E70" i="11" s="1" a="1"/>
  <c r="E70" i="11" s="1"/>
  <c r="C71" i="11"/>
  <c r="D71" i="11" s="1" a="1"/>
  <c r="D71" i="11" s="1"/>
  <c r="C72" i="11"/>
  <c r="D72" i="11" s="1" a="1"/>
  <c r="D72" i="11" s="1"/>
  <c r="C73" i="11"/>
  <c r="E73" i="11" s="1" a="1"/>
  <c r="E73" i="11" s="1"/>
  <c r="C74" i="11"/>
  <c r="E74" i="11" s="1" a="1"/>
  <c r="E74" i="11" s="1"/>
  <c r="C75" i="11"/>
  <c r="E75" i="11" s="1" a="1"/>
  <c r="E75" i="11" s="1"/>
  <c r="C76" i="11"/>
  <c r="E76" i="11" s="1" a="1"/>
  <c r="E76" i="11" s="1"/>
  <c r="C77" i="11"/>
  <c r="E77" i="11" s="1" a="1"/>
  <c r="E77" i="11" s="1"/>
  <c r="C78" i="11"/>
  <c r="D78" i="11" s="1" a="1"/>
  <c r="D78" i="11" s="1"/>
  <c r="C79" i="11"/>
  <c r="D79" i="11" s="1" a="1"/>
  <c r="D79" i="11" s="1"/>
  <c r="C80" i="11"/>
  <c r="D80" i="11" s="1" a="1"/>
  <c r="D80" i="11" s="1"/>
  <c r="N60" i="11"/>
  <c r="O60" i="11" s="1" a="1"/>
  <c r="O60" i="11" s="1"/>
  <c r="N61" i="11"/>
  <c r="O61" i="11" s="1" a="1"/>
  <c r="O61" i="11" s="1"/>
  <c r="N62" i="11"/>
  <c r="O62" i="11" s="1" a="1"/>
  <c r="O62" i="11" s="1"/>
  <c r="N63" i="11"/>
  <c r="P63" i="11" s="1" a="1"/>
  <c r="P63" i="11" s="1"/>
  <c r="N64" i="11"/>
  <c r="O64" i="11" s="1" a="1"/>
  <c r="O64" i="11" s="1"/>
  <c r="N65" i="11"/>
  <c r="P65" i="11" s="1" a="1"/>
  <c r="P65" i="11" s="1"/>
  <c r="N66" i="11"/>
  <c r="O66" i="11" s="1" a="1"/>
  <c r="O66" i="11" s="1"/>
  <c r="N67" i="11"/>
  <c r="O67" i="11" s="1" a="1"/>
  <c r="O67" i="11" s="1"/>
  <c r="C60" i="11"/>
  <c r="D60" i="11" s="1" a="1"/>
  <c r="D60" i="11" s="1"/>
  <c r="C61" i="11"/>
  <c r="D61" i="11" s="1" a="1"/>
  <c r="D61" i="11" s="1"/>
  <c r="C62" i="11"/>
  <c r="D62" i="11" s="1" a="1"/>
  <c r="D62" i="11" s="1"/>
  <c r="C63" i="11"/>
  <c r="D63" i="11" s="1" a="1"/>
  <c r="D63" i="11" s="1"/>
  <c r="C64" i="11"/>
  <c r="D64" i="11" s="1" a="1"/>
  <c r="D64" i="11" s="1"/>
  <c r="C65" i="11"/>
  <c r="D65" i="11" s="1" a="1"/>
  <c r="D65" i="11" s="1"/>
  <c r="C66" i="11"/>
  <c r="E66" i="11" s="1" a="1"/>
  <c r="E66" i="11" s="1"/>
  <c r="C67" i="11"/>
  <c r="D67" i="11" s="1" a="1"/>
  <c r="D67" i="11" s="1"/>
  <c r="AJ7" i="13"/>
  <c r="AK7" i="13" s="1" a="1"/>
  <c r="AK7" i="13" s="1"/>
  <c r="AJ8" i="13"/>
  <c r="AK8" i="13" s="1" a="1"/>
  <c r="AK8" i="13" s="1"/>
  <c r="AJ9" i="13"/>
  <c r="AK9" i="13" s="1" a="1"/>
  <c r="AK9" i="13" s="1"/>
  <c r="AJ10" i="13"/>
  <c r="AL10" i="13" s="1" a="1"/>
  <c r="AL10" i="13" s="1"/>
  <c r="AJ11" i="13"/>
  <c r="AK11" i="13" s="1" a="1"/>
  <c r="AK11" i="13" s="1"/>
  <c r="AJ12" i="13"/>
  <c r="AL12" i="13" s="1" a="1"/>
  <c r="AL12" i="13" s="1"/>
  <c r="AJ13" i="13"/>
  <c r="AK13" i="13" s="1" a="1"/>
  <c r="AK13" i="13" s="1"/>
  <c r="AJ14" i="13"/>
  <c r="AL14" i="13" s="1" a="1"/>
  <c r="AL14" i="13" s="1"/>
  <c r="AJ15" i="13"/>
  <c r="AL15" i="13" s="1" a="1"/>
  <c r="AL15" i="13" s="1"/>
  <c r="AJ16" i="13"/>
  <c r="AK16" i="13" s="1" a="1"/>
  <c r="AK16" i="13" s="1"/>
  <c r="AJ17" i="13"/>
  <c r="AK17" i="13" s="1" a="1"/>
  <c r="AK17" i="13" s="1"/>
  <c r="AJ18" i="13"/>
  <c r="AK18" i="13" s="1" a="1"/>
  <c r="AK18" i="13" s="1"/>
  <c r="AJ19" i="13"/>
  <c r="AK19" i="13" s="1" a="1"/>
  <c r="AK19" i="13" s="1"/>
  <c r="AJ20" i="13"/>
  <c r="AL20" i="13" s="1" a="1"/>
  <c r="AL20" i="13" s="1"/>
  <c r="AJ21" i="13"/>
  <c r="AL21" i="13" s="1" a="1"/>
  <c r="AL21" i="13" s="1"/>
  <c r="AJ22" i="13"/>
  <c r="AL22" i="13" s="1" a="1"/>
  <c r="AL22" i="13" s="1"/>
  <c r="AJ23" i="13"/>
  <c r="AK23" i="13" s="1" a="1"/>
  <c r="AK23" i="13" s="1"/>
  <c r="AJ24" i="13"/>
  <c r="AL24" i="13" s="1" a="1"/>
  <c r="AL24" i="13" s="1"/>
  <c r="AJ25" i="13"/>
  <c r="AK25" i="13" s="1" a="1"/>
  <c r="AK25" i="13" s="1"/>
  <c r="AJ26" i="13"/>
  <c r="AL26" i="13" s="1" a="1"/>
  <c r="AL26" i="13" s="1"/>
  <c r="AJ27" i="13"/>
  <c r="AK27" i="13" s="1" a="1"/>
  <c r="AK27" i="13" s="1"/>
  <c r="AJ28" i="13"/>
  <c r="AK28" i="13" s="1" a="1"/>
  <c r="AK28" i="13" s="1"/>
  <c r="AJ29" i="13"/>
  <c r="AK29" i="13" s="1" a="1"/>
  <c r="AK29" i="13" s="1"/>
  <c r="AJ30" i="13"/>
  <c r="AK30" i="13" s="1" a="1"/>
  <c r="AK30" i="13" s="1"/>
  <c r="AJ31" i="13"/>
  <c r="AK31" i="13" s="1" a="1"/>
  <c r="AK31" i="13" s="1"/>
  <c r="AJ32" i="13"/>
  <c r="AK32" i="13" s="1" a="1"/>
  <c r="AK32" i="13" s="1"/>
  <c r="AJ33" i="13"/>
  <c r="AK33" i="13" s="1" a="1"/>
  <c r="AK33" i="13" s="1"/>
  <c r="AJ34" i="13"/>
  <c r="AL34" i="13" s="1" a="1"/>
  <c r="AL34" i="13" s="1"/>
  <c r="AJ35" i="13"/>
  <c r="AK35" i="13" s="1" a="1"/>
  <c r="AK35" i="13" s="1"/>
  <c r="AJ36" i="13"/>
  <c r="AK36" i="13" s="1" a="1"/>
  <c r="AK36" i="13" s="1"/>
  <c r="AJ37" i="13"/>
  <c r="AL37" i="13" s="1" a="1"/>
  <c r="AL37" i="13" s="1"/>
  <c r="AJ38" i="13"/>
  <c r="AK38" i="13" s="1" a="1"/>
  <c r="AK38" i="13" s="1"/>
  <c r="AJ39" i="13"/>
  <c r="AK39" i="13" s="1" a="1"/>
  <c r="AK39" i="13" s="1"/>
  <c r="AJ40" i="13"/>
  <c r="AK40" i="13" s="1" a="1"/>
  <c r="AK40" i="13" s="1"/>
  <c r="AJ41" i="13"/>
  <c r="AK41" i="13" s="1" a="1"/>
  <c r="AK41" i="13" s="1"/>
  <c r="AJ42" i="13"/>
  <c r="AK42" i="13" s="1" a="1"/>
  <c r="AK42" i="13" s="1"/>
  <c r="AJ43" i="13"/>
  <c r="AK43" i="13" s="1" a="1"/>
  <c r="AK43" i="13" s="1"/>
  <c r="AJ44" i="13"/>
  <c r="AL44" i="13" s="1" a="1"/>
  <c r="AL44" i="13" s="1"/>
  <c r="AJ45" i="13"/>
  <c r="AK45" i="13" s="1" a="1"/>
  <c r="AK45" i="13" s="1"/>
  <c r="AJ46" i="13"/>
  <c r="AL46" i="13" s="1" a="1"/>
  <c r="AL46" i="13" s="1"/>
  <c r="AJ47" i="13"/>
  <c r="AK47" i="13" s="1" a="1"/>
  <c r="AK47" i="13" s="1"/>
  <c r="Y8" i="13"/>
  <c r="Z8" i="13" s="1" a="1"/>
  <c r="Z8" i="13" s="1"/>
  <c r="Y7" i="13"/>
  <c r="AA7" i="13" s="1" a="1"/>
  <c r="AA7" i="13" s="1"/>
  <c r="Y9" i="13"/>
  <c r="AA9" i="13" s="1" a="1"/>
  <c r="AA9" i="13" s="1"/>
  <c r="Y10" i="13"/>
  <c r="Z10" i="13" s="1" a="1"/>
  <c r="Z10" i="13" s="1"/>
  <c r="Y11" i="13"/>
  <c r="AA11" i="13" s="1" a="1"/>
  <c r="AA11" i="13" s="1"/>
  <c r="Y12" i="13"/>
  <c r="Z12" i="13" s="1" a="1"/>
  <c r="Z12" i="13" s="1"/>
  <c r="Y13" i="13"/>
  <c r="Z13" i="13" s="1" a="1"/>
  <c r="Z13" i="13" s="1"/>
  <c r="Y14" i="13"/>
  <c r="AA14" i="13" s="1" a="1"/>
  <c r="AA14" i="13" s="1"/>
  <c r="Y15" i="13"/>
  <c r="AA15" i="13" s="1" a="1"/>
  <c r="AA15" i="13" s="1"/>
  <c r="Y16" i="13"/>
  <c r="AA16" i="13" s="1" a="1"/>
  <c r="AA16" i="13" s="1"/>
  <c r="Y17" i="13"/>
  <c r="AA17" i="13" s="1" a="1"/>
  <c r="AA17" i="13" s="1"/>
  <c r="Y18" i="13"/>
  <c r="AA18" i="13" s="1" a="1"/>
  <c r="AA18" i="13" s="1"/>
  <c r="Y19" i="13"/>
  <c r="AA19" i="13" s="1" a="1"/>
  <c r="AA19" i="13" s="1"/>
  <c r="Y20" i="13"/>
  <c r="AA20" i="13" s="1" a="1"/>
  <c r="AA20" i="13" s="1"/>
  <c r="Y21" i="13"/>
  <c r="AA21" i="13" s="1" a="1"/>
  <c r="AA21" i="13" s="1"/>
  <c r="Y22" i="13"/>
  <c r="AA22" i="13" s="1" a="1"/>
  <c r="AA22" i="13" s="1"/>
  <c r="Y23" i="13"/>
  <c r="AA23" i="13" s="1" a="1"/>
  <c r="AA23" i="13" s="1"/>
  <c r="Y24" i="13"/>
  <c r="Z24" i="13" s="1" a="1"/>
  <c r="Z24" i="13" s="1"/>
  <c r="Y25" i="13"/>
  <c r="AA25" i="13" s="1" a="1"/>
  <c r="AA25" i="13" s="1"/>
  <c r="Y26" i="13"/>
  <c r="Z26" i="13" s="1" a="1"/>
  <c r="Z26" i="13" s="1"/>
  <c r="Y27" i="13"/>
  <c r="Z27" i="13" s="1" a="1"/>
  <c r="Z27" i="13" s="1"/>
  <c r="Y28" i="13"/>
  <c r="Z28" i="13" s="1" a="1"/>
  <c r="Z28" i="13" s="1"/>
  <c r="Y29" i="13"/>
  <c r="Z29" i="13" s="1" a="1"/>
  <c r="Z29" i="13" s="1"/>
  <c r="Y30" i="13"/>
  <c r="AA30" i="13" s="1" a="1"/>
  <c r="AA30" i="13" s="1"/>
  <c r="Y31" i="13"/>
  <c r="AA31" i="13" s="1" a="1"/>
  <c r="AA31" i="13" s="1"/>
  <c r="Y32" i="13"/>
  <c r="AA32" i="13" s="1" a="1"/>
  <c r="AA32" i="13" s="1"/>
  <c r="Y33" i="13"/>
  <c r="AA33" i="13" s="1" a="1"/>
  <c r="AA33" i="13" s="1"/>
  <c r="Y34" i="13"/>
  <c r="AA34" i="13" s="1" a="1"/>
  <c r="AA34" i="13" s="1"/>
  <c r="Y35" i="13"/>
  <c r="AA35" i="13" s="1" a="1"/>
  <c r="AA35" i="13" s="1"/>
  <c r="Y36" i="13"/>
  <c r="AA36" i="13" s="1" a="1"/>
  <c r="AA36" i="13" s="1"/>
  <c r="Y37" i="13"/>
  <c r="AA37" i="13" s="1" a="1"/>
  <c r="AA37" i="13" s="1"/>
  <c r="Y38" i="13"/>
  <c r="AA38" i="13" s="1" a="1"/>
  <c r="AA38" i="13" s="1"/>
  <c r="Y39" i="13"/>
  <c r="AA39" i="13" s="1" a="1"/>
  <c r="AA39" i="13" s="1"/>
  <c r="Y40" i="13"/>
  <c r="Z40" i="13" s="1" a="1"/>
  <c r="Z40" i="13" s="1"/>
  <c r="Y41" i="13"/>
  <c r="Z41" i="13" s="1" a="1"/>
  <c r="Z41" i="13" s="1"/>
  <c r="Y42" i="13"/>
  <c r="Z42" i="13" s="1" a="1"/>
  <c r="Z42" i="13" s="1"/>
  <c r="Y43" i="13"/>
  <c r="Z43" i="13" s="1" a="1"/>
  <c r="Z43" i="13" s="1"/>
  <c r="Y44" i="13"/>
  <c r="Z44" i="13" s="1" a="1"/>
  <c r="Z44" i="13" s="1"/>
  <c r="Y45" i="13"/>
  <c r="Z45" i="13" s="1" a="1"/>
  <c r="Z45" i="13" s="1"/>
  <c r="Y46" i="13"/>
  <c r="AA46" i="13" s="1" a="1"/>
  <c r="AA46" i="13" s="1"/>
  <c r="Y47" i="13"/>
  <c r="AA47" i="13" s="1" a="1"/>
  <c r="AA47" i="13" s="1"/>
  <c r="Y48" i="13"/>
  <c r="AA48" i="13" s="1" a="1"/>
  <c r="AA48" i="13" s="1"/>
  <c r="Y49" i="13"/>
  <c r="AA49" i="13" s="1" a="1"/>
  <c r="AA49" i="13" s="1"/>
  <c r="Y50" i="13"/>
  <c r="AA50" i="13" s="1" a="1"/>
  <c r="AA50" i="13" s="1"/>
  <c r="Y51" i="13"/>
  <c r="AA51" i="13" s="1" a="1"/>
  <c r="AA51" i="13" s="1"/>
  <c r="Y52" i="13"/>
  <c r="AA52" i="13" s="1" a="1"/>
  <c r="AA52" i="13" s="1"/>
  <c r="Y53" i="13"/>
  <c r="AA53" i="13" s="1" a="1"/>
  <c r="AA53" i="13" s="1"/>
  <c r="Y54" i="13"/>
  <c r="AA54" i="13" s="1" a="1"/>
  <c r="AA54" i="13" s="1"/>
  <c r="Y55" i="13"/>
  <c r="Z55" i="13" s="1" a="1"/>
  <c r="Z55" i="13" s="1"/>
  <c r="Y56" i="13"/>
  <c r="Z56" i="13" s="1" a="1"/>
  <c r="Z56" i="13" s="1"/>
  <c r="Y57" i="13"/>
  <c r="Z57" i="13" s="1" a="1"/>
  <c r="Z57" i="13" s="1"/>
  <c r="Y58" i="13"/>
  <c r="Z58" i="13" s="1" a="1"/>
  <c r="Z58" i="13" s="1"/>
  <c r="Y59" i="13"/>
  <c r="Z59" i="13" s="1" a="1"/>
  <c r="Z59" i="13" s="1"/>
  <c r="Y60" i="13"/>
  <c r="Z60" i="13" s="1" a="1"/>
  <c r="Z60" i="13" s="1"/>
  <c r="Y61" i="13"/>
  <c r="Z61" i="13" s="1" a="1"/>
  <c r="Z61" i="13" s="1"/>
  <c r="Y62" i="13"/>
  <c r="AA62" i="13" s="1" a="1"/>
  <c r="AA62" i="13" s="1"/>
  <c r="Y63" i="13"/>
  <c r="AA63" i="13" s="1" a="1"/>
  <c r="AA63" i="13" s="1"/>
  <c r="Y64" i="13"/>
  <c r="AA64" i="13" s="1" a="1"/>
  <c r="AA64" i="13" s="1"/>
  <c r="Y65" i="13"/>
  <c r="AA65" i="13" s="1" a="1"/>
  <c r="AA65" i="13" s="1"/>
  <c r="Y66" i="13"/>
  <c r="Z66" i="13" s="1" a="1"/>
  <c r="Z66" i="13" s="1"/>
  <c r="Y67" i="13"/>
  <c r="AA67" i="13" s="1" a="1"/>
  <c r="AA67" i="13" s="1"/>
  <c r="Y68" i="13"/>
  <c r="AA68" i="13" s="1" a="1"/>
  <c r="AA68" i="13" s="1"/>
  <c r="Y69" i="13"/>
  <c r="Z69" i="13" s="1" a="1"/>
  <c r="Z69" i="13" s="1"/>
  <c r="Y70" i="13"/>
  <c r="Z70" i="13" s="1" a="1"/>
  <c r="Z70" i="13" s="1"/>
  <c r="Y71" i="13"/>
  <c r="Z71" i="13" s="1" a="1"/>
  <c r="Z71" i="13" s="1"/>
  <c r="N7" i="13"/>
  <c r="O7" i="13" s="1" a="1"/>
  <c r="O7" i="13" s="1"/>
  <c r="N8" i="13"/>
  <c r="P8" i="13" s="1" a="1"/>
  <c r="P8" i="13" s="1"/>
  <c r="N9" i="13"/>
  <c r="P9" i="13" s="1" a="1"/>
  <c r="P9" i="13" s="1"/>
  <c r="N10" i="13"/>
  <c r="O10" i="13" s="1" a="1"/>
  <c r="O10" i="13" s="1"/>
  <c r="N11" i="13"/>
  <c r="O11" i="13" s="1" a="1"/>
  <c r="O11" i="13" s="1"/>
  <c r="N12" i="13"/>
  <c r="O12" i="13" s="1" a="1"/>
  <c r="O12" i="13" s="1"/>
  <c r="N13" i="13"/>
  <c r="O13" i="13" s="1" a="1"/>
  <c r="O13" i="13" s="1"/>
  <c r="N14" i="13"/>
  <c r="P14" i="13" s="1" a="1"/>
  <c r="P14" i="13" s="1"/>
  <c r="N15" i="13"/>
  <c r="P15" i="13" s="1" a="1"/>
  <c r="P15" i="13" s="1"/>
  <c r="N16" i="13"/>
  <c r="O16" i="13" s="1" a="1"/>
  <c r="O16" i="13" s="1"/>
  <c r="N17" i="13"/>
  <c r="O17" i="13" s="1" a="1"/>
  <c r="O17" i="13" s="1"/>
  <c r="N18" i="13"/>
  <c r="O18" i="13" s="1" a="1"/>
  <c r="O18" i="13" s="1"/>
  <c r="N19" i="13"/>
  <c r="O19" i="13" s="1" a="1"/>
  <c r="O19" i="13" s="1"/>
  <c r="N20" i="13"/>
  <c r="O20" i="13" s="1" a="1"/>
  <c r="O20" i="13" s="1"/>
  <c r="N21" i="13"/>
  <c r="P21" i="13" s="1" a="1"/>
  <c r="P21" i="13" s="1"/>
  <c r="N22" i="13"/>
  <c r="P22" i="13" s="1" a="1"/>
  <c r="P22" i="13" s="1"/>
  <c r="N23" i="13"/>
  <c r="P23" i="13" s="1" a="1"/>
  <c r="P23" i="13" s="1"/>
  <c r="N24" i="13"/>
  <c r="O24" i="13" s="1" a="1"/>
  <c r="O24" i="13" s="1"/>
  <c r="N25" i="13"/>
  <c r="O25" i="13" s="1" a="1"/>
  <c r="O25" i="13" s="1"/>
  <c r="N26" i="13"/>
  <c r="O26" i="13" s="1" a="1"/>
  <c r="O26" i="13" s="1"/>
  <c r="N27" i="13"/>
  <c r="O27" i="13" s="1" a="1"/>
  <c r="O27" i="13" s="1"/>
  <c r="N28" i="13"/>
  <c r="O28" i="13" s="1" a="1"/>
  <c r="O28" i="13" s="1"/>
  <c r="N29" i="13"/>
  <c r="O29" i="13" s="1" a="1"/>
  <c r="O29" i="13" s="1"/>
  <c r="N30" i="13"/>
  <c r="P30" i="13" s="1" a="1"/>
  <c r="P30" i="13" s="1"/>
  <c r="N31" i="13"/>
  <c r="O31" i="13" s="1" a="1"/>
  <c r="O31" i="13" s="1"/>
  <c r="N32" i="13"/>
  <c r="O32" i="13" s="1" a="1"/>
  <c r="O32" i="13" s="1"/>
  <c r="N33" i="13"/>
  <c r="O33" i="13" s="1" a="1"/>
  <c r="O33" i="13" s="1"/>
  <c r="N34" i="13"/>
  <c r="O34" i="13" s="1" a="1"/>
  <c r="O34" i="13" s="1"/>
  <c r="N35" i="13"/>
  <c r="P35" i="13" s="1" a="1"/>
  <c r="P35" i="13" s="1"/>
  <c r="N36" i="13"/>
  <c r="P36" i="13" s="1" a="1"/>
  <c r="P36" i="13" s="1"/>
  <c r="N37" i="13"/>
  <c r="P37" i="13" s="1" a="1"/>
  <c r="P37" i="13" s="1"/>
  <c r="N38" i="13"/>
  <c r="P38" i="13" s="1" a="1"/>
  <c r="P38" i="13" s="1"/>
  <c r="N39" i="13"/>
  <c r="O39" i="13" s="1" a="1"/>
  <c r="O39" i="13" s="1"/>
  <c r="N40" i="13"/>
  <c r="O40" i="13" s="1" a="1"/>
  <c r="O40" i="13" s="1"/>
  <c r="N41" i="13"/>
  <c r="P41" i="13" s="1" a="1"/>
  <c r="P41" i="13" s="1"/>
  <c r="N42" i="13"/>
  <c r="O42" i="13" s="1" a="1"/>
  <c r="O42" i="13" s="1"/>
  <c r="N43" i="13"/>
  <c r="O43" i="13" s="1" a="1"/>
  <c r="O43" i="13" s="1"/>
  <c r="N44" i="13"/>
  <c r="O44" i="13" s="1" a="1"/>
  <c r="O44" i="13" s="1"/>
  <c r="N45" i="13"/>
  <c r="O45" i="13" s="1" a="1"/>
  <c r="O45" i="13" s="1"/>
  <c r="N46" i="13"/>
  <c r="O46" i="13" s="1" a="1"/>
  <c r="O46" i="13" s="1"/>
  <c r="N47" i="13"/>
  <c r="P47" i="13" s="1" a="1"/>
  <c r="P47" i="13" s="1"/>
  <c r="N48" i="13"/>
  <c r="O48" i="13" s="1" a="1"/>
  <c r="O48" i="13" s="1"/>
  <c r="N49" i="13"/>
  <c r="P49" i="13" s="1" a="1"/>
  <c r="P49" i="13" s="1"/>
  <c r="N50" i="13"/>
  <c r="P50" i="13" s="1" a="1"/>
  <c r="P50" i="13" s="1"/>
  <c r="N51" i="13"/>
  <c r="O51" i="13" s="1" a="1"/>
  <c r="O51" i="13" s="1"/>
  <c r="N52" i="13"/>
  <c r="P52" i="13" s="1" a="1"/>
  <c r="P52" i="13" s="1"/>
  <c r="N53" i="13"/>
  <c r="O53" i="13" s="1" a="1"/>
  <c r="O53" i="13" s="1"/>
  <c r="N54" i="13"/>
  <c r="O54" i="13" s="1" a="1"/>
  <c r="O54" i="13" s="1"/>
  <c r="N55" i="13"/>
  <c r="P55" i="13" s="1" a="1"/>
  <c r="P55" i="13" s="1"/>
  <c r="N56" i="13"/>
  <c r="O56" i="13" s="1" a="1"/>
  <c r="O56" i="13" s="1"/>
  <c r="N57" i="13"/>
  <c r="O57" i="13" s="1" a="1"/>
  <c r="O57" i="13" s="1"/>
  <c r="N58" i="13"/>
  <c r="O58" i="13" s="1" a="1"/>
  <c r="O58" i="13" s="1"/>
  <c r="N59" i="13"/>
  <c r="O59" i="13" s="1" a="1"/>
  <c r="O59" i="13" s="1"/>
  <c r="C7" i="13"/>
  <c r="D7" i="13" s="1" a="1"/>
  <c r="D7" i="13" s="1"/>
  <c r="C8" i="13"/>
  <c r="D8" i="13" s="1" a="1"/>
  <c r="D8" i="13" s="1"/>
  <c r="C9" i="13"/>
  <c r="D9" i="13" s="1" a="1"/>
  <c r="D9" i="13" s="1"/>
  <c r="C10" i="13"/>
  <c r="E10" i="13" s="1" a="1"/>
  <c r="E10" i="13" s="1"/>
  <c r="C11" i="13"/>
  <c r="D11" i="13" s="1" a="1"/>
  <c r="D11" i="13" s="1"/>
  <c r="C12" i="13"/>
  <c r="D12" i="13" s="1" a="1"/>
  <c r="D12" i="13" s="1"/>
  <c r="C13" i="13"/>
  <c r="D13" i="13" s="1" a="1"/>
  <c r="D13" i="13" s="1"/>
  <c r="C14" i="13"/>
  <c r="D14" i="13" s="1" a="1"/>
  <c r="D14" i="13" s="1"/>
  <c r="C15" i="13"/>
  <c r="E15" i="13" s="1" a="1"/>
  <c r="E15" i="13" s="1"/>
  <c r="C16" i="13"/>
  <c r="E16" i="13" s="1" a="1"/>
  <c r="E16" i="13" s="1"/>
  <c r="C17" i="13"/>
  <c r="E17" i="13" s="1" a="1"/>
  <c r="E17" i="13" s="1"/>
  <c r="C18" i="13"/>
  <c r="E18" i="13" s="1" a="1"/>
  <c r="E18" i="13" s="1"/>
  <c r="C19" i="13"/>
  <c r="E19" i="13" s="1" a="1"/>
  <c r="E19" i="13" s="1"/>
  <c r="C20" i="13"/>
  <c r="E20" i="13" s="1" a="1"/>
  <c r="E20" i="13" s="1"/>
  <c r="C21" i="13"/>
  <c r="D21" i="13" s="1" a="1"/>
  <c r="D21" i="13" s="1"/>
  <c r="C22" i="13"/>
  <c r="D22" i="13" s="1" a="1"/>
  <c r="D22" i="13" s="1"/>
  <c r="C23" i="13"/>
  <c r="D23" i="13" s="1" a="1"/>
  <c r="D23" i="13" s="1"/>
  <c r="C24" i="13"/>
  <c r="D24" i="13" s="1" a="1"/>
  <c r="D24" i="13" s="1"/>
  <c r="C25" i="13"/>
  <c r="D25" i="13" s="1" a="1"/>
  <c r="D25" i="13" s="1"/>
  <c r="C26" i="13"/>
  <c r="E26" i="13" s="1" a="1"/>
  <c r="E26" i="13" s="1"/>
  <c r="C27" i="13"/>
  <c r="E27" i="13" s="1" a="1"/>
  <c r="E27" i="13" s="1"/>
  <c r="C28" i="13"/>
  <c r="D28" i="13" s="1" a="1"/>
  <c r="D28" i="13" s="1"/>
  <c r="C29" i="13"/>
  <c r="E29" i="13" s="1" a="1"/>
  <c r="E29" i="13" s="1"/>
  <c r="C30" i="13"/>
  <c r="D30" i="13" s="1" a="1"/>
  <c r="D30" i="13" s="1"/>
  <c r="C31" i="13"/>
  <c r="E31" i="13" s="1" a="1"/>
  <c r="E31" i="13" s="1"/>
  <c r="C32" i="13"/>
  <c r="E32" i="13" s="1" a="1"/>
  <c r="E32" i="13" s="1"/>
  <c r="C33" i="13"/>
  <c r="E33" i="13" s="1" a="1"/>
  <c r="E33" i="13" s="1"/>
  <c r="C34" i="13"/>
  <c r="E34" i="13" s="1" a="1"/>
  <c r="E34" i="13" s="1"/>
  <c r="C35" i="13"/>
  <c r="D35" i="13" s="1" a="1"/>
  <c r="D35" i="13" s="1"/>
  <c r="C36" i="13"/>
  <c r="D36" i="13" s="1" a="1"/>
  <c r="D36" i="13" s="1"/>
  <c r="C37" i="13"/>
  <c r="D37" i="13" s="1" a="1"/>
  <c r="D37" i="13" s="1"/>
  <c r="C38" i="13"/>
  <c r="D38" i="13" s="1" a="1"/>
  <c r="D38" i="13" s="1"/>
  <c r="C39" i="13"/>
  <c r="D39" i="13" s="1" a="1"/>
  <c r="D39" i="13" s="1"/>
  <c r="C40" i="13"/>
  <c r="D40" i="13" s="1" a="1"/>
  <c r="D40" i="13" s="1"/>
  <c r="C41" i="13"/>
  <c r="D41" i="13" s="1" a="1"/>
  <c r="D41" i="13" s="1"/>
  <c r="C42" i="13"/>
  <c r="D42" i="13" s="1" a="1"/>
  <c r="D42" i="13" s="1"/>
  <c r="C43" i="13"/>
  <c r="D43" i="13" s="1" a="1"/>
  <c r="D43" i="13" s="1"/>
  <c r="C44" i="13"/>
  <c r="D44" i="13" s="1" a="1"/>
  <c r="D44" i="13" s="1"/>
  <c r="C45" i="13"/>
  <c r="E45" i="13" s="1" a="1"/>
  <c r="E45" i="13" s="1"/>
  <c r="C46" i="13"/>
  <c r="E46" i="13" s="1" a="1"/>
  <c r="E46" i="13" s="1"/>
  <c r="C47" i="13"/>
  <c r="E47" i="13" s="1" a="1"/>
  <c r="E47" i="13" s="1"/>
  <c r="C48" i="13"/>
  <c r="E48" i="13" s="1" a="1"/>
  <c r="E48" i="13" s="1"/>
  <c r="C49" i="13"/>
  <c r="D49" i="13" s="1" a="1"/>
  <c r="D49" i="13" s="1"/>
  <c r="C50" i="13"/>
  <c r="D50" i="13" s="1" a="1"/>
  <c r="D50" i="13" s="1"/>
  <c r="C51" i="13"/>
  <c r="D51" i="13" s="1" a="1"/>
  <c r="D51" i="13" s="1"/>
  <c r="C52" i="13"/>
  <c r="D52" i="13" s="1" a="1"/>
  <c r="D52" i="13" s="1"/>
  <c r="C53" i="13"/>
  <c r="D53" i="13" s="1" a="1"/>
  <c r="D53" i="13" s="1"/>
  <c r="C54" i="13"/>
  <c r="D54" i="13" s="1" a="1"/>
  <c r="D54" i="13" s="1"/>
  <c r="C55" i="13"/>
  <c r="D55" i="13" s="1" a="1"/>
  <c r="D55" i="13" s="1"/>
  <c r="C56" i="13"/>
  <c r="D56" i="13" s="1" a="1"/>
  <c r="D56" i="13" s="1"/>
  <c r="C57" i="13"/>
  <c r="D57" i="13" s="1" a="1"/>
  <c r="D57" i="13" s="1"/>
  <c r="C58" i="13"/>
  <c r="E58" i="13" s="1" a="1"/>
  <c r="E58" i="13" s="1"/>
  <c r="C59" i="13"/>
  <c r="E59" i="13" s="1" a="1"/>
  <c r="E59" i="13" s="1"/>
  <c r="C21" i="12"/>
  <c r="D21" i="12" s="1" a="1"/>
  <c r="D21" i="12" s="1"/>
  <c r="AJ7" i="12"/>
  <c r="AK7" i="12" s="1" a="1"/>
  <c r="AK7" i="12" s="1"/>
  <c r="AJ8" i="12"/>
  <c r="AK8" i="12" s="1" a="1"/>
  <c r="AK8" i="12" s="1"/>
  <c r="AJ9" i="12"/>
  <c r="AK9" i="12" s="1" a="1"/>
  <c r="AK9" i="12" s="1"/>
  <c r="AJ10" i="12"/>
  <c r="AK10" i="12" s="1" a="1"/>
  <c r="AK10" i="12" s="1"/>
  <c r="AJ11" i="12"/>
  <c r="AK11" i="12" s="1" a="1"/>
  <c r="AK11" i="12" s="1"/>
  <c r="AJ12" i="12"/>
  <c r="AK12" i="12" s="1" a="1"/>
  <c r="AK12" i="12" s="1"/>
  <c r="AJ13" i="12"/>
  <c r="AK13" i="12" s="1" a="1"/>
  <c r="AK13" i="12" s="1"/>
  <c r="AJ14" i="12"/>
  <c r="AK14" i="12" s="1" a="1"/>
  <c r="AK14" i="12" s="1"/>
  <c r="AJ15" i="12"/>
  <c r="AK15" i="12" s="1" a="1"/>
  <c r="AK15" i="12" s="1"/>
  <c r="AJ16" i="12"/>
  <c r="AK16" i="12" s="1" a="1"/>
  <c r="AK16" i="12" s="1"/>
  <c r="AJ17" i="12"/>
  <c r="AK17" i="12" s="1" a="1"/>
  <c r="AK17" i="12" s="1"/>
  <c r="AJ18" i="12"/>
  <c r="AK18" i="12" s="1" a="1"/>
  <c r="AK18" i="12" s="1"/>
  <c r="AJ19" i="12"/>
  <c r="AK19" i="12" s="1" a="1"/>
  <c r="AK19" i="12" s="1"/>
  <c r="AJ20" i="12"/>
  <c r="AK20" i="12" s="1" a="1"/>
  <c r="AK20" i="12" s="1"/>
  <c r="AJ21" i="12"/>
  <c r="AK21" i="12" s="1" a="1"/>
  <c r="AK21" i="12" s="1"/>
  <c r="AJ22" i="12"/>
  <c r="AK22" i="12" s="1" a="1"/>
  <c r="AK22" i="12" s="1"/>
  <c r="AJ23" i="12"/>
  <c r="AK23" i="12" s="1" a="1"/>
  <c r="AK23" i="12" s="1"/>
  <c r="AJ24" i="12"/>
  <c r="AK24" i="12" s="1" a="1"/>
  <c r="AK24" i="12" s="1"/>
  <c r="AJ25" i="12"/>
  <c r="AK25" i="12" s="1" a="1"/>
  <c r="AK25" i="12" s="1"/>
  <c r="AJ26" i="12"/>
  <c r="AK26" i="12" s="1" a="1"/>
  <c r="AK26" i="12" s="1"/>
  <c r="AJ27" i="12"/>
  <c r="AK27" i="12" s="1" a="1"/>
  <c r="AK27" i="12" s="1"/>
  <c r="AJ28" i="12"/>
  <c r="AK28" i="12" s="1" a="1"/>
  <c r="AK28" i="12" s="1"/>
  <c r="AJ29" i="12"/>
  <c r="AK29" i="12" s="1" a="1"/>
  <c r="AK29" i="12" s="1"/>
  <c r="AJ30" i="12"/>
  <c r="AK30" i="12" s="1" a="1"/>
  <c r="AK30" i="12" s="1"/>
  <c r="AJ31" i="12"/>
  <c r="AK31" i="12" s="1" a="1"/>
  <c r="AK31" i="12" s="1"/>
  <c r="AJ32" i="12"/>
  <c r="AK32" i="12" s="1" a="1"/>
  <c r="AK32" i="12" s="1"/>
  <c r="AJ33" i="12"/>
  <c r="AK33" i="12" s="1" a="1"/>
  <c r="AK33" i="12" s="1"/>
  <c r="AJ34" i="12"/>
  <c r="AK34" i="12" s="1" a="1"/>
  <c r="AK34" i="12" s="1"/>
  <c r="AJ35" i="12"/>
  <c r="AK35" i="12" s="1" a="1"/>
  <c r="AK35" i="12" s="1"/>
  <c r="AJ36" i="12"/>
  <c r="AK36" i="12" s="1" a="1"/>
  <c r="AK36" i="12" s="1"/>
  <c r="AJ37" i="12"/>
  <c r="AK37" i="12" s="1" a="1"/>
  <c r="AK37" i="12" s="1"/>
  <c r="AJ38" i="12"/>
  <c r="AK38" i="12" s="1" a="1"/>
  <c r="AK38" i="12" s="1"/>
  <c r="AJ39" i="12"/>
  <c r="AK39" i="12" s="1" a="1"/>
  <c r="AK39" i="12" s="1"/>
  <c r="AJ40" i="12"/>
  <c r="AK40" i="12" s="1" a="1"/>
  <c r="AK40" i="12" s="1"/>
  <c r="AJ41" i="12"/>
  <c r="AK41" i="12" s="1" a="1"/>
  <c r="AK41" i="12" s="1"/>
  <c r="AJ42" i="12"/>
  <c r="AK42" i="12" s="1" a="1"/>
  <c r="AK42" i="12" s="1"/>
  <c r="AJ43" i="12"/>
  <c r="AK43" i="12" s="1" a="1"/>
  <c r="AK43" i="12" s="1"/>
  <c r="AJ44" i="12"/>
  <c r="AK44" i="12" s="1" a="1"/>
  <c r="AK44" i="12" s="1"/>
  <c r="AJ45" i="12"/>
  <c r="AK45" i="12" s="1" a="1"/>
  <c r="AK45" i="12" s="1"/>
  <c r="AJ46" i="12"/>
  <c r="AK46" i="12" s="1" a="1"/>
  <c r="AK46" i="12" s="1"/>
  <c r="Y8" i="12"/>
  <c r="Z8" i="12" s="1" a="1"/>
  <c r="Z8" i="12" s="1"/>
  <c r="Y7" i="12"/>
  <c r="Z7" i="12" s="1" a="1"/>
  <c r="Z7" i="12" s="1"/>
  <c r="Y9" i="12"/>
  <c r="Z9" i="12" s="1" a="1"/>
  <c r="Z9" i="12" s="1"/>
  <c r="Y10" i="12"/>
  <c r="Z10" i="12" s="1" a="1"/>
  <c r="Z10" i="12" s="1"/>
  <c r="Y11" i="12"/>
  <c r="Z11" i="12" s="1" a="1"/>
  <c r="Z11" i="12" s="1"/>
  <c r="Y12" i="12"/>
  <c r="Z12" i="12" s="1" a="1"/>
  <c r="Z12" i="12" s="1"/>
  <c r="Y13" i="12"/>
  <c r="Z13" i="12" s="1" a="1"/>
  <c r="Z13" i="12" s="1"/>
  <c r="Y14" i="12"/>
  <c r="Z14" i="12" s="1" a="1"/>
  <c r="Z14" i="12" s="1"/>
  <c r="Y15" i="12"/>
  <c r="Z15" i="12" s="1" a="1"/>
  <c r="Z15" i="12" s="1"/>
  <c r="Y16" i="12"/>
  <c r="Z16" i="12" s="1" a="1"/>
  <c r="Z16" i="12" s="1"/>
  <c r="Y17" i="12"/>
  <c r="Z17" i="12" s="1" a="1"/>
  <c r="Z17" i="12" s="1"/>
  <c r="Y18" i="12"/>
  <c r="AA18" i="12" s="1" a="1"/>
  <c r="AA18" i="12" s="1"/>
  <c r="Y19" i="12"/>
  <c r="AA19" i="12" s="1" a="1"/>
  <c r="AA19" i="12" s="1"/>
  <c r="Y20" i="12"/>
  <c r="Z20" i="12" s="1" a="1"/>
  <c r="Z20" i="12" s="1"/>
  <c r="Y21" i="12"/>
  <c r="Z21" i="12" s="1" a="1"/>
  <c r="Z21" i="12" s="1"/>
  <c r="Y22" i="12"/>
  <c r="Z22" i="12" s="1" a="1"/>
  <c r="Z22" i="12" s="1"/>
  <c r="Y23" i="12"/>
  <c r="Z23" i="12" s="1" a="1"/>
  <c r="Z23" i="12" s="1"/>
  <c r="Y24" i="12"/>
  <c r="Z24" i="12" s="1" a="1"/>
  <c r="Z24" i="12" s="1"/>
  <c r="Y25" i="12"/>
  <c r="Z25" i="12" s="1" a="1"/>
  <c r="Z25" i="12" s="1"/>
  <c r="Y26" i="12"/>
  <c r="Z26" i="12" s="1" a="1"/>
  <c r="Z26" i="12" s="1"/>
  <c r="Y27" i="12"/>
  <c r="Z27" i="12" s="1" a="1"/>
  <c r="Z27" i="12" s="1"/>
  <c r="Y28" i="12"/>
  <c r="Z28" i="12" s="1" a="1"/>
  <c r="Z28" i="12" s="1"/>
  <c r="Y29" i="12"/>
  <c r="Z29" i="12" s="1" a="1"/>
  <c r="Z29" i="12" s="1"/>
  <c r="Y30" i="12"/>
  <c r="Z30" i="12" s="1" a="1"/>
  <c r="Z30" i="12" s="1"/>
  <c r="Y31" i="12"/>
  <c r="AA31" i="12" s="1" a="1"/>
  <c r="AA31" i="12" s="1"/>
  <c r="Y32" i="12"/>
  <c r="Z32" i="12" s="1" a="1"/>
  <c r="Z32" i="12" s="1"/>
  <c r="Y33" i="12"/>
  <c r="Z33" i="12" s="1" a="1"/>
  <c r="Z33" i="12" s="1"/>
  <c r="Y34" i="12"/>
  <c r="Z34" i="12" s="1" a="1"/>
  <c r="Z34" i="12" s="1"/>
  <c r="Y35" i="12"/>
  <c r="Z35" i="12" s="1" a="1"/>
  <c r="Z35" i="12" s="1"/>
  <c r="Y36" i="12"/>
  <c r="AA36" i="12" s="1" a="1"/>
  <c r="AA36" i="12" s="1"/>
  <c r="Y37" i="12"/>
  <c r="Z37" i="12" s="1" a="1"/>
  <c r="Z37" i="12" s="1"/>
  <c r="Y38" i="12"/>
  <c r="Z38" i="12" s="1" a="1"/>
  <c r="Z38" i="12" s="1"/>
  <c r="Y39" i="12"/>
  <c r="Z39" i="12" s="1" a="1"/>
  <c r="Z39" i="12" s="1"/>
  <c r="Y40" i="12"/>
  <c r="Z40" i="12" s="1" a="1"/>
  <c r="Z40" i="12" s="1"/>
  <c r="Y41" i="12"/>
  <c r="Z41" i="12" s="1" a="1"/>
  <c r="Z41" i="12" s="1"/>
  <c r="Y42" i="12"/>
  <c r="Z42" i="12" s="1" a="1"/>
  <c r="Z42" i="12" s="1"/>
  <c r="Y43" i="12"/>
  <c r="Z43" i="12" s="1" a="1"/>
  <c r="Z43" i="12" s="1"/>
  <c r="Y44" i="12"/>
  <c r="AA44" i="12" s="1" a="1"/>
  <c r="AA44" i="12" s="1"/>
  <c r="Y45" i="12"/>
  <c r="AA45" i="12" s="1" a="1"/>
  <c r="AA45" i="12" s="1"/>
  <c r="Y46" i="12"/>
  <c r="Z46" i="12" s="1" a="1"/>
  <c r="Z46" i="12" s="1"/>
  <c r="Y47" i="12"/>
  <c r="Z47" i="12" s="1" a="1"/>
  <c r="Z47" i="12" s="1"/>
  <c r="Y48" i="12"/>
  <c r="Z48" i="12" s="1" a="1"/>
  <c r="Z48" i="12" s="1"/>
  <c r="Y49" i="12"/>
  <c r="Z49" i="12" s="1" a="1"/>
  <c r="Z49" i="12" s="1"/>
  <c r="Y50" i="12"/>
  <c r="Z50" i="12" s="1" a="1"/>
  <c r="Z50" i="12" s="1"/>
  <c r="Y51" i="12"/>
  <c r="Z51" i="12" s="1" a="1"/>
  <c r="Z51" i="12" s="1"/>
  <c r="Y52" i="12"/>
  <c r="Z52" i="12" s="1" a="1"/>
  <c r="Z52" i="12" s="1"/>
  <c r="Y53" i="12"/>
  <c r="Z53" i="12" s="1" a="1"/>
  <c r="Z53" i="12" s="1"/>
  <c r="Y54" i="12"/>
  <c r="Z54" i="12" s="1" a="1"/>
  <c r="Z54" i="12" s="1"/>
  <c r="Y55" i="12"/>
  <c r="Z55" i="12" s="1" a="1"/>
  <c r="Z55" i="12" s="1"/>
  <c r="Y56" i="12"/>
  <c r="Z56" i="12" s="1" a="1"/>
  <c r="Z56" i="12" s="1"/>
  <c r="Y57" i="12"/>
  <c r="AA57" i="12" s="1" a="1"/>
  <c r="AA57" i="12" s="1"/>
  <c r="Y58" i="12"/>
  <c r="Z58" i="12" s="1" a="1"/>
  <c r="Z58" i="12" s="1"/>
  <c r="Y59" i="12"/>
  <c r="Z59" i="12" s="1" a="1"/>
  <c r="Z59" i="12" s="1"/>
  <c r="Y60" i="12"/>
  <c r="Z60" i="12" s="1" a="1"/>
  <c r="Z60" i="12" s="1"/>
  <c r="Y61" i="12"/>
  <c r="Z61" i="12" s="1" a="1"/>
  <c r="Z61" i="12" s="1"/>
  <c r="Y62" i="12"/>
  <c r="Z62" i="12" s="1" a="1"/>
  <c r="Z62" i="12" s="1"/>
  <c r="Y63" i="12"/>
  <c r="Z63" i="12" s="1" a="1"/>
  <c r="Z63" i="12" s="1"/>
  <c r="Y64" i="12"/>
  <c r="Z64" i="12" s="1" a="1"/>
  <c r="Z64" i="12" s="1"/>
  <c r="Y65" i="12"/>
  <c r="Z65" i="12" s="1" a="1"/>
  <c r="Z65" i="12" s="1"/>
  <c r="Y66" i="12"/>
  <c r="Z66" i="12" s="1" a="1"/>
  <c r="Z66" i="12" s="1"/>
  <c r="Y67" i="12"/>
  <c r="Z67" i="12" s="1" a="1"/>
  <c r="Z67" i="12" s="1"/>
  <c r="Y68" i="12"/>
  <c r="Z68" i="12" s="1" a="1"/>
  <c r="Z68" i="12" s="1"/>
  <c r="Y69" i="12"/>
  <c r="Z69" i="12" s="1" a="1"/>
  <c r="Z69" i="12" s="1"/>
  <c r="Y70" i="12"/>
  <c r="Z70" i="12" s="1" a="1"/>
  <c r="Z70" i="12" s="1"/>
  <c r="Y71" i="12"/>
  <c r="Z71" i="12" s="1" a="1"/>
  <c r="Z71" i="12" s="1"/>
  <c r="Y72" i="12"/>
  <c r="Z72" i="12" s="1" a="1"/>
  <c r="Z72" i="12" s="1"/>
  <c r="Y73" i="12"/>
  <c r="Z73" i="12" s="1" a="1"/>
  <c r="Z73" i="12" s="1"/>
  <c r="Y74" i="12"/>
  <c r="AA74" i="12" s="1" a="1"/>
  <c r="AA74" i="12" s="1"/>
  <c r="Y75" i="12"/>
  <c r="Z75" i="12" s="1" a="1"/>
  <c r="Z75" i="12" s="1"/>
  <c r="Y76" i="12"/>
  <c r="Z76" i="12" s="1" a="1"/>
  <c r="Z76" i="12" s="1"/>
  <c r="Y77" i="12"/>
  <c r="Z77" i="12" s="1" a="1"/>
  <c r="Z77" i="12" s="1"/>
  <c r="Y78" i="12"/>
  <c r="Z78" i="12" s="1" a="1"/>
  <c r="Z78" i="12" s="1"/>
  <c r="Y79" i="12"/>
  <c r="Z79" i="12" s="1" a="1"/>
  <c r="Z79" i="12" s="1"/>
  <c r="Y80" i="12"/>
  <c r="Z80" i="12" s="1" a="1"/>
  <c r="Z80" i="12" s="1"/>
  <c r="Y81" i="12"/>
  <c r="Z81" i="12" s="1" a="1"/>
  <c r="Z81" i="12" s="1"/>
  <c r="Y82" i="12"/>
  <c r="Z82" i="12" s="1" a="1"/>
  <c r="Z82" i="12" s="1"/>
  <c r="Y83" i="12"/>
  <c r="Z83" i="12" s="1" a="1"/>
  <c r="Z83" i="12" s="1"/>
  <c r="Y84" i="12"/>
  <c r="Z84" i="12" s="1" a="1"/>
  <c r="Z84" i="12" s="1"/>
  <c r="Y85" i="12"/>
  <c r="Z85" i="12" s="1" a="1"/>
  <c r="Z85" i="12" s="1"/>
  <c r="Y86" i="12"/>
  <c r="Z86" i="12" s="1" a="1"/>
  <c r="Z86" i="12" s="1"/>
  <c r="N7" i="12"/>
  <c r="P7" i="12" s="1" a="1"/>
  <c r="P7" i="12" s="1"/>
  <c r="N8" i="12"/>
  <c r="O8" i="12" s="1" a="1"/>
  <c r="O8" i="12" s="1"/>
  <c r="N9" i="12"/>
  <c r="O9" i="12" s="1" a="1"/>
  <c r="O9" i="12" s="1"/>
  <c r="N10" i="12"/>
  <c r="O10" i="12" s="1" a="1"/>
  <c r="O10" i="12" s="1"/>
  <c r="N11" i="12"/>
  <c r="O11" i="12" s="1" a="1"/>
  <c r="O11" i="12" s="1"/>
  <c r="N12" i="12"/>
  <c r="O12" i="12" s="1" a="1"/>
  <c r="O12" i="12" s="1"/>
  <c r="N13" i="12"/>
  <c r="O13" i="12" s="1" a="1"/>
  <c r="O13" i="12" s="1"/>
  <c r="N14" i="12"/>
  <c r="O14" i="12" s="1" a="1"/>
  <c r="O14" i="12" s="1"/>
  <c r="N15" i="12"/>
  <c r="O15" i="12" s="1" a="1"/>
  <c r="O15" i="12" s="1"/>
  <c r="N16" i="12"/>
  <c r="O16" i="12" s="1" a="1"/>
  <c r="O16" i="12" s="1"/>
  <c r="N17" i="12"/>
  <c r="O17" i="12" s="1" a="1"/>
  <c r="O17" i="12" s="1"/>
  <c r="N18" i="12"/>
  <c r="O18" i="12" s="1" a="1"/>
  <c r="O18" i="12" s="1"/>
  <c r="N19" i="12"/>
  <c r="O19" i="12" s="1" a="1"/>
  <c r="O19" i="12" s="1"/>
  <c r="N20" i="12"/>
  <c r="O20" i="12" s="1" a="1"/>
  <c r="O20" i="12" s="1"/>
  <c r="N21" i="12"/>
  <c r="P21" i="12" s="1" a="1"/>
  <c r="P21" i="12" s="1"/>
  <c r="N22" i="12"/>
  <c r="O22" i="12" s="1" a="1"/>
  <c r="O22" i="12" s="1"/>
  <c r="N23" i="12"/>
  <c r="O23" i="12" s="1" a="1"/>
  <c r="O23" i="12" s="1"/>
  <c r="N24" i="12"/>
  <c r="O24" i="12" s="1" a="1"/>
  <c r="O24" i="12" s="1"/>
  <c r="N25" i="12"/>
  <c r="O25" i="12" s="1" a="1"/>
  <c r="O25" i="12" s="1"/>
  <c r="N26" i="12"/>
  <c r="O26" i="12" s="1" a="1"/>
  <c r="O26" i="12" s="1"/>
  <c r="N27" i="12"/>
  <c r="O27" i="12" s="1" a="1"/>
  <c r="O27" i="12" s="1"/>
  <c r="N28" i="12"/>
  <c r="O28" i="12" s="1" a="1"/>
  <c r="O28" i="12" s="1"/>
  <c r="N29" i="12"/>
  <c r="O29" i="12" s="1" a="1"/>
  <c r="O29" i="12" s="1"/>
  <c r="N30" i="12"/>
  <c r="O30" i="12" s="1" a="1"/>
  <c r="O30" i="12" s="1"/>
  <c r="N31" i="12"/>
  <c r="O31" i="12" s="1" a="1"/>
  <c r="O31" i="12" s="1"/>
  <c r="N32" i="12"/>
  <c r="P32" i="12" s="1" a="1"/>
  <c r="P32" i="12" s="1"/>
  <c r="N33" i="12"/>
  <c r="P33" i="12" s="1" a="1"/>
  <c r="P33" i="12" s="1"/>
  <c r="N34" i="12"/>
  <c r="P34" i="12" s="1" a="1"/>
  <c r="P34" i="12" s="1"/>
  <c r="N35" i="12"/>
  <c r="P35" i="12" s="1" a="1"/>
  <c r="P35" i="12" s="1"/>
  <c r="N36" i="12"/>
  <c r="O36" i="12" s="1" a="1"/>
  <c r="O36" i="12" s="1"/>
  <c r="N37" i="12"/>
  <c r="O37" i="12" s="1" a="1"/>
  <c r="O37" i="12" s="1"/>
  <c r="N38" i="12"/>
  <c r="O38" i="12" s="1" a="1"/>
  <c r="O38" i="12" s="1"/>
  <c r="N39" i="12"/>
  <c r="O39" i="12" s="1" a="1"/>
  <c r="O39" i="12" s="1"/>
  <c r="N40" i="12"/>
  <c r="O40" i="12" s="1" a="1"/>
  <c r="O40" i="12" s="1"/>
  <c r="N41" i="12"/>
  <c r="O41" i="12" s="1" a="1"/>
  <c r="O41" i="12" s="1"/>
  <c r="N42" i="12"/>
  <c r="O42" i="12" s="1" a="1"/>
  <c r="O42" i="12" s="1"/>
  <c r="N43" i="12"/>
  <c r="O43" i="12" s="1" a="1"/>
  <c r="O43" i="12" s="1"/>
  <c r="N44" i="12"/>
  <c r="O44" i="12" s="1" a="1"/>
  <c r="O44" i="12" s="1"/>
  <c r="N45" i="12"/>
  <c r="O45" i="12" s="1" a="1"/>
  <c r="O45" i="12" s="1"/>
  <c r="N46" i="12"/>
  <c r="O46" i="12" s="1" a="1"/>
  <c r="O46" i="12" s="1"/>
  <c r="N47" i="12"/>
  <c r="O47" i="12" s="1" a="1"/>
  <c r="O47" i="12" s="1"/>
  <c r="N48" i="12"/>
  <c r="O48" i="12" s="1" a="1"/>
  <c r="O48" i="12" s="1"/>
  <c r="N49" i="12"/>
  <c r="O49" i="12" s="1" a="1"/>
  <c r="O49" i="12" s="1"/>
  <c r="N50" i="12"/>
  <c r="O50" i="12" s="1" a="1"/>
  <c r="O50" i="12" s="1"/>
  <c r="N51" i="12"/>
  <c r="O51" i="12" s="1" a="1"/>
  <c r="O51" i="12" s="1"/>
  <c r="N52" i="12"/>
  <c r="O52" i="12" s="1" a="1"/>
  <c r="O52" i="12" s="1"/>
  <c r="N53" i="12"/>
  <c r="O53" i="12" s="1" a="1"/>
  <c r="O53" i="12" s="1"/>
  <c r="N54" i="12"/>
  <c r="O54" i="12" s="1" a="1"/>
  <c r="O54" i="12" s="1"/>
  <c r="N55" i="12"/>
  <c r="O55" i="12" s="1" a="1"/>
  <c r="O55" i="12" s="1"/>
  <c r="N56" i="12"/>
  <c r="O56" i="12" s="1" a="1"/>
  <c r="O56" i="12" s="1"/>
  <c r="N57" i="12"/>
  <c r="O57" i="12" s="1" a="1"/>
  <c r="O57" i="12" s="1"/>
  <c r="N58" i="12"/>
  <c r="O58" i="12" s="1" a="1"/>
  <c r="O58" i="12" s="1"/>
  <c r="N59" i="12"/>
  <c r="O59" i="12" s="1" a="1"/>
  <c r="O59" i="12" s="1"/>
  <c r="N60" i="12"/>
  <c r="O60" i="12" s="1" a="1"/>
  <c r="O60" i="12" s="1"/>
  <c r="N61" i="12"/>
  <c r="O61" i="12" s="1" a="1"/>
  <c r="O61" i="12" s="1"/>
  <c r="N62" i="12"/>
  <c r="O62" i="12" s="1" a="1"/>
  <c r="O62" i="12" s="1"/>
  <c r="N63" i="12"/>
  <c r="O63" i="12" s="1" a="1"/>
  <c r="O63" i="12" s="1"/>
  <c r="N64" i="12"/>
  <c r="O64" i="12" s="1" a="1"/>
  <c r="O64" i="12" s="1"/>
  <c r="N65" i="12"/>
  <c r="O65" i="12" s="1" a="1"/>
  <c r="O65" i="12" s="1"/>
  <c r="N66" i="12"/>
  <c r="O66" i="12" s="1" a="1"/>
  <c r="O66" i="12" s="1"/>
  <c r="N67" i="12"/>
  <c r="O67" i="12" s="1" a="1"/>
  <c r="O67" i="12" s="1"/>
  <c r="N68" i="12"/>
  <c r="O68" i="12" s="1" a="1"/>
  <c r="O68" i="12" s="1"/>
  <c r="N69" i="12"/>
  <c r="O69" i="12" s="1" a="1"/>
  <c r="O69" i="12" s="1"/>
  <c r="C7" i="12"/>
  <c r="D7" i="12" s="1" a="1"/>
  <c r="D7" i="12" s="1"/>
  <c r="C8" i="12"/>
  <c r="D8" i="12" s="1" a="1"/>
  <c r="D8" i="12" s="1"/>
  <c r="C9" i="12"/>
  <c r="D9" i="12" s="1" a="1"/>
  <c r="D9" i="12" s="1"/>
  <c r="C10" i="12"/>
  <c r="D10" i="12" s="1" a="1"/>
  <c r="D10" i="12" s="1"/>
  <c r="C11" i="12"/>
  <c r="D11" i="12" s="1" a="1"/>
  <c r="D11" i="12" s="1"/>
  <c r="C12" i="12"/>
  <c r="D12" i="12" s="1" a="1"/>
  <c r="D12" i="12" s="1"/>
  <c r="C13" i="12"/>
  <c r="D13" i="12" s="1" a="1"/>
  <c r="D13" i="12" s="1"/>
  <c r="C14" i="12"/>
  <c r="D14" i="12" s="1" a="1"/>
  <c r="D14" i="12" s="1"/>
  <c r="C15" i="12"/>
  <c r="D15" i="12" s="1" a="1"/>
  <c r="D15" i="12" s="1"/>
  <c r="C16" i="12"/>
  <c r="D16" i="12" s="1" a="1"/>
  <c r="D16" i="12" s="1"/>
  <c r="C17" i="12"/>
  <c r="D17" i="12" s="1" a="1"/>
  <c r="D17" i="12" s="1"/>
  <c r="C18" i="12"/>
  <c r="E18" i="12" s="1" a="1"/>
  <c r="E18" i="12" s="1"/>
  <c r="C19" i="12"/>
  <c r="D19" i="12" s="1" a="1"/>
  <c r="D19" i="12" s="1"/>
  <c r="C20" i="12"/>
  <c r="E20" i="12" s="1" a="1"/>
  <c r="E20" i="12" s="1"/>
  <c r="C22" i="12"/>
  <c r="D22" i="12" s="1" a="1"/>
  <c r="D22" i="12" s="1"/>
  <c r="C23" i="12"/>
  <c r="D23" i="12" s="1" a="1"/>
  <c r="D23" i="12" s="1"/>
  <c r="C24" i="12"/>
  <c r="E24" i="12" s="1" a="1"/>
  <c r="E24" i="12" s="1"/>
  <c r="C25" i="12"/>
  <c r="D25" i="12" s="1" a="1"/>
  <c r="D25" i="12" s="1"/>
  <c r="C26" i="12"/>
  <c r="D26" i="12" s="1" a="1"/>
  <c r="D26" i="12" s="1"/>
  <c r="C27" i="12"/>
  <c r="D27" i="12" s="1" a="1"/>
  <c r="D27" i="12" s="1"/>
  <c r="C28" i="12"/>
  <c r="D28" i="12" s="1" a="1"/>
  <c r="D28" i="12" s="1"/>
  <c r="C29" i="12"/>
  <c r="D29" i="12" s="1" a="1"/>
  <c r="D29" i="12" s="1"/>
  <c r="C30" i="12"/>
  <c r="D30" i="12" s="1" a="1"/>
  <c r="D30" i="12" s="1"/>
  <c r="C31" i="12"/>
  <c r="E31" i="12" s="1" a="1"/>
  <c r="E31" i="12" s="1"/>
  <c r="C32" i="12"/>
  <c r="E32" i="12" s="1" a="1"/>
  <c r="E32" i="12" s="1"/>
  <c r="C33" i="12"/>
  <c r="D33" i="12" s="1" a="1"/>
  <c r="D33" i="12" s="1"/>
  <c r="C34" i="12"/>
  <c r="D34" i="12" s="1" a="1"/>
  <c r="D34" i="12" s="1"/>
  <c r="C35" i="12"/>
  <c r="D35" i="12" s="1" a="1"/>
  <c r="D35" i="12" s="1"/>
  <c r="C36" i="12"/>
  <c r="D36" i="12" s="1" a="1"/>
  <c r="D36" i="12" s="1"/>
  <c r="C37" i="12"/>
  <c r="D37" i="12" s="1" a="1"/>
  <c r="D37" i="12" s="1"/>
  <c r="C38" i="12"/>
  <c r="D38" i="12" s="1" a="1"/>
  <c r="D38" i="12" s="1"/>
  <c r="C39" i="12"/>
  <c r="D39" i="12" s="1" a="1"/>
  <c r="D39" i="12" s="1"/>
  <c r="C40" i="12"/>
  <c r="D40" i="12" s="1" a="1"/>
  <c r="D40" i="12" s="1"/>
  <c r="C41" i="12"/>
  <c r="D41" i="12" s="1" a="1"/>
  <c r="D41" i="12" s="1"/>
  <c r="C42" i="12"/>
  <c r="D42" i="12" s="1" a="1"/>
  <c r="D42" i="12" s="1"/>
  <c r="C43" i="12"/>
  <c r="D43" i="12" s="1" a="1"/>
  <c r="D43" i="12" s="1"/>
  <c r="C44" i="12"/>
  <c r="D44" i="12" s="1" a="1"/>
  <c r="D44" i="12" s="1"/>
  <c r="C45" i="12"/>
  <c r="D45" i="12" s="1" a="1"/>
  <c r="D45" i="12" s="1"/>
  <c r="C46" i="12"/>
  <c r="D46" i="12" s="1" a="1"/>
  <c r="D46" i="12" s="1"/>
  <c r="C47" i="12"/>
  <c r="D47" i="12" s="1" a="1"/>
  <c r="D47" i="12" s="1"/>
  <c r="C48" i="12"/>
  <c r="D48" i="12" s="1" a="1"/>
  <c r="D48" i="12" s="1"/>
  <c r="C49" i="12"/>
  <c r="D49" i="12" s="1" a="1"/>
  <c r="D49" i="12" s="1"/>
  <c r="C50" i="12"/>
  <c r="D50" i="12" s="1" a="1"/>
  <c r="D50" i="12" s="1"/>
  <c r="C51" i="12"/>
  <c r="D51" i="12" s="1" a="1"/>
  <c r="D51" i="12" s="1"/>
  <c r="C52" i="12"/>
  <c r="D52" i="12" s="1" a="1"/>
  <c r="D52" i="12" s="1"/>
  <c r="C53" i="12"/>
  <c r="E53" i="12" s="1" a="1"/>
  <c r="E53" i="12" s="1"/>
  <c r="C54" i="12"/>
  <c r="E54" i="12" s="1" a="1"/>
  <c r="E54" i="12" s="1"/>
  <c r="C55" i="12"/>
  <c r="D55" i="12" s="1" a="1"/>
  <c r="D55" i="12" s="1"/>
  <c r="C56" i="12"/>
  <c r="D56" i="12" s="1" a="1"/>
  <c r="D56" i="12" s="1"/>
  <c r="C57" i="12"/>
  <c r="D57" i="12" s="1" a="1"/>
  <c r="D57" i="12" s="1"/>
  <c r="C58" i="12"/>
  <c r="D58" i="12" s="1" a="1"/>
  <c r="D58" i="12" s="1"/>
  <c r="C59" i="12"/>
  <c r="D59" i="12" s="1" a="1"/>
  <c r="D59" i="12" s="1"/>
  <c r="C60" i="12"/>
  <c r="D60" i="12" s="1" a="1"/>
  <c r="D60" i="12" s="1"/>
  <c r="C61" i="12"/>
  <c r="D61" i="12" s="1" a="1"/>
  <c r="D61" i="12" s="1"/>
  <c r="C62" i="12"/>
  <c r="D62" i="12" s="1" a="1"/>
  <c r="D62" i="12" s="1"/>
  <c r="C63" i="12"/>
  <c r="D63" i="12" s="1" a="1"/>
  <c r="D63" i="12" s="1"/>
  <c r="C64" i="12"/>
  <c r="D64" i="12" s="1" a="1"/>
  <c r="D64" i="12" s="1"/>
  <c r="C65" i="12"/>
  <c r="D65" i="12" s="1" a="1"/>
  <c r="D65" i="12" s="1"/>
  <c r="C66" i="12"/>
  <c r="D66" i="12" s="1" a="1"/>
  <c r="D66" i="12" s="1"/>
  <c r="C67" i="12"/>
  <c r="D67" i="12" s="1" a="1"/>
  <c r="D67" i="12" s="1"/>
  <c r="C68" i="12"/>
  <c r="D68" i="12" s="1" a="1"/>
  <c r="D68" i="12" s="1"/>
  <c r="C69" i="12"/>
  <c r="D69" i="12" s="1" a="1"/>
  <c r="D69" i="12" s="1"/>
  <c r="C59" i="11"/>
  <c r="E59" i="11" s="1" a="1"/>
  <c r="E59" i="11" s="1"/>
  <c r="AJ7" i="11"/>
  <c r="AL7" i="11" s="1" a="1"/>
  <c r="AL7" i="11" s="1"/>
  <c r="AJ8" i="11"/>
  <c r="AL8" i="11" s="1" a="1"/>
  <c r="AL8" i="11" s="1"/>
  <c r="AJ9" i="11"/>
  <c r="AL9" i="11" s="1" a="1"/>
  <c r="AL9" i="11" s="1"/>
  <c r="AJ10" i="11"/>
  <c r="AL10" i="11" s="1" a="1"/>
  <c r="AL10" i="11" s="1"/>
  <c r="AJ11" i="11"/>
  <c r="AL11" i="11" s="1" a="1"/>
  <c r="AL11" i="11" s="1"/>
  <c r="AJ12" i="11"/>
  <c r="AL12" i="11" s="1" a="1"/>
  <c r="AL12" i="11" s="1"/>
  <c r="AJ13" i="11"/>
  <c r="AL13" i="11" s="1" a="1"/>
  <c r="AL13" i="11" s="1"/>
  <c r="AJ14" i="11"/>
  <c r="AL14" i="11" s="1" a="1"/>
  <c r="AL14" i="11" s="1"/>
  <c r="AJ15" i="11"/>
  <c r="AL15" i="11" s="1" a="1"/>
  <c r="AL15" i="11" s="1"/>
  <c r="AJ16" i="11"/>
  <c r="AL16" i="11" s="1" a="1"/>
  <c r="AL16" i="11" s="1"/>
  <c r="AJ17" i="11"/>
  <c r="AL17" i="11" s="1" a="1"/>
  <c r="AL17" i="11" s="1"/>
  <c r="AJ18" i="11"/>
  <c r="AL18" i="11" s="1" a="1"/>
  <c r="AL18" i="11" s="1"/>
  <c r="AJ19" i="11"/>
  <c r="AL19" i="11" s="1" a="1"/>
  <c r="AL19" i="11" s="1"/>
  <c r="AJ20" i="11"/>
  <c r="AL20" i="11" s="1" a="1"/>
  <c r="AL20" i="11" s="1"/>
  <c r="AJ21" i="11"/>
  <c r="AL21" i="11" s="1" a="1"/>
  <c r="AL21" i="11" s="1"/>
  <c r="AJ22" i="11"/>
  <c r="AL22" i="11" s="1" a="1"/>
  <c r="AL22" i="11" s="1"/>
  <c r="AJ23" i="11"/>
  <c r="AL23" i="11" s="1" a="1"/>
  <c r="AL23" i="11" s="1"/>
  <c r="AJ24" i="11"/>
  <c r="AL24" i="11" s="1" a="1"/>
  <c r="AL24" i="11" s="1"/>
  <c r="AJ25" i="11"/>
  <c r="AL25" i="11" s="1" a="1"/>
  <c r="AL25" i="11" s="1"/>
  <c r="AJ26" i="11"/>
  <c r="AL26" i="11" s="1" a="1"/>
  <c r="AL26" i="11" s="1"/>
  <c r="AJ27" i="11"/>
  <c r="AL27" i="11" s="1" a="1"/>
  <c r="AL27" i="11" s="1"/>
  <c r="AJ28" i="11"/>
  <c r="AL28" i="11" s="1" a="1"/>
  <c r="AL28" i="11" s="1"/>
  <c r="AJ29" i="11"/>
  <c r="AL29" i="11" s="1" a="1"/>
  <c r="AL29" i="11" s="1"/>
  <c r="AJ30" i="11"/>
  <c r="AL30" i="11" s="1" a="1"/>
  <c r="AL30" i="11" s="1"/>
  <c r="AJ31" i="11"/>
  <c r="AL31" i="11" s="1" a="1"/>
  <c r="AL31" i="11" s="1"/>
  <c r="AJ32" i="11"/>
  <c r="AL32" i="11" s="1" a="1"/>
  <c r="AL32" i="11" s="1"/>
  <c r="AJ33" i="11"/>
  <c r="AL33" i="11" s="1" a="1"/>
  <c r="AL33" i="11" s="1"/>
  <c r="AJ34" i="11"/>
  <c r="AL34" i="11" s="1" a="1"/>
  <c r="AL34" i="11" s="1"/>
  <c r="AJ35" i="11"/>
  <c r="AL35" i="11" s="1" a="1"/>
  <c r="AL35" i="11" s="1"/>
  <c r="AJ36" i="11"/>
  <c r="AL36" i="11" s="1" a="1"/>
  <c r="AL36" i="11" s="1"/>
  <c r="AJ37" i="11"/>
  <c r="AL37" i="11" s="1" a="1"/>
  <c r="AL37" i="11" s="1"/>
  <c r="AJ38" i="11"/>
  <c r="AL38" i="11" s="1" a="1"/>
  <c r="AL38" i="11" s="1"/>
  <c r="AJ39" i="11"/>
  <c r="AL39" i="11" s="1" a="1"/>
  <c r="AL39" i="11" s="1"/>
  <c r="AJ40" i="11"/>
  <c r="AL40" i="11" s="1" a="1"/>
  <c r="AL40" i="11" s="1"/>
  <c r="AJ41" i="11"/>
  <c r="AL41" i="11" s="1" a="1"/>
  <c r="AL41" i="11" s="1"/>
  <c r="AJ42" i="11"/>
  <c r="AL42" i="11" s="1" a="1"/>
  <c r="AL42" i="11" s="1"/>
  <c r="AJ43" i="11"/>
  <c r="AL43" i="11" s="1" a="1"/>
  <c r="AL43" i="11" s="1"/>
  <c r="AJ44" i="11"/>
  <c r="AL44" i="11" s="1" a="1"/>
  <c r="AL44" i="11" s="1"/>
  <c r="AJ45" i="11"/>
  <c r="AL45" i="11" s="1" a="1"/>
  <c r="AL45" i="11" s="1"/>
  <c r="AJ46" i="11"/>
  <c r="AL46" i="11" s="1" a="1"/>
  <c r="AL46" i="11" s="1"/>
  <c r="AK7" i="11"/>
  <c r="AK8" i="11"/>
  <c r="AK9" i="11"/>
  <c r="AK10" i="11"/>
  <c r="AK11" i="11"/>
  <c r="AK12" i="11"/>
  <c r="AK13" i="11"/>
  <c r="AK14" i="11"/>
  <c r="AK15" i="11"/>
  <c r="AK16" i="11"/>
  <c r="AK17" i="11"/>
  <c r="AK18" i="11"/>
  <c r="AK19" i="11"/>
  <c r="AK20" i="11"/>
  <c r="AK21" i="11"/>
  <c r="AK22" i="11"/>
  <c r="AK23" i="11"/>
  <c r="AK24" i="11"/>
  <c r="AK25" i="11"/>
  <c r="AK26" i="11"/>
  <c r="AK27" i="11"/>
  <c r="AK28" i="11"/>
  <c r="AK29" i="11"/>
  <c r="AK30" i="11"/>
  <c r="AK31" i="11"/>
  <c r="AK32" i="11"/>
  <c r="AK33" i="11"/>
  <c r="AK34" i="11"/>
  <c r="AK35" i="11"/>
  <c r="AK36" i="11"/>
  <c r="AK37" i="11"/>
  <c r="AK38" i="11"/>
  <c r="AK39" i="11"/>
  <c r="AK40" i="11"/>
  <c r="AK41" i="11"/>
  <c r="AK42" i="11"/>
  <c r="AK43" i="11"/>
  <c r="AK44" i="11"/>
  <c r="AK45" i="11"/>
  <c r="AK46" i="11"/>
  <c r="N7" i="11"/>
  <c r="O7" i="11" s="1" a="1"/>
  <c r="O7" i="11" s="1"/>
  <c r="N8" i="11"/>
  <c r="O8" i="11" s="1" a="1"/>
  <c r="O8" i="11" s="1"/>
  <c r="N9" i="11"/>
  <c r="O9" i="11" s="1" a="1"/>
  <c r="O9" i="11" s="1"/>
  <c r="N10" i="11"/>
  <c r="O10" i="11" s="1" a="1"/>
  <c r="O10" i="11" s="1"/>
  <c r="N11" i="11"/>
  <c r="P11" i="11" s="1" a="1"/>
  <c r="P11" i="11" s="1"/>
  <c r="N12" i="11"/>
  <c r="P12" i="11" s="1" a="1"/>
  <c r="P12" i="11" s="1"/>
  <c r="N13" i="11"/>
  <c r="P13" i="11" s="1" a="1"/>
  <c r="P13" i="11" s="1"/>
  <c r="N14" i="11"/>
  <c r="O14" i="11" s="1" a="1"/>
  <c r="O14" i="11" s="1"/>
  <c r="N15" i="11"/>
  <c r="O15" i="11" s="1" a="1"/>
  <c r="O15" i="11" s="1"/>
  <c r="N16" i="11"/>
  <c r="O16" i="11" s="1" a="1"/>
  <c r="O16" i="11" s="1"/>
  <c r="N17" i="11"/>
  <c r="O17" i="11" s="1" a="1"/>
  <c r="O17" i="11" s="1"/>
  <c r="N18" i="11"/>
  <c r="O18" i="11" s="1" a="1"/>
  <c r="O18" i="11" s="1"/>
  <c r="N19" i="11"/>
  <c r="O19" i="11" s="1" a="1"/>
  <c r="O19" i="11" s="1"/>
  <c r="N20" i="11"/>
  <c r="O20" i="11" s="1" a="1"/>
  <c r="O20" i="11" s="1"/>
  <c r="N21" i="11"/>
  <c r="P21" i="11" s="1" a="1"/>
  <c r="P21" i="11" s="1"/>
  <c r="N22" i="11"/>
  <c r="O22" i="11" s="1" a="1"/>
  <c r="O22" i="11" s="1"/>
  <c r="N23" i="11"/>
  <c r="O23" i="11" s="1" a="1"/>
  <c r="O23" i="11" s="1"/>
  <c r="N24" i="11"/>
  <c r="O24" i="11" s="1" a="1"/>
  <c r="O24" i="11" s="1"/>
  <c r="N25" i="11"/>
  <c r="O25" i="11" s="1" a="1"/>
  <c r="O25" i="11" s="1"/>
  <c r="N26" i="11"/>
  <c r="O26" i="11" s="1" a="1"/>
  <c r="O26" i="11" s="1"/>
  <c r="N27" i="11"/>
  <c r="O27" i="11" s="1" a="1"/>
  <c r="O27" i="11" s="1"/>
  <c r="N28" i="11"/>
  <c r="P28" i="11" s="1" a="1"/>
  <c r="P28" i="11" s="1"/>
  <c r="N29" i="11"/>
  <c r="O29" i="11" s="1" a="1"/>
  <c r="O29" i="11" s="1"/>
  <c r="N30" i="11"/>
  <c r="O30" i="11" s="1" a="1"/>
  <c r="O30" i="11" s="1"/>
  <c r="N31" i="11"/>
  <c r="O31" i="11" s="1" a="1"/>
  <c r="O31" i="11" s="1"/>
  <c r="N32" i="11"/>
  <c r="O32" i="11" s="1" a="1"/>
  <c r="O32" i="11" s="1"/>
  <c r="N33" i="11"/>
  <c r="O33" i="11" s="1" a="1"/>
  <c r="O33" i="11" s="1"/>
  <c r="N34" i="11"/>
  <c r="O34" i="11" s="1" a="1"/>
  <c r="O34" i="11" s="1"/>
  <c r="N35" i="11"/>
  <c r="P35" i="11" s="1" a="1"/>
  <c r="P35" i="11" s="1"/>
  <c r="N36" i="11"/>
  <c r="O36" i="11" s="1" a="1"/>
  <c r="O36" i="11" s="1"/>
  <c r="N37" i="11"/>
  <c r="O37" i="11" s="1" a="1"/>
  <c r="O37" i="11" s="1"/>
  <c r="N38" i="11"/>
  <c r="O38" i="11" s="1" a="1"/>
  <c r="O38" i="11" s="1"/>
  <c r="N39" i="11"/>
  <c r="O39" i="11" s="1" a="1"/>
  <c r="O39" i="11" s="1"/>
  <c r="N40" i="11"/>
  <c r="O40" i="11" s="1" a="1"/>
  <c r="O40" i="11" s="1"/>
  <c r="N41" i="11"/>
  <c r="O41" i="11" s="1" a="1"/>
  <c r="O41" i="11" s="1"/>
  <c r="N42" i="11"/>
  <c r="O42" i="11" s="1" a="1"/>
  <c r="O42" i="11" s="1"/>
  <c r="N43" i="11"/>
  <c r="O43" i="11" s="1" a="1"/>
  <c r="O43" i="11" s="1"/>
  <c r="N44" i="11"/>
  <c r="O44" i="11" s="1" a="1"/>
  <c r="O44" i="11" s="1"/>
  <c r="N45" i="11"/>
  <c r="O45" i="11" s="1" a="1"/>
  <c r="O45" i="11" s="1"/>
  <c r="N46" i="11"/>
  <c r="O46" i="11" s="1" a="1"/>
  <c r="O46" i="11" s="1"/>
  <c r="N47" i="11"/>
  <c r="O47" i="11" s="1" a="1"/>
  <c r="O47" i="11" s="1"/>
  <c r="N48" i="11"/>
  <c r="O48" i="11" s="1" a="1"/>
  <c r="O48" i="11" s="1"/>
  <c r="N49" i="11"/>
  <c r="P49" i="11" s="1" a="1"/>
  <c r="P49" i="11" s="1"/>
  <c r="N50" i="11"/>
  <c r="O50" i="11" s="1" a="1"/>
  <c r="O50" i="11" s="1"/>
  <c r="N51" i="11"/>
  <c r="O51" i="11" s="1" a="1"/>
  <c r="O51" i="11" s="1"/>
  <c r="N52" i="11"/>
  <c r="O52" i="11" s="1" a="1"/>
  <c r="O52" i="11" s="1"/>
  <c r="N53" i="11"/>
  <c r="O53" i="11" s="1" a="1"/>
  <c r="O53" i="11" s="1"/>
  <c r="N54" i="11"/>
  <c r="O54" i="11" s="1" a="1"/>
  <c r="O54" i="11" s="1"/>
  <c r="N55" i="11"/>
  <c r="O55" i="11" s="1" a="1"/>
  <c r="O55" i="11" s="1"/>
  <c r="N56" i="11"/>
  <c r="O56" i="11" s="1" a="1"/>
  <c r="O56" i="11" s="1"/>
  <c r="N57" i="11"/>
  <c r="O57" i="11" s="1" a="1"/>
  <c r="O57" i="11" s="1"/>
  <c r="N58" i="11"/>
  <c r="O58" i="11" s="1" a="1"/>
  <c r="O58" i="11" s="1"/>
  <c r="N59" i="11"/>
  <c r="O59" i="11" s="1" a="1"/>
  <c r="O59" i="11" s="1"/>
  <c r="C7" i="11"/>
  <c r="D7" i="11" s="1" a="1"/>
  <c r="D7" i="11" s="1"/>
  <c r="C8" i="11"/>
  <c r="D8" i="11" s="1" a="1"/>
  <c r="D8" i="11" s="1"/>
  <c r="C9" i="11"/>
  <c r="D9" i="11" s="1" a="1"/>
  <c r="D9" i="11" s="1"/>
  <c r="C10" i="11"/>
  <c r="D10" i="11" s="1" a="1"/>
  <c r="D10" i="11" s="1"/>
  <c r="C11" i="11"/>
  <c r="D11" i="11" s="1" a="1"/>
  <c r="D11" i="11" s="1"/>
  <c r="C12" i="11"/>
  <c r="D12" i="11" s="1" a="1"/>
  <c r="D12" i="11" s="1"/>
  <c r="C13" i="11"/>
  <c r="D13" i="11" s="1" a="1"/>
  <c r="D13" i="11" s="1"/>
  <c r="C14" i="11"/>
  <c r="D14" i="11" s="1" a="1"/>
  <c r="D14" i="11" s="1"/>
  <c r="C15" i="11"/>
  <c r="D15" i="11" s="1" a="1"/>
  <c r="D15" i="11" s="1"/>
  <c r="C16" i="11"/>
  <c r="D16" i="11" s="1" a="1"/>
  <c r="D16" i="11" s="1"/>
  <c r="C17" i="11"/>
  <c r="D17" i="11" s="1" a="1"/>
  <c r="D17" i="11" s="1"/>
  <c r="C18" i="11"/>
  <c r="D18" i="11" s="1" a="1"/>
  <c r="D18" i="11" s="1"/>
  <c r="C19" i="11"/>
  <c r="D19" i="11" s="1" a="1"/>
  <c r="D19" i="11" s="1"/>
  <c r="C20" i="11"/>
  <c r="D20" i="11" s="1" a="1"/>
  <c r="D20" i="11" s="1"/>
  <c r="C21" i="11"/>
  <c r="D21" i="11" s="1" a="1"/>
  <c r="D21" i="11" s="1"/>
  <c r="C22" i="11"/>
  <c r="D22" i="11" s="1" a="1"/>
  <c r="D22" i="11" s="1"/>
  <c r="C23" i="11"/>
  <c r="D23" i="11" s="1" a="1"/>
  <c r="D23" i="11" s="1"/>
  <c r="C24" i="11"/>
  <c r="D24" i="11" s="1" a="1"/>
  <c r="D24" i="11" s="1"/>
  <c r="C25" i="11"/>
  <c r="D25" i="11" s="1" a="1"/>
  <c r="D25" i="11" s="1"/>
  <c r="C26" i="11"/>
  <c r="D26" i="11" s="1" a="1"/>
  <c r="D26" i="11" s="1"/>
  <c r="C27" i="11"/>
  <c r="D27" i="11" s="1" a="1"/>
  <c r="D27" i="11" s="1"/>
  <c r="C28" i="11"/>
  <c r="D28" i="11" s="1" a="1"/>
  <c r="D28" i="11" s="1"/>
  <c r="C29" i="11"/>
  <c r="D29" i="11" s="1" a="1"/>
  <c r="D29" i="11" s="1"/>
  <c r="C30" i="11"/>
  <c r="D30" i="11" s="1" a="1"/>
  <c r="D30" i="11" s="1"/>
  <c r="C31" i="11"/>
  <c r="E31" i="11" s="1" a="1"/>
  <c r="E31" i="11" s="1"/>
  <c r="C32" i="11"/>
  <c r="E32" i="11" s="1" a="1"/>
  <c r="E32" i="11" s="1"/>
  <c r="C33" i="11"/>
  <c r="D33" i="11" s="1" a="1"/>
  <c r="D33" i="11" s="1"/>
  <c r="C34" i="11"/>
  <c r="D34" i="11" s="1" a="1"/>
  <c r="D34" i="11" s="1"/>
  <c r="C35" i="11"/>
  <c r="D35" i="11" s="1" a="1"/>
  <c r="D35" i="11" s="1"/>
  <c r="C36" i="11"/>
  <c r="D36" i="11" s="1" a="1"/>
  <c r="D36" i="11" s="1"/>
  <c r="C37" i="11"/>
  <c r="D37" i="11" s="1" a="1"/>
  <c r="D37" i="11" s="1"/>
  <c r="C38" i="11"/>
  <c r="D38" i="11" s="1" a="1"/>
  <c r="D38" i="11" s="1"/>
  <c r="C39" i="11"/>
  <c r="D39" i="11" s="1" a="1"/>
  <c r="D39" i="11" s="1"/>
  <c r="C40" i="11"/>
  <c r="D40" i="11" s="1" a="1"/>
  <c r="D40" i="11" s="1"/>
  <c r="C41" i="11"/>
  <c r="D41" i="11" s="1" a="1"/>
  <c r="D41" i="11" s="1"/>
  <c r="C42" i="11"/>
  <c r="E42" i="11" s="1" a="1"/>
  <c r="E42" i="11" s="1"/>
  <c r="C43" i="11"/>
  <c r="D43" i="11" s="1" a="1"/>
  <c r="D43" i="11" s="1"/>
  <c r="C44" i="11"/>
  <c r="D44" i="11" s="1" a="1"/>
  <c r="D44" i="11" s="1"/>
  <c r="C45" i="11"/>
  <c r="D45" i="11" s="1" a="1"/>
  <c r="D45" i="11" s="1"/>
  <c r="C46" i="11"/>
  <c r="D46" i="11" s="1" a="1"/>
  <c r="D46" i="11" s="1"/>
  <c r="C47" i="11"/>
  <c r="D47" i="11" s="1" a="1"/>
  <c r="D47" i="11" s="1"/>
  <c r="C48" i="11"/>
  <c r="D48" i="11" s="1" a="1"/>
  <c r="D48" i="11" s="1"/>
  <c r="C49" i="11"/>
  <c r="D49" i="11" s="1" a="1"/>
  <c r="D49" i="11" s="1"/>
  <c r="C50" i="11"/>
  <c r="D50" i="11" s="1" a="1"/>
  <c r="D50" i="11" s="1"/>
  <c r="C51" i="11"/>
  <c r="D51" i="11" s="1" a="1"/>
  <c r="D51" i="11" s="1"/>
  <c r="C52" i="11"/>
  <c r="D52" i="11" s="1" a="1"/>
  <c r="D52" i="11" s="1"/>
  <c r="C53" i="11"/>
  <c r="D53" i="11" s="1" a="1"/>
  <c r="D53" i="11" s="1"/>
  <c r="C54" i="11"/>
  <c r="D54" i="11" s="1" a="1"/>
  <c r="D54" i="11" s="1"/>
  <c r="C55" i="11"/>
  <c r="E55" i="11" s="1" a="1"/>
  <c r="E55" i="11" s="1"/>
  <c r="C56" i="11"/>
  <c r="E56" i="11" s="1" a="1"/>
  <c r="E56" i="11" s="1"/>
  <c r="C57" i="11"/>
  <c r="E57" i="11" s="1" a="1"/>
  <c r="E57" i="11" s="1"/>
  <c r="C58" i="11"/>
  <c r="E58" i="11" s="1" a="1"/>
  <c r="E58" i="11" s="1"/>
  <c r="C4" i="10"/>
  <c r="E4" i="10" s="1" a="1"/>
  <c r="E4" i="10" s="1"/>
  <c r="C3" i="10"/>
  <c r="D3" i="10" s="1" a="1"/>
  <c r="D3" i="10" s="1"/>
  <c r="C5" i="10"/>
  <c r="C6" i="10"/>
  <c r="D6" i="10" s="1" a="1"/>
  <c r="D6" i="10" s="1"/>
  <c r="C7" i="10"/>
  <c r="D7" i="10" s="1" a="1"/>
  <c r="D7" i="10" s="1"/>
  <c r="C8" i="10"/>
  <c r="D8" i="10" s="1" a="1"/>
  <c r="D8" i="10" s="1"/>
  <c r="C9" i="10"/>
  <c r="D9" i="10" s="1" a="1"/>
  <c r="D9" i="10" s="1"/>
  <c r="C10" i="10"/>
  <c r="D10" i="10" s="1" a="1"/>
  <c r="D10" i="10" s="1"/>
  <c r="C11" i="10"/>
  <c r="D11" i="10" s="1" a="1"/>
  <c r="D11" i="10" s="1"/>
  <c r="C12" i="10"/>
  <c r="D12" i="10" s="1" a="1"/>
  <c r="D12" i="10" s="1"/>
  <c r="C13" i="10"/>
  <c r="D13" i="10" s="1" a="1"/>
  <c r="D13" i="10" s="1"/>
  <c r="C14" i="10"/>
  <c r="D14" i="10" s="1" a="1"/>
  <c r="D14" i="10" s="1"/>
  <c r="C15" i="10"/>
  <c r="D15" i="10" s="1" a="1"/>
  <c r="D15" i="10" s="1"/>
  <c r="C16" i="10"/>
  <c r="D16" i="10" s="1" a="1"/>
  <c r="D16" i="10" s="1"/>
  <c r="C17" i="10"/>
  <c r="E17" i="10" s="1" a="1"/>
  <c r="E17" i="10" s="1"/>
  <c r="C18" i="10"/>
  <c r="E18" i="10" s="1" a="1"/>
  <c r="E18" i="10" s="1"/>
  <c r="C19" i="10"/>
  <c r="D19" i="10" s="1" a="1"/>
  <c r="D19" i="10" s="1"/>
  <c r="C20" i="10"/>
  <c r="D20" i="10" s="1" a="1"/>
  <c r="D20" i="10" s="1"/>
  <c r="C21" i="10"/>
  <c r="D21" i="10" s="1" a="1"/>
  <c r="D21" i="10" s="1"/>
  <c r="C22" i="10"/>
  <c r="D22" i="10" s="1" a="1"/>
  <c r="D22" i="10" s="1"/>
  <c r="C23" i="10"/>
  <c r="D23" i="10" s="1" a="1"/>
  <c r="D23" i="10" s="1"/>
  <c r="C24" i="10"/>
  <c r="D24" i="10" s="1" a="1"/>
  <c r="D24" i="10" s="1"/>
  <c r="C25" i="10"/>
  <c r="D25" i="10" s="1" a="1"/>
  <c r="D25" i="10" s="1"/>
  <c r="C26" i="10"/>
  <c r="D26" i="10" s="1" a="1"/>
  <c r="D26" i="10" s="1"/>
  <c r="C27" i="10"/>
  <c r="D27" i="10" s="1" a="1"/>
  <c r="D27" i="10" s="1"/>
  <c r="C28" i="10"/>
  <c r="E28" i="10" s="1" a="1"/>
  <c r="E28" i="10" s="1"/>
  <c r="C29" i="10"/>
  <c r="D29" i="10" s="1" a="1"/>
  <c r="D29" i="10" s="1"/>
  <c r="C30" i="10"/>
  <c r="D30" i="10" s="1" a="1"/>
  <c r="D30" i="10" s="1"/>
  <c r="C31" i="10"/>
  <c r="C32" i="10"/>
  <c r="D32" i="10" s="1" a="1"/>
  <c r="D32" i="10" s="1"/>
  <c r="C33" i="10"/>
  <c r="D33" i="10" s="1" a="1"/>
  <c r="D33" i="10" s="1"/>
  <c r="C34" i="10"/>
  <c r="E34" i="10" s="1" a="1"/>
  <c r="E34" i="10" s="1"/>
  <c r="C35" i="10"/>
  <c r="D35" i="10" s="1" a="1"/>
  <c r="D35" i="10" s="1"/>
  <c r="C36" i="10"/>
  <c r="E36" i="10" s="1" a="1"/>
  <c r="E36" i="10" s="1"/>
  <c r="C37" i="10"/>
  <c r="D37" i="10" s="1" a="1"/>
  <c r="D37" i="10" s="1"/>
  <c r="C38" i="10"/>
  <c r="D38" i="10" s="1" a="1"/>
  <c r="D38" i="10" s="1"/>
  <c r="C39" i="10"/>
  <c r="D39" i="10" s="1" a="1"/>
  <c r="D39" i="10" s="1"/>
  <c r="C40" i="10"/>
  <c r="D40" i="10" s="1" a="1"/>
  <c r="D40" i="10" s="1"/>
  <c r="C41" i="10"/>
  <c r="E41" i="10" s="1" a="1"/>
  <c r="E41" i="10" s="1"/>
  <c r="C42" i="10"/>
  <c r="E42" i="10" s="1" a="1"/>
  <c r="E42" i="10" s="1"/>
  <c r="C43" i="10"/>
  <c r="D43" i="10" s="1" a="1"/>
  <c r="D43" i="10" s="1"/>
  <c r="C44" i="10"/>
  <c r="D44" i="10" s="1" a="1"/>
  <c r="D44" i="10" s="1"/>
  <c r="C45" i="10"/>
  <c r="D45" i="10" s="1" a="1"/>
  <c r="D45" i="10" s="1"/>
  <c r="C46" i="10"/>
  <c r="D46" i="10" s="1" a="1"/>
  <c r="D46" i="10" s="1"/>
  <c r="C47" i="10"/>
  <c r="D47" i="10" s="1" a="1"/>
  <c r="D47" i="10" s="1"/>
  <c r="C48" i="10"/>
  <c r="D48" i="10" s="1" a="1"/>
  <c r="D48" i="10" s="1"/>
  <c r="C49" i="10"/>
  <c r="D49" i="10" s="1" a="1"/>
  <c r="D49" i="10" s="1"/>
  <c r="C50" i="10"/>
  <c r="D50" i="10" s="1" a="1"/>
  <c r="D50" i="10" s="1"/>
  <c r="C51" i="10"/>
  <c r="E51" i="10" s="1" a="1"/>
  <c r="E51" i="10" s="1"/>
  <c r="C52" i="10"/>
  <c r="D52" i="10" s="1" a="1"/>
  <c r="D52" i="10" s="1"/>
  <c r="C53" i="10"/>
  <c r="D53" i="10" s="1" a="1"/>
  <c r="D53" i="10" s="1"/>
  <c r="C54" i="10"/>
  <c r="D54" i="10" s="1" a="1"/>
  <c r="D54" i="10" s="1"/>
  <c r="C55" i="10"/>
  <c r="D55" i="10" s="1" a="1"/>
  <c r="D55" i="10" s="1"/>
  <c r="C56" i="10"/>
  <c r="E56" i="10" s="1" a="1"/>
  <c r="E56" i="10" s="1"/>
  <c r="C57" i="10"/>
  <c r="E57" i="10" s="1" a="1"/>
  <c r="E57" i="10" s="1"/>
  <c r="C58" i="10"/>
  <c r="E58" i="10" s="1" a="1"/>
  <c r="E58" i="10" s="1"/>
  <c r="C59" i="10"/>
  <c r="D59" i="10" s="1" a="1"/>
  <c r="D59" i="10" s="1"/>
  <c r="C60" i="10"/>
  <c r="D60" i="10" s="1" a="1"/>
  <c r="D60" i="10" s="1"/>
  <c r="C61" i="10"/>
  <c r="D61" i="10" s="1" a="1"/>
  <c r="D61" i="10" s="1"/>
  <c r="C62" i="10"/>
  <c r="D62" i="10" s="1" a="1"/>
  <c r="D62" i="10" s="1"/>
  <c r="C63" i="10"/>
  <c r="E63" i="10" s="1" a="1"/>
  <c r="E63" i="10" s="1"/>
  <c r="C64" i="10"/>
  <c r="D64" i="10" s="1" a="1"/>
  <c r="D64" i="10" s="1"/>
  <c r="C65" i="10"/>
  <c r="D65" i="10" s="1" a="1"/>
  <c r="D65" i="10" s="1"/>
  <c r="C66" i="10"/>
  <c r="D66" i="10" s="1" a="1"/>
  <c r="D66" i="10" s="1"/>
  <c r="C67" i="10"/>
  <c r="E67" i="10" s="1" a="1"/>
  <c r="E67" i="10" s="1"/>
  <c r="C68" i="10"/>
  <c r="E68" i="10" s="1" a="1"/>
  <c r="E68" i="10" s="1"/>
  <c r="C69" i="10"/>
  <c r="D69" i="10" s="1" a="1"/>
  <c r="D69" i="10" s="1"/>
  <c r="C70" i="10"/>
  <c r="D70" i="10" s="1" a="1"/>
  <c r="D70" i="10" s="1"/>
  <c r="C71" i="10"/>
  <c r="E71" i="10" s="1" a="1"/>
  <c r="E71" i="10" s="1"/>
  <c r="C72" i="10"/>
  <c r="E72" i="10" s="1" a="1"/>
  <c r="E72" i="10" s="1"/>
  <c r="C73" i="10"/>
  <c r="E73" i="10" s="1" a="1"/>
  <c r="E73" i="10" s="1"/>
  <c r="C74" i="10"/>
  <c r="D74" i="10" s="1" a="1"/>
  <c r="D74" i="10" s="1"/>
  <c r="C75" i="10"/>
  <c r="C76" i="10"/>
  <c r="D76" i="10" s="1" a="1"/>
  <c r="D76" i="10" s="1"/>
  <c r="C77" i="10"/>
  <c r="C78" i="10"/>
  <c r="D78" i="10" s="1" a="1"/>
  <c r="D78" i="10" s="1"/>
  <c r="C79" i="10"/>
  <c r="C80" i="10"/>
  <c r="D80" i="10" s="1" a="1"/>
  <c r="D80" i="10" s="1"/>
  <c r="C81" i="10"/>
  <c r="D81" i="10" s="1" a="1"/>
  <c r="D81" i="10" s="1"/>
  <c r="C82" i="10"/>
  <c r="D82" i="10" s="1" a="1"/>
  <c r="D82" i="10" s="1"/>
  <c r="C83" i="10"/>
  <c r="E83" i="10" s="1" a="1"/>
  <c r="E83" i="10" s="1"/>
  <c r="C84" i="10"/>
  <c r="D84" i="10" s="1" a="1"/>
  <c r="D84" i="10" s="1"/>
  <c r="C85" i="10"/>
  <c r="D85" i="10" s="1" a="1"/>
  <c r="D85" i="10" s="1"/>
  <c r="C86" i="10"/>
  <c r="D86" i="10" s="1" a="1"/>
  <c r="D86" i="10" s="1"/>
  <c r="C87" i="10"/>
  <c r="D87" i="10" s="1" a="1"/>
  <c r="D87" i="10" s="1"/>
  <c r="C88" i="10"/>
  <c r="D88" i="10" s="1" a="1"/>
  <c r="D88" i="10" s="1"/>
  <c r="C89" i="10"/>
  <c r="D89" i="10" s="1" a="1"/>
  <c r="D89" i="10" s="1"/>
  <c r="C90" i="10"/>
  <c r="D90" i="10" s="1" a="1"/>
  <c r="D90" i="10" s="1"/>
  <c r="C91" i="10"/>
  <c r="D91" i="10" s="1" a="1"/>
  <c r="D91" i="10" s="1"/>
  <c r="C92" i="10"/>
  <c r="D92" i="10" s="1" a="1"/>
  <c r="D92" i="10" s="1"/>
  <c r="C93" i="10"/>
  <c r="D93" i="10" s="1" a="1"/>
  <c r="D93" i="10" s="1"/>
  <c r="C94" i="10"/>
  <c r="D94" i="10" s="1" a="1"/>
  <c r="D94" i="10" s="1"/>
  <c r="C95" i="10"/>
  <c r="C96" i="10"/>
  <c r="D96" i="10" s="1" a="1"/>
  <c r="D96" i="10" s="1"/>
  <c r="C97" i="10"/>
  <c r="D97" i="10" s="1" a="1"/>
  <c r="D97" i="10" s="1"/>
  <c r="C98" i="10"/>
  <c r="D98" i="10" s="1" a="1"/>
  <c r="D98" i="10" s="1"/>
  <c r="C99" i="10"/>
  <c r="D99" i="10" s="1" a="1"/>
  <c r="D99" i="10" s="1"/>
  <c r="C100" i="10"/>
  <c r="D100" i="10" s="1" a="1"/>
  <c r="D100" i="10" s="1"/>
  <c r="C101" i="10"/>
  <c r="D101" i="10" s="1" a="1"/>
  <c r="D101" i="10" s="1"/>
  <c r="C102" i="10"/>
  <c r="D102" i="10" s="1" a="1"/>
  <c r="D102" i="10" s="1"/>
  <c r="C103" i="10"/>
  <c r="D103" i="10" s="1" a="1"/>
  <c r="D103" i="10" s="1"/>
  <c r="C104" i="10"/>
  <c r="D104" i="10" s="1" a="1"/>
  <c r="D104" i="10" s="1"/>
  <c r="C105" i="10"/>
  <c r="E105" i="10" s="1" a="1"/>
  <c r="E105" i="10" s="1"/>
  <c r="C106" i="10"/>
  <c r="D106" i="10" s="1" a="1"/>
  <c r="D106" i="10" s="1"/>
  <c r="C107" i="10"/>
  <c r="D107" i="10" s="1" a="1"/>
  <c r="D107" i="10" s="1"/>
  <c r="C108" i="10"/>
  <c r="E108" i="10" s="1" a="1"/>
  <c r="E108" i="10" s="1"/>
  <c r="C109" i="10"/>
  <c r="D109" i="10" s="1" a="1"/>
  <c r="D109" i="10" s="1"/>
  <c r="C110" i="10"/>
  <c r="E110" i="10" s="1" a="1"/>
  <c r="E110" i="10" s="1"/>
  <c r="C111" i="10"/>
  <c r="C112" i="10"/>
  <c r="D112" i="10" s="1" a="1"/>
  <c r="D112" i="10" s="1"/>
  <c r="C113" i="10"/>
  <c r="D113" i="10" s="1" a="1"/>
  <c r="D113" i="10" s="1"/>
  <c r="C114" i="10"/>
  <c r="D114" i="10" s="1" a="1"/>
  <c r="D114" i="10" s="1"/>
  <c r="C115" i="10"/>
  <c r="D115" i="10" s="1" a="1"/>
  <c r="D115" i="10" s="1"/>
  <c r="C116" i="10"/>
  <c r="D116" i="10" s="1" a="1"/>
  <c r="D116" i="10" s="1"/>
  <c r="C117" i="10"/>
  <c r="D117" i="10" s="1" a="1"/>
  <c r="D117" i="10" s="1"/>
  <c r="C118" i="10"/>
  <c r="D118" i="10" s="1" a="1"/>
  <c r="D118" i="10" s="1"/>
  <c r="C119" i="10"/>
  <c r="D119" i="10" s="1" a="1"/>
  <c r="D119" i="10" s="1"/>
  <c r="C120" i="10"/>
  <c r="D120" i="10" s="1" a="1"/>
  <c r="D120" i="10" s="1"/>
  <c r="C121" i="10"/>
  <c r="D121" i="10" s="1" a="1"/>
  <c r="D121" i="10" s="1"/>
  <c r="C122" i="10"/>
  <c r="D122" i="10" s="1" a="1"/>
  <c r="D122" i="10" s="1"/>
  <c r="C123" i="10"/>
  <c r="E123" i="10" s="1" a="1"/>
  <c r="E123" i="10" s="1"/>
  <c r="C124" i="10"/>
  <c r="E124" i="10" s="1" a="1"/>
  <c r="E124" i="10" s="1"/>
  <c r="C125" i="10"/>
  <c r="D125" i="10" s="1" a="1"/>
  <c r="D125" i="10" s="1"/>
  <c r="C126" i="10"/>
  <c r="D126" i="10" s="1" a="1"/>
  <c r="D126" i="10" s="1"/>
  <c r="C127" i="10"/>
  <c r="D127" i="10" s="1" a="1"/>
  <c r="D127" i="10" s="1"/>
  <c r="C128" i="10"/>
  <c r="D128" i="10" s="1" a="1"/>
  <c r="D128" i="10" s="1"/>
  <c r="C129" i="10"/>
  <c r="D129" i="10" s="1" a="1"/>
  <c r="D129" i="10" s="1"/>
  <c r="C130" i="10"/>
  <c r="D130" i="10" s="1" a="1"/>
  <c r="D130" i="10" s="1"/>
  <c r="C131" i="10"/>
  <c r="E131" i="10" s="1" a="1"/>
  <c r="E131" i="10" s="1"/>
  <c r="C132" i="10"/>
  <c r="D132" i="10" s="1" a="1"/>
  <c r="D132" i="10" s="1"/>
  <c r="C133" i="10"/>
  <c r="D133" i="10" s="1" a="1"/>
  <c r="D133" i="10" s="1"/>
  <c r="C134" i="10"/>
  <c r="D134" i="10" s="1" a="1"/>
  <c r="D134" i="10" s="1"/>
  <c r="C135" i="10"/>
  <c r="E135" i="10" s="1" a="1"/>
  <c r="E135" i="10" s="1"/>
  <c r="C136" i="10"/>
  <c r="E136" i="10" s="1" a="1"/>
  <c r="E136" i="10" s="1"/>
  <c r="C137" i="10"/>
  <c r="D137" i="10" s="1" a="1"/>
  <c r="D137" i="10" s="1"/>
  <c r="C138" i="10"/>
  <c r="D138" i="10" s="1" a="1"/>
  <c r="D138" i="10" s="1"/>
  <c r="C139" i="10"/>
  <c r="D139" i="10" s="1" a="1"/>
  <c r="D139" i="10" s="1"/>
  <c r="C140" i="10"/>
  <c r="D140" i="10" s="1" a="1"/>
  <c r="D140" i="10" s="1"/>
  <c r="C141" i="10"/>
  <c r="E141" i="10" s="1" a="1"/>
  <c r="E141" i="10" s="1"/>
  <c r="C142" i="10"/>
  <c r="D142" i="10" s="1" a="1"/>
  <c r="D142" i="10" s="1"/>
  <c r="C143" i="10"/>
  <c r="C144" i="10"/>
  <c r="D144" i="10" s="1" a="1"/>
  <c r="D144" i="10" s="1"/>
  <c r="C145" i="10"/>
  <c r="D145" i="10" s="1" a="1"/>
  <c r="D145" i="10" s="1"/>
  <c r="C146" i="10"/>
  <c r="D146" i="10" s="1" a="1"/>
  <c r="D146" i="10" s="1"/>
  <c r="C147" i="10"/>
  <c r="D147" i="10" s="1" a="1"/>
  <c r="D147" i="10" s="1"/>
  <c r="C148" i="10"/>
  <c r="E148" i="10" s="1" a="1"/>
  <c r="E148" i="10" s="1"/>
  <c r="C149" i="10"/>
  <c r="E149" i="10" s="1" a="1"/>
  <c r="E149" i="10" s="1"/>
  <c r="C150" i="10"/>
  <c r="D150" i="10" s="1" a="1"/>
  <c r="D150" i="10" s="1"/>
  <c r="C151" i="10"/>
  <c r="D151" i="10" s="1" a="1"/>
  <c r="D151" i="10" s="1"/>
  <c r="C152" i="10"/>
  <c r="D152" i="10" s="1" a="1"/>
  <c r="D152" i="10" s="1"/>
  <c r="C153" i="10"/>
  <c r="D153" i="10" s="1" a="1"/>
  <c r="D153" i="10" s="1"/>
  <c r="C154" i="10"/>
  <c r="E154" i="10" s="1" a="1"/>
  <c r="E154" i="10" s="1"/>
  <c r="C155" i="10"/>
  <c r="C156" i="10"/>
  <c r="D156" i="10" s="1" a="1"/>
  <c r="D156" i="10" s="1"/>
  <c r="C157" i="10"/>
  <c r="D157" i="10" s="1" a="1"/>
  <c r="D157" i="10" s="1"/>
  <c r="C158" i="10"/>
  <c r="D158" i="10" s="1" a="1"/>
  <c r="D158" i="10" s="1"/>
  <c r="C159" i="10"/>
  <c r="D159" i="10" s="1" a="1"/>
  <c r="D159" i="10" s="1"/>
  <c r="C160" i="10"/>
  <c r="D160" i="10" s="1" a="1"/>
  <c r="D160" i="10" s="1"/>
  <c r="C161" i="10"/>
  <c r="D161" i="10" s="1" a="1"/>
  <c r="D161" i="10" s="1"/>
  <c r="C162" i="10"/>
  <c r="D162" i="10" s="1" a="1"/>
  <c r="D162" i="10" s="1"/>
  <c r="C163" i="10"/>
  <c r="E163" i="10" s="1" a="1"/>
  <c r="E163" i="10" s="1"/>
  <c r="C164" i="10"/>
  <c r="D164" i="10" s="1" a="1"/>
  <c r="D164" i="10" s="1"/>
  <c r="C165" i="10"/>
  <c r="D165" i="10" s="1" a="1"/>
  <c r="D165" i="10" s="1"/>
  <c r="C166" i="10"/>
  <c r="D166" i="10" s="1" a="1"/>
  <c r="D166" i="10" s="1"/>
  <c r="C167" i="10"/>
  <c r="D167" i="10" s="1" a="1"/>
  <c r="D167" i="10" s="1"/>
  <c r="C168" i="10"/>
  <c r="D168" i="10" s="1" a="1"/>
  <c r="D168" i="10" s="1"/>
  <c r="C169" i="10"/>
  <c r="D169" i="10" s="1" a="1"/>
  <c r="D169" i="10" s="1"/>
  <c r="C170" i="10"/>
  <c r="D170" i="10" s="1" a="1"/>
  <c r="D170" i="10" s="1"/>
  <c r="C171" i="10"/>
  <c r="D171" i="10" s="1" a="1"/>
  <c r="D171" i="10" s="1"/>
  <c r="C172" i="10"/>
  <c r="E172" i="10" s="1" a="1"/>
  <c r="E172" i="10" s="1"/>
  <c r="C173" i="10"/>
  <c r="D173" i="10" s="1" a="1"/>
  <c r="D173" i="10" s="1"/>
  <c r="C174" i="10"/>
  <c r="E174" i="10" s="1" a="1"/>
  <c r="E174" i="10" s="1"/>
  <c r="C175" i="10"/>
  <c r="D175" i="10" s="1" a="1"/>
  <c r="D175" i="10" s="1"/>
  <c r="C176" i="10"/>
  <c r="E176" i="10" s="1" a="1"/>
  <c r="E176" i="10" s="1"/>
  <c r="C177" i="10"/>
  <c r="E177" i="10" s="1" a="1"/>
  <c r="E177" i="10" s="1"/>
  <c r="C178" i="10"/>
  <c r="E178" i="10" s="1" a="1"/>
  <c r="E178" i="10" s="1"/>
  <c r="C179" i="10"/>
  <c r="D179" i="10" s="1" a="1"/>
  <c r="D179" i="10" s="1"/>
  <c r="C180" i="10"/>
  <c r="D180" i="10" s="1" a="1"/>
  <c r="D180" i="10" s="1"/>
  <c r="C181" i="10"/>
  <c r="D181" i="10" s="1" a="1"/>
  <c r="D181" i="10" s="1"/>
  <c r="C182" i="10"/>
  <c r="E182" i="10" s="1" a="1"/>
  <c r="E182" i="10" s="1"/>
  <c r="C183" i="10"/>
  <c r="E183" i="10" s="1" a="1"/>
  <c r="E183" i="10" s="1"/>
  <c r="C184" i="10"/>
  <c r="D184" i="10" s="1" a="1"/>
  <c r="D184" i="10" s="1"/>
  <c r="C185" i="10"/>
  <c r="D185" i="10" s="1" a="1"/>
  <c r="D185" i="10" s="1"/>
  <c r="C186" i="10"/>
  <c r="D186" i="10" s="1" a="1"/>
  <c r="D186" i="10" s="1"/>
  <c r="C187" i="10"/>
  <c r="C188" i="10"/>
  <c r="D188" i="10" s="1" a="1"/>
  <c r="D188" i="10" s="1"/>
  <c r="C189" i="10"/>
  <c r="E189" i="10" s="1" a="1"/>
  <c r="E189" i="10" s="1"/>
  <c r="C190" i="10"/>
  <c r="D190" i="10" s="1" a="1"/>
  <c r="D190" i="10" s="1"/>
  <c r="C191" i="10"/>
  <c r="C192" i="10"/>
  <c r="E192" i="10" s="1" a="1"/>
  <c r="E192" i="10" s="1"/>
  <c r="C193" i="10"/>
  <c r="E193" i="10" s="1" a="1"/>
  <c r="E193" i="10" s="1"/>
  <c r="C194" i="10"/>
  <c r="E194" i="10" s="1" a="1"/>
  <c r="E194" i="10" s="1"/>
  <c r="C195" i="10"/>
  <c r="D195" i="10" s="1" a="1"/>
  <c r="D195" i="10" s="1"/>
  <c r="C196" i="10"/>
  <c r="D196" i="10" s="1" a="1"/>
  <c r="D196" i="10" s="1"/>
  <c r="C197" i="10"/>
  <c r="E197" i="10" s="1" a="1"/>
  <c r="E197" i="10" s="1"/>
  <c r="C198" i="10"/>
  <c r="D198" i="10" s="1" a="1"/>
  <c r="D198" i="10" s="1"/>
  <c r="C199" i="10"/>
  <c r="E199" i="10" s="1" a="1"/>
  <c r="E199" i="10" s="1"/>
  <c r="C200" i="10"/>
  <c r="D200" i="10" s="1" a="1"/>
  <c r="D200" i="10" s="1"/>
  <c r="C201" i="10"/>
  <c r="E201" i="10" s="1" a="1"/>
  <c r="E201" i="10" s="1"/>
  <c r="C202" i="10"/>
  <c r="D202" i="10" s="1" a="1"/>
  <c r="D202" i="10" s="1"/>
  <c r="C203" i="10"/>
  <c r="D203" i="10" s="1" a="1"/>
  <c r="D203" i="10" s="1"/>
  <c r="C204" i="10"/>
  <c r="E204" i="10" s="1" a="1"/>
  <c r="E204" i="10" s="1"/>
  <c r="C205" i="10"/>
  <c r="C206" i="10"/>
  <c r="E206" i="10" s="1" a="1"/>
  <c r="E206" i="10" s="1"/>
  <c r="C207" i="10"/>
  <c r="C208" i="10"/>
  <c r="D208" i="10" s="1" a="1"/>
  <c r="D208" i="10" s="1"/>
  <c r="C209" i="10"/>
  <c r="E209" i="10" s="1" a="1"/>
  <c r="E209" i="10" s="1"/>
  <c r="C210" i="10"/>
  <c r="E210" i="10" s="1" a="1"/>
  <c r="E210" i="10" s="1"/>
  <c r="C211" i="10"/>
  <c r="D211" i="10" s="1" a="1"/>
  <c r="D211" i="10" s="1"/>
  <c r="C212" i="10"/>
  <c r="D212" i="10" s="1" a="1"/>
  <c r="D212" i="10" s="1"/>
  <c r="C213" i="10"/>
  <c r="D213" i="10" s="1" a="1"/>
  <c r="D213" i="10" s="1"/>
  <c r="C214" i="10"/>
  <c r="D214" i="10" s="1" a="1"/>
  <c r="D214" i="10" s="1"/>
  <c r="C215" i="10"/>
  <c r="E215" i="10" s="1" a="1"/>
  <c r="E215" i="10" s="1"/>
  <c r="C216" i="10"/>
  <c r="D216" i="10" s="1" a="1"/>
  <c r="D216" i="10" s="1"/>
  <c r="C217" i="10"/>
  <c r="D217" i="10" s="1" a="1"/>
  <c r="D217" i="10" s="1"/>
  <c r="C218" i="10"/>
  <c r="D218" i="10" s="1" a="1"/>
  <c r="D218" i="10" s="1"/>
  <c r="C219" i="10"/>
  <c r="C220" i="10"/>
  <c r="D220" i="10" s="1" a="1"/>
  <c r="D220" i="10" s="1"/>
  <c r="C221" i="10"/>
  <c r="D221" i="10" s="1" a="1"/>
  <c r="D221" i="10" s="1"/>
  <c r="C222" i="10"/>
  <c r="D222" i="10" s="1" a="1"/>
  <c r="D222" i="10" s="1"/>
  <c r="C223" i="10"/>
  <c r="D223" i="10" s="1" a="1"/>
  <c r="D223" i="10" s="1"/>
  <c r="C224" i="10"/>
  <c r="D224" i="10" s="1" a="1"/>
  <c r="D224" i="10" s="1"/>
  <c r="C225" i="10"/>
  <c r="D225" i="10" s="1" a="1"/>
  <c r="D225" i="10" s="1"/>
  <c r="C226" i="10"/>
  <c r="D226" i="10" s="1" a="1"/>
  <c r="D226" i="10" s="1"/>
  <c r="C227" i="10"/>
  <c r="E227" i="10" s="1" a="1"/>
  <c r="E227" i="10" s="1"/>
  <c r="C228" i="10"/>
  <c r="D228" i="10" s="1" a="1"/>
  <c r="D228" i="10" s="1"/>
  <c r="C229" i="10"/>
  <c r="D229" i="10" s="1" a="1"/>
  <c r="D229" i="10" s="1"/>
  <c r="C230" i="10"/>
  <c r="D230" i="10" s="1" a="1"/>
  <c r="D230" i="10" s="1"/>
  <c r="C231" i="10"/>
  <c r="D231" i="10" s="1" a="1"/>
  <c r="D231" i="10" s="1"/>
  <c r="C232" i="10"/>
  <c r="E232" i="10" s="1" a="1"/>
  <c r="E232" i="10" s="1"/>
  <c r="C233" i="10"/>
  <c r="D233" i="10" s="1" a="1"/>
  <c r="D233" i="10" s="1"/>
  <c r="C234" i="10"/>
  <c r="D234" i="10" s="1" a="1"/>
  <c r="D234" i="10" s="1"/>
  <c r="C235" i="10"/>
  <c r="D235" i="10" s="1" a="1"/>
  <c r="D235" i="10" s="1"/>
  <c r="C236" i="10"/>
  <c r="D236" i="10" s="1" a="1"/>
  <c r="D236" i="10" s="1"/>
  <c r="C237" i="10"/>
  <c r="D237" i="10" s="1" a="1"/>
  <c r="D237" i="10" s="1"/>
  <c r="C238" i="10"/>
  <c r="D238" i="10" s="1" a="1"/>
  <c r="D238" i="10" s="1"/>
  <c r="C239" i="10"/>
  <c r="C240" i="10"/>
  <c r="D240" i="10" s="1" a="1"/>
  <c r="D240" i="10" s="1"/>
  <c r="C241" i="10"/>
  <c r="D241" i="10" s="1" a="1"/>
  <c r="D241" i="10" s="1"/>
  <c r="C242" i="10"/>
  <c r="D242" i="10" s="1" a="1"/>
  <c r="D242" i="10" s="1"/>
  <c r="C243" i="10"/>
  <c r="D243" i="10" s="1" a="1"/>
  <c r="D243" i="10" s="1"/>
  <c r="C244" i="10"/>
  <c r="E244" i="10" s="1" a="1"/>
  <c r="E244" i="10" s="1"/>
  <c r="C245" i="10"/>
  <c r="D245" i="10" s="1" a="1"/>
  <c r="D245" i="10" s="1"/>
  <c r="C246" i="10"/>
  <c r="E246" i="10" s="1" a="1"/>
  <c r="E246" i="10" s="1"/>
  <c r="C247" i="10"/>
  <c r="D247" i="10" s="1" a="1"/>
  <c r="D247" i="10" s="1"/>
  <c r="C248" i="10"/>
  <c r="D248" i="10" s="1" a="1"/>
  <c r="D248" i="10" s="1"/>
  <c r="C249" i="10"/>
  <c r="E249" i="10" s="1" a="1"/>
  <c r="E249" i="10" s="1"/>
  <c r="C250" i="10"/>
  <c r="D250" i="10" s="1" a="1"/>
  <c r="D250" i="10" s="1"/>
  <c r="C251" i="10"/>
  <c r="D251" i="10" s="1" a="1"/>
  <c r="D251" i="10" s="1"/>
  <c r="C252" i="10"/>
  <c r="D252" i="10" s="1" a="1"/>
  <c r="D252" i="10" s="1"/>
  <c r="C253" i="10"/>
  <c r="D253" i="10" s="1" a="1"/>
  <c r="D253" i="10" s="1"/>
  <c r="C254" i="10"/>
  <c r="E254" i="10" s="1" a="1"/>
  <c r="E254" i="10" s="1"/>
  <c r="C255" i="10"/>
  <c r="C256" i="10"/>
  <c r="D256" i="10" s="1" a="1"/>
  <c r="D256" i="10" s="1"/>
  <c r="C257" i="10"/>
  <c r="D257" i="10" s="1" a="1"/>
  <c r="D257" i="10" s="1"/>
  <c r="C258" i="10"/>
  <c r="D258" i="10" s="1" a="1"/>
  <c r="D258" i="10" s="1"/>
  <c r="C259" i="10"/>
  <c r="E259" i="10" s="1" a="1"/>
  <c r="E259" i="10" s="1"/>
  <c r="C260" i="10"/>
  <c r="E260" i="10" s="1" a="1"/>
  <c r="E260" i="10" s="1"/>
  <c r="C261" i="10"/>
  <c r="E261" i="10" s="1" a="1"/>
  <c r="E261" i="10" s="1"/>
  <c r="C262" i="10"/>
  <c r="D262" i="10" s="1" a="1"/>
  <c r="D262" i="10" s="1"/>
  <c r="C263" i="10"/>
  <c r="D263" i="10" s="1" a="1"/>
  <c r="D263" i="10" s="1"/>
  <c r="C264" i="10"/>
  <c r="E264" i="10" s="1" a="1"/>
  <c r="E264" i="10" s="1"/>
  <c r="C265" i="10"/>
  <c r="D265" i="10" s="1" a="1"/>
  <c r="D265" i="10" s="1"/>
  <c r="C266" i="10"/>
  <c r="E266" i="10" s="1" a="1"/>
  <c r="E266" i="10" s="1"/>
  <c r="C267" i="10"/>
  <c r="D267" i="10" s="1" a="1"/>
  <c r="D267" i="10" s="1"/>
  <c r="C268" i="10"/>
  <c r="E268" i="10" s="1" a="1"/>
  <c r="E268" i="10" s="1"/>
  <c r="C269" i="10"/>
  <c r="D269" i="10" s="1" a="1"/>
  <c r="D269" i="10" s="1"/>
  <c r="C270" i="10"/>
  <c r="D270" i="10" s="1" a="1"/>
  <c r="D270" i="10" s="1"/>
  <c r="C271" i="10"/>
  <c r="C272" i="10"/>
  <c r="D272" i="10" s="1" a="1"/>
  <c r="D272" i="10" s="1"/>
  <c r="C273" i="10"/>
  <c r="D273" i="10" s="1" a="1"/>
  <c r="D273" i="10" s="1"/>
  <c r="C274" i="10"/>
  <c r="D274" i="10" s="1" a="1"/>
  <c r="D274" i="10" s="1"/>
  <c r="C275" i="10"/>
  <c r="D275" i="10" s="1" a="1"/>
  <c r="D275" i="10" s="1"/>
  <c r="C276" i="10"/>
  <c r="E276" i="10" s="1" a="1"/>
  <c r="E276" i="10" s="1"/>
  <c r="C277" i="10"/>
  <c r="E277" i="10" s="1" a="1"/>
  <c r="E277" i="10" s="1"/>
  <c r="C278" i="10"/>
  <c r="D278" i="10" s="1" a="1"/>
  <c r="D278" i="10" s="1"/>
  <c r="C279" i="10"/>
  <c r="D279" i="10" s="1" a="1"/>
  <c r="D279" i="10" s="1"/>
  <c r="C280" i="10"/>
  <c r="D280" i="10" s="1" a="1"/>
  <c r="D280" i="10" s="1"/>
  <c r="C281" i="10"/>
  <c r="D281" i="10" s="1" a="1"/>
  <c r="D281" i="10" s="1"/>
  <c r="C282" i="10"/>
  <c r="D282" i="10" s="1" a="1"/>
  <c r="D282" i="10" s="1"/>
  <c r="C283" i="10"/>
  <c r="D283" i="10" s="1" a="1"/>
  <c r="D283" i="10" s="1"/>
  <c r="C284" i="10"/>
  <c r="E284" i="10" s="1" a="1"/>
  <c r="E284" i="10" s="1"/>
  <c r="C285" i="10"/>
  <c r="D285" i="10" s="1" a="1"/>
  <c r="D285" i="10" s="1"/>
  <c r="C286" i="10"/>
  <c r="D286" i="10" s="1" a="1"/>
  <c r="D286" i="10" s="1"/>
  <c r="C287" i="10"/>
  <c r="E287" i="10" s="1" a="1"/>
  <c r="E287" i="10" s="1"/>
  <c r="C288" i="10"/>
  <c r="E288" i="10" s="1" a="1"/>
  <c r="E288" i="10" s="1"/>
  <c r="C289" i="10"/>
  <c r="E289" i="10" s="1" a="1"/>
  <c r="E289" i="10" s="1"/>
  <c r="C290" i="10"/>
  <c r="E290" i="10" s="1" a="1"/>
  <c r="E290" i="10" s="1"/>
  <c r="C291" i="10"/>
  <c r="E291" i="10" s="1" a="1"/>
  <c r="E291" i="10" s="1"/>
  <c r="C292" i="10"/>
  <c r="D292" i="10" s="1" a="1"/>
  <c r="D292" i="10" s="1"/>
  <c r="C293" i="10"/>
  <c r="E293" i="10" s="1" a="1"/>
  <c r="E293" i="10" s="1"/>
  <c r="C294" i="10"/>
  <c r="D294" i="10" s="1" a="1"/>
  <c r="D294" i="10" s="1"/>
  <c r="C295" i="10"/>
  <c r="E295" i="10" s="1" a="1"/>
  <c r="E295" i="10" s="1"/>
  <c r="C296" i="10"/>
  <c r="D296" i="10" s="1" a="1"/>
  <c r="D296" i="10" s="1"/>
  <c r="C297" i="10"/>
  <c r="E297" i="10" s="1" a="1"/>
  <c r="E297" i="10" s="1"/>
  <c r="C298" i="10"/>
  <c r="D298" i="10" s="1" a="1"/>
  <c r="D298" i="10" s="1"/>
  <c r="C299" i="10"/>
  <c r="D299" i="10" s="1" a="1"/>
  <c r="D299" i="10" s="1"/>
  <c r="C300" i="10"/>
  <c r="E300" i="10" s="1" a="1"/>
  <c r="E300" i="10" s="1"/>
  <c r="C301" i="10"/>
  <c r="D301" i="10" s="1" a="1"/>
  <c r="D301" i="10" s="1"/>
  <c r="C302" i="10"/>
  <c r="D302" i="10" s="1" a="1"/>
  <c r="D302" i="10" s="1"/>
  <c r="C303" i="10"/>
  <c r="D303" i="10" s="1" a="1"/>
  <c r="D303" i="10" s="1"/>
  <c r="C304" i="10"/>
  <c r="E304" i="10" s="1" a="1"/>
  <c r="E304" i="10" s="1"/>
  <c r="C305" i="10"/>
  <c r="E305" i="10" s="1" a="1"/>
  <c r="E305" i="10" s="1"/>
  <c r="C306" i="10"/>
  <c r="E306" i="10" s="1" a="1"/>
  <c r="E306" i="10" s="1"/>
  <c r="C307" i="10"/>
  <c r="E307" i="10" s="1" a="1"/>
  <c r="E307" i="10" s="1"/>
  <c r="C308" i="10"/>
  <c r="D308" i="10" s="1" a="1"/>
  <c r="D308" i="10" s="1"/>
  <c r="C309" i="10"/>
  <c r="D309" i="10" s="1" a="1"/>
  <c r="D309" i="10" s="1"/>
  <c r="C310" i="10"/>
  <c r="D310" i="10" s="1" a="1"/>
  <c r="D310" i="10" s="1"/>
  <c r="C311" i="10"/>
  <c r="E311" i="10" s="1" a="1"/>
  <c r="E311" i="10" s="1"/>
  <c r="C312" i="10"/>
  <c r="D312" i="10" s="1" a="1"/>
  <c r="D312" i="10" s="1"/>
  <c r="C313" i="10"/>
  <c r="D313" i="10" s="1" a="1"/>
  <c r="D313" i="10" s="1"/>
  <c r="C314" i="10"/>
  <c r="E314" i="10" s="1" a="1"/>
  <c r="E314" i="10" s="1"/>
  <c r="C315" i="10"/>
  <c r="E315" i="10" s="1" a="1"/>
  <c r="E315" i="10" s="1"/>
  <c r="C316" i="10"/>
  <c r="D316" i="10" s="1" a="1"/>
  <c r="D316" i="10" s="1"/>
  <c r="C317" i="10"/>
  <c r="D317" i="10" s="1" a="1"/>
  <c r="D317" i="10" s="1"/>
  <c r="C318" i="10"/>
  <c r="D318" i="10" s="1" a="1"/>
  <c r="D318" i="10" s="1"/>
  <c r="C319" i="10"/>
  <c r="D319" i="10" s="1" a="1"/>
  <c r="D319" i="10" s="1"/>
  <c r="C320" i="10"/>
  <c r="E320" i="10" s="1" a="1"/>
  <c r="E320" i="10" s="1"/>
  <c r="C321" i="10"/>
  <c r="E321" i="10" s="1" a="1"/>
  <c r="E321" i="10" s="1"/>
  <c r="C322" i="10"/>
  <c r="E322" i="10" s="1" a="1"/>
  <c r="E322" i="10" s="1"/>
  <c r="C323" i="10"/>
  <c r="D323" i="10" s="1" a="1"/>
  <c r="D323" i="10" s="1"/>
  <c r="C324" i="10"/>
  <c r="E324" i="10" s="1" a="1"/>
  <c r="E324" i="10" s="1"/>
  <c r="C325" i="10"/>
  <c r="D325" i="10" s="1" a="1"/>
  <c r="D325" i="10" s="1"/>
  <c r="C326" i="10"/>
  <c r="E326" i="10" s="1" a="1"/>
  <c r="E326" i="10" s="1"/>
  <c r="C327" i="10"/>
  <c r="D327" i="10" s="1" a="1"/>
  <c r="D327" i="10" s="1"/>
  <c r="C328" i="10"/>
  <c r="D328" i="10" s="1" a="1"/>
  <c r="D328" i="10" s="1"/>
  <c r="C329" i="10"/>
  <c r="D329" i="10" s="1" a="1"/>
  <c r="D329" i="10" s="1"/>
  <c r="C330" i="10"/>
  <c r="D330" i="10" s="1" a="1"/>
  <c r="D330" i="10" s="1"/>
  <c r="C331" i="10"/>
  <c r="D331" i="10" s="1" a="1"/>
  <c r="D331" i="10" s="1"/>
  <c r="C332" i="10"/>
  <c r="D332" i="10" s="1" a="1"/>
  <c r="D332" i="10" s="1"/>
  <c r="C333" i="10"/>
  <c r="D333" i="10" s="1" a="1"/>
  <c r="D333" i="10" s="1"/>
  <c r="C334" i="10"/>
  <c r="D334" i="10" s="1" a="1"/>
  <c r="D334" i="10" s="1"/>
  <c r="C335" i="10"/>
  <c r="E335" i="10" s="1" a="1"/>
  <c r="E335" i="10" s="1"/>
  <c r="C336" i="10"/>
  <c r="E336" i="10" s="1" a="1"/>
  <c r="E336" i="10" s="1"/>
  <c r="C337" i="10"/>
  <c r="E337" i="10" s="1" a="1"/>
  <c r="E337" i="10" s="1"/>
  <c r="C338" i="10"/>
  <c r="E338" i="10" s="1" a="1"/>
  <c r="E338" i="10" s="1"/>
  <c r="C339" i="10"/>
  <c r="E339" i="10" s="1" a="1"/>
  <c r="E339" i="10" s="1"/>
  <c r="C340" i="10"/>
  <c r="D340" i="10" s="1" a="1"/>
  <c r="D340" i="10" s="1"/>
  <c r="C341" i="10"/>
  <c r="D341" i="10" s="1" a="1"/>
  <c r="D341" i="10" s="1"/>
  <c r="C342" i="10"/>
  <c r="D342" i="10" s="1" a="1"/>
  <c r="D342" i="10" s="1"/>
  <c r="C343" i="10"/>
  <c r="E343" i="10" s="1" a="1"/>
  <c r="E343" i="10" s="1"/>
  <c r="C344" i="10"/>
  <c r="D344" i="10" s="1" a="1"/>
  <c r="D344" i="10" s="1"/>
  <c r="C345" i="10"/>
  <c r="D345" i="10" s="1" a="1"/>
  <c r="D345" i="10" s="1"/>
  <c r="C346" i="10"/>
  <c r="D346" i="10" s="1" a="1"/>
  <c r="D346" i="10" s="1"/>
  <c r="C347" i="10"/>
  <c r="D347" i="10" s="1" a="1"/>
  <c r="D347" i="10" s="1"/>
  <c r="C348" i="10"/>
  <c r="D348" i="10" s="1" a="1"/>
  <c r="D348" i="10" s="1"/>
  <c r="C349" i="10"/>
  <c r="D349" i="10" s="1" a="1"/>
  <c r="D349" i="10" s="1"/>
  <c r="C350" i="10"/>
  <c r="D350" i="10" s="1" a="1"/>
  <c r="D350" i="10" s="1"/>
  <c r="C351" i="10"/>
  <c r="E351" i="10" s="1" a="1"/>
  <c r="E351" i="10" s="1"/>
  <c r="C352" i="10"/>
  <c r="D352" i="10" s="1" a="1"/>
  <c r="D352" i="10" s="1"/>
  <c r="C353" i="10"/>
  <c r="D353" i="10" s="1" a="1"/>
  <c r="D353" i="10" s="1"/>
  <c r="C354" i="10"/>
  <c r="D354" i="10" s="1" a="1"/>
  <c r="D354" i="10" s="1"/>
  <c r="C355" i="10"/>
  <c r="D355" i="10" s="1" a="1"/>
  <c r="D355" i="10" s="1"/>
  <c r="C356" i="10"/>
  <c r="E356" i="10" s="1" a="1"/>
  <c r="E356" i="10" s="1"/>
  <c r="C357" i="10"/>
  <c r="E357" i="10" s="1" a="1"/>
  <c r="E357" i="10" s="1"/>
  <c r="C358" i="10"/>
  <c r="E358" i="10" s="1" a="1"/>
  <c r="E358" i="10" s="1"/>
  <c r="C359" i="10"/>
  <c r="D359" i="10" s="1" a="1"/>
  <c r="D359" i="10" s="1"/>
  <c r="C360" i="10"/>
  <c r="D360" i="10" s="1" a="1"/>
  <c r="D360" i="10" s="1"/>
  <c r="C361" i="10"/>
  <c r="E361" i="10" s="1" a="1"/>
  <c r="E361" i="10" s="1"/>
  <c r="C362" i="10"/>
  <c r="D362" i="10" s="1" a="1"/>
  <c r="D362" i="10" s="1"/>
  <c r="C363" i="10"/>
  <c r="E363" i="10" s="1" a="1"/>
  <c r="E363" i="10" s="1"/>
  <c r="C364" i="10"/>
  <c r="D364" i="10" s="1" a="1"/>
  <c r="D364" i="10" s="1"/>
  <c r="C365" i="10"/>
  <c r="D365" i="10" s="1" a="1"/>
  <c r="D365" i="10" s="1"/>
  <c r="C366" i="10"/>
  <c r="E366" i="10" s="1" a="1"/>
  <c r="E366" i="10" s="1"/>
  <c r="C367" i="10"/>
  <c r="C368" i="10"/>
  <c r="D368" i="10" s="1" a="1"/>
  <c r="D368" i="10" s="1"/>
  <c r="C369" i="10"/>
  <c r="D369" i="10" s="1" a="1"/>
  <c r="D369" i="10" s="1"/>
  <c r="C370" i="10"/>
  <c r="D370" i="10" s="1" a="1"/>
  <c r="D370" i="10" s="1"/>
  <c r="C371" i="10"/>
  <c r="D371" i="10" s="1" a="1"/>
  <c r="D371" i="10" s="1"/>
  <c r="C372" i="10"/>
  <c r="D372" i="10" s="1" a="1"/>
  <c r="D372" i="10" s="1"/>
  <c r="C373" i="10"/>
  <c r="D373" i="10" s="1" a="1"/>
  <c r="D373" i="10" s="1"/>
  <c r="C374" i="10"/>
  <c r="E374" i="10" s="1" a="1"/>
  <c r="E374" i="10" s="1"/>
  <c r="C375" i="10"/>
  <c r="D375" i="10" s="1" a="1"/>
  <c r="D375" i="10" s="1"/>
  <c r="C376" i="10"/>
  <c r="D376" i="10" s="1" a="1"/>
  <c r="D376" i="10" s="1"/>
  <c r="C377" i="10"/>
  <c r="D377" i="10" s="1" a="1"/>
  <c r="D377" i="10" s="1"/>
  <c r="C378" i="10"/>
  <c r="D378" i="10" s="1" a="1"/>
  <c r="D378" i="10" s="1"/>
  <c r="C379" i="10"/>
  <c r="E379" i="10" s="1" a="1"/>
  <c r="E379" i="10" s="1"/>
  <c r="C380" i="10"/>
  <c r="E380" i="10" s="1" a="1"/>
  <c r="E380" i="10" s="1"/>
  <c r="C381" i="10"/>
  <c r="E381" i="10" s="1" a="1"/>
  <c r="E381" i="10" s="1"/>
  <c r="C382" i="10"/>
  <c r="D382" i="10" s="1" a="1"/>
  <c r="D382" i="10" s="1"/>
  <c r="C383" i="10"/>
  <c r="E383" i="10" s="1" a="1"/>
  <c r="E383" i="10" s="1"/>
  <c r="C384" i="10"/>
  <c r="D384" i="10" s="1" a="1"/>
  <c r="D384" i="10" s="1"/>
  <c r="C385" i="10"/>
  <c r="D385" i="10" s="1" a="1"/>
  <c r="D385" i="10" s="1"/>
  <c r="C386" i="10"/>
  <c r="D386" i="10" s="1" a="1"/>
  <c r="D386" i="10" s="1"/>
  <c r="C387" i="10"/>
  <c r="E387" i="10" s="1" a="1"/>
  <c r="E387" i="10" s="1"/>
  <c r="C388" i="10"/>
  <c r="D388" i="10" s="1" a="1"/>
  <c r="D388" i="10" s="1"/>
  <c r="C389" i="10"/>
  <c r="D389" i="10" s="1" a="1"/>
  <c r="D389" i="10" s="1"/>
  <c r="C390" i="10"/>
  <c r="D390" i="10" s="1" a="1"/>
  <c r="D390" i="10" s="1"/>
  <c r="C391" i="10"/>
  <c r="D391" i="10" s="1" a="1"/>
  <c r="D391" i="10" s="1"/>
  <c r="C392" i="10"/>
  <c r="E392" i="10" s="1" a="1"/>
  <c r="E392" i="10" s="1"/>
  <c r="C393" i="10"/>
  <c r="D393" i="10" s="1" a="1"/>
  <c r="D393" i="10" s="1"/>
  <c r="C394" i="10"/>
  <c r="D394" i="10" s="1" a="1"/>
  <c r="D394" i="10" s="1"/>
  <c r="C395" i="10"/>
  <c r="D395" i="10" s="1" a="1"/>
  <c r="D395" i="10" s="1"/>
  <c r="C396" i="10"/>
  <c r="E396" i="10" s="1" a="1"/>
  <c r="E396" i="10" s="1"/>
  <c r="C397" i="10"/>
  <c r="E397" i="10" s="1" a="1"/>
  <c r="E397" i="10" s="1"/>
  <c r="C398" i="10"/>
  <c r="E398" i="10" s="1" a="1"/>
  <c r="E398" i="10" s="1"/>
  <c r="C399" i="10"/>
  <c r="C400" i="10"/>
  <c r="E400" i="10" s="1" a="1"/>
  <c r="E400" i="10" s="1"/>
  <c r="C401" i="10"/>
  <c r="E401" i="10" s="1" a="1"/>
  <c r="E401" i="10" s="1"/>
  <c r="C402" i="10"/>
  <c r="E402" i="10" s="1" a="1"/>
  <c r="E402" i="10" s="1"/>
  <c r="C403" i="10"/>
  <c r="E403" i="10" s="1" a="1"/>
  <c r="E403" i="10" s="1"/>
  <c r="C404" i="10"/>
  <c r="D404" i="10" s="1" a="1"/>
  <c r="D404" i="10" s="1"/>
  <c r="C405" i="10"/>
  <c r="D405" i="10" s="1" a="1"/>
  <c r="D405" i="10" s="1"/>
  <c r="C406" i="10"/>
  <c r="D406" i="10" s="1" a="1"/>
  <c r="D406" i="10" s="1"/>
  <c r="C407" i="10"/>
  <c r="D407" i="10" s="1" a="1"/>
  <c r="D407" i="10" s="1"/>
  <c r="C408" i="10"/>
  <c r="D408" i="10" s="1" a="1"/>
  <c r="D408" i="10" s="1"/>
  <c r="C409" i="10"/>
  <c r="D409" i="10" s="1" a="1"/>
  <c r="D409" i="10" s="1"/>
  <c r="C410" i="10"/>
  <c r="E410" i="10" s="1" a="1"/>
  <c r="E410" i="10" s="1"/>
  <c r="C411" i="10"/>
  <c r="D411" i="10" s="1" a="1"/>
  <c r="D411" i="10" s="1"/>
  <c r="C412" i="10"/>
  <c r="E412" i="10" s="1" a="1"/>
  <c r="E412" i="10" s="1"/>
  <c r="C413" i="10"/>
  <c r="D413" i="10" s="1" a="1"/>
  <c r="D413" i="10" s="1"/>
  <c r="C414" i="10"/>
  <c r="D414" i="10" s="1" a="1"/>
  <c r="D414" i="10" s="1"/>
  <c r="C415" i="10"/>
  <c r="D415" i="10" s="1" a="1"/>
  <c r="D415" i="10" s="1"/>
  <c r="C416" i="10"/>
  <c r="E416" i="10" s="1" a="1"/>
  <c r="E416" i="10" s="1"/>
  <c r="C417" i="10"/>
  <c r="E417" i="10" s="1" a="1"/>
  <c r="E417" i="10" s="1"/>
  <c r="C418" i="10"/>
  <c r="E418" i="10" s="1" a="1"/>
  <c r="E418" i="10" s="1"/>
  <c r="C419" i="10"/>
  <c r="D419" i="10" s="1" a="1"/>
  <c r="D419" i="10" s="1"/>
  <c r="C420" i="10"/>
  <c r="E420" i="10" s="1" a="1"/>
  <c r="E420" i="10" s="1"/>
  <c r="C421" i="10"/>
  <c r="D421" i="10" s="1" a="1"/>
  <c r="D421" i="10" s="1"/>
  <c r="C422" i="10"/>
  <c r="E422" i="10" s="1" a="1"/>
  <c r="E422" i="10" s="1"/>
  <c r="C423" i="10"/>
  <c r="E423" i="10" s="1" a="1"/>
  <c r="E423" i="10" s="1"/>
  <c r="C424" i="10"/>
  <c r="D424" i="10" s="1" a="1"/>
  <c r="D424" i="10" s="1"/>
  <c r="C425" i="10"/>
  <c r="D425" i="10" s="1" a="1"/>
  <c r="D425" i="10" s="1"/>
  <c r="C426" i="10"/>
  <c r="D426" i="10" s="1" a="1"/>
  <c r="D426" i="10" s="1"/>
  <c r="C427" i="10"/>
  <c r="D427" i="10" s="1" a="1"/>
  <c r="D427" i="10" s="1"/>
  <c r="C428" i="10"/>
  <c r="D428" i="10" s="1" a="1"/>
  <c r="D428" i="10" s="1"/>
  <c r="C429" i="10"/>
  <c r="E429" i="10" s="1" a="1"/>
  <c r="E429" i="10" s="1"/>
  <c r="C430" i="10"/>
  <c r="D430" i="10" s="1" a="1"/>
  <c r="D430" i="10" s="1"/>
  <c r="C431" i="10"/>
  <c r="E431" i="10" s="1" a="1"/>
  <c r="E431" i="10" s="1"/>
  <c r="C432" i="10"/>
  <c r="E432" i="10" s="1" a="1"/>
  <c r="E432" i="10" s="1"/>
  <c r="C433" i="10"/>
  <c r="E433" i="10" s="1" a="1"/>
  <c r="E433" i="10" s="1"/>
  <c r="C434" i="10"/>
  <c r="E434" i="10" s="1" a="1"/>
  <c r="E434" i="10" s="1"/>
  <c r="C435" i="10"/>
  <c r="D435" i="10" s="1" a="1"/>
  <c r="D435" i="10" s="1"/>
  <c r="C436" i="10"/>
  <c r="D436" i="10" s="1" a="1"/>
  <c r="D436" i="10" s="1"/>
  <c r="C437" i="10"/>
  <c r="D437" i="10" s="1" a="1"/>
  <c r="D437" i="10" s="1"/>
  <c r="C438" i="10"/>
  <c r="D438" i="10" s="1" a="1"/>
  <c r="D438" i="10" s="1"/>
  <c r="C439" i="10"/>
  <c r="D439" i="10" s="1" a="1"/>
  <c r="D439" i="10" s="1"/>
  <c r="C440" i="10"/>
  <c r="D440" i="10" s="1" a="1"/>
  <c r="D440" i="10" s="1"/>
  <c r="C441" i="10"/>
  <c r="D441" i="10" s="1" a="1"/>
  <c r="D441" i="10" s="1"/>
  <c r="C442" i="10"/>
  <c r="E442" i="10" s="1" a="1"/>
  <c r="E442" i="10" s="1"/>
  <c r="C443" i="10"/>
  <c r="E443" i="10" s="1" a="1"/>
  <c r="E443" i="10" s="1"/>
  <c r="C444" i="10"/>
  <c r="D444" i="10" s="1" a="1"/>
  <c r="D444" i="10" s="1"/>
  <c r="C445" i="10"/>
  <c r="E445" i="10" s="1" a="1"/>
  <c r="E445" i="10" s="1"/>
  <c r="C446" i="10"/>
  <c r="D446" i="10" s="1" a="1"/>
  <c r="D446" i="10" s="1"/>
  <c r="C447" i="10"/>
  <c r="D447" i="10" s="1" a="1"/>
  <c r="D447" i="10" s="1"/>
  <c r="C448" i="10"/>
  <c r="E448" i="10" s="1" a="1"/>
  <c r="E448" i="10" s="1"/>
  <c r="C449" i="10"/>
  <c r="E449" i="10" s="1" a="1"/>
  <c r="E449" i="10" s="1"/>
  <c r="C450" i="10"/>
  <c r="E450" i="10" s="1" a="1"/>
  <c r="E450" i="10" s="1"/>
  <c r="C451" i="10"/>
  <c r="E451" i="10" s="1" a="1"/>
  <c r="E451" i="10" s="1"/>
  <c r="C452" i="10"/>
  <c r="D452" i="10" s="1" a="1"/>
  <c r="D452" i="10" s="1"/>
  <c r="C453" i="10"/>
  <c r="E453" i="10" s="1" a="1"/>
  <c r="E453" i="10" s="1"/>
  <c r="C454" i="10"/>
  <c r="E454" i="10" s="1" a="1"/>
  <c r="E454" i="10" s="1"/>
  <c r="C455" i="10"/>
  <c r="D455" i="10" s="1" a="1"/>
  <c r="D455" i="10" s="1"/>
  <c r="C456" i="10"/>
  <c r="E456" i="10" s="1" a="1"/>
  <c r="E456" i="10" s="1"/>
  <c r="C457" i="10"/>
  <c r="D457" i="10" s="1" a="1"/>
  <c r="D457" i="10" s="1"/>
  <c r="C458" i="10"/>
  <c r="D458" i="10" s="1" a="1"/>
  <c r="D458" i="10" s="1"/>
  <c r="C459" i="10"/>
  <c r="D459" i="10" s="1" a="1"/>
  <c r="D459" i="10" s="1"/>
  <c r="C460" i="10"/>
  <c r="D460" i="10" s="1" a="1"/>
  <c r="D460" i="10" s="1"/>
  <c r="C461" i="10"/>
  <c r="D461" i="10" s="1" a="1"/>
  <c r="D461" i="10" s="1"/>
  <c r="C462" i="10"/>
  <c r="D462" i="10" s="1" a="1"/>
  <c r="D462" i="10" s="1"/>
  <c r="C463" i="10"/>
  <c r="E463" i="10" s="1" a="1"/>
  <c r="E463" i="10" s="1"/>
  <c r="C464" i="10"/>
  <c r="D464" i="10" s="1" a="1"/>
  <c r="D464" i="10" s="1"/>
  <c r="C465" i="10"/>
  <c r="D465" i="10" s="1" a="1"/>
  <c r="D465" i="10" s="1"/>
  <c r="C466" i="10"/>
  <c r="D466" i="10" s="1" a="1"/>
  <c r="D466" i="10" s="1"/>
  <c r="C467" i="10"/>
  <c r="E467" i="10" s="1" a="1"/>
  <c r="E467" i="10" s="1"/>
  <c r="C468" i="10"/>
  <c r="D468" i="10" s="1" a="1"/>
  <c r="D468" i="10" s="1"/>
  <c r="C469" i="10"/>
  <c r="E469" i="10" s="1" a="1"/>
  <c r="E469" i="10" s="1"/>
  <c r="C470" i="10"/>
  <c r="E470" i="10" s="1" a="1"/>
  <c r="E470" i="10" s="1"/>
  <c r="C471" i="10"/>
  <c r="E471" i="10" s="1" a="1"/>
  <c r="E471" i="10" s="1"/>
  <c r="C472" i="10"/>
  <c r="E472" i="10" s="1" a="1"/>
  <c r="E472" i="10" s="1"/>
  <c r="C473" i="10"/>
  <c r="D473" i="10" s="1" a="1"/>
  <c r="D473" i="10" s="1"/>
  <c r="C474" i="10"/>
  <c r="D474" i="10" s="1" a="1"/>
  <c r="D474" i="10" s="1"/>
  <c r="C475" i="10"/>
  <c r="E475" i="10" s="1" a="1"/>
  <c r="E475" i="10" s="1"/>
  <c r="C476" i="10"/>
  <c r="E476" i="10" s="1" a="1"/>
  <c r="E476" i="10" s="1"/>
  <c r="C477" i="10"/>
  <c r="E477" i="10" s="1" a="1"/>
  <c r="E477" i="10" s="1"/>
  <c r="C478" i="10"/>
  <c r="D478" i="10" s="1" a="1"/>
  <c r="D478" i="10" s="1"/>
  <c r="C479" i="10"/>
  <c r="C480" i="10"/>
  <c r="D480" i="10" s="1" a="1"/>
  <c r="D480" i="10" s="1"/>
  <c r="C481" i="10"/>
  <c r="D481" i="10" s="1" a="1"/>
  <c r="D481" i="10" s="1"/>
  <c r="C482" i="10"/>
  <c r="D482" i="10" s="1" a="1"/>
  <c r="D482" i="10" s="1"/>
  <c r="C483" i="10"/>
  <c r="E483" i="10" s="1" a="1"/>
  <c r="E483" i="10" s="1"/>
  <c r="C484" i="10"/>
  <c r="E484" i="10" s="1" a="1"/>
  <c r="E484" i="10" s="1"/>
  <c r="C485" i="10"/>
  <c r="D485" i="10" s="1" a="1"/>
  <c r="D485" i="10" s="1"/>
  <c r="C486" i="10"/>
  <c r="D486" i="10" s="1" a="1"/>
  <c r="D486" i="10" s="1"/>
  <c r="C487" i="10"/>
  <c r="E487" i="10" s="1" a="1"/>
  <c r="E487" i="10" s="1"/>
  <c r="C488" i="10"/>
  <c r="E488" i="10" s="1" a="1"/>
  <c r="E488" i="10" s="1"/>
  <c r="C489" i="10"/>
  <c r="D489" i="10" s="1" a="1"/>
  <c r="D489" i="10" s="1"/>
  <c r="C490" i="10"/>
  <c r="D490" i="10" s="1" a="1"/>
  <c r="D490" i="10" s="1"/>
  <c r="C491" i="10"/>
  <c r="E491" i="10" s="1" a="1"/>
  <c r="E491" i="10" s="1"/>
  <c r="C492" i="10"/>
  <c r="D492" i="10" s="1" a="1"/>
  <c r="D492" i="10" s="1"/>
  <c r="C493" i="10"/>
  <c r="D493" i="10" s="1" a="1"/>
  <c r="D493" i="10" s="1"/>
  <c r="C494" i="10"/>
  <c r="D494" i="10" s="1" a="1"/>
  <c r="D494" i="10" s="1"/>
  <c r="C495" i="10"/>
  <c r="C496" i="10"/>
  <c r="D496" i="10" s="1" a="1"/>
  <c r="D496" i="10" s="1"/>
  <c r="C497" i="10"/>
  <c r="D497" i="10" s="1" a="1"/>
  <c r="D497" i="10" s="1"/>
  <c r="C498" i="10"/>
  <c r="D498" i="10" s="1" a="1"/>
  <c r="D498" i="10" s="1"/>
  <c r="C499" i="10"/>
  <c r="E499" i="10" s="1" a="1"/>
  <c r="E499" i="10" s="1"/>
  <c r="C500" i="10"/>
  <c r="D500" i="10" s="1" a="1"/>
  <c r="D500" i="10" s="1"/>
  <c r="C501" i="10"/>
  <c r="E501" i="10" s="1" a="1"/>
  <c r="E501" i="10" s="1"/>
  <c r="C502" i="10"/>
  <c r="E502" i="10" s="1" a="1"/>
  <c r="E502" i="10" s="1"/>
  <c r="C503" i="10"/>
  <c r="D503" i="10" s="1" a="1"/>
  <c r="D503" i="10" s="1"/>
  <c r="C504" i="10"/>
  <c r="D504" i="10" s="1" a="1"/>
  <c r="D504" i="10" s="1"/>
  <c r="C505" i="10"/>
  <c r="D505" i="10" s="1" a="1"/>
  <c r="D505" i="10" s="1"/>
  <c r="C506" i="10"/>
  <c r="D506" i="10" s="1" a="1"/>
  <c r="D506" i="10" s="1"/>
  <c r="C507" i="10"/>
  <c r="E507" i="10" s="1" a="1"/>
  <c r="E507" i="10" s="1"/>
  <c r="C508" i="10"/>
  <c r="E508" i="10" s="1" a="1"/>
  <c r="E508" i="10" s="1"/>
  <c r="C509" i="10"/>
  <c r="E509" i="10" s="1" a="1"/>
  <c r="E509" i="10" s="1"/>
  <c r="C510" i="10"/>
  <c r="E510" i="10" s="1" a="1"/>
  <c r="E510" i="10" s="1"/>
  <c r="C511" i="10"/>
  <c r="E511" i="10" s="1" a="1"/>
  <c r="E511" i="10" s="1"/>
  <c r="C512" i="10"/>
  <c r="D512" i="10" s="1" a="1"/>
  <c r="D512" i="10" s="1"/>
  <c r="C513" i="10"/>
  <c r="E513" i="10" s="1" a="1"/>
  <c r="E513" i="10" s="1"/>
  <c r="C514" i="10"/>
  <c r="E514" i="10" s="1" a="1"/>
  <c r="E514" i="10" s="1"/>
  <c r="C515" i="10"/>
  <c r="D515" i="10" s="1" a="1"/>
  <c r="D515" i="10" s="1"/>
  <c r="C516" i="10"/>
  <c r="D516" i="10" s="1" a="1"/>
  <c r="D516" i="10" s="1"/>
  <c r="C517" i="10"/>
  <c r="D517" i="10" s="1" a="1"/>
  <c r="D517" i="10" s="1"/>
  <c r="C518" i="10"/>
  <c r="E518" i="10" s="1" a="1"/>
  <c r="E518" i="10" s="1"/>
  <c r="C519" i="10"/>
  <c r="D519" i="10" s="1" a="1"/>
  <c r="D519" i="10" s="1"/>
  <c r="C520" i="10"/>
  <c r="D520" i="10" s="1" a="1"/>
  <c r="D520" i="10" s="1"/>
  <c r="C521" i="10"/>
  <c r="D521" i="10" s="1" a="1"/>
  <c r="D521" i="10" s="1"/>
  <c r="C522" i="10"/>
  <c r="E522" i="10" s="1" a="1"/>
  <c r="E522" i="10" s="1"/>
  <c r="C523" i="10"/>
  <c r="D523" i="10" s="1" a="1"/>
  <c r="D523" i="10" s="1"/>
  <c r="C524" i="10"/>
  <c r="E524" i="10" s="1" a="1"/>
  <c r="E524" i="10" s="1"/>
  <c r="C525" i="10"/>
  <c r="D525" i="10" s="1" a="1"/>
  <c r="D525" i="10" s="1"/>
  <c r="C526" i="10"/>
  <c r="E526" i="10" s="1" a="1"/>
  <c r="E526" i="10" s="1"/>
  <c r="C527" i="10"/>
  <c r="C528" i="10"/>
  <c r="E528" i="10" s="1" a="1"/>
  <c r="E528" i="10" s="1"/>
  <c r="C529" i="10"/>
  <c r="E529" i="10" s="1" a="1"/>
  <c r="E529" i="10" s="1"/>
  <c r="C530" i="10"/>
  <c r="E530" i="10" s="1" a="1"/>
  <c r="E530" i="10" s="1"/>
  <c r="C531" i="10"/>
  <c r="D531" i="10" s="1" a="1"/>
  <c r="D531" i="10" s="1"/>
  <c r="C532" i="10"/>
  <c r="D532" i="10" s="1" a="1"/>
  <c r="D532" i="10" s="1"/>
  <c r="C533" i="10"/>
  <c r="E533" i="10" s="1" a="1"/>
  <c r="E533" i="10" s="1"/>
  <c r="C534" i="10"/>
  <c r="D534" i="10" s="1" a="1"/>
  <c r="D534" i="10" s="1"/>
  <c r="C535" i="10"/>
  <c r="D535" i="10" s="1" a="1"/>
  <c r="D535" i="10" s="1"/>
  <c r="C536" i="10"/>
  <c r="D536" i="10" s="1" a="1"/>
  <c r="D536" i="10" s="1"/>
  <c r="C537" i="10"/>
  <c r="E537" i="10" s="1" a="1"/>
  <c r="E537" i="10" s="1"/>
  <c r="C538" i="10"/>
  <c r="E538" i="10" s="1" a="1"/>
  <c r="E538" i="10" s="1"/>
  <c r="C539" i="10"/>
  <c r="D539" i="10" s="1" a="1"/>
  <c r="D539" i="10" s="1"/>
  <c r="C540" i="10"/>
  <c r="E540" i="10" s="1" a="1"/>
  <c r="E540" i="10" s="1"/>
  <c r="C541" i="10"/>
  <c r="E541" i="10" s="1" a="1"/>
  <c r="E541" i="10" s="1"/>
  <c r="C542" i="10"/>
  <c r="D542" i="10" s="1" a="1"/>
  <c r="D542" i="10" s="1"/>
  <c r="C543" i="10"/>
  <c r="D543" i="10" s="1" a="1"/>
  <c r="D543" i="10" s="1"/>
  <c r="C544" i="10"/>
  <c r="E544" i="10" s="1" a="1"/>
  <c r="E544" i="10" s="1"/>
  <c r="C545" i="10"/>
  <c r="E545" i="10" s="1" a="1"/>
  <c r="E545" i="10" s="1"/>
  <c r="C546" i="10"/>
  <c r="E546" i="10" s="1" a="1"/>
  <c r="E546" i="10" s="1"/>
  <c r="C547" i="10"/>
  <c r="D547" i="10" s="1" a="1"/>
  <c r="D547" i="10" s="1"/>
  <c r="C548" i="10"/>
  <c r="E548" i="10" s="1" a="1"/>
  <c r="E548" i="10" s="1"/>
  <c r="C549" i="10"/>
  <c r="D549" i="10" s="1" a="1"/>
  <c r="D549" i="10" s="1"/>
  <c r="C550" i="10"/>
  <c r="E550" i="10" s="1" a="1"/>
  <c r="E550" i="10" s="1"/>
  <c r="C551" i="10"/>
  <c r="D551" i="10" s="1" a="1"/>
  <c r="D551" i="10" s="1"/>
  <c r="C552" i="10"/>
  <c r="E552" i="10" s="1" a="1"/>
  <c r="E552" i="10" s="1"/>
  <c r="C553" i="10"/>
  <c r="D553" i="10" s="1" a="1"/>
  <c r="D553" i="10" s="1"/>
  <c r="C554" i="10"/>
  <c r="D554" i="10" s="1" a="1"/>
  <c r="D554" i="10" s="1"/>
  <c r="C555" i="10"/>
  <c r="D555" i="10" s="1" a="1"/>
  <c r="D555" i="10" s="1"/>
  <c r="C556" i="10"/>
  <c r="D556" i="10" s="1" a="1"/>
  <c r="D556" i="10" s="1"/>
  <c r="C557" i="10"/>
  <c r="D557" i="10" s="1" a="1"/>
  <c r="D557" i="10" s="1"/>
  <c r="C558" i="10"/>
  <c r="E558" i="10" s="1" a="1"/>
  <c r="E558" i="10" s="1"/>
  <c r="C559" i="10"/>
  <c r="E559" i="10" s="1" a="1"/>
  <c r="E559" i="10" s="1"/>
  <c r="C560" i="10"/>
  <c r="E560" i="10" s="1" a="1"/>
  <c r="E560" i="10" s="1"/>
  <c r="C561" i="10"/>
  <c r="E561" i="10" s="1" a="1"/>
  <c r="E561" i="10" s="1"/>
  <c r="C562" i="10"/>
  <c r="E562" i="10" s="1" a="1"/>
  <c r="E562" i="10" s="1"/>
  <c r="C563" i="10"/>
  <c r="D563" i="10" s="1" a="1"/>
  <c r="D563" i="10" s="1"/>
  <c r="C564" i="10"/>
  <c r="D564" i="10" s="1" a="1"/>
  <c r="D564" i="10" s="1"/>
  <c r="C565" i="10"/>
  <c r="D565" i="10" s="1" a="1"/>
  <c r="D565" i="10" s="1"/>
  <c r="C566" i="10"/>
  <c r="D566" i="10" s="1" a="1"/>
  <c r="D566" i="10" s="1"/>
  <c r="C567" i="10"/>
  <c r="D567" i="10" s="1" a="1"/>
  <c r="D567" i="10" s="1"/>
  <c r="C568" i="10"/>
  <c r="E568" i="10" s="1" a="1"/>
  <c r="E568" i="10" s="1"/>
  <c r="C569" i="10"/>
  <c r="D569" i="10" s="1" a="1"/>
  <c r="D569" i="10" s="1"/>
  <c r="C570" i="10"/>
  <c r="D570" i="10" s="1" a="1"/>
  <c r="D570" i="10" s="1"/>
  <c r="C571" i="10"/>
  <c r="E571" i="10" s="1" a="1"/>
  <c r="E571" i="10" s="1"/>
  <c r="C572" i="10"/>
  <c r="D572" i="10" s="1" a="1"/>
  <c r="D572" i="10" s="1"/>
  <c r="C573" i="10"/>
  <c r="E573" i="10" s="1" a="1"/>
  <c r="E573" i="10" s="1"/>
  <c r="C574" i="10"/>
  <c r="D574" i="10" s="1" a="1"/>
  <c r="D574" i="10" s="1"/>
  <c r="C575" i="10"/>
  <c r="D575" i="10" s="1" a="1"/>
  <c r="D575" i="10" s="1"/>
  <c r="C576" i="10"/>
  <c r="E576" i="10" s="1" a="1"/>
  <c r="E576" i="10" s="1"/>
  <c r="C577" i="10"/>
  <c r="E577" i="10" s="1" a="1"/>
  <c r="E577" i="10" s="1"/>
  <c r="C578" i="10"/>
  <c r="E578" i="10" s="1" a="1"/>
  <c r="E578" i="10" s="1"/>
  <c r="C579" i="10"/>
  <c r="D579" i="10" s="1" a="1"/>
  <c r="D579" i="10" s="1"/>
  <c r="C580" i="10"/>
  <c r="E580" i="10" s="1" a="1"/>
  <c r="E580" i="10" s="1"/>
  <c r="C581" i="10"/>
  <c r="D581" i="10" s="1" a="1"/>
  <c r="D581" i="10" s="1"/>
  <c r="C582" i="10"/>
  <c r="E582" i="10" s="1" a="1"/>
  <c r="E582" i="10" s="1"/>
  <c r="C583" i="10"/>
  <c r="D583" i="10" s="1" a="1"/>
  <c r="D583" i="10" s="1"/>
  <c r="C584" i="10"/>
  <c r="E584" i="10" s="1" a="1"/>
  <c r="E584" i="10" s="1"/>
  <c r="C585" i="10"/>
  <c r="D585" i="10" s="1" a="1"/>
  <c r="D585" i="10" s="1"/>
  <c r="C586" i="10"/>
  <c r="D586" i="10" s="1" a="1"/>
  <c r="D586" i="10" s="1"/>
  <c r="C587" i="10"/>
  <c r="E587" i="10" s="1" a="1"/>
  <c r="E587" i="10" s="1"/>
  <c r="C588" i="10"/>
  <c r="E588" i="10" s="1" a="1"/>
  <c r="E588" i="10" s="1"/>
  <c r="C589" i="10"/>
  <c r="E589" i="10" s="1" a="1"/>
  <c r="E589" i="10" s="1"/>
  <c r="C590" i="10"/>
  <c r="E590" i="10" s="1" a="1"/>
  <c r="E590" i="10" s="1"/>
  <c r="C591" i="10"/>
  <c r="E591" i="10" s="1" a="1"/>
  <c r="E591" i="10" s="1"/>
  <c r="C592" i="10"/>
  <c r="E592" i="10" s="1" a="1"/>
  <c r="E592" i="10" s="1"/>
  <c r="C593" i="10"/>
  <c r="E593" i="10" s="1" a="1"/>
  <c r="E593" i="10" s="1"/>
  <c r="C594" i="10"/>
  <c r="E594" i="10" s="1" a="1"/>
  <c r="E594" i="10" s="1"/>
  <c r="C595" i="10"/>
  <c r="E595" i="10" s="1" a="1"/>
  <c r="E595" i="10" s="1"/>
  <c r="C596" i="10"/>
  <c r="D596" i="10" s="1" a="1"/>
  <c r="D596" i="10" s="1"/>
  <c r="C597" i="10"/>
  <c r="D597" i="10" s="1" a="1"/>
  <c r="D597" i="10" s="1"/>
  <c r="C598" i="10"/>
  <c r="D598" i="10" s="1" a="1"/>
  <c r="D598" i="10" s="1"/>
  <c r="C599" i="10"/>
  <c r="E599" i="10" s="1" a="1"/>
  <c r="E599" i="10" s="1"/>
  <c r="C600" i="10"/>
  <c r="D600" i="10" s="1" a="1"/>
  <c r="D600" i="10" s="1"/>
  <c r="C601" i="10"/>
  <c r="D601" i="10" s="1" a="1"/>
  <c r="D601" i="10" s="1"/>
  <c r="C602" i="10"/>
  <c r="D602" i="10" s="1" a="1"/>
  <c r="D602" i="10" s="1"/>
  <c r="C603" i="10"/>
  <c r="E603" i="10" s="1" a="1"/>
  <c r="E603" i="10" s="1"/>
  <c r="C604" i="10"/>
  <c r="D604" i="10" s="1" a="1"/>
  <c r="D604" i="10" s="1"/>
  <c r="C605" i="10"/>
  <c r="D605" i="10" s="1" a="1"/>
  <c r="D605" i="10" s="1"/>
  <c r="C606" i="10"/>
  <c r="E606" i="10" s="1" a="1"/>
  <c r="E606" i="10" s="1"/>
  <c r="C607" i="10"/>
  <c r="D607" i="10" s="1" a="1"/>
  <c r="D607" i="10" s="1"/>
  <c r="C608" i="10"/>
  <c r="E608" i="10" s="1" a="1"/>
  <c r="E608" i="10" s="1"/>
  <c r="C609" i="10"/>
  <c r="E609" i="10" s="1" a="1"/>
  <c r="E609" i="10" s="1"/>
  <c r="C610" i="10"/>
  <c r="E610" i="10" s="1" a="1"/>
  <c r="E610" i="10" s="1"/>
  <c r="C611" i="10"/>
  <c r="E611" i="10" s="1" a="1"/>
  <c r="E611" i="10" s="1"/>
  <c r="C612" i="10"/>
  <c r="E612" i="10" s="1" a="1"/>
  <c r="E612" i="10" s="1"/>
  <c r="C613" i="10"/>
  <c r="E613" i="10" s="1" a="1"/>
  <c r="E613" i="10" s="1"/>
  <c r="C614" i="10"/>
  <c r="E614" i="10" s="1" a="1"/>
  <c r="E614" i="10" s="1"/>
  <c r="C615" i="10"/>
  <c r="D615" i="10" s="1" a="1"/>
  <c r="D615" i="10" s="1"/>
  <c r="C616" i="10"/>
  <c r="E616" i="10" s="1" a="1"/>
  <c r="E616" i="10" s="1"/>
  <c r="C617" i="10"/>
  <c r="E617" i="10" s="1" a="1"/>
  <c r="E617" i="10" s="1"/>
  <c r="C618" i="10"/>
  <c r="D618" i="10" s="1" a="1"/>
  <c r="D618" i="10" s="1"/>
  <c r="C619" i="10"/>
  <c r="D619" i="10" s="1" a="1"/>
  <c r="D619" i="10" s="1"/>
  <c r="C620" i="10"/>
  <c r="E620" i="10" s="1" a="1"/>
  <c r="E620" i="10" s="1"/>
  <c r="C621" i="10"/>
  <c r="D621" i="10" s="1" a="1"/>
  <c r="D621" i="10" s="1"/>
  <c r="C622" i="10"/>
  <c r="D622" i="10" s="1" a="1"/>
  <c r="D622" i="10" s="1"/>
  <c r="C623" i="10"/>
  <c r="D623" i="10" s="1" a="1"/>
  <c r="D623" i="10" s="1"/>
  <c r="C624" i="10"/>
  <c r="E624" i="10" s="1" a="1"/>
  <c r="E624" i="10" s="1"/>
  <c r="C625" i="10"/>
  <c r="E625" i="10" s="1" a="1"/>
  <c r="E625" i="10" s="1"/>
  <c r="C626" i="10"/>
  <c r="E626" i="10" s="1" a="1"/>
  <c r="E626" i="10" s="1"/>
  <c r="C627" i="10"/>
  <c r="E627" i="10" s="1" a="1"/>
  <c r="E627" i="10" s="1"/>
  <c r="C628" i="10"/>
  <c r="E628" i="10" s="1" a="1"/>
  <c r="E628" i="10" s="1"/>
  <c r="C629" i="10"/>
  <c r="D629" i="10" s="1" a="1"/>
  <c r="D629" i="10" s="1"/>
  <c r="C630" i="10"/>
  <c r="E630" i="10" s="1" a="1"/>
  <c r="E630" i="10" s="1"/>
  <c r="C631" i="10"/>
  <c r="D631" i="10" s="1" a="1"/>
  <c r="D631" i="10" s="1"/>
  <c r="C632" i="10"/>
  <c r="D632" i="10" s="1" a="1"/>
  <c r="D632" i="10" s="1"/>
  <c r="C633" i="10"/>
  <c r="D633" i="10" s="1" a="1"/>
  <c r="D633" i="10" s="1"/>
  <c r="C634" i="10"/>
  <c r="E634" i="10" s="1" a="1"/>
  <c r="E634" i="10" s="1"/>
  <c r="C635" i="10"/>
  <c r="E635" i="10" s="1" a="1"/>
  <c r="E635" i="10" s="1"/>
  <c r="C636" i="10"/>
  <c r="D636" i="10" s="1" a="1"/>
  <c r="D636" i="10" s="1"/>
  <c r="C637" i="10"/>
  <c r="D637" i="10" s="1" a="1"/>
  <c r="D637" i="10" s="1"/>
  <c r="C638" i="10"/>
  <c r="D638" i="10" s="1" a="1"/>
  <c r="D638" i="10" s="1"/>
  <c r="C639" i="10"/>
  <c r="C640" i="10"/>
  <c r="D640" i="10" s="1" a="1"/>
  <c r="D640" i="10" s="1"/>
  <c r="C641" i="10"/>
  <c r="D641" i="10" s="1" a="1"/>
  <c r="D641" i="10" s="1"/>
  <c r="C642" i="10"/>
  <c r="E642" i="10" s="1" a="1"/>
  <c r="E642" i="10" s="1"/>
  <c r="C643" i="10"/>
  <c r="D643" i="10" s="1" a="1"/>
  <c r="D643" i="10" s="1"/>
  <c r="C644" i="10"/>
  <c r="E644" i="10" s="1" a="1"/>
  <c r="E644" i="10" s="1"/>
  <c r="C645" i="10"/>
  <c r="D645" i="10" s="1" a="1"/>
  <c r="D645" i="10" s="1"/>
  <c r="C646" i="10"/>
  <c r="D646" i="10" s="1" a="1"/>
  <c r="D646" i="10" s="1"/>
  <c r="C647" i="10"/>
  <c r="E647" i="10" s="1" a="1"/>
  <c r="E647" i="10" s="1"/>
  <c r="C648" i="10"/>
  <c r="D648" i="10" s="1" a="1"/>
  <c r="D648" i="10" s="1"/>
  <c r="C649" i="10"/>
  <c r="D649" i="10" s="1" a="1"/>
  <c r="D649" i="10" s="1"/>
  <c r="C650" i="10"/>
  <c r="D650" i="10" s="1" a="1"/>
  <c r="D650" i="10" s="1"/>
  <c r="C651" i="10"/>
  <c r="D651" i="10" s="1" a="1"/>
  <c r="D651" i="10" s="1"/>
  <c r="C652" i="10"/>
  <c r="E652" i="10" s="1" a="1"/>
  <c r="E652" i="10" s="1"/>
  <c r="C653" i="10"/>
  <c r="D653" i="10" s="1" a="1"/>
  <c r="D653" i="10" s="1"/>
  <c r="C654" i="10"/>
  <c r="D654" i="10" s="1" a="1"/>
  <c r="D654" i="10" s="1"/>
  <c r="C655" i="10"/>
  <c r="E655" i="10" s="1" a="1"/>
  <c r="E655" i="10" s="1"/>
  <c r="C656" i="10"/>
  <c r="D656" i="10" s="1" a="1"/>
  <c r="D656" i="10" s="1"/>
  <c r="C657" i="10"/>
  <c r="D657" i="10" s="1" a="1"/>
  <c r="D657" i="10" s="1"/>
  <c r="C658" i="10"/>
  <c r="D658" i="10" s="1" a="1"/>
  <c r="D658" i="10" s="1"/>
  <c r="C659" i="10"/>
  <c r="E659" i="10" s="1" a="1"/>
  <c r="E659" i="10" s="1"/>
  <c r="C660" i="10"/>
  <c r="E660" i="10" s="1" a="1"/>
  <c r="E660" i="10" s="1"/>
  <c r="C661" i="10"/>
  <c r="E661" i="10" s="1" a="1"/>
  <c r="E661" i="10" s="1"/>
  <c r="C662" i="10"/>
  <c r="D662" i="10" s="1" a="1"/>
  <c r="D662" i="10" s="1"/>
  <c r="C663" i="10"/>
  <c r="D663" i="10" s="1" a="1"/>
  <c r="D663" i="10" s="1"/>
  <c r="C664" i="10"/>
  <c r="D664" i="10" s="1" a="1"/>
  <c r="D664" i="10" s="1"/>
  <c r="C665" i="10"/>
  <c r="D665" i="10" s="1" a="1"/>
  <c r="D665" i="10" s="1"/>
  <c r="C666" i="10"/>
  <c r="D666" i="10" s="1" a="1"/>
  <c r="D666" i="10" s="1"/>
  <c r="C667" i="10"/>
  <c r="E667" i="10" s="1" a="1"/>
  <c r="E667" i="10" s="1"/>
  <c r="C668" i="10"/>
  <c r="D668" i="10" s="1" a="1"/>
  <c r="D668" i="10" s="1"/>
  <c r="C669" i="10"/>
  <c r="E669" i="10" s="1" a="1"/>
  <c r="E669" i="10" s="1"/>
  <c r="C670" i="10"/>
  <c r="D670" i="10" s="1" a="1"/>
  <c r="D670" i="10" s="1"/>
  <c r="C671" i="10"/>
  <c r="E671" i="10" s="1" a="1"/>
  <c r="E671" i="10" s="1"/>
  <c r="D5" i="10" a="1"/>
  <c r="D5" i="10" s="1"/>
  <c r="D28" i="10" a="1"/>
  <c r="D28" i="10" s="1"/>
  <c r="D31" i="10" a="1"/>
  <c r="D31" i="10" s="1"/>
  <c r="D58" i="10" a="1"/>
  <c r="D58" i="10" s="1"/>
  <c r="D63" i="10" a="1"/>
  <c r="D63" i="10" s="1"/>
  <c r="D75" i="10" a="1"/>
  <c r="D75" i="10" s="1"/>
  <c r="D77" i="10" a="1"/>
  <c r="D77" i="10" s="1"/>
  <c r="D79" i="10" a="1"/>
  <c r="D79" i="10" s="1"/>
  <c r="D95" i="10" a="1"/>
  <c r="D95" i="10" s="1"/>
  <c r="D110" i="10" a="1"/>
  <c r="D110" i="10" s="1"/>
  <c r="D111" i="10" a="1"/>
  <c r="D111" i="10" s="1"/>
  <c r="D123" i="10" a="1"/>
  <c r="D123" i="10" s="1"/>
  <c r="D143" i="10" a="1"/>
  <c r="D143" i="10" s="1"/>
  <c r="D154" i="10" a="1"/>
  <c r="D154" i="10" s="1"/>
  <c r="D155" i="10" a="1"/>
  <c r="D155" i="10" s="1"/>
  <c r="D172" i="10" a="1"/>
  <c r="D172" i="10" s="1"/>
  <c r="D187" i="10" a="1"/>
  <c r="D187" i="10" s="1"/>
  <c r="D189" i="10" a="1"/>
  <c r="D189" i="10" s="1"/>
  <c r="D191" i="10" a="1"/>
  <c r="D191" i="10" s="1"/>
  <c r="D199" i="10" a="1"/>
  <c r="D199" i="10" s="1"/>
  <c r="D205" i="10" a="1"/>
  <c r="D205" i="10" s="1"/>
  <c r="D207" i="10" a="1"/>
  <c r="D207" i="10" s="1"/>
  <c r="D219" i="10" a="1"/>
  <c r="D219" i="10" s="1"/>
  <c r="D239" i="10" a="1"/>
  <c r="D239" i="10" s="1"/>
  <c r="D255" i="10" a="1"/>
  <c r="D255" i="10" s="1"/>
  <c r="D271" i="10" a="1"/>
  <c r="D271" i="10" s="1"/>
  <c r="D287" i="10" a="1"/>
  <c r="D287" i="10" s="1"/>
  <c r="D295" i="10" a="1"/>
  <c r="D295" i="10" s="1"/>
  <c r="D335" i="10" a="1"/>
  <c r="D335" i="10" s="1"/>
  <c r="D367" i="10" a="1"/>
  <c r="D367" i="10" s="1"/>
  <c r="D379" i="10" a="1"/>
  <c r="D379" i="10" s="1"/>
  <c r="D383" i="10" a="1"/>
  <c r="D383" i="10" s="1"/>
  <c r="D397" i="10" a="1"/>
  <c r="D397" i="10" s="1"/>
  <c r="D399" i="10" a="1"/>
  <c r="D399" i="10" s="1"/>
  <c r="D443" i="10" a="1"/>
  <c r="D443" i="10" s="1"/>
  <c r="D463" i="10" a="1"/>
  <c r="D463" i="10" s="1"/>
  <c r="D475" i="10" a="1"/>
  <c r="D475" i="10" s="1"/>
  <c r="D479" i="10" a="1"/>
  <c r="D479" i="10" s="1"/>
  <c r="D495" i="10" a="1"/>
  <c r="D495" i="10" s="1"/>
  <c r="D527" i="10" a="1"/>
  <c r="D527" i="10" s="1"/>
  <c r="D559" i="10" a="1"/>
  <c r="D559" i="10" s="1"/>
  <c r="D591" i="10" a="1"/>
  <c r="D591" i="10" s="1"/>
  <c r="D639" i="10" a="1"/>
  <c r="D639" i="10" s="1"/>
  <c r="D655" i="10" a="1"/>
  <c r="D655" i="10" s="1"/>
  <c r="D671" i="10" a="1"/>
  <c r="D671" i="10" s="1"/>
  <c r="E29" i="10" a="1"/>
  <c r="E29" i="10" s="1"/>
  <c r="E43" i="10" a="1"/>
  <c r="E43" i="10" s="1"/>
  <c r="E129" i="10" a="1"/>
  <c r="E129" i="10" s="1"/>
  <c r="E143" i="10" a="1"/>
  <c r="E143" i="10" s="1"/>
  <c r="E157" i="10" a="1"/>
  <c r="E157" i="10" s="1"/>
  <c r="E245" i="10" a="1"/>
  <c r="E245" i="10" s="1"/>
  <c r="E639" i="10" a="1"/>
  <c r="E639" i="10" s="1"/>
  <c r="E575" i="10" a="1"/>
  <c r="E575" i="10" s="1"/>
  <c r="E607" i="10" a="1"/>
  <c r="E607" i="10" s="1"/>
  <c r="E623" i="10" a="1"/>
  <c r="E623" i="10" s="1"/>
  <c r="E527" i="10" a="1"/>
  <c r="E527" i="10" s="1"/>
  <c r="E543" i="10" a="1"/>
  <c r="E543" i="10" s="1"/>
  <c r="E479" i="10" a="1"/>
  <c r="E479" i="10" s="1"/>
  <c r="E495" i="10" a="1"/>
  <c r="E495" i="10" s="1"/>
  <c r="E505" i="10" a="1"/>
  <c r="E505" i="10" s="1"/>
  <c r="E447" i="10" a="1"/>
  <c r="E447" i="10" s="1"/>
  <c r="E367" i="10" a="1"/>
  <c r="E367" i="10" s="1"/>
  <c r="E399" i="10" a="1"/>
  <c r="E399" i="10" s="1"/>
  <c r="E411" i="10" a="1"/>
  <c r="E411" i="10" s="1"/>
  <c r="E415" i="10" a="1"/>
  <c r="E415" i="10" s="1"/>
  <c r="E299" i="10" a="1"/>
  <c r="E299" i="10" s="1"/>
  <c r="E317" i="10" a="1"/>
  <c r="E317" i="10" s="1"/>
  <c r="E319" i="10" a="1"/>
  <c r="E319" i="10" s="1"/>
  <c r="E333" i="10" a="1"/>
  <c r="E333" i="10" s="1"/>
  <c r="E219" i="10" a="1"/>
  <c r="E219" i="10" s="1"/>
  <c r="E221" i="10" a="1"/>
  <c r="E221" i="10" s="1"/>
  <c r="E222" i="10" a="1"/>
  <c r="E222" i="10" s="1"/>
  <c r="E223" i="10" a="1"/>
  <c r="E223" i="10" s="1"/>
  <c r="E224" i="10" a="1"/>
  <c r="E224" i="10" s="1"/>
  <c r="E237" i="10" a="1"/>
  <c r="E237" i="10" s="1"/>
  <c r="E239" i="10" a="1"/>
  <c r="E239" i="10" s="1"/>
  <c r="E248" i="10" a="1"/>
  <c r="E248" i="10" s="1"/>
  <c r="E251" i="10" a="1"/>
  <c r="E251" i="10" s="1"/>
  <c r="E253" i="10" a="1"/>
  <c r="E253" i="10" s="1"/>
  <c r="E255" i="10" a="1"/>
  <c r="E255" i="10" s="1"/>
  <c r="E267" i="10" a="1"/>
  <c r="E267" i="10" s="1"/>
  <c r="E271" i="10" a="1"/>
  <c r="E271" i="10" s="1"/>
  <c r="E175" i="10" a="1"/>
  <c r="E175" i="10" s="1"/>
  <c r="E187" i="10" a="1"/>
  <c r="E187" i="10" s="1"/>
  <c r="E191" i="10" a="1"/>
  <c r="E191" i="10" s="1"/>
  <c r="E203" i="10" a="1"/>
  <c r="E203" i="10" s="1"/>
  <c r="E205" i="10" a="1"/>
  <c r="E205" i="10" s="1"/>
  <c r="E207" i="10" a="1"/>
  <c r="E207" i="10" s="1"/>
  <c r="E109" i="10" a="1"/>
  <c r="E109" i="10" s="1"/>
  <c r="E111" i="10" a="1"/>
  <c r="E111" i="10" s="1"/>
  <c r="E115" i="10" a="1"/>
  <c r="E115" i="10" s="1"/>
  <c r="E117" i="10" a="1"/>
  <c r="E117" i="10" s="1"/>
  <c r="E125" i="10" a="1"/>
  <c r="E125" i="10" s="1"/>
  <c r="E127" i="10" a="1"/>
  <c r="E127" i="10" s="1"/>
  <c r="E139" i="10" a="1"/>
  <c r="E139" i="10" s="1"/>
  <c r="E155" i="10" a="1"/>
  <c r="E155" i="10" s="1"/>
  <c r="E159" i="10" a="1"/>
  <c r="E159" i="10" s="1"/>
  <c r="E173" i="10" a="1"/>
  <c r="E173" i="10" s="1"/>
  <c r="E59" i="10" a="1"/>
  <c r="E59" i="10" s="1"/>
  <c r="E61" i="10" a="1"/>
  <c r="E61" i="10" s="1"/>
  <c r="E69" i="10" a="1"/>
  <c r="E69" i="10" s="1"/>
  <c r="E75" i="10" a="1"/>
  <c r="E75" i="10" s="1"/>
  <c r="E77" i="10" a="1"/>
  <c r="E77" i="10" s="1"/>
  <c r="E79" i="10" a="1"/>
  <c r="E79" i="10" s="1"/>
  <c r="E85" i="10" a="1"/>
  <c r="E85" i="10" s="1"/>
  <c r="E87" i="10" a="1"/>
  <c r="E87" i="10" s="1"/>
  <c r="E90" i="10" a="1"/>
  <c r="E90" i="10" s="1"/>
  <c r="E91" i="10" a="1"/>
  <c r="E91" i="10" s="1"/>
  <c r="E93" i="10" a="1"/>
  <c r="E93" i="10" s="1"/>
  <c r="E95" i="10" a="1"/>
  <c r="E95" i="10" s="1"/>
  <c r="E107" i="10" a="1"/>
  <c r="E107" i="10" s="1"/>
  <c r="E5" i="10" a="1"/>
  <c r="E5" i="10" s="1"/>
  <c r="E7" i="10" a="1"/>
  <c r="E7" i="10" s="1"/>
  <c r="E11" i="10" a="1"/>
  <c r="E11" i="10" s="1"/>
  <c r="E12" i="10" a="1"/>
  <c r="E12" i="10" s="1"/>
  <c r="E16" i="10" a="1"/>
  <c r="E16" i="10" s="1"/>
  <c r="E20" i="10" a="1"/>
  <c r="E20" i="10" s="1"/>
  <c r="E24" i="10" a="1"/>
  <c r="E24" i="10" s="1"/>
  <c r="E27" i="10" a="1"/>
  <c r="E27" i="10" s="1"/>
  <c r="E30" i="10" a="1"/>
  <c r="E30" i="10" s="1"/>
  <c r="E31" i="10" a="1"/>
  <c r="E31" i="10" s="1"/>
  <c r="E37" i="10" a="1"/>
  <c r="E37" i="10" s="1"/>
  <c r="E39" i="10" a="1"/>
  <c r="E39" i="10" s="1"/>
  <c r="E45" i="10" a="1"/>
  <c r="E45" i="10" s="1"/>
  <c r="E47" i="10" a="1"/>
  <c r="E47" i="10" s="1"/>
  <c r="E48" i="10" a="1"/>
  <c r="E48" i="10" s="1"/>
  <c r="E49" i="10" a="1"/>
  <c r="E49" i="10" s="1"/>
  <c r="E50" i="10" a="1"/>
  <c r="E50" i="10" s="1"/>
  <c r="E53" i="10" a="1"/>
  <c r="E53" i="10" s="1"/>
  <c r="D73" i="10" l="1" a="1"/>
  <c r="D73" i="10" s="1"/>
  <c r="E153" i="10" a="1"/>
  <c r="E153" i="10" s="1"/>
  <c r="E185" i="10" a="1"/>
  <c r="E185" i="10" s="1"/>
  <c r="E217" i="10" a="1"/>
  <c r="E217" i="10" s="1"/>
  <c r="E489" i="10" a="1"/>
  <c r="E489" i="10" s="1"/>
  <c r="E89" i="10" a="1"/>
  <c r="E89" i="10" s="1"/>
  <c r="D297" i="10" a="1"/>
  <c r="D297" i="10" s="1"/>
  <c r="E137" i="10" a="1"/>
  <c r="E137" i="10" s="1"/>
  <c r="D617" i="10" a="1"/>
  <c r="D617" i="10" s="1"/>
  <c r="D57" i="10" a="1"/>
  <c r="D57" i="10" s="1"/>
  <c r="D41" i="10" a="1"/>
  <c r="D41" i="10" s="1"/>
  <c r="E672" i="10" a="1"/>
  <c r="E672" i="10" s="1"/>
  <c r="E521" i="10" a="1"/>
  <c r="E521" i="10" s="1"/>
  <c r="E25" i="10" a="1"/>
  <c r="E25" i="10" s="1"/>
  <c r="E281" i="10" a="1"/>
  <c r="E281" i="10" s="1"/>
  <c r="E313" i="10" a="1"/>
  <c r="E313" i="10" s="1"/>
  <c r="E121" i="10" a="1"/>
  <c r="E121" i="10" s="1"/>
  <c r="D249" i="10" a="1"/>
  <c r="D249" i="10" s="1"/>
  <c r="E744" i="10" a="1"/>
  <c r="E744" i="10" s="1"/>
  <c r="E9" i="10" a="1"/>
  <c r="E9" i="10" s="1"/>
  <c r="E742" i="10" a="1"/>
  <c r="E742" i="10" s="1"/>
  <c r="E698" i="10" a="1"/>
  <c r="E698" i="10" s="1"/>
  <c r="D105" i="10" a="1"/>
  <c r="D105" i="10" s="1"/>
  <c r="E345" i="10" a="1"/>
  <c r="E345" i="10" s="1"/>
  <c r="D201" i="10" a="1"/>
  <c r="D201" i="10" s="1"/>
  <c r="E169" i="10" a="1"/>
  <c r="E169" i="10" s="1"/>
  <c r="E441" i="10" a="1"/>
  <c r="E441" i="10" s="1"/>
  <c r="P6" i="10"/>
  <c r="P5" i="10"/>
  <c r="P7" i="10"/>
  <c r="P8" i="10"/>
  <c r="E731" i="10" a="1"/>
  <c r="E731" i="10" s="1"/>
  <c r="E694" i="10" a="1"/>
  <c r="E694" i="10" s="1"/>
  <c r="Z94" i="11" a="1"/>
  <c r="Z94" i="11" s="1"/>
  <c r="Z79" i="11" a="1"/>
  <c r="Z79" i="11" s="1"/>
  <c r="Z51" i="11" a="1"/>
  <c r="Z51" i="11" s="1"/>
  <c r="Z37" i="11" a="1"/>
  <c r="Z37" i="11" s="1"/>
  <c r="Z8" i="11" a="1"/>
  <c r="Z8" i="11" s="1"/>
  <c r="AA63" i="11" a="1"/>
  <c r="AA63" i="11" s="1"/>
  <c r="AA104" i="11" a="1"/>
  <c r="AA104" i="11" s="1"/>
  <c r="AA90" i="11" a="1"/>
  <c r="AA90" i="11" s="1"/>
  <c r="AA47" i="11" a="1"/>
  <c r="AA47" i="11" s="1"/>
  <c r="AA19" i="11" a="1"/>
  <c r="AA19" i="11" s="1"/>
  <c r="AA103" i="11" a="1"/>
  <c r="AA103" i="11" s="1"/>
  <c r="AA89" i="11" a="1"/>
  <c r="AA89" i="11" s="1"/>
  <c r="AA46" i="11" a="1"/>
  <c r="AA46" i="11" s="1"/>
  <c r="AA18" i="11" a="1"/>
  <c r="AA18" i="11" s="1"/>
  <c r="AA102" i="11" a="1"/>
  <c r="AA102" i="11" s="1"/>
  <c r="AA88" i="11" a="1"/>
  <c r="AA88" i="11" s="1"/>
  <c r="AA74" i="11" a="1"/>
  <c r="AA74" i="11" s="1"/>
  <c r="AA31" i="11" a="1"/>
  <c r="AA31" i="11" s="1"/>
  <c r="AA17" i="11" a="1"/>
  <c r="AA17" i="11" s="1"/>
  <c r="AA87" i="11" a="1"/>
  <c r="AA87" i="11" s="1"/>
  <c r="AA73" i="11" a="1"/>
  <c r="AA73" i="11" s="1"/>
  <c r="AA30" i="11" a="1"/>
  <c r="AA30" i="11" s="1"/>
  <c r="AA16" i="11" a="1"/>
  <c r="AA16" i="11" s="1"/>
  <c r="AA101" i="11" a="1"/>
  <c r="AA101" i="11" s="1"/>
  <c r="AA86" i="11" a="1"/>
  <c r="AA86" i="11" s="1"/>
  <c r="AA72" i="11" a="1"/>
  <c r="AA72" i="11" s="1"/>
  <c r="AA58" i="11" a="1"/>
  <c r="AA58" i="11" s="1"/>
  <c r="AA15" i="11" a="1"/>
  <c r="AA15" i="11" s="1"/>
  <c r="AA100" i="11" a="1"/>
  <c r="AA100" i="11" s="1"/>
  <c r="AA71" i="11" a="1"/>
  <c r="AA71" i="11" s="1"/>
  <c r="AA57" i="11" a="1"/>
  <c r="AA57" i="11" s="1"/>
  <c r="AA43" i="11" a="1"/>
  <c r="AA43" i="11" s="1"/>
  <c r="AA29" i="11" a="1"/>
  <c r="AA29" i="11" s="1"/>
  <c r="AA14" i="11" a="1"/>
  <c r="AA14" i="11" s="1"/>
  <c r="AA99" i="11" a="1"/>
  <c r="AA99" i="11" s="1"/>
  <c r="AA85" i="11" a="1"/>
  <c r="AA85" i="11" s="1"/>
  <c r="AA70" i="11" a="1"/>
  <c r="AA70" i="11" s="1"/>
  <c r="AA56" i="11" a="1"/>
  <c r="AA56" i="11" s="1"/>
  <c r="AA42" i="11" a="1"/>
  <c r="AA42" i="11" s="1"/>
  <c r="AA28" i="11" a="1"/>
  <c r="AA28" i="11" s="1"/>
  <c r="AA55" i="11" a="1"/>
  <c r="AA55" i="11" s="1"/>
  <c r="AA41" i="11" a="1"/>
  <c r="AA41" i="11" s="1"/>
  <c r="AA83" i="11" a="1"/>
  <c r="AA83" i="11" s="1"/>
  <c r="AA69" i="11" a="1"/>
  <c r="AA69" i="11" s="1"/>
  <c r="AA54" i="11" a="1"/>
  <c r="AA54" i="11" s="1"/>
  <c r="AA40" i="11" a="1"/>
  <c r="AA40" i="11" s="1"/>
  <c r="AA26" i="11" a="1"/>
  <c r="AA26" i="11" s="1"/>
  <c r="AA96" i="11" a="1"/>
  <c r="AA96" i="11" s="1"/>
  <c r="AA82" i="11" a="1"/>
  <c r="AA82" i="11" s="1"/>
  <c r="AA68" i="11" a="1"/>
  <c r="AA68" i="11" s="1"/>
  <c r="AA39" i="11" a="1"/>
  <c r="AA39" i="11" s="1"/>
  <c r="AA25" i="11" a="1"/>
  <c r="AA25" i="11" s="1"/>
  <c r="AA11" i="11" a="1"/>
  <c r="AA11" i="11" s="1"/>
  <c r="AA95" i="11" a="1"/>
  <c r="AA95" i="11" s="1"/>
  <c r="AA81" i="11" a="1"/>
  <c r="AA81" i="11" s="1"/>
  <c r="AA67" i="11" a="1"/>
  <c r="AA67" i="11" s="1"/>
  <c r="AA53" i="11" a="1"/>
  <c r="AA53" i="11" s="1"/>
  <c r="AA38" i="11" a="1"/>
  <c r="AA38" i="11" s="1"/>
  <c r="AA24" i="11" a="1"/>
  <c r="AA24" i="11" s="1"/>
  <c r="AA10" i="11" a="1"/>
  <c r="AA10" i="11" s="1"/>
  <c r="AA80" i="11" a="1"/>
  <c r="AA80" i="11" s="1"/>
  <c r="AA66" i="11" a="1"/>
  <c r="AA66" i="11" s="1"/>
  <c r="AA52" i="11" a="1"/>
  <c r="AA52" i="11" s="1"/>
  <c r="AA23" i="11" a="1"/>
  <c r="AA23" i="11" s="1"/>
  <c r="AA9" i="11" a="1"/>
  <c r="AA9" i="11" s="1"/>
  <c r="E303" i="10" a="1"/>
  <c r="E303" i="10" s="1"/>
  <c r="E15" i="10" a="1"/>
  <c r="E15" i="10" s="1"/>
  <c r="D431" i="10" a="1"/>
  <c r="D431" i="10" s="1"/>
  <c r="D684" i="10" a="1"/>
  <c r="D684" i="10" s="1"/>
  <c r="E226" i="10" a="1"/>
  <c r="E226" i="10" s="1"/>
  <c r="D351" i="10" a="1"/>
  <c r="D351" i="10" s="1"/>
  <c r="E732" i="10" a="1"/>
  <c r="E732" i="10" s="1"/>
  <c r="E728" i="10" a="1"/>
  <c r="E728" i="10" s="1"/>
  <c r="D716" i="10" a="1"/>
  <c r="D716" i="10" s="1"/>
  <c r="E33" i="10" a="1"/>
  <c r="E33" i="10" s="1"/>
  <c r="E171" i="10" a="1"/>
  <c r="E171" i="10" s="1"/>
  <c r="D511" i="10" a="1"/>
  <c r="D511" i="10" s="1"/>
  <c r="E730" i="10" a="1"/>
  <c r="E730" i="10" s="1"/>
  <c r="D266" i="10" a="1"/>
  <c r="D266" i="10" s="1"/>
  <c r="E282" i="10" a="1"/>
  <c r="E282" i="10" s="1"/>
  <c r="D410" i="10" a="1"/>
  <c r="D410" i="10" s="1"/>
  <c r="D42" i="10" a="1"/>
  <c r="D42" i="10" s="1"/>
  <c r="E298" i="10" a="1"/>
  <c r="E298" i="10" s="1"/>
  <c r="E426" i="10" a="1"/>
  <c r="E426" i="10" s="1"/>
  <c r="E409" i="10" a="1"/>
  <c r="E409" i="10" s="1"/>
  <c r="E186" i="10" a="1"/>
  <c r="E186" i="10" s="1"/>
  <c r="E10" i="10" a="1"/>
  <c r="E10" i="10" s="1"/>
  <c r="E633" i="10" a="1"/>
  <c r="E633" i="10" s="1"/>
  <c r="E122" i="10" a="1"/>
  <c r="E122" i="10" s="1"/>
  <c r="E218" i="10" a="1"/>
  <c r="E218" i="10" s="1"/>
  <c r="E474" i="10" a="1"/>
  <c r="E474" i="10" s="1"/>
  <c r="D361" i="10" a="1"/>
  <c r="D361" i="10" s="1"/>
  <c r="E265" i="10" a="1"/>
  <c r="E265" i="10" s="1"/>
  <c r="E138" i="10" a="1"/>
  <c r="E138" i="10" s="1"/>
  <c r="E74" i="10" a="1"/>
  <c r="E74" i="10" s="1"/>
  <c r="E473" i="10" a="1"/>
  <c r="E473" i="10" s="1"/>
  <c r="E106" i="10" a="1"/>
  <c r="E106" i="10" s="1"/>
  <c r="E330" i="10" a="1"/>
  <c r="E330" i="10" s="1"/>
  <c r="E378" i="10" a="1"/>
  <c r="E378" i="10" s="1"/>
  <c r="E557" i="10" a="1"/>
  <c r="E557" i="10" s="1"/>
  <c r="E745" i="10" a="1"/>
  <c r="E745" i="10" s="1"/>
  <c r="E689" i="10" a="1"/>
  <c r="E689" i="10" s="1"/>
  <c r="E329" i="10" a="1"/>
  <c r="E329" i="10" s="1"/>
  <c r="E26" i="10" a="1"/>
  <c r="E26" i="10" s="1"/>
  <c r="E346" i="10" a="1"/>
  <c r="E346" i="10" s="1"/>
  <c r="E737" i="10" a="1"/>
  <c r="E737" i="10" s="1"/>
  <c r="E710" i="10" a="1"/>
  <c r="E710" i="10" s="1"/>
  <c r="E680" i="10" a="1"/>
  <c r="E680" i="10" s="1"/>
  <c r="E6" i="10" a="1"/>
  <c r="E6" i="10" s="1"/>
  <c r="E734" i="10" a="1"/>
  <c r="E734" i="10" s="1"/>
  <c r="E275" i="10" a="1"/>
  <c r="E275" i="10" s="1"/>
  <c r="D687" i="10" a="1"/>
  <c r="D687" i="10" s="1"/>
  <c r="E705" i="10" a="1"/>
  <c r="E705" i="10" s="1"/>
  <c r="D719" i="10" a="1"/>
  <c r="D719" i="10" s="1"/>
  <c r="E702" i="10" a="1"/>
  <c r="E702" i="10" s="1"/>
  <c r="E22" i="10" a="1"/>
  <c r="E22" i="10" s="1"/>
  <c r="D483" i="10" a="1"/>
  <c r="D483" i="10" s="1"/>
  <c r="E310" i="10" a="1"/>
  <c r="E310" i="10" s="1"/>
  <c r="E516" i="10" a="1"/>
  <c r="E516" i="10" s="1"/>
  <c r="E718" i="10" a="1"/>
  <c r="E718" i="10" s="1"/>
  <c r="D703" i="10" a="1"/>
  <c r="D703" i="10" s="1"/>
  <c r="E150" i="10" a="1"/>
  <c r="E150" i="10" s="1"/>
  <c r="E697" i="10" a="1"/>
  <c r="E697" i="10" s="1"/>
  <c r="E673" i="10" a="1"/>
  <c r="E673" i="10" s="1"/>
  <c r="D83" i="10" a="1"/>
  <c r="D83" i="10" s="1"/>
  <c r="E715" i="10" a="1"/>
  <c r="E715" i="10" s="1"/>
  <c r="E695" i="10" a="1"/>
  <c r="E695" i="10" s="1"/>
  <c r="D163" i="10" a="1"/>
  <c r="D163" i="10" s="1"/>
  <c r="D627" i="10" a="1"/>
  <c r="D627" i="10" s="1"/>
  <c r="D4" i="10" a="1"/>
  <c r="D4" i="10" s="1"/>
  <c r="D467" i="10" a="1"/>
  <c r="D467" i="10" s="1"/>
  <c r="E35" i="10" a="1"/>
  <c r="E35" i="10" s="1"/>
  <c r="E208" i="10" a="1"/>
  <c r="E208" i="10" s="1"/>
  <c r="E280" i="10" a="1"/>
  <c r="E280" i="10" s="1"/>
  <c r="E563" i="10" a="1"/>
  <c r="E563" i="10" s="1"/>
  <c r="E643" i="10" a="1"/>
  <c r="E643" i="10" s="1"/>
  <c r="D232" i="10" a="1"/>
  <c r="D232" i="10" s="1"/>
  <c r="D451" i="10" a="1"/>
  <c r="D451" i="10" s="1"/>
  <c r="D339" i="10" a="1"/>
  <c r="D339" i="10" s="1"/>
  <c r="D227" i="10" a="1"/>
  <c r="D227" i="10" s="1"/>
  <c r="D67" i="10" a="1"/>
  <c r="D67" i="10" s="1"/>
  <c r="D595" i="10" a="1"/>
  <c r="D595" i="10" s="1"/>
  <c r="E147" i="10" a="1"/>
  <c r="E147" i="10" s="1"/>
  <c r="E547" i="10" a="1"/>
  <c r="E547" i="10" s="1"/>
  <c r="E211" i="10" a="1"/>
  <c r="E211" i="10" s="1"/>
  <c r="D131" i="10" a="1"/>
  <c r="D131" i="10" s="1"/>
  <c r="D307" i="10" a="1"/>
  <c r="D307" i="10" s="1"/>
  <c r="E738" i="10" a="1"/>
  <c r="E738" i="10" s="1"/>
  <c r="E355" i="10" a="1"/>
  <c r="E355" i="10" s="1"/>
  <c r="E419" i="10" a="1"/>
  <c r="E419" i="10" s="1"/>
  <c r="E195" i="10" a="1"/>
  <c r="E195" i="10" s="1"/>
  <c r="E323" i="10" a="1"/>
  <c r="E323" i="10" s="1"/>
  <c r="E435" i="10" a="1"/>
  <c r="E435" i="10" s="1"/>
  <c r="D51" i="10" a="1"/>
  <c r="D51" i="10" s="1"/>
  <c r="E243" i="10" a="1"/>
  <c r="E243" i="10" s="1"/>
  <c r="D403" i="10" a="1"/>
  <c r="D403" i="10" s="1"/>
  <c r="D291" i="10" a="1"/>
  <c r="D291" i="10" s="1"/>
  <c r="E99" i="10" a="1"/>
  <c r="E99" i="10" s="1"/>
  <c r="E19" i="10" a="1"/>
  <c r="E19" i="10" s="1"/>
  <c r="D387" i="10" a="1"/>
  <c r="D387" i="10" s="1"/>
  <c r="E179" i="10" a="1"/>
  <c r="E179" i="10" s="1"/>
  <c r="E371" i="10" a="1"/>
  <c r="E371" i="10" s="1"/>
  <c r="E729" i="10" a="1"/>
  <c r="E729" i="10" s="1"/>
  <c r="E686" i="10" a="1"/>
  <c r="E686" i="10" s="1"/>
  <c r="D735" i="10" a="1"/>
  <c r="D735" i="10" s="1"/>
  <c r="D148" i="10" a="1"/>
  <c r="D148" i="10" s="1"/>
  <c r="D739" i="10" a="1"/>
  <c r="D739" i="10" s="1"/>
  <c r="E132" i="10" a="1"/>
  <c r="E132" i="10" s="1"/>
  <c r="E225" i="10" a="1"/>
  <c r="E225" i="10" s="1"/>
  <c r="E341" i="10" a="1"/>
  <c r="E341" i="10" s="1"/>
  <c r="D276" i="10" a="1"/>
  <c r="D276" i="10" s="1"/>
  <c r="D707" i="10" a="1"/>
  <c r="D707" i="10" s="1"/>
  <c r="E468" i="10" a="1"/>
  <c r="E468" i="10" s="1"/>
  <c r="E308" i="10" a="1"/>
  <c r="E308" i="10" s="1"/>
  <c r="E340" i="10" a="1"/>
  <c r="E340" i="10" s="1"/>
  <c r="E452" i="10" a="1"/>
  <c r="E452" i="10" s="1"/>
  <c r="E601" i="10" a="1"/>
  <c r="E601" i="10" s="1"/>
  <c r="E388" i="10" a="1"/>
  <c r="E388" i="10" s="1"/>
  <c r="E596" i="10" a="1"/>
  <c r="E596" i="10" s="1"/>
  <c r="D260" i="10" a="1"/>
  <c r="D260" i="10" s="1"/>
  <c r="E196" i="10" a="1"/>
  <c r="E196" i="10" s="1"/>
  <c r="E84" i="10" a="1"/>
  <c r="E84" i="10" s="1"/>
  <c r="E164" i="10" a="1"/>
  <c r="E164" i="10" s="1"/>
  <c r="D324" i="10" a="1"/>
  <c r="D324" i="10" s="1"/>
  <c r="D675" i="10" a="1"/>
  <c r="D675" i="10" s="1"/>
  <c r="D723" i="10" a="1"/>
  <c r="D723" i="10" s="1"/>
  <c r="E116" i="10" a="1"/>
  <c r="E116" i="10" s="1"/>
  <c r="E292" i="10" a="1"/>
  <c r="E292" i="10" s="1"/>
  <c r="E585" i="10" a="1"/>
  <c r="E585" i="10" s="1"/>
  <c r="E100" i="10" a="1"/>
  <c r="E100" i="10" s="1"/>
  <c r="D244" i="10" a="1"/>
  <c r="D244" i="10" s="1"/>
  <c r="E181" i="10" a="1"/>
  <c r="E181" i="10" s="1"/>
  <c r="E377" i="10" a="1"/>
  <c r="E377" i="10" s="1"/>
  <c r="E553" i="10" a="1"/>
  <c r="E553" i="10" s="1"/>
  <c r="E579" i="10" a="1"/>
  <c r="E579" i="10" s="1"/>
  <c r="D537" i="10" a="1"/>
  <c r="D537" i="10" s="1"/>
  <c r="E691" i="10" a="1"/>
  <c r="E691" i="10" s="1"/>
  <c r="E180" i="10" a="1"/>
  <c r="E180" i="10" s="1"/>
  <c r="E372" i="10" a="1"/>
  <c r="E372" i="10" s="1"/>
  <c r="D68" i="10" a="1"/>
  <c r="D68" i="10" s="1"/>
  <c r="E404" i="10" a="1"/>
  <c r="E404" i="10" s="1"/>
  <c r="E52" i="10" a="1"/>
  <c r="E52" i="10" s="1"/>
  <c r="D36" i="10" a="1"/>
  <c r="D36" i="10" s="1"/>
  <c r="E212" i="10" a="1"/>
  <c r="E212" i="10" s="1"/>
  <c r="E532" i="10" a="1"/>
  <c r="E532" i="10" s="1"/>
  <c r="E233" i="10" a="1"/>
  <c r="E233" i="10" s="1"/>
  <c r="E362" i="10" a="1"/>
  <c r="E362" i="10" s="1"/>
  <c r="E500" i="10" a="1"/>
  <c r="E500" i="10" s="1"/>
  <c r="E531" i="10" a="1"/>
  <c r="E531" i="10" s="1"/>
  <c r="E649" i="10" a="1"/>
  <c r="E649" i="10" s="1"/>
  <c r="D659" i="10" a="1"/>
  <c r="D659" i="10" s="1"/>
  <c r="D499" i="10" a="1"/>
  <c r="D499" i="10" s="1"/>
  <c r="E736" i="10" a="1"/>
  <c r="E736" i="10" s="1"/>
  <c r="E721" i="10" a="1"/>
  <c r="E721" i="10" s="1"/>
  <c r="E704" i="10" a="1"/>
  <c r="E704" i="10" s="1"/>
  <c r="E688" i="10" a="1"/>
  <c r="E688" i="10" s="1"/>
  <c r="E228" i="10" a="1"/>
  <c r="E228" i="10" s="1"/>
  <c r="E720" i="10" a="1"/>
  <c r="E720" i="10" s="1"/>
  <c r="E436" i="10" a="1"/>
  <c r="E436" i="10" s="1"/>
  <c r="D548" i="10" a="1"/>
  <c r="D548" i="10" s="1"/>
  <c r="D356" i="10" a="1"/>
  <c r="D356" i="10" s="1"/>
  <c r="D420" i="10" a="1"/>
  <c r="D420" i="10" s="1"/>
  <c r="D484" i="10" a="1"/>
  <c r="D484" i="10" s="1"/>
  <c r="D740" i="10" a="1"/>
  <c r="D740" i="10" s="1"/>
  <c r="D724" i="10" a="1"/>
  <c r="D724" i="10" s="1"/>
  <c r="D708" i="10" a="1"/>
  <c r="D708" i="10" s="1"/>
  <c r="D692" i="10" a="1"/>
  <c r="D692" i="10" s="1"/>
  <c r="D676" i="10" a="1"/>
  <c r="D676" i="10" s="1"/>
  <c r="E78" i="10" a="1"/>
  <c r="E78" i="10" s="1"/>
  <c r="E158" i="10" a="1"/>
  <c r="E158" i="10" s="1"/>
  <c r="E554" i="10" a="1"/>
  <c r="E554" i="10" s="1"/>
  <c r="E678" i="10" a="1"/>
  <c r="E678" i="10" s="1"/>
  <c r="E46" i="10" a="1"/>
  <c r="E46" i="10" s="1"/>
  <c r="E14" i="10" a="1"/>
  <c r="E14" i="10" s="1"/>
  <c r="E506" i="10" a="1"/>
  <c r="E506" i="10" s="1"/>
  <c r="E94" i="10" a="1"/>
  <c r="E94" i="10" s="1"/>
  <c r="E62" i="10" a="1"/>
  <c r="E62" i="10" s="1"/>
  <c r="E570" i="10" a="1"/>
  <c r="E570" i="10" s="1"/>
  <c r="D509" i="10" a="1"/>
  <c r="D509" i="10" s="1"/>
  <c r="E230" i="10" a="1"/>
  <c r="E230" i="10" s="1"/>
  <c r="E438" i="10" a="1"/>
  <c r="E438" i="10" s="1"/>
  <c r="E262" i="10" a="1"/>
  <c r="E262" i="10" s="1"/>
  <c r="E318" i="10" a="1"/>
  <c r="E318" i="10" s="1"/>
  <c r="E278" i="10" a="1"/>
  <c r="E278" i="10" s="1"/>
  <c r="D374" i="10" a="1"/>
  <c r="D374" i="10" s="1"/>
  <c r="E190" i="10" a="1"/>
  <c r="E190" i="10" s="1"/>
  <c r="E414" i="10" a="1"/>
  <c r="E414" i="10" s="1"/>
  <c r="E302" i="10" a="1"/>
  <c r="E302" i="10" s="1"/>
  <c r="E142" i="10" a="1"/>
  <c r="E142" i="10" s="1"/>
  <c r="E334" i="10" a="1"/>
  <c r="E334" i="10" s="1"/>
  <c r="D326" i="10" a="1"/>
  <c r="D326" i="10" s="1"/>
  <c r="E622" i="10" a="1"/>
  <c r="E622" i="10" s="1"/>
  <c r="D590" i="10" a="1"/>
  <c r="D590" i="10" s="1"/>
  <c r="D582" i="10" a="1"/>
  <c r="D582" i="10" s="1"/>
  <c r="D568" i="10" a="1"/>
  <c r="D568" i="10" s="1"/>
  <c r="E168" i="10" a="1"/>
  <c r="E168" i="10" s="1"/>
  <c r="E126" i="10" a="1"/>
  <c r="E126" i="10" s="1"/>
  <c r="E202" i="10" a="1"/>
  <c r="E202" i="10" s="1"/>
  <c r="E269" i="10" a="1"/>
  <c r="E269" i="10" s="1"/>
  <c r="E231" i="10" a="1"/>
  <c r="E231" i="10" s="1"/>
  <c r="E331" i="10" a="1"/>
  <c r="E331" i="10" s="1"/>
  <c r="E395" i="10" a="1"/>
  <c r="E395" i="10" s="1"/>
  <c r="E457" i="10" a="1"/>
  <c r="E457" i="10" s="1"/>
  <c r="D381" i="10" a="1"/>
  <c r="D381" i="10" s="1"/>
  <c r="E536" i="10" a="1"/>
  <c r="E536" i="10" s="1"/>
  <c r="E312" i="10" a="1"/>
  <c r="E312" i="10" s="1"/>
  <c r="E632" i="10" a="1"/>
  <c r="E632" i="10" s="1"/>
  <c r="E216" i="10" a="1"/>
  <c r="E216" i="10" s="1"/>
  <c r="E104" i="10" a="1"/>
  <c r="E104" i="10" s="1"/>
  <c r="D72" i="10" a="1"/>
  <c r="D72" i="10" s="1"/>
  <c r="E413" i="10" a="1"/>
  <c r="E413" i="10" s="1"/>
  <c r="E440" i="10" a="1"/>
  <c r="E440" i="10" s="1"/>
  <c r="E525" i="10" a="1"/>
  <c r="E525" i="10" s="1"/>
  <c r="E200" i="10" a="1"/>
  <c r="E200" i="10" s="1"/>
  <c r="D630" i="10" a="1"/>
  <c r="D630" i="10" s="1"/>
  <c r="D472" i="10" a="1"/>
  <c r="D472" i="10" s="1"/>
  <c r="E40" i="10" a="1"/>
  <c r="E40" i="10" s="1"/>
  <c r="E376" i="10" a="1"/>
  <c r="E376" i="10" s="1"/>
  <c r="D456" i="10" a="1"/>
  <c r="D456" i="10" s="1"/>
  <c r="D264" i="10" a="1"/>
  <c r="D264" i="10" s="1"/>
  <c r="E152" i="10" a="1"/>
  <c r="E152" i="10" s="1"/>
  <c r="E120" i="10" a="1"/>
  <c r="E120" i="10" s="1"/>
  <c r="E520" i="10" a="1"/>
  <c r="E520" i="10" s="1"/>
  <c r="D392" i="10" a="1"/>
  <c r="D392" i="10" s="1"/>
  <c r="E360" i="10" a="1"/>
  <c r="E360" i="10" s="1"/>
  <c r="E461" i="10" a="1"/>
  <c r="E461" i="10" s="1"/>
  <c r="E665" i="10" a="1"/>
  <c r="E665" i="10" s="1"/>
  <c r="D611" i="10" a="1"/>
  <c r="D611" i="10" s="1"/>
  <c r="E8" i="10" a="1"/>
  <c r="E8" i="10" s="1"/>
  <c r="E88" i="10" a="1"/>
  <c r="E88" i="10" s="1"/>
  <c r="E664" i="10" a="1"/>
  <c r="E664" i="10" s="1"/>
  <c r="D56" i="10" a="1"/>
  <c r="D56" i="10" s="1"/>
  <c r="D136" i="10" a="1"/>
  <c r="D136" i="10" s="1"/>
  <c r="E328" i="10" a="1"/>
  <c r="E328" i="10" s="1"/>
  <c r="E296" i="10" a="1"/>
  <c r="E296" i="10" s="1"/>
  <c r="E184" i="10" a="1"/>
  <c r="E184" i="10" s="1"/>
  <c r="D584" i="10" a="1"/>
  <c r="D584" i="10" s="1"/>
  <c r="E344" i="10" a="1"/>
  <c r="E344" i="10" s="1"/>
  <c r="E504" i="10" a="1"/>
  <c r="E504" i="10" s="1"/>
  <c r="E648" i="10" a="1"/>
  <c r="E648" i="10" s="1"/>
  <c r="E600" i="10" a="1"/>
  <c r="E600" i="10" s="1"/>
  <c r="D429" i="10" a="1"/>
  <c r="D429" i="10" s="1"/>
  <c r="E653" i="10" a="1"/>
  <c r="E653" i="10" s="1"/>
  <c r="D469" i="10" a="1"/>
  <c r="D469" i="10" s="1"/>
  <c r="D589" i="10" a="1"/>
  <c r="D589" i="10" s="1"/>
  <c r="E325" i="10" a="1"/>
  <c r="E325" i="10" s="1"/>
  <c r="E21" i="10" a="1"/>
  <c r="E21" i="10" s="1"/>
  <c r="E165" i="10" a="1"/>
  <c r="E165" i="10" s="1"/>
  <c r="E133" i="10" a="1"/>
  <c r="E133" i="10" s="1"/>
  <c r="E250" i="10" a="1"/>
  <c r="E250" i="10" s="1"/>
  <c r="E285" i="10" a="1"/>
  <c r="E285" i="10" s="1"/>
  <c r="E393" i="10" a="1"/>
  <c r="E393" i="10" s="1"/>
  <c r="E347" i="10" a="1"/>
  <c r="E347" i="10" s="1"/>
  <c r="E425" i="10" a="1"/>
  <c r="E425" i="10" s="1"/>
  <c r="E564" i="10" a="1"/>
  <c r="E564" i="10" s="1"/>
  <c r="E515" i="10" a="1"/>
  <c r="E515" i="10" s="1"/>
  <c r="E569" i="10" a="1"/>
  <c r="E569" i="10" s="1"/>
  <c r="E309" i="10" a="1"/>
  <c r="E309" i="10" s="1"/>
  <c r="D363" i="10" a="1"/>
  <c r="D363" i="10" s="1"/>
  <c r="D246" i="10" a="1"/>
  <c r="D246" i="10" s="1"/>
  <c r="D141" i="10" a="1"/>
  <c r="D141" i="10" s="1"/>
  <c r="E605" i="10" a="1"/>
  <c r="E605" i="10" s="1"/>
  <c r="D541" i="10" a="1"/>
  <c r="D541" i="10" s="1"/>
  <c r="D343" i="10" a="1"/>
  <c r="D343" i="10" s="1"/>
  <c r="E327" i="10" a="1"/>
  <c r="E327" i="10" s="1"/>
  <c r="E375" i="10" a="1"/>
  <c r="E375" i="10" s="1"/>
  <c r="E486" i="10" a="1"/>
  <c r="E486" i="10" s="1"/>
  <c r="E646" i="10" a="1"/>
  <c r="E646" i="10" s="1"/>
  <c r="E86" i="10" a="1"/>
  <c r="E86" i="10" s="1"/>
  <c r="D628" i="10" a="1"/>
  <c r="D628" i="10" s="1"/>
  <c r="D422" i="10" a="1"/>
  <c r="D422" i="10" s="1"/>
  <c r="D182" i="10" a="1"/>
  <c r="D182" i="10" s="1"/>
  <c r="E103" i="10" a="1"/>
  <c r="E103" i="10" s="1"/>
  <c r="E119" i="10" a="1"/>
  <c r="E119" i="10" s="1"/>
  <c r="E247" i="10" a="1"/>
  <c r="E247" i="10" s="1"/>
  <c r="D571" i="10" a="1"/>
  <c r="D571" i="10" s="1"/>
  <c r="D518" i="10" a="1"/>
  <c r="D518" i="10" s="1"/>
  <c r="D471" i="10" a="1"/>
  <c r="D471" i="10" s="1"/>
  <c r="D135" i="10" a="1"/>
  <c r="D135" i="10" s="1"/>
  <c r="E102" i="10" a="1"/>
  <c r="E102" i="10" s="1"/>
  <c r="E167" i="10" a="1"/>
  <c r="E167" i="10" s="1"/>
  <c r="E118" i="10" a="1"/>
  <c r="E118" i="10" s="1"/>
  <c r="E198" i="10" a="1"/>
  <c r="E198" i="10" s="1"/>
  <c r="E294" i="10" a="1"/>
  <c r="E294" i="10" s="1"/>
  <c r="E407" i="10" a="1"/>
  <c r="E407" i="10" s="1"/>
  <c r="E342" i="10" a="1"/>
  <c r="E342" i="10" s="1"/>
  <c r="E427" i="10" a="1"/>
  <c r="E427" i="10" s="1"/>
  <c r="E619" i="10" a="1"/>
  <c r="E619" i="10" s="1"/>
  <c r="D315" i="10" a="1"/>
  <c r="D315" i="10" s="1"/>
  <c r="D215" i="10" a="1"/>
  <c r="D215" i="10" s="1"/>
  <c r="E583" i="10" a="1"/>
  <c r="E583" i="10" s="1"/>
  <c r="E459" i="10" a="1"/>
  <c r="E459" i="10" s="1"/>
  <c r="E615" i="10" a="1"/>
  <c r="E615" i="10" s="1"/>
  <c r="D614" i="10" a="1"/>
  <c r="D614" i="10" s="1"/>
  <c r="D507" i="10" a="1"/>
  <c r="D507" i="10" s="1"/>
  <c r="AL13" i="12" a="1"/>
  <c r="AL13" i="12" s="1"/>
  <c r="E406" i="10" a="1"/>
  <c r="E406" i="10" s="1"/>
  <c r="E539" i="10" a="1"/>
  <c r="E539" i="10" s="1"/>
  <c r="D412" i="10" a="1"/>
  <c r="D412" i="10" s="1"/>
  <c r="D358" i="10" a="1"/>
  <c r="D358" i="10" s="1"/>
  <c r="E55" i="10" a="1"/>
  <c r="E55" i="10" s="1"/>
  <c r="E70" i="10" a="1"/>
  <c r="E70" i="10" s="1"/>
  <c r="E364" i="10" a="1"/>
  <c r="E364" i="10" s="1"/>
  <c r="E38" i="10" a="1"/>
  <c r="E38" i="10" s="1"/>
  <c r="E535" i="10" a="1"/>
  <c r="E535" i="10" s="1"/>
  <c r="E54" i="10" a="1"/>
  <c r="E54" i="10" s="1"/>
  <c r="E235" i="10" a="1"/>
  <c r="E235" i="10" s="1"/>
  <c r="E283" i="10" a="1"/>
  <c r="E283" i="10" s="1"/>
  <c r="E534" i="10" a="1"/>
  <c r="E534" i="10" s="1"/>
  <c r="E566" i="10" a="1"/>
  <c r="E566" i="10" s="1"/>
  <c r="D669" i="10" a="1"/>
  <c r="D669" i="10" s="1"/>
  <c r="D552" i="10" a="1"/>
  <c r="D552" i="10" s="1"/>
  <c r="D502" i="10" a="1"/>
  <c r="D502" i="10" s="1"/>
  <c r="D454" i="10" a="1"/>
  <c r="D454" i="10" s="1"/>
  <c r="D259" i="10" a="1"/>
  <c r="D259" i="10" s="1"/>
  <c r="D423" i="10" a="1"/>
  <c r="D423" i="10" s="1"/>
  <c r="E166" i="10" a="1"/>
  <c r="E166" i="10" s="1"/>
  <c r="E134" i="10" a="1"/>
  <c r="E134" i="10" s="1"/>
  <c r="E214" i="10" a="1"/>
  <c r="E214" i="10" s="1"/>
  <c r="D667" i="10" a="1"/>
  <c r="D667" i="10" s="1"/>
  <c r="D599" i="10" a="1"/>
  <c r="D599" i="10" s="1"/>
  <c r="E263" i="10" a="1"/>
  <c r="E263" i="10" s="1"/>
  <c r="D487" i="10" a="1"/>
  <c r="D487" i="10" s="1"/>
  <c r="E359" i="10" a="1"/>
  <c r="E359" i="10" s="1"/>
  <c r="D644" i="10" a="1"/>
  <c r="D644" i="10" s="1"/>
  <c r="D71" i="10" a="1"/>
  <c r="D71" i="10" s="1"/>
  <c r="E503" i="10" a="1"/>
  <c r="E503" i="10" s="1"/>
  <c r="E151" i="10" a="1"/>
  <c r="E151" i="10" s="1"/>
  <c r="E439" i="10" a="1"/>
  <c r="E439" i="10" s="1"/>
  <c r="E651" i="10" a="1"/>
  <c r="E651" i="10" s="1"/>
  <c r="D587" i="10" a="1"/>
  <c r="D587" i="10" s="1"/>
  <c r="E279" i="10" a="1"/>
  <c r="E279" i="10" s="1"/>
  <c r="E555" i="10" a="1"/>
  <c r="E555" i="10" s="1"/>
  <c r="E523" i="10" a="1"/>
  <c r="E523" i="10" s="1"/>
  <c r="E602" i="10" a="1"/>
  <c r="E602" i="10" s="1"/>
  <c r="D612" i="10" a="1"/>
  <c r="D612" i="10" s="1"/>
  <c r="D573" i="10" a="1"/>
  <c r="D573" i="10" s="1"/>
  <c r="E391" i="10" a="1"/>
  <c r="E391" i="10" s="1"/>
  <c r="E455" i="10" a="1"/>
  <c r="E455" i="10" s="1"/>
  <c r="E567" i="10" a="1"/>
  <c r="E567" i="10" s="1"/>
  <c r="D647" i="10" a="1"/>
  <c r="D647" i="10" s="1"/>
  <c r="D603" i="10" a="1"/>
  <c r="D603" i="10" s="1"/>
  <c r="E551" i="10" a="1"/>
  <c r="E551" i="10" s="1"/>
  <c r="E519" i="10" a="1"/>
  <c r="E519" i="10" s="1"/>
  <c r="E637" i="10" a="1"/>
  <c r="E637" i="10" s="1"/>
  <c r="D311" i="10" a="1"/>
  <c r="D311" i="10" s="1"/>
  <c r="E631" i="10" a="1"/>
  <c r="E631" i="10" s="1"/>
  <c r="E349" i="10" a="1"/>
  <c r="E349" i="10" s="1"/>
  <c r="E663" i="10" a="1"/>
  <c r="E663" i="10" s="1"/>
  <c r="E629" i="10" a="1"/>
  <c r="E629" i="10" s="1"/>
  <c r="D183" i="10" a="1"/>
  <c r="D183" i="10" s="1"/>
  <c r="E23" i="10" a="1"/>
  <c r="E23" i="10" s="1"/>
  <c r="E332" i="10" a="1"/>
  <c r="E332" i="10" s="1"/>
  <c r="E365" i="10" a="1"/>
  <c r="E365" i="10" s="1"/>
  <c r="D660" i="10" a="1"/>
  <c r="D660" i="10" s="1"/>
  <c r="D538" i="10" a="1"/>
  <c r="D538" i="10" s="1"/>
  <c r="E597" i="10" a="1"/>
  <c r="E597" i="10" s="1"/>
  <c r="D277" i="10" a="1"/>
  <c r="D277" i="10" s="1"/>
  <c r="E581" i="10" a="1"/>
  <c r="E581" i="10" s="1"/>
  <c r="D661" i="10" a="1"/>
  <c r="D661" i="10" s="1"/>
  <c r="D453" i="10" a="1"/>
  <c r="D453" i="10" s="1"/>
  <c r="E650" i="10" a="1"/>
  <c r="E650" i="10" s="1"/>
  <c r="E565" i="10" a="1"/>
  <c r="E565" i="10" s="1"/>
  <c r="E213" i="10" a="1"/>
  <c r="E213" i="10" s="1"/>
  <c r="E234" i="10" a="1"/>
  <c r="E234" i="10" s="1"/>
  <c r="E437" i="10" a="1"/>
  <c r="E437" i="10" s="1"/>
  <c r="D616" i="10" a="1"/>
  <c r="D616" i="10" s="1"/>
  <c r="D477" i="10" a="1"/>
  <c r="D477" i="10" s="1"/>
  <c r="D445" i="10" a="1"/>
  <c r="D445" i="10" s="1"/>
  <c r="E421" i="10" a="1"/>
  <c r="E421" i="10" s="1"/>
  <c r="E405" i="10" a="1"/>
  <c r="E405" i="10" s="1"/>
  <c r="D442" i="10" a="1"/>
  <c r="D442" i="10" s="1"/>
  <c r="D197" i="10" a="1"/>
  <c r="D197" i="10" s="1"/>
  <c r="E373" i="10" a="1"/>
  <c r="E373" i="10" s="1"/>
  <c r="D293" i="10" a="1"/>
  <c r="D293" i="10" s="1"/>
  <c r="E666" i="10" a="1"/>
  <c r="E666" i="10" s="1"/>
  <c r="D261" i="10" a="1"/>
  <c r="D261" i="10" s="1"/>
  <c r="AK20" i="13" a="1"/>
  <c r="AK20" i="13" s="1"/>
  <c r="D149" i="10" a="1"/>
  <c r="D149" i="10" s="1"/>
  <c r="E394" i="10" a="1"/>
  <c r="E394" i="10" s="1"/>
  <c r="D501" i="10" a="1"/>
  <c r="D501" i="10" s="1"/>
  <c r="E618" i="10" a="1"/>
  <c r="E618" i="10" s="1"/>
  <c r="E586" i="10" a="1"/>
  <c r="E586" i="10" s="1"/>
  <c r="E458" i="10" a="1"/>
  <c r="E458" i="10" s="1"/>
  <c r="E662" i="10" a="1"/>
  <c r="E662" i="10" s="1"/>
  <c r="D635" i="10" a="1"/>
  <c r="D635" i="10" s="1"/>
  <c r="D533" i="10" a="1"/>
  <c r="D533" i="10" s="1"/>
  <c r="D620" i="10" a="1"/>
  <c r="D620" i="10" s="1"/>
  <c r="D204" i="10" a="1"/>
  <c r="D204" i="10" s="1"/>
  <c r="AK22" i="13" a="1"/>
  <c r="AK22" i="13" s="1"/>
  <c r="E549" i="10" a="1"/>
  <c r="E549" i="10" s="1"/>
  <c r="D314" i="10" a="1"/>
  <c r="D314" i="10" s="1"/>
  <c r="AL30" i="13" a="1"/>
  <c r="AL30" i="13" s="1"/>
  <c r="E493" i="10" a="1"/>
  <c r="E493" i="10" s="1"/>
  <c r="D634" i="10" a="1"/>
  <c r="D634" i="10" s="1"/>
  <c r="D522" i="10" a="1"/>
  <c r="D522" i="10" s="1"/>
  <c r="D491" i="10" a="1"/>
  <c r="D491" i="10" s="1"/>
  <c r="E13" i="10" a="1"/>
  <c r="E13" i="10" s="1"/>
  <c r="E101" i="10" a="1"/>
  <c r="E101" i="10" s="1"/>
  <c r="E76" i="10" a="1"/>
  <c r="E76" i="10" s="1"/>
  <c r="E170" i="10" a="1"/>
  <c r="E170" i="10" s="1"/>
  <c r="E408" i="10" a="1"/>
  <c r="E408" i="10" s="1"/>
  <c r="E424" i="10" a="1"/>
  <c r="E424" i="10" s="1"/>
  <c r="E598" i="10" a="1"/>
  <c r="E598" i="10" s="1"/>
  <c r="E517" i="10" a="1"/>
  <c r="E517" i="10" s="1"/>
  <c r="D580" i="10" a="1"/>
  <c r="D580" i="10" s="1"/>
  <c r="D550" i="10" a="1"/>
  <c r="D550" i="10" s="1"/>
  <c r="P79" i="11" a="1"/>
  <c r="P79" i="11" s="1"/>
  <c r="E490" i="10" a="1"/>
  <c r="E490" i="10" s="1"/>
  <c r="D396" i="10" a="1"/>
  <c r="D396" i="10" s="1"/>
  <c r="D300" i="10" a="1"/>
  <c r="D300" i="10" s="1"/>
  <c r="E382" i="10" a="1"/>
  <c r="E382" i="10" s="1"/>
  <c r="E430" i="10" a="1"/>
  <c r="E430" i="10" s="1"/>
  <c r="D254" i="10" a="1"/>
  <c r="D254" i="10" s="1"/>
  <c r="AL12" i="12" a="1"/>
  <c r="AL12" i="12" s="1"/>
  <c r="AL28" i="13" a="1"/>
  <c r="AL28" i="13" s="1"/>
  <c r="E286" i="10" a="1"/>
  <c r="E286" i="10" s="1"/>
  <c r="E638" i="10" a="1"/>
  <c r="E638" i="10" s="1"/>
  <c r="D606" i="10" a="1"/>
  <c r="D606" i="10" s="1"/>
  <c r="D526" i="10" a="1"/>
  <c r="D526" i="10" s="1"/>
  <c r="O69" i="11" a="1"/>
  <c r="O69" i="11" s="1"/>
  <c r="E494" i="10" a="1"/>
  <c r="E494" i="10" s="1"/>
  <c r="D652" i="10" a="1"/>
  <c r="D652" i="10" s="1"/>
  <c r="E350" i="10" a="1"/>
  <c r="E350" i="10" s="1"/>
  <c r="E542" i="10" a="1"/>
  <c r="E542" i="10" s="1"/>
  <c r="E574" i="10" a="1"/>
  <c r="E574" i="10" s="1"/>
  <c r="E270" i="10" a="1"/>
  <c r="E270" i="10" s="1"/>
  <c r="Z7" i="13" a="1"/>
  <c r="Z7" i="13" s="1"/>
  <c r="E446" i="10" a="1"/>
  <c r="E446" i="10" s="1"/>
  <c r="E654" i="10" a="1"/>
  <c r="E654" i="10" s="1"/>
  <c r="AK34" i="13" a="1"/>
  <c r="AK34" i="13" s="1"/>
  <c r="E462" i="10" a="1"/>
  <c r="E462" i="10" s="1"/>
  <c r="D206" i="10" a="1"/>
  <c r="D206" i="10" s="1"/>
  <c r="E238" i="10" a="1"/>
  <c r="E238" i="10" s="1"/>
  <c r="AK10" i="13" a="1"/>
  <c r="AK10" i="13" s="1"/>
  <c r="AL42" i="13" a="1"/>
  <c r="AL42" i="13" s="1"/>
  <c r="AL38" i="13" a="1"/>
  <c r="AL38" i="13" s="1"/>
  <c r="AL42" i="12" a="1"/>
  <c r="AL42" i="12" s="1"/>
  <c r="AL36" i="13" a="1"/>
  <c r="AL36" i="13" s="1"/>
  <c r="D366" i="10" a="1"/>
  <c r="D366" i="10" s="1"/>
  <c r="E478" i="10" a="1"/>
  <c r="E478" i="10" s="1"/>
  <c r="E670" i="10" a="1"/>
  <c r="E670" i="10" s="1"/>
  <c r="D558" i="10" a="1"/>
  <c r="D558" i="10" s="1"/>
  <c r="E3" i="10" a="1"/>
  <c r="E3" i="10" s="1"/>
  <c r="AL28" i="12" a="1"/>
  <c r="AL28" i="12" s="1"/>
  <c r="AL35" i="13" a="1"/>
  <c r="AL35" i="13" s="1"/>
  <c r="E44" i="10" a="1"/>
  <c r="E44" i="10" s="1"/>
  <c r="E220" i="10" a="1"/>
  <c r="E220" i="10" s="1"/>
  <c r="D268" i="10" a="1"/>
  <c r="D268" i="10" s="1"/>
  <c r="AL40" i="12" a="1"/>
  <c r="AL40" i="12" s="1"/>
  <c r="AK21" i="13" a="1"/>
  <c r="AK21" i="13" s="1"/>
  <c r="AL29" i="13" a="1"/>
  <c r="AL29" i="13" s="1"/>
  <c r="E140" i="10" a="1"/>
  <c r="E140" i="10" s="1"/>
  <c r="E236" i="10" a="1"/>
  <c r="E236" i="10" s="1"/>
  <c r="E556" i="10" a="1"/>
  <c r="E556" i="10" s="1"/>
  <c r="AL34" i="12" a="1"/>
  <c r="AL34" i="12" s="1"/>
  <c r="E428" i="10" a="1"/>
  <c r="E428" i="10" s="1"/>
  <c r="AL32" i="12" a="1"/>
  <c r="AL32" i="12" s="1"/>
  <c r="AK15" i="13" a="1"/>
  <c r="AK15" i="13" s="1"/>
  <c r="AL23" i="13" a="1"/>
  <c r="AL23" i="13" s="1"/>
  <c r="E572" i="10" a="1"/>
  <c r="E572" i="10" s="1"/>
  <c r="E636" i="10" a="1"/>
  <c r="E636" i="10" s="1"/>
  <c r="D476" i="10" a="1"/>
  <c r="D476" i="10" s="1"/>
  <c r="AK46" i="13" a="1"/>
  <c r="AK46" i="13" s="1"/>
  <c r="E348" i="10" a="1"/>
  <c r="E348" i="10" s="1"/>
  <c r="D380" i="10" a="1"/>
  <c r="D380" i="10" s="1"/>
  <c r="AL26" i="12" a="1"/>
  <c r="AL26" i="12" s="1"/>
  <c r="AK44" i="13" a="1"/>
  <c r="AK44" i="13" s="1"/>
  <c r="AK14" i="13" a="1"/>
  <c r="AK14" i="13" s="1"/>
  <c r="AL24" i="12" a="1"/>
  <c r="AL24" i="12" s="1"/>
  <c r="AK12" i="13" a="1"/>
  <c r="AK12" i="13" s="1"/>
  <c r="D524" i="10" a="1"/>
  <c r="D524" i="10" s="1"/>
  <c r="E252" i="10" a="1"/>
  <c r="E252" i="10" s="1"/>
  <c r="D284" i="10" a="1"/>
  <c r="D284" i="10" s="1"/>
  <c r="AL18" i="12" a="1"/>
  <c r="AL18" i="12" s="1"/>
  <c r="AK37" i="13" a="1"/>
  <c r="AK37" i="13" s="1"/>
  <c r="E316" i="10" a="1"/>
  <c r="E316" i="10" s="1"/>
  <c r="E444" i="10" a="1"/>
  <c r="E444" i="10" s="1"/>
  <c r="E492" i="10" a="1"/>
  <c r="E492" i="10" s="1"/>
  <c r="D540" i="10" a="1"/>
  <c r="D540" i="10" s="1"/>
  <c r="D108" i="10" a="1"/>
  <c r="D108" i="10" s="1"/>
  <c r="AL16" i="12" a="1"/>
  <c r="AL16" i="12" s="1"/>
  <c r="Z18" i="13" a="1"/>
  <c r="Z18" i="13" s="1"/>
  <c r="AL9" i="13" a="1"/>
  <c r="AL9" i="13" s="1"/>
  <c r="D588" i="10" a="1"/>
  <c r="D588" i="10" s="1"/>
  <c r="E60" i="10" a="1"/>
  <c r="E60" i="10" s="1"/>
  <c r="E156" i="10" a="1"/>
  <c r="E156" i="10" s="1"/>
  <c r="D470" i="10" a="1"/>
  <c r="D470" i="10" s="1"/>
  <c r="D398" i="10" a="1"/>
  <c r="D398" i="10" s="1"/>
  <c r="D66" i="11" a="1"/>
  <c r="D66" i="11" s="1"/>
  <c r="AL10" i="12" a="1"/>
  <c r="AL10" i="12" s="1"/>
  <c r="AL8" i="12" a="1"/>
  <c r="AL8" i="12" s="1"/>
  <c r="E188" i="10" a="1"/>
  <c r="E188" i="10" s="1"/>
  <c r="E460" i="10" a="1"/>
  <c r="E460" i="10" s="1"/>
  <c r="E668" i="10" a="1"/>
  <c r="E668" i="10" s="1"/>
  <c r="D510" i="10" a="1"/>
  <c r="D510" i="10" s="1"/>
  <c r="D488" i="10" a="1"/>
  <c r="D488" i="10" s="1"/>
  <c r="D124" i="10" a="1"/>
  <c r="D124" i="10" s="1"/>
  <c r="P78" i="11" a="1"/>
  <c r="P78" i="11" s="1"/>
  <c r="AA7" i="12" a="1"/>
  <c r="AA7" i="12" s="1"/>
  <c r="AK26" i="13" a="1"/>
  <c r="AK26" i="13" s="1"/>
  <c r="D70" i="11" a="1"/>
  <c r="D70" i="11" s="1"/>
  <c r="P71" i="11" a="1"/>
  <c r="P71" i="11" s="1"/>
  <c r="E92" i="10" a="1"/>
  <c r="E92" i="10" s="1"/>
  <c r="E604" i="10" a="1"/>
  <c r="E604" i="10" s="1"/>
  <c r="D508" i="10" a="1"/>
  <c r="D508" i="10" s="1"/>
  <c r="AL44" i="12" a="1"/>
  <c r="AL44" i="12" s="1"/>
  <c r="AK24" i="13" a="1"/>
  <c r="AK24" i="13" s="1"/>
  <c r="E390" i="10" a="1"/>
  <c r="E390" i="10" s="1"/>
  <c r="E485" i="10" a="1"/>
  <c r="E485" i="10" s="1"/>
  <c r="E229" i="10" a="1"/>
  <c r="E229" i="10" s="1"/>
  <c r="D613" i="10" a="1"/>
  <c r="D613" i="10" s="1"/>
  <c r="D357" i="10" a="1"/>
  <c r="D357" i="10" s="1"/>
  <c r="AL33" i="12" a="1"/>
  <c r="AL33" i="12" s="1"/>
  <c r="AL17" i="12" a="1"/>
  <c r="AL17" i="12" s="1"/>
  <c r="D18" i="12" a="1"/>
  <c r="D18" i="12" s="1"/>
  <c r="AL8" i="13" a="1"/>
  <c r="AL8" i="13" s="1"/>
  <c r="E16" i="12" a="1"/>
  <c r="E16" i="12" s="1"/>
  <c r="AL7" i="13" a="1"/>
  <c r="AL7" i="13" s="1"/>
  <c r="AL31" i="12" a="1"/>
  <c r="AL31" i="12" s="1"/>
  <c r="AL15" i="12" a="1"/>
  <c r="AL15" i="12" s="1"/>
  <c r="D174" i="10" a="1"/>
  <c r="D174" i="10" s="1"/>
  <c r="AL46" i="12" a="1"/>
  <c r="AL46" i="12" s="1"/>
  <c r="AL30" i="12" a="1"/>
  <c r="AL30" i="12" s="1"/>
  <c r="AL14" i="12" a="1"/>
  <c r="AL14" i="12" s="1"/>
  <c r="AL45" i="12" a="1"/>
  <c r="AL45" i="12" s="1"/>
  <c r="AL29" i="12" a="1"/>
  <c r="AL29" i="12" s="1"/>
  <c r="AL47" i="13" a="1"/>
  <c r="AL47" i="13" s="1"/>
  <c r="AL33" i="13" a="1"/>
  <c r="AL33" i="13" s="1"/>
  <c r="AL19" i="13" a="1"/>
  <c r="AL19" i="13" s="1"/>
  <c r="AL32" i="13" a="1"/>
  <c r="AL32" i="13" s="1"/>
  <c r="AL18" i="13" a="1"/>
  <c r="AL18" i="13" s="1"/>
  <c r="E301" i="10" a="1"/>
  <c r="E301" i="10" s="1"/>
  <c r="E645" i="10" a="1"/>
  <c r="E645" i="10" s="1"/>
  <c r="E389" i="10" a="1"/>
  <c r="E389" i="10" s="1"/>
  <c r="AL43" i="12" a="1"/>
  <c r="AL43" i="12" s="1"/>
  <c r="AL27" i="12" a="1"/>
  <c r="AL27" i="12" s="1"/>
  <c r="AL11" i="12" a="1"/>
  <c r="AL11" i="12" s="1"/>
  <c r="AL31" i="13" a="1"/>
  <c r="AL31" i="13" s="1"/>
  <c r="AL17" i="13" a="1"/>
  <c r="AL17" i="13" s="1"/>
  <c r="AL45" i="13" a="1"/>
  <c r="AL45" i="13" s="1"/>
  <c r="AL16" i="13" a="1"/>
  <c r="AL16" i="13" s="1"/>
  <c r="E32" i="10" a="1"/>
  <c r="E32" i="10" s="1"/>
  <c r="E621" i="10" a="1"/>
  <c r="E621" i="10" s="1"/>
  <c r="AL41" i="12" a="1"/>
  <c r="AL41" i="12" s="1"/>
  <c r="AL25" i="12" a="1"/>
  <c r="AL25" i="12" s="1"/>
  <c r="AL9" i="12" a="1"/>
  <c r="AL9" i="12" s="1"/>
  <c r="AL43" i="13" a="1"/>
  <c r="AL43" i="13" s="1"/>
  <c r="AL39" i="12" a="1"/>
  <c r="AL39" i="12" s="1"/>
  <c r="AL23" i="12" a="1"/>
  <c r="AL23" i="12" s="1"/>
  <c r="AL7" i="12" a="1"/>
  <c r="AL7" i="12" s="1"/>
  <c r="AL38" i="12" a="1"/>
  <c r="AL38" i="12" s="1"/>
  <c r="AL22" i="12" a="1"/>
  <c r="AL22" i="12" s="1"/>
  <c r="AL41" i="13" a="1"/>
  <c r="AL41" i="13" s="1"/>
  <c r="AL27" i="13" a="1"/>
  <c r="AL27" i="13" s="1"/>
  <c r="AL13" i="13" a="1"/>
  <c r="AL13" i="13" s="1"/>
  <c r="P62" i="11" a="1"/>
  <c r="P62" i="11" s="1"/>
  <c r="AL37" i="12" a="1"/>
  <c r="AL37" i="12" s="1"/>
  <c r="AL21" i="12" a="1"/>
  <c r="AL21" i="12" s="1"/>
  <c r="AL40" i="13" a="1"/>
  <c r="AL40" i="13" s="1"/>
  <c r="O63" i="11" a="1"/>
  <c r="O63" i="11" s="1"/>
  <c r="AL36" i="12" a="1"/>
  <c r="AL36" i="12" s="1"/>
  <c r="AL20" i="12" a="1"/>
  <c r="AL20" i="12" s="1"/>
  <c r="AL39" i="13" a="1"/>
  <c r="AL39" i="13" s="1"/>
  <c r="AL25" i="13" a="1"/>
  <c r="AL25" i="13" s="1"/>
  <c r="AL11" i="13" a="1"/>
  <c r="AL11" i="13" s="1"/>
  <c r="AL35" i="12" a="1"/>
  <c r="AL35" i="12" s="1"/>
  <c r="AL19" i="12" a="1"/>
  <c r="AL19" i="12" s="1"/>
  <c r="E80" i="11" a="1"/>
  <c r="E80" i="11" s="1"/>
  <c r="E79" i="11" a="1"/>
  <c r="E79" i="11" s="1"/>
  <c r="E71" i="11" a="1"/>
  <c r="E71" i="11" s="1"/>
  <c r="E69" i="11" a="1"/>
  <c r="E69" i="11" s="1"/>
  <c r="D77" i="11" a="1"/>
  <c r="D77" i="11" s="1"/>
  <c r="D68" i="11" a="1"/>
  <c r="D68" i="11" s="1"/>
  <c r="P72" i="11" a="1"/>
  <c r="P72" i="11" s="1"/>
  <c r="P70" i="11" a="1"/>
  <c r="P70" i="11" s="1"/>
  <c r="O74" i="11" a="1"/>
  <c r="O74" i="11" s="1"/>
  <c r="O65" i="11" a="1"/>
  <c r="O65" i="11" s="1"/>
  <c r="E78" i="11" a="1"/>
  <c r="E78" i="11" s="1"/>
  <c r="E72" i="11" a="1"/>
  <c r="E72" i="11" s="1"/>
  <c r="D76" i="11" a="1"/>
  <c r="D76" i="11" s="1"/>
  <c r="D75" i="11" a="1"/>
  <c r="D75" i="11" s="1"/>
  <c r="D74" i="11" a="1"/>
  <c r="D74" i="11" s="1"/>
  <c r="P68" i="11" a="1"/>
  <c r="P68" i="11" s="1"/>
  <c r="D73" i="11" a="1"/>
  <c r="D73" i="11" s="1"/>
  <c r="O77" i="11" a="1"/>
  <c r="O77" i="11" s="1"/>
  <c r="O76" i="11" a="1"/>
  <c r="O76" i="11" s="1"/>
  <c r="O75" i="11" a="1"/>
  <c r="O75" i="11" s="1"/>
  <c r="P80" i="11" a="1"/>
  <c r="P80" i="11" s="1"/>
  <c r="O73" i="11" a="1"/>
  <c r="O73" i="11" s="1"/>
  <c r="P60" i="11" a="1"/>
  <c r="P60" i="11" s="1"/>
  <c r="P61" i="11" a="1"/>
  <c r="P61" i="11" s="1"/>
  <c r="E63" i="11" a="1"/>
  <c r="E63" i="11" s="1"/>
  <c r="E62" i="11" a="1"/>
  <c r="E62" i="11" s="1"/>
  <c r="E61" i="11" a="1"/>
  <c r="E61" i="11" s="1"/>
  <c r="E60" i="11" a="1"/>
  <c r="E60" i="11" s="1"/>
  <c r="P67" i="11" a="1"/>
  <c r="P67" i="11" s="1"/>
  <c r="P66" i="11" a="1"/>
  <c r="P66" i="11" s="1"/>
  <c r="P64" i="11" a="1"/>
  <c r="P64" i="11" s="1"/>
  <c r="E67" i="11" a="1"/>
  <c r="E67" i="11" s="1"/>
  <c r="E65" i="11" a="1"/>
  <c r="E65" i="11" s="1"/>
  <c r="E64" i="11" a="1"/>
  <c r="E64" i="11" s="1"/>
  <c r="D59" i="11" a="1"/>
  <c r="D59" i="11" s="1"/>
  <c r="Z50" i="13" a="1"/>
  <c r="Z50" i="13" s="1"/>
  <c r="AA66" i="13" a="1"/>
  <c r="AA66" i="13" s="1"/>
  <c r="AA24" i="13" a="1"/>
  <c r="AA24" i="13" s="1"/>
  <c r="AA13" i="13" a="1"/>
  <c r="AA13" i="13" s="1"/>
  <c r="Z37" i="13" a="1"/>
  <c r="Z37" i="13" s="1"/>
  <c r="Z36" i="13" a="1"/>
  <c r="Z36" i="13" s="1"/>
  <c r="Z23" i="13" a="1"/>
  <c r="Z23" i="13" s="1"/>
  <c r="Z20" i="13" a="1"/>
  <c r="Z20" i="13" s="1"/>
  <c r="Z39" i="13" a="1"/>
  <c r="Z39" i="13" s="1"/>
  <c r="P7" i="13" a="1"/>
  <c r="P7" i="13" s="1"/>
  <c r="AA71" i="13" a="1"/>
  <c r="AA71" i="13" s="1"/>
  <c r="Z35" i="13" a="1"/>
  <c r="Z35" i="13" s="1"/>
  <c r="AA61" i="13" a="1"/>
  <c r="AA61" i="13" s="1"/>
  <c r="AA10" i="13" a="1"/>
  <c r="AA10" i="13" s="1"/>
  <c r="Z34" i="13" a="1"/>
  <c r="Z34" i="13" s="1"/>
  <c r="AA58" i="13" a="1"/>
  <c r="AA58" i="13" s="1"/>
  <c r="AA8" i="13" a="1"/>
  <c r="AA8" i="13" s="1"/>
  <c r="Z25" i="13" a="1"/>
  <c r="Z25" i="13" s="1"/>
  <c r="AA56" i="13" a="1"/>
  <c r="AA56" i="13" s="1"/>
  <c r="Z68" i="13" a="1"/>
  <c r="Z68" i="13" s="1"/>
  <c r="AA55" i="13" a="1"/>
  <c r="AA55" i="13" s="1"/>
  <c r="Z67" i="13" a="1"/>
  <c r="Z67" i="13" s="1"/>
  <c r="Z21" i="13" a="1"/>
  <c r="Z21" i="13" s="1"/>
  <c r="AA45" i="13" a="1"/>
  <c r="AA45" i="13" s="1"/>
  <c r="Z63" i="13" a="1"/>
  <c r="Z63" i="13" s="1"/>
  <c r="AA42" i="13" a="1"/>
  <c r="AA42" i="13" s="1"/>
  <c r="Z19" i="13" a="1"/>
  <c r="Z19" i="13" s="1"/>
  <c r="AA40" i="13" a="1"/>
  <c r="AA40" i="13" s="1"/>
  <c r="Z54" i="13" a="1"/>
  <c r="Z54" i="13" s="1"/>
  <c r="Z53" i="13" a="1"/>
  <c r="Z53" i="13" s="1"/>
  <c r="Z11" i="13" a="1"/>
  <c r="Z11" i="13" s="1"/>
  <c r="Z52" i="13" a="1"/>
  <c r="Z52" i="13" s="1"/>
  <c r="AA29" i="13" a="1"/>
  <c r="AA29" i="13" s="1"/>
  <c r="Z51" i="13" a="1"/>
  <c r="Z51" i="13" s="1"/>
  <c r="AA26" i="13" a="1"/>
  <c r="AA26" i="13" s="1"/>
  <c r="AA60" i="13" a="1"/>
  <c r="AA60" i="13" s="1"/>
  <c r="AA44" i="13" a="1"/>
  <c r="AA44" i="13" s="1"/>
  <c r="AA28" i="13" a="1"/>
  <c r="AA28" i="13" s="1"/>
  <c r="AA12" i="13" a="1"/>
  <c r="AA12" i="13" s="1"/>
  <c r="Z38" i="13" a="1"/>
  <c r="Z38" i="13" s="1"/>
  <c r="Z9" i="13" a="1"/>
  <c r="Z9" i="13" s="1"/>
  <c r="AA59" i="13" a="1"/>
  <c r="AA59" i="13" s="1"/>
  <c r="AA43" i="13" a="1"/>
  <c r="AA43" i="13" s="1"/>
  <c r="AA27" i="13" a="1"/>
  <c r="AA27" i="13" s="1"/>
  <c r="Z65" i="13" a="1"/>
  <c r="Z65" i="13" s="1"/>
  <c r="Z64" i="13" a="1"/>
  <c r="Z64" i="13" s="1"/>
  <c r="Z22" i="13" a="1"/>
  <c r="Z22" i="13" s="1"/>
  <c r="AA57" i="13" a="1"/>
  <c r="AA57" i="13" s="1"/>
  <c r="AA41" i="13" a="1"/>
  <c r="AA41" i="13" s="1"/>
  <c r="Z49" i="13" a="1"/>
  <c r="Z49" i="13" s="1"/>
  <c r="Z48" i="13" a="1"/>
  <c r="Z48" i="13" s="1"/>
  <c r="Z62" i="13" a="1"/>
  <c r="Z62" i="13" s="1"/>
  <c r="Z47" i="13" a="1"/>
  <c r="Z47" i="13" s="1"/>
  <c r="Z33" i="13" a="1"/>
  <c r="Z33" i="13" s="1"/>
  <c r="AA70" i="13" a="1"/>
  <c r="AA70" i="13" s="1"/>
  <c r="Z32" i="13" a="1"/>
  <c r="Z32" i="13" s="1"/>
  <c r="AA69" i="13" a="1"/>
  <c r="AA69" i="13" s="1"/>
  <c r="Z46" i="13" a="1"/>
  <c r="Z46" i="13" s="1"/>
  <c r="Z31" i="13" a="1"/>
  <c r="Z31" i="13" s="1"/>
  <c r="Z17" i="13" a="1"/>
  <c r="Z17" i="13" s="1"/>
  <c r="Z16" i="13" a="1"/>
  <c r="Z16" i="13" s="1"/>
  <c r="Z30" i="13" a="1"/>
  <c r="Z30" i="13" s="1"/>
  <c r="Z15" i="13" a="1"/>
  <c r="Z15" i="13" s="1"/>
  <c r="Z14" i="13" a="1"/>
  <c r="Z14" i="13" s="1"/>
  <c r="O47" i="13" a="1"/>
  <c r="O47" i="13" s="1"/>
  <c r="O21" i="13" a="1"/>
  <c r="O21" i="13" s="1"/>
  <c r="O50" i="13" a="1"/>
  <c r="O50" i="13" s="1"/>
  <c r="O49" i="13" a="1"/>
  <c r="O49" i="13" s="1"/>
  <c r="O9" i="13" a="1"/>
  <c r="O9" i="13" s="1"/>
  <c r="E7" i="13" a="1"/>
  <c r="E7" i="13" s="1"/>
  <c r="O41" i="13" a="1"/>
  <c r="O41" i="13" s="1"/>
  <c r="P51" i="13" a="1"/>
  <c r="P51" i="13" s="1"/>
  <c r="O38" i="13" a="1"/>
  <c r="O38" i="13" s="1"/>
  <c r="P48" i="13" a="1"/>
  <c r="P48" i="13" s="1"/>
  <c r="O37" i="13" a="1"/>
  <c r="O37" i="13" s="1"/>
  <c r="O36" i="13" a="1"/>
  <c r="O36" i="13" s="1"/>
  <c r="P46" i="13" a="1"/>
  <c r="P46" i="13" s="1"/>
  <c r="O35" i="13" a="1"/>
  <c r="O35" i="13" s="1"/>
  <c r="O30" i="13" a="1"/>
  <c r="O30" i="13" s="1"/>
  <c r="P34" i="13" a="1"/>
  <c r="P34" i="13" s="1"/>
  <c r="O23" i="13" a="1"/>
  <c r="O23" i="13" s="1"/>
  <c r="P31" i="13" a="1"/>
  <c r="P31" i="13" s="1"/>
  <c r="O22" i="13" a="1"/>
  <c r="O22" i="13" s="1"/>
  <c r="P20" i="13" a="1"/>
  <c r="P20" i="13" s="1"/>
  <c r="P19" i="13" a="1"/>
  <c r="P19" i="13" s="1"/>
  <c r="O55" i="13" a="1"/>
  <c r="O55" i="13" s="1"/>
  <c r="P17" i="13" a="1"/>
  <c r="P17" i="13" s="1"/>
  <c r="O52" i="13" a="1"/>
  <c r="O52" i="13" s="1"/>
  <c r="O15" i="13" a="1"/>
  <c r="O15" i="13" s="1"/>
  <c r="O14" i="13" a="1"/>
  <c r="O14" i="13" s="1"/>
  <c r="O8" i="13" a="1"/>
  <c r="O8" i="13" s="1"/>
  <c r="P33" i="13" a="1"/>
  <c r="P33" i="13" s="1"/>
  <c r="P32" i="13" a="1"/>
  <c r="P32" i="13" s="1"/>
  <c r="P18" i="13" a="1"/>
  <c r="P18" i="13" s="1"/>
  <c r="P59" i="13" a="1"/>
  <c r="P59" i="13" s="1"/>
  <c r="P45" i="13" a="1"/>
  <c r="P45" i="13" s="1"/>
  <c r="P16" i="13" a="1"/>
  <c r="P16" i="13" s="1"/>
  <c r="P58" i="13" a="1"/>
  <c r="P58" i="13" s="1"/>
  <c r="P44" i="13" a="1"/>
  <c r="P44" i="13" s="1"/>
  <c r="P57" i="13" a="1"/>
  <c r="P57" i="13" s="1"/>
  <c r="P43" i="13" a="1"/>
  <c r="P43" i="13" s="1"/>
  <c r="P29" i="13" a="1"/>
  <c r="P29" i="13" s="1"/>
  <c r="P56" i="13" a="1"/>
  <c r="P56" i="13" s="1"/>
  <c r="P42" i="13" a="1"/>
  <c r="P42" i="13" s="1"/>
  <c r="P28" i="13" a="1"/>
  <c r="P28" i="13" s="1"/>
  <c r="P27" i="13" a="1"/>
  <c r="P27" i="13" s="1"/>
  <c r="P13" i="13" a="1"/>
  <c r="P13" i="13" s="1"/>
  <c r="P40" i="13" a="1"/>
  <c r="P40" i="13" s="1"/>
  <c r="P26" i="13" a="1"/>
  <c r="P26" i="13" s="1"/>
  <c r="P12" i="13" a="1"/>
  <c r="P12" i="13" s="1"/>
  <c r="P54" i="13" a="1"/>
  <c r="P54" i="13" s="1"/>
  <c r="P39" i="13" a="1"/>
  <c r="P39" i="13" s="1"/>
  <c r="P25" i="13" a="1"/>
  <c r="P25" i="13" s="1"/>
  <c r="P11" i="13" a="1"/>
  <c r="P11" i="13" s="1"/>
  <c r="P53" i="13" a="1"/>
  <c r="P53" i="13" s="1"/>
  <c r="P24" i="13" a="1"/>
  <c r="P24" i="13" s="1"/>
  <c r="P10" i="13" a="1"/>
  <c r="P10" i="13" s="1"/>
  <c r="E43" i="13" a="1"/>
  <c r="E43" i="13" s="1"/>
  <c r="D31" i="13" a="1"/>
  <c r="D31" i="13" s="1"/>
  <c r="D29" i="13" a="1"/>
  <c r="D29" i="13" s="1"/>
  <c r="D18" i="13" a="1"/>
  <c r="D18" i="13" s="1"/>
  <c r="D15" i="13" a="1"/>
  <c r="D15" i="13" s="1"/>
  <c r="E44" i="13" a="1"/>
  <c r="E44" i="13" s="1"/>
  <c r="D27" i="13" a="1"/>
  <c r="D27" i="13" s="1"/>
  <c r="E42" i="13" a="1"/>
  <c r="E42" i="13" s="1"/>
  <c r="D26" i="13" a="1"/>
  <c r="D26" i="13" s="1"/>
  <c r="E30" i="13" a="1"/>
  <c r="E30" i="13" s="1"/>
  <c r="D20" i="13" a="1"/>
  <c r="D20" i="13" s="1"/>
  <c r="D19" i="13" a="1"/>
  <c r="D19" i="13" s="1"/>
  <c r="D59" i="13" a="1"/>
  <c r="D59" i="13" s="1"/>
  <c r="D58" i="13" a="1"/>
  <c r="D58" i="13" s="1"/>
  <c r="D16" i="13" a="1"/>
  <c r="D16" i="13" s="1"/>
  <c r="D48" i="13" a="1"/>
  <c r="D48" i="13" s="1"/>
  <c r="D47" i="13" a="1"/>
  <c r="D47" i="13" s="1"/>
  <c r="D10" i="13" a="1"/>
  <c r="D10" i="13" s="1"/>
  <c r="E11" i="13" a="1"/>
  <c r="E11" i="13" s="1"/>
  <c r="D45" i="13" a="1"/>
  <c r="D45" i="13" s="1"/>
  <c r="D34" i="13" a="1"/>
  <c r="D34" i="13" s="1"/>
  <c r="E57" i="13" a="1"/>
  <c r="E57" i="13" s="1"/>
  <c r="D33" i="13" a="1"/>
  <c r="D33" i="13" s="1"/>
  <c r="D32" i="13" a="1"/>
  <c r="D32" i="13" s="1"/>
  <c r="D46" i="13" a="1"/>
  <c r="D46" i="13" s="1"/>
  <c r="D17" i="13" a="1"/>
  <c r="D17" i="13" s="1"/>
  <c r="E56" i="13" a="1"/>
  <c r="E56" i="13" s="1"/>
  <c r="E28" i="13" a="1"/>
  <c r="E28" i="13" s="1"/>
  <c r="E14" i="13" a="1"/>
  <c r="E14" i="13" s="1"/>
  <c r="E55" i="13" a="1"/>
  <c r="E55" i="13" s="1"/>
  <c r="E41" i="13" a="1"/>
  <c r="E41" i="13" s="1"/>
  <c r="E13" i="13" a="1"/>
  <c r="E13" i="13" s="1"/>
  <c r="E40" i="13" a="1"/>
  <c r="E40" i="13" s="1"/>
  <c r="E12" i="13" a="1"/>
  <c r="E12" i="13" s="1"/>
  <c r="E54" i="13" a="1"/>
  <c r="E54" i="13" s="1"/>
  <c r="E39" i="13" a="1"/>
  <c r="E39" i="13" s="1"/>
  <c r="E25" i="13" a="1"/>
  <c r="E25" i="13" s="1"/>
  <c r="E53" i="13" a="1"/>
  <c r="E53" i="13" s="1"/>
  <c r="E24" i="13" a="1"/>
  <c r="E24" i="13" s="1"/>
  <c r="E52" i="13" a="1"/>
  <c r="E52" i="13" s="1"/>
  <c r="E38" i="13" a="1"/>
  <c r="E38" i="13" s="1"/>
  <c r="E23" i="13" a="1"/>
  <c r="E23" i="13" s="1"/>
  <c r="E9" i="13" a="1"/>
  <c r="E9" i="13" s="1"/>
  <c r="E51" i="13" a="1"/>
  <c r="E51" i="13" s="1"/>
  <c r="E37" i="13" a="1"/>
  <c r="E37" i="13" s="1"/>
  <c r="E8" i="13" a="1"/>
  <c r="E8" i="13" s="1"/>
  <c r="E50" i="13" a="1"/>
  <c r="E50" i="13" s="1"/>
  <c r="E36" i="13" a="1"/>
  <c r="E36" i="13" s="1"/>
  <c r="E22" i="13" a="1"/>
  <c r="E22" i="13" s="1"/>
  <c r="E49" i="13" a="1"/>
  <c r="E49" i="13" s="1"/>
  <c r="E35" i="13" a="1"/>
  <c r="E35" i="13" s="1"/>
  <c r="E21" i="13" a="1"/>
  <c r="E21" i="13" s="1"/>
  <c r="Z19" i="12" a="1"/>
  <c r="Z19" i="12" s="1"/>
  <c r="AA52" i="12" a="1"/>
  <c r="AA52" i="12" s="1"/>
  <c r="Z45" i="12" a="1"/>
  <c r="Z45" i="12" s="1"/>
  <c r="AA37" i="12" a="1"/>
  <c r="AA37" i="12" s="1"/>
  <c r="AA51" i="12" a="1"/>
  <c r="AA51" i="12" s="1"/>
  <c r="Z18" i="12" a="1"/>
  <c r="Z18" i="12" s="1"/>
  <c r="AA42" i="12" a="1"/>
  <c r="AA42" i="12" s="1"/>
  <c r="AA85" i="12" a="1"/>
  <c r="AA85" i="12" s="1"/>
  <c r="AA41" i="12" a="1"/>
  <c r="AA41" i="12" s="1"/>
  <c r="AA84" i="12" a="1"/>
  <c r="AA84" i="12" s="1"/>
  <c r="AA83" i="12" a="1"/>
  <c r="AA83" i="12" s="1"/>
  <c r="AA82" i="12" a="1"/>
  <c r="AA82" i="12" s="1"/>
  <c r="AA14" i="12" a="1"/>
  <c r="AA14" i="12" s="1"/>
  <c r="AA13" i="12" a="1"/>
  <c r="AA13" i="12" s="1"/>
  <c r="AA70" i="12" a="1"/>
  <c r="AA70" i="12" s="1"/>
  <c r="AA68" i="12" a="1"/>
  <c r="AA68" i="12" s="1"/>
  <c r="AA67" i="12" a="1"/>
  <c r="AA67" i="12" s="1"/>
  <c r="AA66" i="12" a="1"/>
  <c r="AA66" i="12" s="1"/>
  <c r="AA61" i="12" a="1"/>
  <c r="AA61" i="12" s="1"/>
  <c r="Z57" i="12" a="1"/>
  <c r="Z57" i="12" s="1"/>
  <c r="AA56" i="12" a="1"/>
  <c r="AA56" i="12" s="1"/>
  <c r="AA55" i="12" a="1"/>
  <c r="AA55" i="12" s="1"/>
  <c r="AA53" i="12" a="1"/>
  <c r="AA53" i="12" s="1"/>
  <c r="AA27" i="12" a="1"/>
  <c r="AA27" i="12" s="1"/>
  <c r="AA69" i="12" a="1"/>
  <c r="AA69" i="12" s="1"/>
  <c r="AA40" i="12" a="1"/>
  <c r="AA40" i="12" s="1"/>
  <c r="AA26" i="12" a="1"/>
  <c r="AA26" i="12" s="1"/>
  <c r="AA12" i="12" a="1"/>
  <c r="AA12" i="12" s="1"/>
  <c r="AA54" i="12" a="1"/>
  <c r="AA54" i="12" s="1"/>
  <c r="AA39" i="12" a="1"/>
  <c r="AA39" i="12" s="1"/>
  <c r="AA25" i="12" a="1"/>
  <c r="AA25" i="12" s="1"/>
  <c r="AA11" i="12" a="1"/>
  <c r="AA11" i="12" s="1"/>
  <c r="AA81" i="12" a="1"/>
  <c r="AA81" i="12" s="1"/>
  <c r="AA24" i="12" a="1"/>
  <c r="AA24" i="12" s="1"/>
  <c r="AA10" i="12" a="1"/>
  <c r="AA10" i="12" s="1"/>
  <c r="Z44" i="12" a="1"/>
  <c r="Z44" i="12" s="1"/>
  <c r="AA80" i="12" a="1"/>
  <c r="AA80" i="12" s="1"/>
  <c r="AA38" i="12" a="1"/>
  <c r="AA38" i="12" s="1"/>
  <c r="AA23" i="12" a="1"/>
  <c r="AA23" i="12" s="1"/>
  <c r="AA9" i="12" a="1"/>
  <c r="AA9" i="12" s="1"/>
  <c r="O7" i="12" a="1"/>
  <c r="O7" i="12" s="1"/>
  <c r="AA79" i="12" a="1"/>
  <c r="AA79" i="12" s="1"/>
  <c r="AA65" i="12" a="1"/>
  <c r="AA65" i="12" s="1"/>
  <c r="AA8" i="12" a="1"/>
  <c r="AA8" i="12" s="1"/>
  <c r="Z36" i="12" a="1"/>
  <c r="Z36" i="12" s="1"/>
  <c r="AA64" i="12" a="1"/>
  <c r="AA64" i="12" s="1"/>
  <c r="AA50" i="12" a="1"/>
  <c r="AA50" i="12" s="1"/>
  <c r="AA22" i="12" a="1"/>
  <c r="AA22" i="12" s="1"/>
  <c r="Z31" i="12" a="1"/>
  <c r="Z31" i="12" s="1"/>
  <c r="AA78" i="12" a="1"/>
  <c r="AA78" i="12" s="1"/>
  <c r="AA63" i="12" a="1"/>
  <c r="AA63" i="12" s="1"/>
  <c r="AA49" i="12" a="1"/>
  <c r="AA49" i="12" s="1"/>
  <c r="AA35" i="12" a="1"/>
  <c r="AA35" i="12" s="1"/>
  <c r="AA21" i="12" a="1"/>
  <c r="AA21" i="12" s="1"/>
  <c r="AA77" i="12" a="1"/>
  <c r="AA77" i="12" s="1"/>
  <c r="AA48" i="12" a="1"/>
  <c r="AA48" i="12" s="1"/>
  <c r="AA34" i="12" a="1"/>
  <c r="AA34" i="12" s="1"/>
  <c r="AA20" i="12" a="1"/>
  <c r="AA20" i="12" s="1"/>
  <c r="Z74" i="12" a="1"/>
  <c r="Z74" i="12" s="1"/>
  <c r="AA76" i="12" a="1"/>
  <c r="AA76" i="12" s="1"/>
  <c r="AA62" i="12" a="1"/>
  <c r="AA62" i="12" s="1"/>
  <c r="AA47" i="12" a="1"/>
  <c r="AA47" i="12" s="1"/>
  <c r="AA33" i="12" a="1"/>
  <c r="AA33" i="12" s="1"/>
  <c r="AA28" i="12" a="1"/>
  <c r="AA28" i="12" s="1"/>
  <c r="AA75" i="12" a="1"/>
  <c r="AA75" i="12" s="1"/>
  <c r="AA32" i="12" a="1"/>
  <c r="AA32" i="12" s="1"/>
  <c r="AA60" i="12" a="1"/>
  <c r="AA60" i="12" s="1"/>
  <c r="AA46" i="12" a="1"/>
  <c r="AA46" i="12" s="1"/>
  <c r="AA17" i="12" a="1"/>
  <c r="AA17" i="12" s="1"/>
  <c r="AA73" i="12" a="1"/>
  <c r="AA73" i="12" s="1"/>
  <c r="AA59" i="12" a="1"/>
  <c r="AA59" i="12" s="1"/>
  <c r="AA16" i="12" a="1"/>
  <c r="AA16" i="12" s="1"/>
  <c r="AA72" i="12" a="1"/>
  <c r="AA72" i="12" s="1"/>
  <c r="AA58" i="12" a="1"/>
  <c r="AA58" i="12" s="1"/>
  <c r="AA30" i="12" a="1"/>
  <c r="AA30" i="12" s="1"/>
  <c r="AA15" i="12" a="1"/>
  <c r="AA15" i="12" s="1"/>
  <c r="AA86" i="12" a="1"/>
  <c r="AA86" i="12" s="1"/>
  <c r="AA71" i="12" a="1"/>
  <c r="AA71" i="12" s="1"/>
  <c r="AA43" i="12" a="1"/>
  <c r="AA43" i="12" s="1"/>
  <c r="AA29" i="12" a="1"/>
  <c r="AA29" i="12" s="1"/>
  <c r="O34" i="12" a="1"/>
  <c r="O34" i="12" s="1"/>
  <c r="O33" i="12" a="1"/>
  <c r="O33" i="12" s="1"/>
  <c r="O21" i="12" a="1"/>
  <c r="O21" i="12" s="1"/>
  <c r="P64" i="12" a="1"/>
  <c r="P64" i="12" s="1"/>
  <c r="P63" i="12" a="1"/>
  <c r="P63" i="12" s="1"/>
  <c r="P49" i="12" a="1"/>
  <c r="P49" i="12" s="1"/>
  <c r="P20" i="12" a="1"/>
  <c r="P20" i="12" s="1"/>
  <c r="P11" i="12" a="1"/>
  <c r="P11" i="12" s="1"/>
  <c r="O35" i="12" a="1"/>
  <c r="O35" i="12" s="1"/>
  <c r="P50" i="12" a="1"/>
  <c r="P50" i="12" s="1"/>
  <c r="P36" i="12" a="1"/>
  <c r="P36" i="12" s="1"/>
  <c r="P48" i="12" a="1"/>
  <c r="P48" i="12" s="1"/>
  <c r="P19" i="12" a="1"/>
  <c r="P19" i="12" s="1"/>
  <c r="O32" i="12" a="1"/>
  <c r="O32" i="12" s="1"/>
  <c r="P62" i="12" a="1"/>
  <c r="P62" i="12" s="1"/>
  <c r="P47" i="12" a="1"/>
  <c r="P47" i="12" s="1"/>
  <c r="P18" i="12" a="1"/>
  <c r="P18" i="12" s="1"/>
  <c r="P61" i="12" a="1"/>
  <c r="P61" i="12" s="1"/>
  <c r="P17" i="12" a="1"/>
  <c r="P17" i="12" s="1"/>
  <c r="P60" i="12" a="1"/>
  <c r="P60" i="12" s="1"/>
  <c r="P46" i="12" a="1"/>
  <c r="P46" i="12" s="1"/>
  <c r="P31" i="12" a="1"/>
  <c r="P31" i="12" s="1"/>
  <c r="P16" i="12" a="1"/>
  <c r="P16" i="12" s="1"/>
  <c r="P59" i="12" a="1"/>
  <c r="P59" i="12" s="1"/>
  <c r="P45" i="12" a="1"/>
  <c r="P45" i="12" s="1"/>
  <c r="P30" i="12" a="1"/>
  <c r="P30" i="12" s="1"/>
  <c r="P15" i="12" a="1"/>
  <c r="P15" i="12" s="1"/>
  <c r="P58" i="12" a="1"/>
  <c r="P58" i="12" s="1"/>
  <c r="P44" i="12" a="1"/>
  <c r="P44" i="12" s="1"/>
  <c r="P29" i="12" a="1"/>
  <c r="P29" i="12" s="1"/>
  <c r="P57" i="12" a="1"/>
  <c r="P57" i="12" s="1"/>
  <c r="P43" i="12" a="1"/>
  <c r="P43" i="12" s="1"/>
  <c r="P28" i="12" a="1"/>
  <c r="P28" i="12" s="1"/>
  <c r="P14" i="12" a="1"/>
  <c r="P14" i="12" s="1"/>
  <c r="P56" i="12" a="1"/>
  <c r="P56" i="12" s="1"/>
  <c r="P42" i="12" a="1"/>
  <c r="P42" i="12" s="1"/>
  <c r="P27" i="12" a="1"/>
  <c r="P27" i="12" s="1"/>
  <c r="P13" i="12" a="1"/>
  <c r="P13" i="12" s="1"/>
  <c r="E7" i="12" a="1"/>
  <c r="E7" i="12" s="1"/>
  <c r="P55" i="12" a="1"/>
  <c r="P55" i="12" s="1"/>
  <c r="P41" i="12" a="1"/>
  <c r="P41" i="12" s="1"/>
  <c r="P26" i="12" a="1"/>
  <c r="P26" i="12" s="1"/>
  <c r="P12" i="12" a="1"/>
  <c r="P12" i="12" s="1"/>
  <c r="P69" i="12" a="1"/>
  <c r="P69" i="12" s="1"/>
  <c r="P40" i="12" a="1"/>
  <c r="P40" i="12" s="1"/>
  <c r="P25" i="12" a="1"/>
  <c r="P25" i="12" s="1"/>
  <c r="P68" i="12" a="1"/>
  <c r="P68" i="12" s="1"/>
  <c r="P54" i="12" a="1"/>
  <c r="P54" i="12" s="1"/>
  <c r="P39" i="12" a="1"/>
  <c r="P39" i="12" s="1"/>
  <c r="P24" i="12" a="1"/>
  <c r="P24" i="12" s="1"/>
  <c r="P10" i="12" a="1"/>
  <c r="P10" i="12" s="1"/>
  <c r="P67" i="12" a="1"/>
  <c r="P67" i="12" s="1"/>
  <c r="P53" i="12" a="1"/>
  <c r="P53" i="12" s="1"/>
  <c r="P23" i="12" a="1"/>
  <c r="P23" i="12" s="1"/>
  <c r="P9" i="12" a="1"/>
  <c r="P9" i="12" s="1"/>
  <c r="P66" i="12" a="1"/>
  <c r="P66" i="12" s="1"/>
  <c r="P52" i="12" a="1"/>
  <c r="P52" i="12" s="1"/>
  <c r="P38" i="12" a="1"/>
  <c r="P38" i="12" s="1"/>
  <c r="P8" i="12" a="1"/>
  <c r="P8" i="12" s="1"/>
  <c r="P65" i="12" a="1"/>
  <c r="P65" i="12" s="1"/>
  <c r="P51" i="12" a="1"/>
  <c r="P51" i="12" s="1"/>
  <c r="P37" i="12" a="1"/>
  <c r="P37" i="12" s="1"/>
  <c r="P22" i="12" a="1"/>
  <c r="P22" i="12" s="1"/>
  <c r="D24" i="12" a="1"/>
  <c r="D24" i="12" s="1"/>
  <c r="D20" i="12" a="1"/>
  <c r="D20" i="12" s="1"/>
  <c r="D32" i="12" a="1"/>
  <c r="D32" i="12" s="1"/>
  <c r="E17" i="12" a="1"/>
  <c r="E17" i="12" s="1"/>
  <c r="E63" i="12" a="1"/>
  <c r="E63" i="12" s="1"/>
  <c r="E50" i="12" a="1"/>
  <c r="E50" i="12" s="1"/>
  <c r="E49" i="12" a="1"/>
  <c r="E49" i="12" s="1"/>
  <c r="E48" i="12" a="1"/>
  <c r="E48" i="12" s="1"/>
  <c r="E35" i="12" a="1"/>
  <c r="E35" i="12" s="1"/>
  <c r="E34" i="12" a="1"/>
  <c r="E34" i="12" s="1"/>
  <c r="E33" i="12" a="1"/>
  <c r="E33" i="12" s="1"/>
  <c r="E21" i="12" a="1"/>
  <c r="E21" i="12" s="1"/>
  <c r="E64" i="12" a="1"/>
  <c r="E64" i="12" s="1"/>
  <c r="E36" i="12" a="1"/>
  <c r="E36" i="12" s="1"/>
  <c r="E22" i="12" a="1"/>
  <c r="E22" i="12" s="1"/>
  <c r="E12" i="12" a="1"/>
  <c r="E12" i="12" s="1"/>
  <c r="D31" i="12" a="1"/>
  <c r="D31" i="12" s="1"/>
  <c r="E62" i="12" a="1"/>
  <c r="E62" i="12" s="1"/>
  <c r="E47" i="12" a="1"/>
  <c r="E47" i="12" s="1"/>
  <c r="E19" i="12" a="1"/>
  <c r="E19" i="12" s="1"/>
  <c r="E61" i="12" a="1"/>
  <c r="E61" i="12" s="1"/>
  <c r="E60" i="12" a="1"/>
  <c r="E60" i="12" s="1"/>
  <c r="E46" i="12" a="1"/>
  <c r="E46" i="12" s="1"/>
  <c r="E59" i="12" a="1"/>
  <c r="E59" i="12" s="1"/>
  <c r="E45" i="12" a="1"/>
  <c r="E45" i="12" s="1"/>
  <c r="E58" i="12" a="1"/>
  <c r="E58" i="12" s="1"/>
  <c r="E44" i="12" a="1"/>
  <c r="E44" i="12" s="1"/>
  <c r="E30" i="12" a="1"/>
  <c r="E30" i="12" s="1"/>
  <c r="E15" i="12" a="1"/>
  <c r="E15" i="12" s="1"/>
  <c r="E57" i="12" a="1"/>
  <c r="E57" i="12" s="1"/>
  <c r="E43" i="12" a="1"/>
  <c r="E43" i="12" s="1"/>
  <c r="E29" i="12" a="1"/>
  <c r="E29" i="12" s="1"/>
  <c r="E56" i="12" a="1"/>
  <c r="E56" i="12" s="1"/>
  <c r="E42" i="12" a="1"/>
  <c r="E42" i="12" s="1"/>
  <c r="E28" i="12" a="1"/>
  <c r="E28" i="12" s="1"/>
  <c r="E14" i="12" a="1"/>
  <c r="E14" i="12" s="1"/>
  <c r="E55" i="12" a="1"/>
  <c r="E55" i="12" s="1"/>
  <c r="E41" i="12" a="1"/>
  <c r="E41" i="12" s="1"/>
  <c r="E27" i="12" a="1"/>
  <c r="E27" i="12" s="1"/>
  <c r="E13" i="12" a="1"/>
  <c r="E13" i="12" s="1"/>
  <c r="D54" i="12" a="1"/>
  <c r="D54" i="12" s="1"/>
  <c r="E69" i="12" a="1"/>
  <c r="E69" i="12" s="1"/>
  <c r="E40" i="12" a="1"/>
  <c r="E40" i="12" s="1"/>
  <c r="E26" i="12" a="1"/>
  <c r="E26" i="12" s="1"/>
  <c r="E11" i="12" a="1"/>
  <c r="E11" i="12" s="1"/>
  <c r="D53" i="12" a="1"/>
  <c r="D53" i="12" s="1"/>
  <c r="E68" i="12" a="1"/>
  <c r="E68" i="12" s="1"/>
  <c r="E39" i="12" a="1"/>
  <c r="E39" i="12" s="1"/>
  <c r="E25" i="12" a="1"/>
  <c r="E25" i="12" s="1"/>
  <c r="E10" i="12" a="1"/>
  <c r="E10" i="12" s="1"/>
  <c r="E67" i="12" a="1"/>
  <c r="E67" i="12" s="1"/>
  <c r="E9" i="12" a="1"/>
  <c r="E9" i="12" s="1"/>
  <c r="E66" i="12" a="1"/>
  <c r="E66" i="12" s="1"/>
  <c r="E52" i="12" a="1"/>
  <c r="E52" i="12" s="1"/>
  <c r="E38" i="12" a="1"/>
  <c r="E38" i="12" s="1"/>
  <c r="E23" i="12" a="1"/>
  <c r="E23" i="12" s="1"/>
  <c r="E8" i="12" a="1"/>
  <c r="E8" i="12" s="1"/>
  <c r="E65" i="12" a="1"/>
  <c r="E65" i="12" s="1"/>
  <c r="E51" i="12" a="1"/>
  <c r="E51" i="12" s="1"/>
  <c r="E37" i="12" a="1"/>
  <c r="E37" i="12" s="1"/>
  <c r="O12" i="11" a="1"/>
  <c r="O12" i="11" s="1"/>
  <c r="P7" i="11" a="1"/>
  <c r="P7" i="11" s="1"/>
  <c r="O13" i="11" a="1"/>
  <c r="O13" i="11" s="1"/>
  <c r="P20" i="11" a="1"/>
  <c r="P20" i="11" s="1"/>
  <c r="P19" i="11" a="1"/>
  <c r="P19" i="11" s="1"/>
  <c r="E7" i="11" a="1"/>
  <c r="E7" i="11" s="1"/>
  <c r="P48" i="11" a="1"/>
  <c r="P48" i="11" s="1"/>
  <c r="P47" i="11" a="1"/>
  <c r="P47" i="11" s="1"/>
  <c r="P45" i="11" a="1"/>
  <c r="P45" i="11" s="1"/>
  <c r="P44" i="11" a="1"/>
  <c r="P44" i="11" s="1"/>
  <c r="P34" i="11" a="1"/>
  <c r="P34" i="11" s="1"/>
  <c r="P33" i="11" a="1"/>
  <c r="P33" i="11" s="1"/>
  <c r="P29" i="11" a="1"/>
  <c r="P29" i="11" s="1"/>
  <c r="P18" i="11" a="1"/>
  <c r="P18" i="11" s="1"/>
  <c r="P17" i="11" a="1"/>
  <c r="P17" i="11" s="1"/>
  <c r="O28" i="11" a="1"/>
  <c r="O28" i="11" s="1"/>
  <c r="O11" i="11" a="1"/>
  <c r="O11" i="11" s="1"/>
  <c r="P32" i="11" a="1"/>
  <c r="P32" i="11" s="1"/>
  <c r="P46" i="11" a="1"/>
  <c r="P46" i="11" s="1"/>
  <c r="P31" i="11" a="1"/>
  <c r="P31" i="11" s="1"/>
  <c r="P59" i="11" a="1"/>
  <c r="P59" i="11" s="1"/>
  <c r="P16" i="11" a="1"/>
  <c r="P16" i="11" s="1"/>
  <c r="P58" i="11" a="1"/>
  <c r="P58" i="11" s="1"/>
  <c r="P30" i="11" a="1"/>
  <c r="P30" i="11" s="1"/>
  <c r="P15" i="11" a="1"/>
  <c r="P15" i="11" s="1"/>
  <c r="P57" i="11" a="1"/>
  <c r="P57" i="11" s="1"/>
  <c r="P43" i="11" a="1"/>
  <c r="P43" i="11" s="1"/>
  <c r="O49" i="11" a="1"/>
  <c r="O49" i="11" s="1"/>
  <c r="P56" i="11" a="1"/>
  <c r="P56" i="11" s="1"/>
  <c r="P42" i="11" a="1"/>
  <c r="P42" i="11" s="1"/>
  <c r="P14" i="11" a="1"/>
  <c r="P14" i="11" s="1"/>
  <c r="P55" i="11" a="1"/>
  <c r="P55" i="11" s="1"/>
  <c r="P41" i="11" a="1"/>
  <c r="P41" i="11" s="1"/>
  <c r="P27" i="11" a="1"/>
  <c r="P27" i="11" s="1"/>
  <c r="P40" i="11" a="1"/>
  <c r="P40" i="11" s="1"/>
  <c r="P26" i="11" a="1"/>
  <c r="P26" i="11" s="1"/>
  <c r="P54" i="11" a="1"/>
  <c r="P54" i="11" s="1"/>
  <c r="P39" i="11" a="1"/>
  <c r="P39" i="11" s="1"/>
  <c r="P25" i="11" a="1"/>
  <c r="P25" i="11" s="1"/>
  <c r="O35" i="11" a="1"/>
  <c r="O35" i="11" s="1"/>
  <c r="P53" i="11" a="1"/>
  <c r="P53" i="11" s="1"/>
  <c r="P24" i="11" a="1"/>
  <c r="P24" i="11" s="1"/>
  <c r="P10" i="11" a="1"/>
  <c r="P10" i="11" s="1"/>
  <c r="P52" i="11" a="1"/>
  <c r="P52" i="11" s="1"/>
  <c r="P38" i="11" a="1"/>
  <c r="P38" i="11" s="1"/>
  <c r="P23" i="11" a="1"/>
  <c r="P23" i="11" s="1"/>
  <c r="P9" i="11" a="1"/>
  <c r="P9" i="11" s="1"/>
  <c r="P51" i="11" a="1"/>
  <c r="P51" i="11" s="1"/>
  <c r="P37" i="11" a="1"/>
  <c r="P37" i="11" s="1"/>
  <c r="P8" i="11" a="1"/>
  <c r="P8" i="11" s="1"/>
  <c r="P50" i="11" a="1"/>
  <c r="P50" i="11" s="1"/>
  <c r="P36" i="11" a="1"/>
  <c r="P36" i="11" s="1"/>
  <c r="P22" i="11" a="1"/>
  <c r="P22" i="11" s="1"/>
  <c r="O21" i="11" a="1"/>
  <c r="O21" i="11" s="1"/>
  <c r="E15" i="11" a="1"/>
  <c r="E15" i="11" s="1"/>
  <c r="E40" i="11" a="1"/>
  <c r="E40" i="11" s="1"/>
  <c r="E39" i="11" a="1"/>
  <c r="E39" i="11" s="1"/>
  <c r="E41" i="11" a="1"/>
  <c r="E41" i="11" s="1"/>
  <c r="E38" i="11" a="1"/>
  <c r="E38" i="11" s="1"/>
  <c r="E29" i="11" a="1"/>
  <c r="E29" i="11" s="1"/>
  <c r="E28" i="11" a="1"/>
  <c r="E28" i="11" s="1"/>
  <c r="E25" i="11" a="1"/>
  <c r="E25" i="11" s="1"/>
  <c r="E14" i="11" a="1"/>
  <c r="E14" i="11" s="1"/>
  <c r="E13" i="11" a="1"/>
  <c r="E13" i="11" s="1"/>
  <c r="E54" i="11" a="1"/>
  <c r="E54" i="11" s="1"/>
  <c r="E53" i="11" a="1"/>
  <c r="E53" i="11" s="1"/>
  <c r="E51" i="11" a="1"/>
  <c r="E51" i="11" s="1"/>
  <c r="D42" i="11" a="1"/>
  <c r="D42" i="11" s="1"/>
  <c r="E27" i="11" a="1"/>
  <c r="E27" i="11" s="1"/>
  <c r="E52" i="11" a="1"/>
  <c r="E52" i="11" s="1"/>
  <c r="E26" i="11" a="1"/>
  <c r="E26" i="11" s="1"/>
  <c r="D32" i="11" a="1"/>
  <c r="D32" i="11" s="1"/>
  <c r="E50" i="11" a="1"/>
  <c r="E50" i="11" s="1"/>
  <c r="E24" i="11" a="1"/>
  <c r="E24" i="11" s="1"/>
  <c r="E12" i="11" a="1"/>
  <c r="E12" i="11" s="1"/>
  <c r="D31" i="11" a="1"/>
  <c r="D31" i="11" s="1"/>
  <c r="E49" i="11" a="1"/>
  <c r="E49" i="11" s="1"/>
  <c r="E37" i="11" a="1"/>
  <c r="E37" i="11" s="1"/>
  <c r="E23" i="11" a="1"/>
  <c r="E23" i="11" s="1"/>
  <c r="E11" i="11" a="1"/>
  <c r="E11" i="11" s="1"/>
  <c r="D58" i="11" a="1"/>
  <c r="D58" i="11" s="1"/>
  <c r="E48" i="11" a="1"/>
  <c r="E48" i="11" s="1"/>
  <c r="E36" i="11" a="1"/>
  <c r="E36" i="11" s="1"/>
  <c r="E10" i="11" a="1"/>
  <c r="E10" i="11" s="1"/>
  <c r="D57" i="11" a="1"/>
  <c r="D57" i="11" s="1"/>
  <c r="E47" i="11" a="1"/>
  <c r="E47" i="11" s="1"/>
  <c r="E35" i="11" a="1"/>
  <c r="E35" i="11" s="1"/>
  <c r="E22" i="11" a="1"/>
  <c r="E22" i="11" s="1"/>
  <c r="E9" i="11" a="1"/>
  <c r="E9" i="11" s="1"/>
  <c r="D56" i="11" a="1"/>
  <c r="D56" i="11" s="1"/>
  <c r="E34" i="11" a="1"/>
  <c r="E34" i="11" s="1"/>
  <c r="E8" i="11" a="1"/>
  <c r="E8" i="11" s="1"/>
  <c r="D55" i="11" a="1"/>
  <c r="D55" i="11" s="1"/>
  <c r="E46" i="11" a="1"/>
  <c r="E46" i="11" s="1"/>
  <c r="E33" i="11" a="1"/>
  <c r="E33" i="11" s="1"/>
  <c r="E21" i="11" a="1"/>
  <c r="E21" i="11" s="1"/>
  <c r="E20" i="11" a="1"/>
  <c r="E20" i="11" s="1"/>
  <c r="E45" i="11" a="1"/>
  <c r="E45" i="11" s="1"/>
  <c r="E19" i="11" a="1"/>
  <c r="E19" i="11" s="1"/>
  <c r="E44" i="11" a="1"/>
  <c r="E44" i="11" s="1"/>
  <c r="E18" i="11" a="1"/>
  <c r="E18" i="11" s="1"/>
  <c r="E43" i="11" a="1"/>
  <c r="E43" i="11" s="1"/>
  <c r="E30" i="11" a="1"/>
  <c r="E30" i="11" s="1"/>
  <c r="E17" i="11" a="1"/>
  <c r="E17" i="11" s="1"/>
  <c r="E16" i="11" a="1"/>
  <c r="E16" i="11" s="1"/>
  <c r="E274" i="10" a="1"/>
  <c r="E274" i="10" s="1"/>
  <c r="E257" i="10" a="1"/>
  <c r="E257" i="10" s="1"/>
  <c r="E240" i="10" a="1"/>
  <c r="E240" i="10" s="1"/>
  <c r="E482" i="10" a="1"/>
  <c r="E482" i="10" s="1"/>
  <c r="E465" i="10" a="1"/>
  <c r="E465" i="10" s="1"/>
  <c r="E658" i="10" a="1"/>
  <c r="E658" i="10" s="1"/>
  <c r="E641" i="10" a="1"/>
  <c r="E641" i="10" s="1"/>
  <c r="E241" i="10" a="1"/>
  <c r="E241" i="10" s="1"/>
  <c r="E498" i="10" a="1"/>
  <c r="E498" i="10" s="1"/>
  <c r="E481" i="10" a="1"/>
  <c r="E481" i="10" s="1"/>
  <c r="E464" i="10" a="1"/>
  <c r="E464" i="10" s="1"/>
  <c r="E657" i="10" a="1"/>
  <c r="E657" i="10" s="1"/>
  <c r="E640" i="10" a="1"/>
  <c r="E640" i="10" s="1"/>
  <c r="E242" i="10" a="1"/>
  <c r="E242" i="10" s="1"/>
  <c r="E256" i="10" a="1"/>
  <c r="E256" i="10" s="1"/>
  <c r="E82" i="10" a="1"/>
  <c r="E82" i="10" s="1"/>
  <c r="E370" i="10" a="1"/>
  <c r="E370" i="10" s="1"/>
  <c r="E353" i="10" a="1"/>
  <c r="E353" i="10" s="1"/>
  <c r="E497" i="10" a="1"/>
  <c r="E497" i="10" s="1"/>
  <c r="E480" i="10" a="1"/>
  <c r="E480" i="10" s="1"/>
  <c r="E656" i="10" a="1"/>
  <c r="E656" i="10" s="1"/>
  <c r="E258" i="10" a="1"/>
  <c r="E258" i="10" s="1"/>
  <c r="E466" i="10" a="1"/>
  <c r="E466" i="10" s="1"/>
  <c r="E114" i="10" a="1"/>
  <c r="E114" i="10" s="1"/>
  <c r="E98" i="10" a="1"/>
  <c r="E98" i="10" s="1"/>
  <c r="E81" i="10" a="1"/>
  <c r="E81" i="10" s="1"/>
  <c r="E64" i="10" a="1"/>
  <c r="E64" i="10" s="1"/>
  <c r="E130" i="10" a="1"/>
  <c r="E130" i="10" s="1"/>
  <c r="E113" i="10" a="1"/>
  <c r="E113" i="10" s="1"/>
  <c r="E386" i="10" a="1"/>
  <c r="E386" i="10" s="1"/>
  <c r="E369" i="10" a="1"/>
  <c r="E369" i="10" s="1"/>
  <c r="E352" i="10" a="1"/>
  <c r="E352" i="10" s="1"/>
  <c r="E496" i="10" a="1"/>
  <c r="E496" i="10" s="1"/>
  <c r="D642" i="10" a="1"/>
  <c r="D642" i="10" s="1"/>
  <c r="D626" i="10" a="1"/>
  <c r="D626" i="10" s="1"/>
  <c r="D610" i="10" a="1"/>
  <c r="D610" i="10" s="1"/>
  <c r="D594" i="10" a="1"/>
  <c r="D594" i="10" s="1"/>
  <c r="D578" i="10" a="1"/>
  <c r="D578" i="10" s="1"/>
  <c r="D562" i="10" a="1"/>
  <c r="D562" i="10" s="1"/>
  <c r="D546" i="10" a="1"/>
  <c r="D546" i="10" s="1"/>
  <c r="D530" i="10" a="1"/>
  <c r="D530" i="10" s="1"/>
  <c r="D514" i="10" a="1"/>
  <c r="D514" i="10" s="1"/>
  <c r="D450" i="10" a="1"/>
  <c r="D450" i="10" s="1"/>
  <c r="D434" i="10" a="1"/>
  <c r="D434" i="10" s="1"/>
  <c r="D418" i="10" a="1"/>
  <c r="D418" i="10" s="1"/>
  <c r="D402" i="10" a="1"/>
  <c r="D402" i="10" s="1"/>
  <c r="E272" i="10" a="1"/>
  <c r="E272" i="10" s="1"/>
  <c r="E97" i="10" a="1"/>
  <c r="E97" i="10" s="1"/>
  <c r="E80" i="10" a="1"/>
  <c r="E80" i="10" s="1"/>
  <c r="E146" i="10" a="1"/>
  <c r="E146" i="10" s="1"/>
  <c r="E128" i="10" a="1"/>
  <c r="E128" i="10" s="1"/>
  <c r="E112" i="10" a="1"/>
  <c r="E112" i="10" s="1"/>
  <c r="E385" i="10" a="1"/>
  <c r="E385" i="10" s="1"/>
  <c r="E368" i="10" a="1"/>
  <c r="E368" i="10" s="1"/>
  <c r="E512" i="10" a="1"/>
  <c r="E512" i="10" s="1"/>
  <c r="D625" i="10" a="1"/>
  <c r="D625" i="10" s="1"/>
  <c r="D609" i="10" a="1"/>
  <c r="D609" i="10" s="1"/>
  <c r="D593" i="10" a="1"/>
  <c r="D593" i="10" s="1"/>
  <c r="D577" i="10" a="1"/>
  <c r="D577" i="10" s="1"/>
  <c r="D561" i="10" a="1"/>
  <c r="D561" i="10" s="1"/>
  <c r="D545" i="10" a="1"/>
  <c r="D545" i="10" s="1"/>
  <c r="D529" i="10" a="1"/>
  <c r="D529" i="10" s="1"/>
  <c r="D513" i="10" a="1"/>
  <c r="D513" i="10" s="1"/>
  <c r="D449" i="10" a="1"/>
  <c r="D449" i="10" s="1"/>
  <c r="D433" i="10" a="1"/>
  <c r="D433" i="10" s="1"/>
  <c r="D417" i="10" a="1"/>
  <c r="D417" i="10" s="1"/>
  <c r="D401" i="10" a="1"/>
  <c r="D401" i="10" s="1"/>
  <c r="E66" i="10" a="1"/>
  <c r="E66" i="10" s="1"/>
  <c r="E273" i="10" a="1"/>
  <c r="E273" i="10" s="1"/>
  <c r="E354" i="10" a="1"/>
  <c r="E354" i="10" s="1"/>
  <c r="E65" i="10" a="1"/>
  <c r="E65" i="10" s="1"/>
  <c r="E96" i="10" a="1"/>
  <c r="E96" i="10" s="1"/>
  <c r="E162" i="10" a="1"/>
  <c r="E162" i="10" s="1"/>
  <c r="E145" i="10" a="1"/>
  <c r="E145" i="10" s="1"/>
  <c r="E384" i="10" a="1"/>
  <c r="E384" i="10" s="1"/>
  <c r="D624" i="10" a="1"/>
  <c r="D624" i="10" s="1"/>
  <c r="D608" i="10" a="1"/>
  <c r="D608" i="10" s="1"/>
  <c r="D592" i="10" a="1"/>
  <c r="D592" i="10" s="1"/>
  <c r="D576" i="10" a="1"/>
  <c r="D576" i="10" s="1"/>
  <c r="D560" i="10" a="1"/>
  <c r="D560" i="10" s="1"/>
  <c r="D544" i="10" a="1"/>
  <c r="D544" i="10" s="1"/>
  <c r="D528" i="10" a="1"/>
  <c r="D528" i="10" s="1"/>
  <c r="D448" i="10" a="1"/>
  <c r="D448" i="10" s="1"/>
  <c r="D432" i="10" a="1"/>
  <c r="D432" i="10" s="1"/>
  <c r="D416" i="10" a="1"/>
  <c r="D416" i="10" s="1"/>
  <c r="D400" i="10" a="1"/>
  <c r="D400" i="10" s="1"/>
  <c r="D338" i="10" a="1"/>
  <c r="D338" i="10" s="1"/>
  <c r="D322" i="10" a="1"/>
  <c r="D322" i="10" s="1"/>
  <c r="D306" i="10" a="1"/>
  <c r="D306" i="10" s="1"/>
  <c r="D290" i="10" a="1"/>
  <c r="D290" i="10" s="1"/>
  <c r="E161" i="10" a="1"/>
  <c r="E161" i="10" s="1"/>
  <c r="E144" i="10" a="1"/>
  <c r="E144" i="10" s="1"/>
  <c r="D337" i="10" a="1"/>
  <c r="D337" i="10" s="1"/>
  <c r="D321" i="10" a="1"/>
  <c r="D321" i="10" s="1"/>
  <c r="D305" i="10" a="1"/>
  <c r="D305" i="10" s="1"/>
  <c r="D289" i="10" a="1"/>
  <c r="D289" i="10" s="1"/>
  <c r="E160" i="10" a="1"/>
  <c r="E160" i="10" s="1"/>
  <c r="D336" i="10" a="1"/>
  <c r="D336" i="10" s="1"/>
  <c r="D320" i="10" a="1"/>
  <c r="D320" i="10" s="1"/>
  <c r="D304" i="10" a="1"/>
  <c r="D304" i="10" s="1"/>
  <c r="D288" i="10" a="1"/>
  <c r="D288" i="10" s="1"/>
  <c r="D210" i="10" a="1"/>
  <c r="D210" i="10" s="1"/>
  <c r="D194" i="10" a="1"/>
  <c r="D194" i="10" s="1"/>
  <c r="D178" i="10" a="1"/>
  <c r="D178" i="10" s="1"/>
  <c r="D209" i="10" a="1"/>
  <c r="D209" i="10" s="1"/>
  <c r="D193" i="10" a="1"/>
  <c r="D193" i="10" s="1"/>
  <c r="D177" i="10" a="1"/>
  <c r="D177" i="10" s="1"/>
  <c r="D192" i="10" a="1"/>
  <c r="D192" i="10" s="1"/>
  <c r="D176" i="10" a="1"/>
  <c r="D176" i="10" s="1"/>
  <c r="D34" i="10" a="1"/>
  <c r="D34" i="10" s="1"/>
  <c r="D18" i="10" a="1"/>
  <c r="D18" i="10" s="1"/>
  <c r="D17" i="10" a="1"/>
  <c r="D17" i="10" s="1"/>
  <c r="P10" i="10" l="1"/>
  <c r="P14" i="10"/>
  <c r="P15" i="10"/>
  <c r="P16" i="10"/>
  <c r="P13" i="10"/>
  <c r="P11" i="10"/>
  <c r="P12" i="10"/>
  <c r="P9" i="10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<sst xmlns="http://schemas.openxmlformats.org/spreadsheetml/2006/main" count="248" uniqueCount="36">
  <si>
    <t>neqn</t>
  </si>
  <si>
    <t>Metodo</t>
  </si>
  <si>
    <t>Problema</t>
  </si>
  <si>
    <t>Hebras</t>
  </si>
  <si>
    <t>nx</t>
  </si>
  <si>
    <t>T (s)</t>
  </si>
  <si>
    <t>Tipo</t>
  </si>
  <si>
    <t>En OMP, Problema 1, Simple AdvDiff</t>
  </si>
  <si>
    <t>En CUDA, Problemas 1 y 2, Simple AdvDiff, sin y con shuffle</t>
  </si>
  <si>
    <t>En OMP, problema 3, AdvDiff1d</t>
  </si>
  <si>
    <t>En CUDA, problemas 3 y 4, AdvDiff1d, sin y con shuffle</t>
  </si>
  <si>
    <t>En OMP, problema 3, Brusselator1d</t>
  </si>
  <si>
    <t>En CUDA, problemas 5, 6, y 7, Brusselator1d estándar, con shuffle, y multidimensional</t>
  </si>
  <si>
    <t>En OMP, problema 4, Brusselator2d</t>
  </si>
  <si>
    <t>En CUDA, problemas 7 y 8, Brusselator2d, sin y con shuffle</t>
  </si>
  <si>
    <t>En OMP, problema 2, AdvDiff1d</t>
  </si>
  <si>
    <t>RungeKutta, métodos 1 y 2, en OMP paralelismo en operaciones y elementos, en CUDA sin y con graph</t>
  </si>
  <si>
    <t>Adams-Bashford, métodos 3 y 4, en OMP paralelismo en operaciones y elementos, en CUDA sin y con graph</t>
  </si>
  <si>
    <t>Adams-Bashford-Moulton, métodos 5 y 6, en OMP paralelismo de operaciones y elementos, en CUDA sin y con graph</t>
  </si>
  <si>
    <t>OMP Operaciones</t>
  </si>
  <si>
    <t>OMP Elementos</t>
  </si>
  <si>
    <t>CUDA con graph</t>
  </si>
  <si>
    <t>CUDA sin graph</t>
  </si>
  <si>
    <t>Tecnología</t>
  </si>
  <si>
    <t>OMP</t>
  </si>
  <si>
    <t>CUDA</t>
  </si>
  <si>
    <t>Simple Advdiff</t>
  </si>
  <si>
    <t>Advdiff1d</t>
  </si>
  <si>
    <t>Brusselator1d</t>
  </si>
  <si>
    <t>Brusselator2d</t>
  </si>
  <si>
    <t>Nombre</t>
  </si>
  <si>
    <t>Solver</t>
  </si>
  <si>
    <t>RungeKutta</t>
  </si>
  <si>
    <t>AdamsBashford</t>
  </si>
  <si>
    <t>AdamsBashfordMoulton</t>
  </si>
  <si>
    <t xml:space="preserve">Recuento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</si>
</sst>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name val="Arial"/>
      <family val="2"/>
    </font>
    <font>
      <sz val="10"/>
      <color theme="1"/>
      <name val="Arial"/>
      <family val="2"/>
    </font>
    <font>
      <b/>
      <sz val="22"/>
      <name val="Arial"/>
      <family val="2"/>
    </font>
    <font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1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33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NumberFormat="1" applyFont="1" applyFill="1" applyAlignment="1">
      <alignment horizontal="center" vertical="center"/>
    </xf>
    <xf numFmtId="0" fontId="3" fillId="0" borderId="0" xfId="1" applyAlignment="1">
      <alignment horizontal="center" vertical="center"/>
    </xf>
    <xf numFmtId="0" fontId="1" fillId="0" borderId="0" xfId="1" applyFont="1" applyFill="1" applyAlignment="1">
      <alignment horizontal="center" vertical="center"/>
    </xf>
    <xf numFmtId="0" fontId="1" fillId="0" borderId="0" xfId="1" applyNumberFormat="1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NumberFormat="1" applyFont="1" applyAlignment="1">
      <alignment horizontal="center" vertical="center"/>
    </xf>
    <xf numFmtId="0" fontId="1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1" fillId="0" borderId="3" xfId="0" applyNumberFormat="1" applyFont="1" applyFill="1" applyBorder="1" applyAlignment="1">
      <alignment horizontal="center" vertical="center"/>
    </xf>
    <xf numFmtId="0" fontId="1" fillId="0" borderId="3" xfId="0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1" applyNumberFormat="1" applyFont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</cellXfs>
  <cellStyles count="2">
    <cellStyle name="Normal" xfId="0" builtinId="0"/>
    <cellStyle name="Normal 2" xfId="1" xr:uid="{D89D194E-CA5F-4855-A0B5-64A43A9925C3}"/>
  </cellStyles>
  <dxfs count="17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color theme="1"/>
      </font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E70BC4-9E9D-4D2E-8042-DA55B673D5D8}" name="Runge1" displayName="Runge1" ref="B6:K80" totalsRowShown="0" headerRowDxfId="83" dataDxfId="82">
  <autoFilter ref="B6:K80" xr:uid="{CCE70BC4-9E9D-4D2E-8042-DA55B673D5D8}"/>
  <sortState xmlns:xlrd2="http://schemas.microsoft.com/office/spreadsheetml/2017/richdata2" ref="F7:K59">
    <sortCondition ref="I6:I59"/>
  </sortState>
  <tableColumns count="10">
    <tableColumn id="10" xr3:uid="{AEC86852-44DF-4BE2-ACDA-6471FB5CE4E6}" name="Solver" dataDxfId="52">
      <calculatedColumnFormula>_xlfn.XLOOKUP(Runge1[[#This Row],[Metodo]],TbSolver[Metodo],TbSolver[Solver])</calculatedColumnFormula>
    </tableColumn>
    <tableColumn id="2" xr3:uid="{B4F24ACA-98F3-4A24-BC1F-33CB6F17EB49}" name="Tecnología" dataDxfId="81">
      <calculatedColumnFormula>_xlfn.XLOOKUP(Runge1[[#This Row],[Hebras]],TbTecnologia[Hebras],TbTecnologia[Tecnología])</calculatedColumnFormula>
    </tableColumn>
    <tableColumn id="9" xr3:uid="{DC67125F-30D8-4191-947E-4BDFBC04D67D}" name="Tipo" dataDxfId="54">
      <calculatedColumnFormula array="1">_xlfn.XLOOKUP(Runge1[[#This Row],[Tecnología]]&amp;Runge1[[#This Row],[Metodo]],TbTipos[Tecnología]&amp;TbTipos[Metodo],TbTipos[Tipo])</calculatedColumnFormula>
    </tableColumn>
    <tableColumn id="7" xr3:uid="{BE840B3E-C296-424D-B707-829324CD5420}" name="Nombre" dataDxfId="53">
      <calculatedColumnFormula array="1">_xlfn.XLOOKUP(Runge1[[#This Row],[Tecnología]]&amp;Runge1[[#This Row],[Problema]],TbNombres[Tecnología]&amp;TbNombres[Problema],TbNombres[Nombre])</calculatedColumnFormula>
    </tableColumn>
    <tableColumn id="1" xr3:uid="{25B6F649-ABFA-4CE9-89A0-5A6B319CC437}" name="Metodo" dataDxfId="80"/>
    <tableColumn id="3" xr3:uid="{BFA1C652-B6DF-43B7-812C-57D05082A42F}" name="Problema" dataDxfId="79"/>
    <tableColumn id="4" xr3:uid="{258F32C0-A332-464F-97B5-1CD60F6AD2D4}" name="Hebras" dataDxfId="78"/>
    <tableColumn id="5" xr3:uid="{0BB82667-2BB0-46A9-BCA3-8ECAE28A59AE}" name="nx" dataDxfId="77"/>
    <tableColumn id="6" xr3:uid="{15026FA6-7C87-49E4-984D-E2FC761B67A5}" name="neqn" dataDxfId="76"/>
    <tableColumn id="8" xr3:uid="{09F75439-A340-4404-9794-8F5A0A781C02}" name="T (s)" dataDxfId="7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22CD15-81EE-461E-99F0-41A5ED4B51EC}" name="Runge2" displayName="Runge2" ref="M6:V80" totalsRowShown="0" headerRowDxfId="74" dataDxfId="73">
  <autoFilter ref="M6:V80" xr:uid="{A922CD15-81EE-461E-99F0-41A5ED4B51EC}"/>
  <sortState xmlns:xlrd2="http://schemas.microsoft.com/office/spreadsheetml/2017/richdata2" ref="Q7:V59">
    <sortCondition ref="U6:U59"/>
  </sortState>
  <tableColumns count="10">
    <tableColumn id="10" xr3:uid="{E6EAF4B6-CE3E-4D50-A693-4088A5F2D76F}" name="Solver" dataDxfId="51">
      <calculatedColumnFormula>_xlfn.XLOOKUP(Runge2[[#This Row],[Metodo]],TbSolver[Metodo],TbSolver[Solver])</calculatedColumnFormula>
    </tableColumn>
    <tableColumn id="3" xr3:uid="{C82C0976-5A4B-4FBC-809E-8BDC692AAFA7}" name="Tecnología" dataDxfId="72">
      <calculatedColumnFormula>_xlfn.XLOOKUP(Runge2[[#This Row],[Hebras]],TbTecnologia[Hebras],TbTecnologia[Tecnología])</calculatedColumnFormula>
    </tableColumn>
    <tableColumn id="2" xr3:uid="{9A702384-B193-449F-A451-6CC7715841E5}" name="Tipo" dataDxfId="50" dataCellStyle="Normal 2">
      <calculatedColumnFormula array="1">_xlfn.XLOOKUP(Runge2[[#This Row],[Tecnología]]&amp;Runge2[[#This Row],[Metodo]],TbTipos[Tecnología]&amp;TbTipos[Metodo],TbTipos[Tipo])</calculatedColumnFormula>
    </tableColumn>
    <tableColumn id="5" xr3:uid="{FC2684A9-6928-4F95-A30C-D5BF3572DF81}" name="Nombre" dataDxfId="49" dataCellStyle="Normal 2">
      <calculatedColumnFormula array="1">_xlfn.XLOOKUP(Runge2[[#This Row],[Tecnología]]&amp;Runge2[[#This Row],[Problema]],TbNombres[Tecnología]&amp;TbNombres[Problema],TbNombres[Nombre])</calculatedColumnFormula>
    </tableColumn>
    <tableColumn id="1" xr3:uid="{DF028C78-BEEF-4A3C-B7BB-F0EF202A360B}" name="Metodo" dataDxfId="71"/>
    <tableColumn id="4" xr3:uid="{FCDBB470-4C88-4AEB-8344-4C173F572B48}" name="Problema" dataDxfId="70"/>
    <tableColumn id="6" xr3:uid="{E9676F04-898A-429C-8064-6F9FA7B3F3DD}" name="Hebras" dataDxfId="69"/>
    <tableColumn id="7" xr3:uid="{EA984D03-271B-4ABB-B403-EC7B080817DB}" name="nx" dataDxfId="68"/>
    <tableColumn id="8" xr3:uid="{7B2C410F-A995-4D0B-A00D-6CE9B5AE4328}" name="neqn" dataDxfId="67"/>
    <tableColumn id="9" xr3:uid="{FF4A95B6-28C0-46B2-BAB2-8853A3042FB5}" name="T (s)" dataDxfId="6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EDEEC28-BFE9-4595-926D-B00A2B9D59F8}" name="Runge3" displayName="Runge3" ref="X6:AG104" totalsRowShown="0" headerRowDxfId="65" dataDxfId="64">
  <autoFilter ref="X6:AG104" xr:uid="{6EDEEC28-BFE9-4595-926D-B00A2B9D59F8}"/>
  <sortState xmlns:xlrd2="http://schemas.microsoft.com/office/spreadsheetml/2017/richdata2" ref="AB7:AG71">
    <sortCondition ref="AF6:AF71"/>
  </sortState>
  <tableColumns count="10">
    <tableColumn id="11" xr3:uid="{B7258931-482C-4C98-B887-9977800CA309}" name="Solver" dataDxfId="3">
      <calculatedColumnFormula>_xlfn.XLOOKUP(Runge3[[#This Row],[Metodo]],TbSolver[Metodo],TbSolver[Solver])</calculatedColumnFormula>
    </tableColumn>
    <tableColumn id="9" xr3:uid="{19046693-20CE-4999-82AA-59A30DB91360}" name="Tecnología" dataDxfId="2">
      <calculatedColumnFormula>_xlfn.XLOOKUP(Runge3[[#This Row],[Hebras]],TbTecnologia[Hebras],TbTecnologia[Tecnología])</calculatedColumnFormula>
    </tableColumn>
    <tableColumn id="2" xr3:uid="{5743729A-06B1-46E9-B3F4-D6690AECFD50}" name="Tipo" dataDxfId="1">
      <calculatedColumnFormula array="1">_xlfn.XLOOKUP(Runge3[[#This Row],[Tecnología]]&amp;Runge3[[#This Row],[Metodo]],TbTipos[Tecnología]&amp;TbTipos[Metodo],TbTipos[Tipo])</calculatedColumnFormula>
    </tableColumn>
    <tableColumn id="10" xr3:uid="{79F2E5FF-DA45-473E-8FD1-75DA15968C98}" name="Nombre" dataDxfId="0">
      <calculatedColumnFormula array="1">_xlfn.XLOOKUP(Runge3[[#This Row],[Tecnología]]&amp;Runge3[[#This Row],[Problema]],TbNombres[Tecnología]&amp;TbNombres[Problema],TbNombres[Nombre])</calculatedColumnFormula>
    </tableColumn>
    <tableColumn id="1" xr3:uid="{E1C049B5-0D12-4EAF-97EB-AB7A6D0B67FF}" name="Metodo" dataDxfId="63"/>
    <tableColumn id="3" xr3:uid="{6BA06EA8-A2E9-42B1-9680-C0D8219E0AA9}" name="Problema" dataDxfId="62"/>
    <tableColumn id="4" xr3:uid="{E66F3C91-0B68-4FFB-94D1-3EFF1CED0AD0}" name="Hebras" dataDxfId="61"/>
    <tableColumn id="5" xr3:uid="{2898CC05-2812-4274-B040-38324F833EFB}" name="nx" dataDxfId="60"/>
    <tableColumn id="6" xr3:uid="{354202B9-30D0-45AA-9D1E-A3FB4E919D0A}" name="neqn" dataDxfId="59"/>
    <tableColumn id="7" xr3:uid="{D5B8D87D-ED7F-45BD-AD2B-1DACFFDAD341}" name="T (s)" dataDxfId="5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74474C4-F87C-409D-AB73-6DBEF64279E9}" name="Runge4" displayName="Runge4" ref="AI6:AR46" totalsRowShown="0" headerRowDxfId="164" dataDxfId="163">
  <autoFilter ref="AI6:AR46" xr:uid="{F74474C4-F87C-409D-AB73-6DBEF64279E9}"/>
  <sortState xmlns:xlrd2="http://schemas.microsoft.com/office/spreadsheetml/2017/richdata2" ref="AI7:AR46">
    <sortCondition ref="AP6:AP46"/>
  </sortState>
  <tableColumns count="10">
    <tableColumn id="10" xr3:uid="{943229A2-6FD0-4150-925B-6E6170DC5E23}" name="Solver" dataDxfId="48">
      <calculatedColumnFormula>_xlfn.XLOOKUP(Runge4[[#This Row],[Metodo]],TbSolver[Metodo],TbSolver[Solver])</calculatedColumnFormula>
    </tableColumn>
    <tableColumn id="8" xr3:uid="{D55066EF-11B9-4859-B2A3-534F57698F02}" name="Tecnología" dataDxfId="156">
      <calculatedColumnFormula>_xlfn.XLOOKUP(Runge4[[#This Row],[Hebras]],TbTecnologia[Hebras],TbTecnologia[Tecnología])</calculatedColumnFormula>
    </tableColumn>
    <tableColumn id="2" xr3:uid="{3116C609-0C31-4281-BF68-673DC1EE20C1}" name="Tipo" dataDxfId="47" dataCellStyle="Normal 2">
      <calculatedColumnFormula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calculatedColumnFormula>
    </tableColumn>
    <tableColumn id="9" xr3:uid="{CF5F8B2B-A910-432C-B37B-04C50B11C86A}" name="Nombre" dataDxfId="46" dataCellStyle="Normal 2">
      <calculatedColumnFormula array="1">_xlfn.XLOOKUP(Runge4[[#This Row],[Tecnología]]&amp;Runge4[[#This Row],[Problema]],TbNombres[Tecnología]&amp;TbNombres[Problema],TbNombres[Nombre])</calculatedColumnFormula>
    </tableColumn>
    <tableColumn id="1" xr3:uid="{1BAFFC45-8372-4C8E-8743-EC43F3FCF3D6}" name="Metodo" dataDxfId="162"/>
    <tableColumn id="3" xr3:uid="{9B83D949-8D3B-465F-A507-617B9262BB58}" name="Problema" dataDxfId="161"/>
    <tableColumn id="4" xr3:uid="{D76C3013-E078-445A-9DDD-C047203B8622}" name="Hebras" dataDxfId="160"/>
    <tableColumn id="5" xr3:uid="{172853EB-23E2-4D37-93E1-602084D898FE}" name="nx" dataDxfId="159"/>
    <tableColumn id="6" xr3:uid="{A7DF316F-D763-4526-9754-125D32378DE2}" name="neqn" dataDxfId="158"/>
    <tableColumn id="7" xr3:uid="{3858637E-4516-4E71-88D1-51019671F8BD}" name="T (s)" dataDxfId="15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0986391-C3E2-416B-9148-4FFCC466372A}" name="Bash1" displayName="Bash1" ref="B6:K69" totalsRowShown="0" headerRowDxfId="155" dataDxfId="154">
  <autoFilter ref="B6:K69" xr:uid="{60986391-C3E2-416B-9148-4FFCC466372A}"/>
  <sortState xmlns:xlrd2="http://schemas.microsoft.com/office/spreadsheetml/2017/richdata2" ref="F7:K45">
    <sortCondition ref="K6:K45"/>
  </sortState>
  <tableColumns count="10">
    <tableColumn id="10" xr3:uid="{0049033F-C398-43A5-9459-F2427FCDAAF5}" name="Solver" dataDxfId="45">
      <calculatedColumnFormula>_xlfn.XLOOKUP(Bash1[[#This Row],[Metodo]],TbSolver[Metodo],TbSolver[Solver])</calculatedColumnFormula>
    </tableColumn>
    <tableColumn id="2" xr3:uid="{3E34DBBC-1BFB-4AED-9C3D-126557BC8BD2}" name="Tecnología" dataDxfId="147">
      <calculatedColumnFormula>_xlfn.XLOOKUP(Bash1[[#This Row],[Hebras]],TbTecnologia[Hebras],TbTecnologia[Tecnología])</calculatedColumnFormula>
    </tableColumn>
    <tableColumn id="9" xr3:uid="{B891CEBE-0391-4F7D-8150-85D53BA7ADDD}" name="Tipo" dataDxfId="44">
      <calculatedColumnFormula array="1">_xlfn.XLOOKUP(Bash1[[#This Row],[Tecnología]]&amp;Bash1[[#This Row],[Metodo]],TbTipos[Tecnología]&amp;TbTipos[Metodo],TbTipos[Tipo])</calculatedColumnFormula>
    </tableColumn>
    <tableColumn id="7" xr3:uid="{8E7ED592-303F-4391-B6AD-D594C308A082}" name="Nombre" dataDxfId="43">
      <calculatedColumnFormula array="1">_xlfn.XLOOKUP(Bash1[[#This Row],[Tecnología]]&amp;Bash1[[#This Row],[Problema]],TbNombres[Tecnología]&amp;TbNombres[Problema],TbNombres[Nombre])</calculatedColumnFormula>
    </tableColumn>
    <tableColumn id="1" xr3:uid="{ECF13561-4339-41A7-A815-3041550BA291}" name="Metodo" dataDxfId="153"/>
    <tableColumn id="3" xr3:uid="{29FCA602-1E19-46A1-BF85-B4B382F94445}" name="Problema" dataDxfId="152"/>
    <tableColumn id="4" xr3:uid="{2B4A1CA3-DD8F-4FEB-A1B3-450438EC19C3}" name="Hebras" dataDxfId="151"/>
    <tableColumn id="5" xr3:uid="{C3B96D44-6A39-41B9-A4CF-02B89B80889C}" name="nx" dataDxfId="150"/>
    <tableColumn id="6" xr3:uid="{9B3ABC76-BB4D-4A06-B112-6503BE714522}" name="neqn" dataDxfId="149"/>
    <tableColumn id="8" xr3:uid="{4272A4CF-8CF8-4213-8B63-5B642A879DA9}" name="T (s)" dataDxfId="14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EB51660-A4ED-48F6-A7F3-3486EDD68404}" name="Bash2" displayName="Bash2" ref="M6:V69" totalsRowShown="0" headerRowDxfId="146" dataDxfId="145">
  <autoFilter ref="M6:V69" xr:uid="{DEB51660-A4ED-48F6-A7F3-3486EDD68404}"/>
  <sortState xmlns:xlrd2="http://schemas.microsoft.com/office/spreadsheetml/2017/richdata2" ref="Q7:V45">
    <sortCondition ref="Q6:Q45"/>
  </sortState>
  <tableColumns count="10">
    <tableColumn id="10" xr3:uid="{FE54F9CD-F6A8-45DB-BDCB-3B41C438DE56}" name="Solver" dataDxfId="42">
      <calculatedColumnFormula>_xlfn.XLOOKUP(Bash2[[#This Row],[Metodo]],TbSolver[Metodo],TbSolver[Solver])</calculatedColumnFormula>
    </tableColumn>
    <tableColumn id="8" xr3:uid="{64858E54-8EE9-4B46-BE45-93D7099B9F8C}" name="Tecnología" dataDxfId="138">
      <calculatedColumnFormula>_xlfn.XLOOKUP(Bash2[[#This Row],[Hebras]],TbTecnologia[Hebras],TbTecnologia[Tecnología])</calculatedColumnFormula>
    </tableColumn>
    <tableColumn id="2" xr3:uid="{B535BFC3-5810-4FBC-9194-3368A74EB110}" name="Tipo" dataDxfId="41">
      <calculatedColumnFormula array="1">_xlfn.XLOOKUP(Bash2[[#This Row],[Tecnología]]&amp;Bash2[[#This Row],[Metodo]],TbTipos[Tecnología]&amp;TbTipos[Metodo],TbTipos[Tipo])</calculatedColumnFormula>
    </tableColumn>
    <tableColumn id="9" xr3:uid="{2013E826-A981-495F-B6A4-F27BC8D0AB51}" name="Nombre" dataDxfId="40">
      <calculatedColumnFormula array="1">_xlfn.XLOOKUP(Bash2[[#This Row],[Tecnología]]&amp;Bash2[[#This Row],[Problema]],TbNombres[Tecnología]&amp;TbNombres[Problema],TbNombres[Nombre])</calculatedColumnFormula>
    </tableColumn>
    <tableColumn id="1" xr3:uid="{F217F9EF-BD28-44EB-B0C4-752D8512A480}" name="Metodo" dataDxfId="144"/>
    <tableColumn id="3" xr3:uid="{4839B0C1-8557-46C8-9D20-DA2ADFA00CFC}" name="Problema" dataDxfId="143"/>
    <tableColumn id="4" xr3:uid="{E0D58AE2-0473-4044-823F-358D781CA3CB}" name="Hebras" dataDxfId="139"/>
    <tableColumn id="5" xr3:uid="{DEE60CA3-C278-4DE2-B5E6-15F4EA632801}" name="nx" dataDxfId="142"/>
    <tableColumn id="6" xr3:uid="{78ED971E-BC19-4428-91C2-A0FD8AFA82A1}" name="neqn" dataDxfId="141"/>
    <tableColumn id="7" xr3:uid="{70601182-6238-4E52-8D6D-AE4CB4C87D84}" name="T (s)" dataDxfId="14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0E97C45-898F-4366-BFAE-47CD5AE998F2}" name="Bash3" displayName="Bash3" ref="X6:AG86" totalsRowShown="0" headerRowDxfId="137" dataDxfId="136">
  <autoFilter ref="X6:AG86" xr:uid="{D0E97C45-898F-4366-BFAE-47CD5AE998F2}"/>
  <sortState xmlns:xlrd2="http://schemas.microsoft.com/office/spreadsheetml/2017/richdata2" ref="AB7:AG62">
    <sortCondition ref="AG6:AG62"/>
  </sortState>
  <tableColumns count="10">
    <tableColumn id="10" xr3:uid="{0961AB55-8C8F-4777-B142-63C025049713}" name="Solver" dataDxfId="39">
      <calculatedColumnFormula>_xlfn.XLOOKUP(Bash3[[#This Row],[Metodo]],TbSolver[Metodo],TbSolver[Solver])</calculatedColumnFormula>
    </tableColumn>
    <tableColumn id="8" xr3:uid="{92E6F4E6-88CF-4138-8B70-715BBC5E6E33}" name="Tecnología" dataDxfId="129">
      <calculatedColumnFormula>_xlfn.XLOOKUP(Bash3[[#This Row],[Hebras]],TbTecnologia[Hebras],TbTecnologia[Tecnología])</calculatedColumnFormula>
    </tableColumn>
    <tableColumn id="2" xr3:uid="{12B1AD81-D83C-4800-AC6B-C38D34D3D79E}" name="Tipo" dataDxfId="38">
      <calculatedColumnFormula array="1">_xlfn.XLOOKUP(Bash3[[#This Row],[Tecnología]]&amp;Bash3[[#This Row],[Metodo]],TbTipos[Tecnología]&amp;TbTipos[Metodo],TbTipos[Tipo])</calculatedColumnFormula>
    </tableColumn>
    <tableColumn id="9" xr3:uid="{BE1835D0-F934-428A-85FB-CDA4D647E51F}" name="Nombre" dataDxfId="37">
      <calculatedColumnFormula array="1">_xlfn.XLOOKUP(Bash3[[#This Row],[Tecnología]]&amp;Bash3[[#This Row],[Problema]],TbNombres[Tecnología]&amp;TbNombres[Problema],TbNombres[Nombre])</calculatedColumnFormula>
    </tableColumn>
    <tableColumn id="1" xr3:uid="{EA55948A-45AD-440C-95D3-4FE7FFBBD26D}" name="Metodo" dataDxfId="135"/>
    <tableColumn id="3" xr3:uid="{805284D7-95A7-464F-91D4-BDE2D3E01154}" name="Problema" dataDxfId="134"/>
    <tableColumn id="4" xr3:uid="{EAD095D2-E909-416E-BC8E-ED7ACAC39C57}" name="Hebras" dataDxfId="133"/>
    <tableColumn id="5" xr3:uid="{28633C53-0133-48AB-9142-19DAE6BD6C03}" name="nx" dataDxfId="132"/>
    <tableColumn id="6" xr3:uid="{BF12A6DE-905C-41B0-9C4B-7E2514CD5797}" name="neqn" dataDxfId="131"/>
    <tableColumn id="7" xr3:uid="{4469578F-2F50-4638-B171-BDEFF6A74DB4}" name="T (s)" dataDxfId="13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C960866-25D1-4A9B-845D-E4A88676161F}" name="Bash4" displayName="Bash4" ref="AI6:AR46" totalsRowShown="0" headerRowDxfId="128" dataDxfId="127">
  <autoFilter ref="AI6:AR46" xr:uid="{9C960866-25D1-4A9B-845D-E4A88676161F}"/>
  <sortState xmlns:xlrd2="http://schemas.microsoft.com/office/spreadsheetml/2017/richdata2" ref="AK7:AR46">
    <sortCondition ref="AR6:AR46"/>
  </sortState>
  <tableColumns count="10">
    <tableColumn id="11" xr3:uid="{E1206F30-F3D6-47B8-B9A9-C3F34E378D3D}" name="Solver" dataDxfId="36">
      <calculatedColumnFormula>_xlfn.XLOOKUP(Bash4[[#This Row],[Metodo]],TbSolver[Metodo],TbSolver[Solver])</calculatedColumnFormula>
    </tableColumn>
    <tableColumn id="8" xr3:uid="{36897026-7BDB-4A9F-ABE6-C9E80AEBE7FC}" name="Tecnología" dataDxfId="121">
      <calculatedColumnFormula>_xlfn.XLOOKUP(Bash4[[#This Row],[Hebras]],TbTecnologia[Hebras],TbTecnologia[Tecnología])</calculatedColumnFormula>
    </tableColumn>
    <tableColumn id="2" xr3:uid="{1F4ACF2E-36EE-483B-B855-BF7D5F0CF795}" name="Tipo" dataDxfId="120">
      <calculatedColumnFormula array="1">_xlfn.XLOOKUP(Bash4[[#This Row],[Tecnología]]&amp;Bash4[[#This Row],[Metodo]],TbTipos[Tecnología]&amp;TbTipos[Metodo],TbTipos[Tipo])</calculatedColumnFormula>
    </tableColumn>
    <tableColumn id="10" xr3:uid="{2E5FCEDF-89A3-4539-9222-6179831D29D3}" name="Nombre" dataDxfId="34" dataCellStyle="Normal 2">
      <calculatedColumnFormula array="1">_xlfn.XLOOKUP(Bash4[[#This Row],[Tecnología]]&amp;Bash4[[#This Row],[Problema]],TbNombres[Tecnología]&amp;TbNombres[Problema],TbNombres[Nombre])</calculatedColumnFormula>
    </tableColumn>
    <tableColumn id="1" xr3:uid="{421E892B-12D3-4D55-B063-3FF9941A1692}" name="Metodo" dataDxfId="35" dataCellStyle="Normal 2"/>
    <tableColumn id="3" xr3:uid="{9403654B-BE78-4F39-9774-AD8006E8079D}" name="Problema" dataDxfId="126"/>
    <tableColumn id="4" xr3:uid="{CFCBFE53-A940-46EF-B5BF-97907227ADEF}" name="Hebras" dataDxfId="125"/>
    <tableColumn id="5" xr3:uid="{90AEA366-4BA9-4FA4-815E-64DB49E418FE}" name="nx" dataDxfId="124"/>
    <tableColumn id="6" xr3:uid="{018B4D1D-90C3-4BEB-9F26-11FE59B7101E}" name="neqn" dataDxfId="123"/>
    <tableColumn id="7" xr3:uid="{6D9D1969-C7FE-4E6F-BA3D-B47D633296A0}" name="T (s)" dataDxfId="122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4709BDB-2069-4A0E-96D6-F0834E585DDA}" name="Moult1" displayName="Moult1" ref="B6:K59" totalsRowShown="0" headerRowDxfId="119" dataDxfId="118">
  <autoFilter ref="B6:K59" xr:uid="{B4709BDB-2069-4A0E-96D6-F0834E585DDA}"/>
  <sortState xmlns:xlrd2="http://schemas.microsoft.com/office/spreadsheetml/2017/richdata2" ref="D7:K35">
    <sortCondition ref="K6:K35"/>
  </sortState>
  <tableColumns count="10">
    <tableColumn id="10" xr3:uid="{F5BBCB69-0626-4FA7-BA37-0D2AE610D157}" name="Solver" dataDxfId="33">
      <calculatedColumnFormula>_xlfn.XLOOKUP(Moult1[[#This Row],[Metodo]],TbSolver[Metodo],TbSolver[Solver])</calculatedColumnFormula>
    </tableColumn>
    <tableColumn id="7" xr3:uid="{526D5197-3534-4200-8E3D-01B1DD47BF96}" name="Tecnología" dataDxfId="112">
      <calculatedColumnFormula>_xlfn.XLOOKUP(Moult1[[#This Row],[Hebras]],TbTecnologia[Hebras],TbTecnologia[Tecnología])</calculatedColumnFormula>
    </tableColumn>
    <tableColumn id="2" xr3:uid="{3A97AA69-8E42-431F-86C6-2C53CC58AB41}" name="Tipo" dataDxfId="111">
      <calculatedColumnFormula array="1">_xlfn.XLOOKUP(Moult1[[#This Row],[Tecnología]]&amp;Moult1[[#This Row],[Metodo]],TbTipos[Tecnología]&amp;TbTipos[Metodo],TbTipos[Tipo])</calculatedColumnFormula>
    </tableColumn>
    <tableColumn id="9" xr3:uid="{667A65B1-EE7D-4FA7-AC8B-AC1C41B38688}" name="Nombre" dataDxfId="31">
      <calculatedColumnFormula array="1">_xlfn.XLOOKUP(Moult1[[#This Row],[Tecnología]]&amp;Moult1[[#This Row],[Problema]],TbNombres[Tecnología]&amp;TbNombres[Problema],TbNombres[Nombre])</calculatedColumnFormula>
    </tableColumn>
    <tableColumn id="1" xr3:uid="{2720E47C-8697-4996-95D9-494114682468}" name="Metodo" dataDxfId="32"/>
    <tableColumn id="3" xr3:uid="{E4C51C40-2E57-46BC-B2F3-4DA44A87BFEE}" name="Problema" dataDxfId="117"/>
    <tableColumn id="4" xr3:uid="{D9370F0D-806C-4716-9B37-EC62E25EDC0B}" name="Hebras" dataDxfId="116"/>
    <tableColumn id="5" xr3:uid="{F2339CAC-D4F8-4725-BCA6-50C099509EF1}" name="nx" dataDxfId="115"/>
    <tableColumn id="6" xr3:uid="{E876A7C3-AA93-4E01-AAF3-8DD70FCCAD22}" name="neqn" dataDxfId="114"/>
    <tableColumn id="8" xr3:uid="{5C83250F-C60E-4261-ACBE-B658CD93140A}" name="T (s)" dataDxfId="11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C360455-65E9-42E9-9007-C46490AAAA38}" name="Moult2" displayName="Moult2" ref="M6:V59" totalsRowShown="0" headerRowDxfId="110" dataDxfId="109">
  <autoFilter ref="M6:V59" xr:uid="{9C360455-65E9-42E9-9007-C46490AAAA38}"/>
  <sortState xmlns:xlrd2="http://schemas.microsoft.com/office/spreadsheetml/2017/richdata2" ref="Q7:V35">
    <sortCondition ref="V6:V35"/>
  </sortState>
  <tableColumns count="10">
    <tableColumn id="10" xr3:uid="{9FD60532-8B14-4B53-B21D-E4D60D7CF655}" name="Solver" dataDxfId="30">
      <calculatedColumnFormula>_xlfn.XLOOKUP(Moult2[[#This Row],[Metodo]],TbSolver[Metodo],TbSolver[Solver])</calculatedColumnFormula>
    </tableColumn>
    <tableColumn id="8" xr3:uid="{923C693D-83B1-405B-BD13-8DB7C75A4595}" name="Tecnología" dataDxfId="102">
      <calculatedColumnFormula>_xlfn.XLOOKUP(Moult2[[#This Row],[Hebras]],TbTecnologia[Hebras],TbTecnologia[Tecnología])</calculatedColumnFormula>
    </tableColumn>
    <tableColumn id="2" xr3:uid="{52D26FDA-CF6C-448A-A8E3-A8486E63CF76}" name="Tipo" dataDxfId="29">
      <calculatedColumnFormula array="1">_xlfn.XLOOKUP(Moult2[[#This Row],[Tecnología]]&amp;Moult2[[#This Row],[Metodo]],TbTipos[Tecnología]&amp;TbTipos[Metodo],TbTipos[Tipo])</calculatedColumnFormula>
    </tableColumn>
    <tableColumn id="9" xr3:uid="{AE69DC81-A584-44FC-AEDD-BD8E7D48B5DD}" name="Nombre" dataDxfId="28">
      <calculatedColumnFormula array="1">_xlfn.XLOOKUP(Moult2[[#This Row],[Tecnología]]&amp;Moult2[[#This Row],[Problema]],TbNombres[Tecnología]&amp;TbNombres[Problema],TbNombres[Nombre])</calculatedColumnFormula>
    </tableColumn>
    <tableColumn id="1" xr3:uid="{2755E358-21EC-4072-BAA6-40431DB14DA1}" name="Metodo" dataDxfId="108"/>
    <tableColumn id="3" xr3:uid="{FCB9D37E-DAD3-4454-BB60-7138312D3463}" name="Problema" dataDxfId="107"/>
    <tableColumn id="4" xr3:uid="{C253554C-D734-420F-89C5-37B8D2E6597F}" name="Hebras" dataDxfId="106"/>
    <tableColumn id="5" xr3:uid="{8808871A-C9D7-442D-871C-6A563F8050AC}" name="nx" dataDxfId="105"/>
    <tableColumn id="6" xr3:uid="{E7E641EA-AAAB-46A6-B72E-1C05B6DB7EAF}" name="neqn" dataDxfId="104"/>
    <tableColumn id="7" xr3:uid="{3A142AB3-0EF9-456B-8F09-7FE2C8001D1C}" name="T (s)" dataDxfId="103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FAA13EA-0301-4811-9277-4E83793E4308}" name="Moult3" displayName="Moult3" ref="X6:AG71" totalsRowShown="0" headerRowDxfId="101" dataDxfId="100">
  <autoFilter ref="X6:AG71" xr:uid="{7FAA13EA-0301-4811-9277-4E83793E4308}"/>
  <sortState xmlns:xlrd2="http://schemas.microsoft.com/office/spreadsheetml/2017/richdata2" ref="Z7:AG47">
    <sortCondition ref="AG6:AG47"/>
  </sortState>
  <tableColumns count="10">
    <tableColumn id="10" xr3:uid="{93A386FF-745E-4B02-82B7-425A70E649A5}" name="Solver" dataDxfId="27">
      <calculatedColumnFormula>_xlfn.XLOOKUP(Moult3[[#This Row],[Metodo]],TbSolver[Metodo],TbSolver[Solver])</calculatedColumnFormula>
    </tableColumn>
    <tableColumn id="8" xr3:uid="{A71214F1-6E02-4DD3-BB4E-BFEB62E2BC08}" name="Tecnología" dataDxfId="94">
      <calculatedColumnFormula>_xlfn.XLOOKUP(Moult3[[#This Row],[Hebras]],TbTecnologia[Hebras],TbTecnologia[Tecnología])</calculatedColumnFormula>
    </tableColumn>
    <tableColumn id="2" xr3:uid="{1198AC4B-8BFD-4558-BC44-AAA951ECA72C}" name="Tipo" dataDxfId="93">
      <calculatedColumnFormula array="1">_xlfn.XLOOKUP(Moult3[[#This Row],[Tecnología]]&amp;Moult3[[#This Row],[Metodo]],TbTipos[Tecnología]&amp;TbTipos[Metodo],TbTipos[Tipo])</calculatedColumnFormula>
    </tableColumn>
    <tableColumn id="9" xr3:uid="{46DFED14-7E0F-46C7-A0B8-9DB1A41DB561}" name="Nombre" dataDxfId="25">
      <calculatedColumnFormula array="1">_xlfn.XLOOKUP(Moult3[[#This Row],[Tecnología]]&amp;Moult3[[#This Row],[Problema]],TbNombres[Tecnología]&amp;TbNombres[Problema],TbNombres[Nombre])</calculatedColumnFormula>
    </tableColumn>
    <tableColumn id="1" xr3:uid="{B686EB59-66AD-4A6F-8B5C-4C399052697F}" name="Metodo" dataDxfId="26"/>
    <tableColumn id="3" xr3:uid="{03BC72D5-17E2-4960-B398-0F830C0C833A}" name="Problema" dataDxfId="99"/>
    <tableColumn id="4" xr3:uid="{2C745182-61AF-4763-BFA7-3B7EA681527B}" name="Hebras" dataDxfId="98"/>
    <tableColumn id="5" xr3:uid="{CCCFEF00-F9D3-43E4-B2BB-77C09156756F}" name="nx" dataDxfId="97"/>
    <tableColumn id="6" xr3:uid="{090674BC-E85D-486E-B1BA-FD475D07C788}" name="neqn" dataDxfId="96"/>
    <tableColumn id="7" xr3:uid="{2C568E81-A939-4939-BB03-7416441A56E6}" name="T (s)" dataDxfId="95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87CAF4E-387F-4275-86B5-AAF49813F6BB}" name="Moult4" displayName="Moult4" ref="AI6:AR47" totalsRowShown="0" headerRowDxfId="92" dataDxfId="91">
  <autoFilter ref="AI6:AR47" xr:uid="{087CAF4E-387F-4275-86B5-AAF49813F6BB}"/>
  <sortState xmlns:xlrd2="http://schemas.microsoft.com/office/spreadsheetml/2017/richdata2" ref="AM7:AR47">
    <sortCondition ref="AP6:AP47"/>
  </sortState>
  <tableColumns count="10">
    <tableColumn id="10" xr3:uid="{8455EC33-9D35-447E-BF30-CDE164AFBB8C}" name="Solver" dataDxfId="24">
      <calculatedColumnFormula>_xlfn.XLOOKUP(Moult4[[#This Row],[Metodo]],TbSolver[Metodo],TbSolver[Solver])</calculatedColumnFormula>
    </tableColumn>
    <tableColumn id="8" xr3:uid="{78DBEB98-E048-49A2-8ACC-77EEE6A40C8D}" name="Tecnología" dataDxfId="84">
      <calculatedColumnFormula>_xlfn.XLOOKUP(Moult4[[#This Row],[Hebras]],TbTecnologia[Hebras],TbTecnologia[Tecnología])</calculatedColumnFormula>
    </tableColumn>
    <tableColumn id="2" xr3:uid="{669B6FFB-C5BE-4B43-B45D-B3D3D0126232}" name="Tipo" dataDxfId="23">
      <calculatedColumnFormula array="1">_xlfn.XLOOKUP(Moult4[[#This Row],[Tecnología]]&amp;Moult4[[#This Row],[Metodo]],TbTipos[Tecnología]&amp;TbTipos[Metodo],TbTipos[Tipo])</calculatedColumnFormula>
    </tableColumn>
    <tableColumn id="9" xr3:uid="{4C24C53B-128E-4322-B1E6-98EC85BCD126}" name="Nombre" dataDxfId="22">
      <calculatedColumnFormula array="1">_xlfn.XLOOKUP(Moult4[[#This Row],[Tecnología]]&amp;Moult4[[#This Row],[Problema]],TbNombres[Tecnología]&amp;TbNombres[Problema],TbNombres[Nombre])</calculatedColumnFormula>
    </tableColumn>
    <tableColumn id="1" xr3:uid="{C58B69C1-5999-40CC-A26E-F65574D4F6AD}" name="Metodo" dataDxfId="90"/>
    <tableColumn id="3" xr3:uid="{62B24C49-A6D2-4888-9737-78D5B6FC37B1}" name="Problema" dataDxfId="89"/>
    <tableColumn id="4" xr3:uid="{808187CD-736A-4306-9D20-82C693594115}" name="Hebras" dataDxfId="88"/>
    <tableColumn id="5" xr3:uid="{67BD7F1D-A417-45D5-8965-4DD62244639E}" name="nx" dataDxfId="87"/>
    <tableColumn id="6" xr3:uid="{72E04A47-BFD0-439D-B6D3-5C231B43DADA}" name="neqn" dataDxfId="86"/>
    <tableColumn id="7" xr3:uid="{F00BB04B-B9FC-48D4-82F4-D3D0D79EE75A}" name="T (s)" dataDxfId="85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84D5F3F-C0B0-4AEB-97C7-F6BA064E6E99}" name="Total" displayName="Total" ref="B2:K746" totalsRowShown="0" headerRowDxfId="173" dataDxfId="172">
  <autoFilter ref="B2:K746" xr:uid="{684D5F3F-C0B0-4AEB-97C7-F6BA064E6E99}"/>
  <tableColumns count="10">
    <tableColumn id="10" xr3:uid="{7D93A926-E87C-408E-8E36-CCE91C960CDE}" name="Solver" dataDxfId="57">
      <calculatedColumnFormula>_xlfn.XLOOKUP(Total[[#This Row],[Metodo]],TbSolver[Metodo],TbSolver[Solver])</calculatedColumnFormula>
    </tableColumn>
    <tableColumn id="8" xr3:uid="{3418AB1A-378E-49AC-BE25-A89201B6B15A}" name="Tecnología" dataDxfId="165">
      <calculatedColumnFormula>_xlfn.XLOOKUP(Total[[#This Row],[Hebras]],TbTecnologia[Hebras],TbTecnologia[Tecnología])</calculatedColumnFormula>
    </tableColumn>
    <tableColumn id="2" xr3:uid="{0899907B-D5B1-473E-B3CC-5A7C128D93DB}" name="Tipo" dataDxfId="56">
      <calculatedColumnFormula array="1">_xlfn.XLOOKUP(Total[[#This Row],[Tecnología]]&amp;Total[[#This Row],[Metodo]],TbTipos[Tecnología]&amp;TbTipos[Metodo],TbTipos[Tipo])</calculatedColumnFormula>
    </tableColumn>
    <tableColumn id="9" xr3:uid="{EE5DD772-920C-4F68-82E5-0D5E0673DF57}" name="Nombre" dataDxfId="55">
      <calculatedColumnFormula array="1">_xlfn.XLOOKUP(Total[[#This Row],[Tecnología]]&amp;Total[[#This Row],[Problema]],TbNombres[Tecnología]&amp;TbNombres[Problema],TbNombres[Nombre])</calculatedColumnFormula>
    </tableColumn>
    <tableColumn id="1" xr3:uid="{003D3B64-6BA5-48C2-B47C-CE586FFE98A6}" name="Metodo" dataDxfId="171"/>
    <tableColumn id="3" xr3:uid="{66AE445B-AA8D-4E64-8E92-28EF63FF1584}" name="Problema" dataDxfId="170"/>
    <tableColumn id="4" xr3:uid="{4F413694-3C42-4D8C-9276-C9E7D85861F8}" name="Hebras" dataDxfId="169"/>
    <tableColumn id="5" xr3:uid="{A7CD2E89-3E4C-4284-B964-40959EB6D9E5}" name="nx" dataDxfId="168"/>
    <tableColumn id="6" xr3:uid="{046C693F-8253-4023-95BE-7F686D174A86}" name="neqn" dataDxfId="167"/>
    <tableColumn id="7" xr3:uid="{0155A21F-0A40-440B-9933-D218B590E20C}" name="T (s)" dataDxfId="166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7478B3F-EA04-49A0-B014-A300D71E6557}" name="TbNombres" displayName="TbNombres" ref="G18:I31" totalsRowShown="0" headerRowDxfId="21" dataDxfId="20">
  <autoFilter ref="G18:I31" xr:uid="{E7478B3F-EA04-49A0-B014-A300D71E6557}"/>
  <tableColumns count="3">
    <tableColumn id="2" xr3:uid="{120C9707-760E-47BA-B79D-4212A87FAF41}" name="Tecnología" dataDxfId="19"/>
    <tableColumn id="1" xr3:uid="{9331E4E8-C6C1-4F77-94F9-59B8BE17AD70}" name="Problema" dataDxfId="18"/>
    <tableColumn id="3" xr3:uid="{A233349C-D903-4CD9-97EC-96BBEA38590B}" name="Nombre" dataDxfId="17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586BEAD3-FB59-4BB2-AAED-4F0B4CC4321F}" name="TbTipos" displayName="TbTipos" ref="G3:I15" totalsRowShown="0" headerRowDxfId="16" dataDxfId="15">
  <autoFilter ref="G3:I15" xr:uid="{586BEAD3-FB59-4BB2-AAED-4F0B4CC4321F}"/>
  <tableColumns count="3">
    <tableColumn id="1" xr3:uid="{6453DFE5-8156-4C43-903B-95D2D4195B2C}" name="Tecnología" dataDxfId="14"/>
    <tableColumn id="2" xr3:uid="{469D9176-D1AD-4BDB-BD76-487EE41012DA}" name="Metodo" dataDxfId="13"/>
    <tableColumn id="3" xr3:uid="{34AD8A7F-28A8-4612-92F9-55E95B3D3798}" name="Tipo" dataDxfId="12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3DFBD06C-449C-42AB-A682-CB90F954B7A3}" name="TbTecnologia" displayName="TbTecnologia" ref="C12:D16" totalsRowShown="0" headerRowDxfId="11" dataDxfId="10">
  <autoFilter ref="C12:D16" xr:uid="{3DFBD06C-449C-42AB-A682-CB90F954B7A3}"/>
  <tableColumns count="2">
    <tableColumn id="1" xr3:uid="{CDBB85C0-4727-4E19-BDD6-54A456C6D23E}" name="Hebras" dataDxfId="9"/>
    <tableColumn id="2" xr3:uid="{C1CC48C6-01AC-426A-8FF9-0B18A98B3140}" name="Tecnología" dataDxfId="8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3DEED02-5CCF-4BEA-A5EC-9CAC0A7D4641}" name="TbSolver" displayName="TbSolver" ref="C3:D9" totalsRowShown="0" headerRowDxfId="7" dataDxfId="6">
  <autoFilter ref="C3:D9" xr:uid="{C3DEED02-5CCF-4BEA-A5EC-9CAC0A7D4641}"/>
  <tableColumns count="2">
    <tableColumn id="1" xr3:uid="{008F2A0F-44B6-4CC8-B91D-FAD953DFFFE8}" name="Metodo" dataDxfId="5"/>
    <tableColumn id="2" xr3:uid="{AD9ED6B1-C8C8-4B6F-A7D1-10837C6EB564}" name="Solver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4" Type="http://schemas.openxmlformats.org/officeDocument/2006/relationships/table" Target="../tables/table8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4" Type="http://schemas.openxmlformats.org/officeDocument/2006/relationships/table" Target="../tables/table1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Relationship Id="rId4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33A1F-ACFD-44F6-87B1-41095CAADD05}">
  <dimension ref="B1:AR104"/>
  <sheetViews>
    <sheetView topLeftCell="U17" zoomScaleNormal="100" workbookViewId="0">
      <selection activeCell="AI42" sqref="AI33:AR42"/>
    </sheetView>
  </sheetViews>
  <sheetFormatPr defaultColWidth="10" defaultRowHeight="12.75" x14ac:dyDescent="0.2"/>
  <cols>
    <col min="2" max="2" width="11.42578125" bestFit="1" customWidth="1"/>
    <col min="3" max="3" width="7.7109375" customWidth="1"/>
    <col min="4" max="4" width="16.42578125" bestFit="1" customWidth="1"/>
    <col min="5" max="5" width="12.7109375" bestFit="1" customWidth="1"/>
    <col min="13" max="13" width="11.42578125" bestFit="1" customWidth="1"/>
    <col min="14" max="14" width="9.42578125" customWidth="1"/>
    <col min="15" max="15" width="16.42578125" bestFit="1" customWidth="1"/>
    <col min="16" max="16" width="12.7109375" bestFit="1" customWidth="1"/>
    <col min="24" max="24" width="11.42578125" bestFit="1" customWidth="1"/>
    <col min="25" max="25" width="9.28515625" customWidth="1"/>
    <col min="26" max="26" width="16.42578125" bestFit="1" customWidth="1"/>
    <col min="27" max="27" width="12.7109375" bestFit="1" customWidth="1"/>
    <col min="35" max="35" width="11.42578125" bestFit="1" customWidth="1"/>
    <col min="36" max="36" width="8" customWidth="1"/>
    <col min="37" max="37" width="16.42578125" bestFit="1" customWidth="1"/>
    <col min="38" max="38" width="12.7109375" bestFit="1" customWidth="1"/>
  </cols>
  <sheetData>
    <row r="1" spans="2:44" ht="27.75" x14ac:dyDescent="0.2">
      <c r="L1" s="3" t="s">
        <v>16</v>
      </c>
    </row>
    <row r="3" spans="2:44" x14ac:dyDescent="0.2">
      <c r="B3" s="4" t="s">
        <v>7</v>
      </c>
      <c r="C3" s="4"/>
      <c r="D3" s="4"/>
      <c r="E3" s="4"/>
      <c r="F3" s="4"/>
      <c r="G3" s="4"/>
      <c r="H3" s="4"/>
      <c r="I3" s="4"/>
      <c r="J3" s="4"/>
      <c r="K3" s="4"/>
      <c r="M3" s="4" t="s">
        <v>15</v>
      </c>
      <c r="N3" s="4"/>
      <c r="O3" s="4"/>
      <c r="P3" s="4"/>
      <c r="Q3" s="4"/>
      <c r="R3" s="4"/>
      <c r="S3" s="4"/>
      <c r="T3" s="4"/>
      <c r="U3" s="4"/>
      <c r="V3" s="4"/>
      <c r="W3" s="13"/>
      <c r="X3" s="4" t="s">
        <v>11</v>
      </c>
      <c r="Y3" s="4"/>
      <c r="Z3" s="4"/>
      <c r="AA3" s="4"/>
      <c r="AB3" s="4"/>
      <c r="AC3" s="4"/>
      <c r="AD3" s="4"/>
      <c r="AE3" s="4"/>
      <c r="AF3" s="4"/>
      <c r="AG3" s="4"/>
      <c r="AH3" s="13"/>
      <c r="AI3" s="4" t="s">
        <v>13</v>
      </c>
      <c r="AJ3" s="4"/>
      <c r="AK3" s="4"/>
      <c r="AL3" s="4"/>
      <c r="AM3" s="4"/>
      <c r="AN3" s="4"/>
      <c r="AO3" s="4"/>
      <c r="AP3" s="4"/>
      <c r="AQ3" s="4"/>
      <c r="AR3" s="4"/>
    </row>
    <row r="4" spans="2:44" x14ac:dyDescent="0.2">
      <c r="B4" s="4" t="s">
        <v>8</v>
      </c>
      <c r="C4" s="4"/>
      <c r="D4" s="4"/>
      <c r="E4" s="4"/>
      <c r="F4" s="4"/>
      <c r="G4" s="4"/>
      <c r="H4" s="4"/>
      <c r="I4" s="4"/>
      <c r="J4" s="4"/>
      <c r="K4" s="4"/>
      <c r="M4" s="4" t="s">
        <v>10</v>
      </c>
      <c r="N4" s="4"/>
      <c r="O4" s="4"/>
      <c r="P4" s="4"/>
      <c r="Q4" s="4"/>
      <c r="R4" s="4"/>
      <c r="S4" s="4"/>
      <c r="T4" s="4"/>
      <c r="U4" s="4"/>
      <c r="V4" s="4"/>
      <c r="W4" s="13"/>
      <c r="X4" s="4" t="s">
        <v>12</v>
      </c>
      <c r="Y4" s="4"/>
      <c r="Z4" s="4"/>
      <c r="AA4" s="4"/>
      <c r="AB4" s="4"/>
      <c r="AC4" s="4"/>
      <c r="AD4" s="4"/>
      <c r="AE4" s="4"/>
      <c r="AF4" s="4"/>
      <c r="AG4" s="4"/>
      <c r="AH4" s="13"/>
      <c r="AI4" s="4" t="s">
        <v>14</v>
      </c>
      <c r="AJ4" s="4"/>
      <c r="AK4" s="4"/>
      <c r="AL4" s="4"/>
      <c r="AM4" s="4"/>
      <c r="AN4" s="4"/>
      <c r="AO4" s="4"/>
      <c r="AP4" s="4"/>
      <c r="AQ4" s="4"/>
      <c r="AR4" s="4"/>
    </row>
    <row r="6" spans="2:44" x14ac:dyDescent="0.2">
      <c r="B6" s="1" t="s">
        <v>31</v>
      </c>
      <c r="C6" s="1" t="s">
        <v>23</v>
      </c>
      <c r="D6" s="1" t="s">
        <v>6</v>
      </c>
      <c r="E6" s="1" t="s">
        <v>30</v>
      </c>
      <c r="F6" s="1" t="s">
        <v>1</v>
      </c>
      <c r="G6" s="1" t="s">
        <v>2</v>
      </c>
      <c r="H6" s="1" t="s">
        <v>3</v>
      </c>
      <c r="I6" s="1" t="s">
        <v>4</v>
      </c>
      <c r="J6" s="1" t="s">
        <v>0</v>
      </c>
      <c r="K6" s="1" t="s">
        <v>5</v>
      </c>
      <c r="M6" s="1" t="s">
        <v>31</v>
      </c>
      <c r="N6" s="1" t="s">
        <v>23</v>
      </c>
      <c r="O6" s="1" t="s">
        <v>6</v>
      </c>
      <c r="P6" s="1" t="s">
        <v>30</v>
      </c>
      <c r="Q6" s="1" t="s">
        <v>1</v>
      </c>
      <c r="R6" s="1" t="s">
        <v>2</v>
      </c>
      <c r="S6" s="1" t="s">
        <v>3</v>
      </c>
      <c r="T6" s="1" t="s">
        <v>4</v>
      </c>
      <c r="U6" s="1" t="s">
        <v>0</v>
      </c>
      <c r="V6" s="1" t="s">
        <v>5</v>
      </c>
      <c r="X6" s="1" t="s">
        <v>31</v>
      </c>
      <c r="Y6" s="1" t="s">
        <v>23</v>
      </c>
      <c r="Z6" s="1" t="s">
        <v>6</v>
      </c>
      <c r="AA6" s="1" t="s">
        <v>30</v>
      </c>
      <c r="AB6" s="1" t="s">
        <v>1</v>
      </c>
      <c r="AC6" s="1" t="s">
        <v>2</v>
      </c>
      <c r="AD6" s="1" t="s">
        <v>3</v>
      </c>
      <c r="AE6" s="1" t="s">
        <v>4</v>
      </c>
      <c r="AF6" s="1" t="s">
        <v>0</v>
      </c>
      <c r="AG6" s="1" t="s">
        <v>5</v>
      </c>
      <c r="AI6" s="1" t="s">
        <v>31</v>
      </c>
      <c r="AJ6" s="1" t="s">
        <v>23</v>
      </c>
      <c r="AK6" s="1" t="s">
        <v>6</v>
      </c>
      <c r="AL6" s="1" t="s">
        <v>30</v>
      </c>
      <c r="AM6" s="1" t="s">
        <v>1</v>
      </c>
      <c r="AN6" s="1" t="s">
        <v>2</v>
      </c>
      <c r="AO6" s="1" t="s">
        <v>3</v>
      </c>
      <c r="AP6" s="1" t="s">
        <v>4</v>
      </c>
      <c r="AQ6" s="1" t="s">
        <v>0</v>
      </c>
      <c r="AR6" s="1" t="s">
        <v>5</v>
      </c>
    </row>
    <row r="7" spans="2:44" x14ac:dyDescent="0.2">
      <c r="B7" s="1" t="str">
        <f>_xlfn.XLOOKUP(Runge1[[#This Row],[Metodo]],TbSolver[Metodo],TbSolver[Solver])</f>
        <v>RungeKutta</v>
      </c>
      <c r="C7" s="1" t="str">
        <f>_xlfn.XLOOKUP(Runge1[[#This Row],[Hebras]],TbTecnologia[Hebras],TbTecnologia[Tecnología])</f>
        <v>OMP</v>
      </c>
      <c r="D7" s="5" t="str" cm="1">
        <f t="array" ref="D7">_xlfn.XLOOKUP(Runge1[[#This Row],[Tecnología]]&amp;Runge1[[#This Row],[Metodo]],TbTipos[Tecnología]&amp;TbTipos[Metodo],TbTipos[Tipo])</f>
        <v>OMP Operaciones</v>
      </c>
      <c r="E7" s="1" t="str" cm="1">
        <f t="array" ref="E7">_xlfn.XLOOKUP(Runge1[[#This Row],[Tecnología]]&amp;Runge1[[#This Row],[Problema]],TbNombres[Tecnología]&amp;TbNombres[Problema],TbNombres[Nombre])</f>
        <v>Simple Advdiff</v>
      </c>
      <c r="F7" s="1">
        <v>1</v>
      </c>
      <c r="G7" s="1">
        <v>1</v>
      </c>
      <c r="H7" s="1">
        <v>1</v>
      </c>
      <c r="I7" s="1">
        <v>100</v>
      </c>
      <c r="J7" s="1">
        <v>100</v>
      </c>
      <c r="K7" s="1">
        <v>2.7344300000000001</v>
      </c>
      <c r="M7" s="6" t="str">
        <f>_xlfn.XLOOKUP(Runge2[[#This Row],[Metodo]],TbSolver[Metodo],TbSolver[Solver])</f>
        <v>RungeKutta</v>
      </c>
      <c r="N7" s="6" t="str">
        <f>_xlfn.XLOOKUP(Runge2[[#This Row],[Hebras]],TbTecnologia[Hebras],TbTecnologia[Tecnología])</f>
        <v>OMP</v>
      </c>
      <c r="O7" s="7" t="str" cm="1">
        <f t="array" ref="O7">_xlfn.XLOOKUP(Runge2[[#This Row],[Tecnología]]&amp;Runge2[[#This Row],[Metodo]],TbTipos[Tecnología]&amp;TbTipos[Metodo],TbTipos[Tipo])</f>
        <v>OMP Elementos</v>
      </c>
      <c r="P7" s="6" t="str" cm="1">
        <f t="array" ref="P7">_xlfn.XLOOKUP(Runge2[[#This Row],[Tecnología]]&amp;Runge2[[#This Row],[Problema]],TbNombres[Tecnología]&amp;TbNombres[Problema],TbNombres[Nombre])</f>
        <v>Advdiff1d</v>
      </c>
      <c r="Q7" s="6">
        <v>2</v>
      </c>
      <c r="R7" s="6">
        <v>2</v>
      </c>
      <c r="S7" s="6">
        <v>4</v>
      </c>
      <c r="T7" s="6">
        <v>100</v>
      </c>
      <c r="U7" s="6">
        <v>100</v>
      </c>
      <c r="V7" s="6">
        <v>11.9709</v>
      </c>
      <c r="X7" s="6" t="str">
        <f>_xlfn.XLOOKUP(Runge3[[#This Row],[Metodo]],TbSolver[Metodo],TbSolver[Solver])</f>
        <v>RungeKutta</v>
      </c>
      <c r="Y7" s="6" t="str">
        <f>_xlfn.XLOOKUP(Runge3[[#This Row],[Hebras]],TbTecnologia[Hebras],TbTecnologia[Tecnología])</f>
        <v>OMP</v>
      </c>
      <c r="Z7" s="7" t="str" cm="1">
        <f t="array" ref="Z7">_xlfn.XLOOKUP(Runge3[[#This Row],[Tecnología]]&amp;Runge3[[#This Row],[Metodo]],TbTipos[Tecnología]&amp;TbTipos[Metodo],TbTipos[Tipo])</f>
        <v>OMP Elementos</v>
      </c>
      <c r="AA7" s="6" t="str" cm="1">
        <f t="array" ref="AA7">_xlfn.XLOOKUP(Runge3[[#This Row],[Tecnología]]&amp;Runge3[[#This Row],[Problema]],TbNombres[Tecnología]&amp;TbNombres[Problema],TbNombres[Nombre])</f>
        <v>Brusselator1d</v>
      </c>
      <c r="AB7" s="6">
        <v>2</v>
      </c>
      <c r="AC7" s="6">
        <v>3</v>
      </c>
      <c r="AD7" s="6">
        <v>1</v>
      </c>
      <c r="AE7" s="6">
        <v>100</v>
      </c>
      <c r="AF7" s="6">
        <v>200</v>
      </c>
      <c r="AG7" s="6">
        <v>5.33148</v>
      </c>
      <c r="AI7" s="6" t="str">
        <f>_xlfn.XLOOKUP(Runge4[[#This Row],[Metodo]],TbSolver[Metodo],TbSolver[Solver])</f>
        <v>RungeKutta</v>
      </c>
      <c r="AJ7" s="6" t="str">
        <f>_xlfn.XLOOKUP(Runge4[[#This Row],[Hebras]],TbTecnologia[Hebras],TbTecnologia[Tecnología])</f>
        <v>CUDA</v>
      </c>
      <c r="AK7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7" s="2" t="str" cm="1">
        <f t="array" ref="AL7">_xlfn.XLOOKUP(Runge4[[#This Row],[Tecnología]]&amp;Runge4[[#This Row],[Problema]],TbNombres[Tecnología]&amp;TbNombres[Problema],TbNombres[Nombre])</f>
        <v>Brusselator2d</v>
      </c>
      <c r="AM7" s="2">
        <v>2</v>
      </c>
      <c r="AN7" s="2">
        <v>9</v>
      </c>
      <c r="AO7" s="2">
        <v>256</v>
      </c>
      <c r="AP7" s="2">
        <v>50</v>
      </c>
      <c r="AQ7" s="2">
        <v>5000</v>
      </c>
      <c r="AR7" s="2">
        <v>16.983499999999999</v>
      </c>
    </row>
    <row r="8" spans="2:44" x14ac:dyDescent="0.2">
      <c r="B8" s="1" t="str">
        <f>_xlfn.XLOOKUP(Runge1[[#This Row],[Metodo]],TbSolver[Metodo],TbSolver[Solver])</f>
        <v>RungeKutta</v>
      </c>
      <c r="C8" s="1" t="str">
        <f>_xlfn.XLOOKUP(Runge1[[#This Row],[Hebras]],TbTecnologia[Hebras],TbTecnologia[Tecnología])</f>
        <v>OMP</v>
      </c>
      <c r="D8" s="5" t="str" cm="1">
        <f t="array" ref="D8">_xlfn.XLOOKUP(Runge1[[#This Row],[Tecnología]]&amp;Runge1[[#This Row],[Metodo]],TbTipos[Tecnología]&amp;TbTipos[Metodo],TbTipos[Tipo])</f>
        <v>OMP Elementos</v>
      </c>
      <c r="E8" s="1" t="str" cm="1">
        <f t="array" ref="E8">_xlfn.XLOOKUP(Runge1[[#This Row],[Tecnología]]&amp;Runge1[[#This Row],[Problema]],TbNombres[Tecnología]&amp;TbNombres[Problema],TbNombres[Nombre])</f>
        <v>Simple Advdiff</v>
      </c>
      <c r="F8" s="1">
        <v>2</v>
      </c>
      <c r="G8" s="1">
        <v>1</v>
      </c>
      <c r="H8" s="1">
        <v>1</v>
      </c>
      <c r="I8" s="1">
        <v>100</v>
      </c>
      <c r="J8" s="1">
        <v>100</v>
      </c>
      <c r="K8" s="1">
        <v>3.68499</v>
      </c>
      <c r="M8" s="6" t="str">
        <f>_xlfn.XLOOKUP(Runge2[[#This Row],[Metodo]],TbSolver[Metodo],TbSolver[Solver])</f>
        <v>RungeKutta</v>
      </c>
      <c r="N8" s="6" t="str">
        <f>_xlfn.XLOOKUP(Runge2[[#This Row],[Hebras]],TbTecnologia[Hebras],TbTecnologia[Tecnología])</f>
        <v>OMP</v>
      </c>
      <c r="O8" s="7" t="str" cm="1">
        <f t="array" ref="O8">_xlfn.XLOOKUP(Runge2[[#This Row],[Tecnología]]&amp;Runge2[[#This Row],[Metodo]],TbTipos[Tecnología]&amp;TbTipos[Metodo],TbTipos[Tipo])</f>
        <v>OMP Elementos</v>
      </c>
      <c r="P8" s="6" t="str" cm="1">
        <f t="array" ref="P8">_xlfn.XLOOKUP(Runge2[[#This Row],[Tecnología]]&amp;Runge2[[#This Row],[Problema]],TbNombres[Tecnología]&amp;TbNombres[Problema],TbNombres[Nombre])</f>
        <v>Advdiff1d</v>
      </c>
      <c r="Q8" s="6">
        <v>2</v>
      </c>
      <c r="R8" s="6">
        <v>2</v>
      </c>
      <c r="S8" s="6">
        <v>1</v>
      </c>
      <c r="T8" s="6">
        <v>100</v>
      </c>
      <c r="U8" s="6">
        <v>100</v>
      </c>
      <c r="V8" s="6">
        <v>12.3429</v>
      </c>
      <c r="X8" s="6" t="str">
        <f>_xlfn.XLOOKUP(Runge3[[#This Row],[Metodo]],TbSolver[Metodo],TbSolver[Solver])</f>
        <v>RungeKutta</v>
      </c>
      <c r="Y8" s="6" t="str">
        <f>_xlfn.XLOOKUP(Runge3[[#This Row],[Hebras]],TbTecnologia[Hebras],TbTecnologia[Tecnología])</f>
        <v>OMP</v>
      </c>
      <c r="Z8" s="7" t="str" cm="1">
        <f t="array" ref="Z8">_xlfn.XLOOKUP(Runge3[[#This Row],[Tecnología]]&amp;Runge3[[#This Row],[Metodo]],TbTipos[Tecnología]&amp;TbTipos[Metodo],TbTipos[Tipo])</f>
        <v>OMP Operaciones</v>
      </c>
      <c r="AA8" s="6" t="str" cm="1">
        <f t="array" ref="AA8">_xlfn.XLOOKUP(Runge3[[#This Row],[Tecnología]]&amp;Runge3[[#This Row],[Problema]],TbNombres[Tecnología]&amp;TbNombres[Problema],TbNombres[Nombre])</f>
        <v>Brusselator1d</v>
      </c>
      <c r="AB8" s="6">
        <v>1</v>
      </c>
      <c r="AC8" s="6">
        <v>3</v>
      </c>
      <c r="AD8" s="6">
        <v>1</v>
      </c>
      <c r="AE8" s="6">
        <v>100</v>
      </c>
      <c r="AF8" s="6">
        <v>200</v>
      </c>
      <c r="AG8" s="6">
        <v>5.4470700000000001</v>
      </c>
      <c r="AI8" s="6" t="str">
        <f>_xlfn.XLOOKUP(Runge4[[#This Row],[Metodo]],TbSolver[Metodo],TbSolver[Solver])</f>
        <v>RungeKutta</v>
      </c>
      <c r="AJ8" s="6" t="str">
        <f>_xlfn.XLOOKUP(Runge4[[#This Row],[Hebras]],TbTecnologia[Hebras],TbTecnologia[Tecnología])</f>
        <v>CUDA</v>
      </c>
      <c r="AK8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8" s="2" t="str" cm="1">
        <f t="array" ref="AL8">_xlfn.XLOOKUP(Runge4[[#This Row],[Tecnología]]&amp;Runge4[[#This Row],[Problema]],TbNombres[Tecnología]&amp;TbNombres[Problema],TbNombres[Nombre])</f>
        <v>Brusselator2d</v>
      </c>
      <c r="AM8" s="2">
        <v>2</v>
      </c>
      <c r="AN8" s="2">
        <v>8</v>
      </c>
      <c r="AO8" s="2">
        <v>256</v>
      </c>
      <c r="AP8" s="2">
        <v>50</v>
      </c>
      <c r="AQ8" s="2">
        <v>5000</v>
      </c>
      <c r="AR8" s="2">
        <v>17.009499999999999</v>
      </c>
    </row>
    <row r="9" spans="2:44" x14ac:dyDescent="0.2">
      <c r="B9" s="1" t="str">
        <f>_xlfn.XLOOKUP(Runge1[[#This Row],[Metodo]],TbSolver[Metodo],TbSolver[Solver])</f>
        <v>RungeKutta</v>
      </c>
      <c r="C9" s="1" t="str">
        <f>_xlfn.XLOOKUP(Runge1[[#This Row],[Hebras]],TbTecnologia[Hebras],TbTecnologia[Tecnología])</f>
        <v>OMP</v>
      </c>
      <c r="D9" s="5" t="str" cm="1">
        <f t="array" ref="D9">_xlfn.XLOOKUP(Runge1[[#This Row],[Tecnología]]&amp;Runge1[[#This Row],[Metodo]],TbTipos[Tecnología]&amp;TbTipos[Metodo],TbTipos[Tipo])</f>
        <v>OMP Elementos</v>
      </c>
      <c r="E9" s="1" t="str" cm="1">
        <f t="array" ref="E9">_xlfn.XLOOKUP(Runge1[[#This Row],[Tecnología]]&amp;Runge1[[#This Row],[Problema]],TbNombres[Tecnología]&amp;TbNombres[Problema],TbNombres[Nombre])</f>
        <v>Simple Advdiff</v>
      </c>
      <c r="F9" s="1">
        <v>2</v>
      </c>
      <c r="G9" s="1">
        <v>1</v>
      </c>
      <c r="H9" s="1">
        <v>4</v>
      </c>
      <c r="I9" s="1">
        <v>100</v>
      </c>
      <c r="J9" s="1">
        <v>100</v>
      </c>
      <c r="K9" s="1">
        <v>8.7560699999999994</v>
      </c>
      <c r="M9" s="6" t="str">
        <f>_xlfn.XLOOKUP(Runge2[[#This Row],[Metodo]],TbSolver[Metodo],TbSolver[Solver])</f>
        <v>RungeKutta</v>
      </c>
      <c r="N9" s="6" t="str">
        <f>_xlfn.XLOOKUP(Runge2[[#This Row],[Hebras]],TbTecnologia[Hebras],TbTecnologia[Tecnología])</f>
        <v>OMP</v>
      </c>
      <c r="O9" s="7" t="str" cm="1">
        <f t="array" ref="O9">_xlfn.XLOOKUP(Runge2[[#This Row],[Tecnología]]&amp;Runge2[[#This Row],[Metodo]],TbTipos[Tecnología]&amp;TbTipos[Metodo],TbTipos[Tipo])</f>
        <v>OMP Operaciones</v>
      </c>
      <c r="P9" s="6" t="str" cm="1">
        <f t="array" ref="P9">_xlfn.XLOOKUP(Runge2[[#This Row],[Tecnología]]&amp;Runge2[[#This Row],[Problema]],TbNombres[Tecnología]&amp;TbNombres[Problema],TbNombres[Nombre])</f>
        <v>Advdiff1d</v>
      </c>
      <c r="Q9" s="6">
        <v>1</v>
      </c>
      <c r="R9" s="6">
        <v>2</v>
      </c>
      <c r="S9" s="6">
        <v>1</v>
      </c>
      <c r="T9" s="6">
        <v>100</v>
      </c>
      <c r="U9" s="6">
        <v>100</v>
      </c>
      <c r="V9" s="6">
        <v>12.4354</v>
      </c>
      <c r="X9" s="6" t="str">
        <f>_xlfn.XLOOKUP(Runge3[[#This Row],[Metodo]],TbSolver[Metodo],TbSolver[Solver])</f>
        <v>RungeKutta</v>
      </c>
      <c r="Y9" s="6" t="str">
        <f>_xlfn.XLOOKUP(Runge3[[#This Row],[Hebras]],TbTecnologia[Hebras],TbTecnologia[Tecnología])</f>
        <v>OMP</v>
      </c>
      <c r="Z9" s="7" t="str" cm="1">
        <f t="array" ref="Z9">_xlfn.XLOOKUP(Runge3[[#This Row],[Tecnología]]&amp;Runge3[[#This Row],[Metodo]],TbTipos[Tecnología]&amp;TbTipos[Metodo],TbTipos[Tipo])</f>
        <v>OMP Elementos</v>
      </c>
      <c r="AA9" s="6" t="str" cm="1">
        <f t="array" ref="AA9">_xlfn.XLOOKUP(Runge3[[#This Row],[Tecnología]]&amp;Runge3[[#This Row],[Problema]],TbNombres[Tecnología]&amp;TbNombres[Problema],TbNombres[Nombre])</f>
        <v>Brusselator1d</v>
      </c>
      <c r="AB9" s="6">
        <v>2</v>
      </c>
      <c r="AC9" s="6">
        <v>3</v>
      </c>
      <c r="AD9" s="6">
        <v>4</v>
      </c>
      <c r="AE9" s="6">
        <v>100</v>
      </c>
      <c r="AF9" s="6">
        <v>200</v>
      </c>
      <c r="AG9" s="6">
        <v>8.7904599999999995</v>
      </c>
      <c r="AI9" s="6" t="str">
        <f>_xlfn.XLOOKUP(Runge4[[#This Row],[Metodo]],TbSolver[Metodo],TbSolver[Solver])</f>
        <v>RungeKutta</v>
      </c>
      <c r="AJ9" s="6" t="str">
        <f>_xlfn.XLOOKUP(Runge4[[#This Row],[Hebras]],TbTecnologia[Hebras],TbTecnologia[Tecnología])</f>
        <v>CUDA</v>
      </c>
      <c r="AK9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9" s="2" t="str" cm="1">
        <f t="array" ref="AL9">_xlfn.XLOOKUP(Runge4[[#This Row],[Tecnología]]&amp;Runge4[[#This Row],[Problema]],TbNombres[Tecnología]&amp;TbNombres[Problema],TbNombres[Nombre])</f>
        <v>Brusselator2d</v>
      </c>
      <c r="AM9" s="2">
        <v>1</v>
      </c>
      <c r="AN9" s="2">
        <v>8</v>
      </c>
      <c r="AO9" s="2">
        <v>256</v>
      </c>
      <c r="AP9" s="2">
        <v>50</v>
      </c>
      <c r="AQ9" s="2">
        <v>5000</v>
      </c>
      <c r="AR9" s="2">
        <v>19.817399999999999</v>
      </c>
    </row>
    <row r="10" spans="2:44" x14ac:dyDescent="0.2">
      <c r="B10" s="1" t="str">
        <f>_xlfn.XLOOKUP(Runge1[[#This Row],[Metodo]],TbSolver[Metodo],TbSolver[Solver])</f>
        <v>RungeKutta</v>
      </c>
      <c r="C10" s="1" t="str">
        <f>_xlfn.XLOOKUP(Runge1[[#This Row],[Hebras]],TbTecnologia[Hebras],TbTecnologia[Tecnología])</f>
        <v>CUDA</v>
      </c>
      <c r="D10" s="5" t="str" cm="1">
        <f t="array" ref="D10">_xlfn.XLOOKUP(Runge1[[#This Row],[Tecnología]]&amp;Runge1[[#This Row],[Metodo]],TbTipos[Tecnología]&amp;TbTipos[Metodo],TbTipos[Tipo])</f>
        <v>CUDA con graph</v>
      </c>
      <c r="E10" s="1" t="str" cm="1">
        <f t="array" ref="E10">_xlfn.XLOOKUP(Runge1[[#This Row],[Tecnología]]&amp;Runge1[[#This Row],[Problema]],TbNombres[Tecnología]&amp;TbNombres[Problema],TbNombres[Nombre])</f>
        <v>Simple Advdiff</v>
      </c>
      <c r="F10" s="1">
        <v>2</v>
      </c>
      <c r="G10" s="1">
        <v>1</v>
      </c>
      <c r="H10" s="1">
        <v>256</v>
      </c>
      <c r="I10" s="1">
        <v>100</v>
      </c>
      <c r="J10" s="1">
        <v>100</v>
      </c>
      <c r="K10" s="1">
        <v>10.740600000000001</v>
      </c>
      <c r="M10" s="6" t="str">
        <f>_xlfn.XLOOKUP(Runge2[[#This Row],[Metodo]],TbSolver[Metodo],TbSolver[Solver])</f>
        <v>RungeKutta</v>
      </c>
      <c r="N10" s="6" t="str">
        <f>_xlfn.XLOOKUP(Runge2[[#This Row],[Hebras]],TbTecnologia[Hebras],TbTecnologia[Tecnología])</f>
        <v>CUDA</v>
      </c>
      <c r="O10" s="2" t="str" cm="1">
        <f t="array" ref="O10">_xlfn.XLOOKUP(Runge2[[#This Row],[Tecnología]]&amp;Runge2[[#This Row],[Metodo]],TbTipos[Tecnología]&amp;TbTipos[Metodo],TbTipos[Tipo])</f>
        <v>CUDA con graph</v>
      </c>
      <c r="P10" s="2" t="str" cm="1">
        <f t="array" ref="P10">_xlfn.XLOOKUP(Runge2[[#This Row],[Tecnología]]&amp;Runge2[[#This Row],[Problema]],TbNombres[Tecnología]&amp;TbNombres[Problema],TbNombres[Nombre])</f>
        <v>Advdiff1d</v>
      </c>
      <c r="Q10" s="2">
        <v>2</v>
      </c>
      <c r="R10" s="2">
        <v>3</v>
      </c>
      <c r="S10" s="2">
        <v>256</v>
      </c>
      <c r="T10" s="2">
        <v>100</v>
      </c>
      <c r="U10" s="2">
        <v>100</v>
      </c>
      <c r="V10" s="2">
        <v>18.482600000000001</v>
      </c>
      <c r="X10" s="6" t="str">
        <f>_xlfn.XLOOKUP(Runge3[[#This Row],[Metodo]],TbSolver[Metodo],TbSolver[Solver])</f>
        <v>RungeKutta</v>
      </c>
      <c r="Y10" s="6" t="str">
        <f>_xlfn.XLOOKUP(Runge3[[#This Row],[Hebras]],TbTecnologia[Hebras],TbTecnologia[Tecnología])</f>
        <v>CUDA</v>
      </c>
      <c r="Z10" s="2" t="str" cm="1">
        <f t="array" ref="Z10">_xlfn.XLOOKUP(Runge3[[#This Row],[Tecnología]]&amp;Runge3[[#This Row],[Metodo]],TbTipos[Tecnología]&amp;TbTipos[Metodo],TbTipos[Tipo])</f>
        <v>CUDA con graph</v>
      </c>
      <c r="AA10" s="2" t="str" cm="1">
        <f t="array" ref="AA10">_xlfn.XLOOKUP(Runge3[[#This Row],[Tecnología]]&amp;Runge3[[#This Row],[Problema]],TbNombres[Tecnología]&amp;TbNombres[Problema],TbNombres[Nombre])</f>
        <v>Brusselator1d</v>
      </c>
      <c r="AB10" s="2">
        <v>2</v>
      </c>
      <c r="AC10" s="2">
        <v>5</v>
      </c>
      <c r="AD10" s="2">
        <v>256</v>
      </c>
      <c r="AE10" s="2">
        <v>100</v>
      </c>
      <c r="AF10" s="2">
        <v>200</v>
      </c>
      <c r="AG10" s="2">
        <v>13.028600000000001</v>
      </c>
      <c r="AI10" s="6" t="str">
        <f>_xlfn.XLOOKUP(Runge4[[#This Row],[Metodo]],TbSolver[Metodo],TbSolver[Solver])</f>
        <v>RungeKutta</v>
      </c>
      <c r="AJ10" s="6" t="str">
        <f>_xlfn.XLOOKUP(Runge4[[#This Row],[Hebras]],TbTecnologia[Hebras],TbTecnologia[Tecnología])</f>
        <v>CUDA</v>
      </c>
      <c r="AK10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10" s="2" t="str" cm="1">
        <f t="array" ref="AL10">_xlfn.XLOOKUP(Runge4[[#This Row],[Tecnología]]&amp;Runge4[[#This Row],[Problema]],TbNombres[Tecnología]&amp;TbNombres[Problema],TbNombres[Nombre])</f>
        <v>Brusselator2d</v>
      </c>
      <c r="AM10" s="2">
        <v>1</v>
      </c>
      <c r="AN10" s="2">
        <v>9</v>
      </c>
      <c r="AO10" s="2">
        <v>256</v>
      </c>
      <c r="AP10" s="2">
        <v>50</v>
      </c>
      <c r="AQ10" s="2">
        <v>5000</v>
      </c>
      <c r="AR10" s="2">
        <v>20.053100000000001</v>
      </c>
    </row>
    <row r="11" spans="2:44" x14ac:dyDescent="0.2">
      <c r="B11" s="1" t="str">
        <f>_xlfn.XLOOKUP(Runge1[[#This Row],[Metodo]],TbSolver[Metodo],TbSolver[Solver])</f>
        <v>RungeKutta</v>
      </c>
      <c r="C11" s="1" t="str">
        <f>_xlfn.XLOOKUP(Runge1[[#This Row],[Hebras]],TbTecnologia[Hebras],TbTecnologia[Tecnología])</f>
        <v>CUDA</v>
      </c>
      <c r="D11" s="5" t="str" cm="1">
        <f t="array" ref="D11">_xlfn.XLOOKUP(Runge1[[#This Row],[Tecnología]]&amp;Runge1[[#This Row],[Metodo]],TbTipos[Tecnología]&amp;TbTipos[Metodo],TbTipos[Tipo])</f>
        <v>CUDA con graph</v>
      </c>
      <c r="E11" s="1" t="str" cm="1">
        <f t="array" ref="E11">_xlfn.XLOOKUP(Runge1[[#This Row],[Tecnología]]&amp;Runge1[[#This Row],[Problema]],TbNombres[Tecnología]&amp;TbNombres[Problema],TbNombres[Nombre])</f>
        <v>Simple Advdiff</v>
      </c>
      <c r="F11" s="1">
        <v>2</v>
      </c>
      <c r="G11" s="1">
        <v>2</v>
      </c>
      <c r="H11" s="1">
        <v>256</v>
      </c>
      <c r="I11" s="1">
        <v>100</v>
      </c>
      <c r="J11" s="1">
        <v>100</v>
      </c>
      <c r="K11" s="1">
        <v>11.0594</v>
      </c>
      <c r="M11" s="6" t="str">
        <f>_xlfn.XLOOKUP(Runge2[[#This Row],[Metodo]],TbSolver[Metodo],TbSolver[Solver])</f>
        <v>RungeKutta</v>
      </c>
      <c r="N11" s="6" t="str">
        <f>_xlfn.XLOOKUP(Runge2[[#This Row],[Hebras]],TbTecnologia[Hebras],TbTecnologia[Tecnología])</f>
        <v>CUDA</v>
      </c>
      <c r="O11" s="2" t="str" cm="1">
        <f t="array" ref="O11">_xlfn.XLOOKUP(Runge2[[#This Row],[Tecnología]]&amp;Runge2[[#This Row],[Metodo]],TbTipos[Tecnología]&amp;TbTipos[Metodo],TbTipos[Tipo])</f>
        <v>CUDA con graph</v>
      </c>
      <c r="P11" s="2" t="str" cm="1">
        <f t="array" ref="P11">_xlfn.XLOOKUP(Runge2[[#This Row],[Tecnología]]&amp;Runge2[[#This Row],[Problema]],TbNombres[Tecnología]&amp;TbNombres[Problema],TbNombres[Nombre])</f>
        <v>Advdiff1d</v>
      </c>
      <c r="Q11" s="2">
        <v>2</v>
      </c>
      <c r="R11" s="2">
        <v>4</v>
      </c>
      <c r="S11" s="2">
        <v>256</v>
      </c>
      <c r="T11" s="2">
        <v>100</v>
      </c>
      <c r="U11" s="2">
        <v>100</v>
      </c>
      <c r="V11" s="2">
        <v>18.9876</v>
      </c>
      <c r="X11" s="6" t="str">
        <f>_xlfn.XLOOKUP(Runge3[[#This Row],[Metodo]],TbSolver[Metodo],TbSolver[Solver])</f>
        <v>RungeKutta</v>
      </c>
      <c r="Y11" s="6" t="str">
        <f>_xlfn.XLOOKUP(Runge3[[#This Row],[Hebras]],TbTecnologia[Hebras],TbTecnologia[Tecnología])</f>
        <v>CUDA</v>
      </c>
      <c r="Z11" s="2" t="str" cm="1">
        <f t="array" ref="Z11">_xlfn.XLOOKUP(Runge3[[#This Row],[Tecnología]]&amp;Runge3[[#This Row],[Metodo]],TbTipos[Tecnología]&amp;TbTipos[Metodo],TbTipos[Tipo])</f>
        <v>CUDA con graph</v>
      </c>
      <c r="AA11" s="2" t="str" cm="1">
        <f t="array" ref="AA11">_xlfn.XLOOKUP(Runge3[[#This Row],[Tecnología]]&amp;Runge3[[#This Row],[Problema]],TbNombres[Tecnología]&amp;TbNombres[Problema],TbNombres[Nombre])</f>
        <v>Brusselator1d</v>
      </c>
      <c r="AB11" s="2">
        <v>2</v>
      </c>
      <c r="AC11" s="2">
        <v>6</v>
      </c>
      <c r="AD11" s="2">
        <v>256</v>
      </c>
      <c r="AE11" s="2">
        <v>100</v>
      </c>
      <c r="AF11" s="2">
        <v>200</v>
      </c>
      <c r="AG11" s="2">
        <v>13.157400000000001</v>
      </c>
      <c r="AI11" s="9" t="str">
        <f>_xlfn.XLOOKUP(Runge4[[#This Row],[Metodo]],TbSolver[Metodo],TbSolver[Solver])</f>
        <v>RungeKutta</v>
      </c>
      <c r="AJ11" s="9" t="str">
        <f>_xlfn.XLOOKUP(Runge4[[#This Row],[Hebras]],TbTecnologia[Hebras],TbTecnologia[Tecnología])</f>
        <v>OMP</v>
      </c>
      <c r="AK11" s="10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11" s="9" t="str" cm="1">
        <f t="array" ref="AL11">_xlfn.XLOOKUP(Runge4[[#This Row],[Tecnología]]&amp;Runge4[[#This Row],[Problema]],TbNombres[Tecnología]&amp;TbNombres[Problema],TbNombres[Nombre])</f>
        <v>Brusselator2d</v>
      </c>
      <c r="AM11" s="9">
        <v>2</v>
      </c>
      <c r="AN11" s="9">
        <v>4</v>
      </c>
      <c r="AO11" s="9">
        <v>16</v>
      </c>
      <c r="AP11" s="9">
        <v>50</v>
      </c>
      <c r="AQ11" s="9">
        <v>5000</v>
      </c>
      <c r="AR11" s="9">
        <v>41.652000000000001</v>
      </c>
    </row>
    <row r="12" spans="2:44" x14ac:dyDescent="0.2">
      <c r="B12" s="1" t="str">
        <f>_xlfn.XLOOKUP(Runge1[[#This Row],[Metodo]],TbSolver[Metodo],TbSolver[Solver])</f>
        <v>RungeKutta</v>
      </c>
      <c r="C12" s="1" t="str">
        <f>_xlfn.XLOOKUP(Runge1[[#This Row],[Hebras]],TbTecnologia[Hebras],TbTecnologia[Tecnología])</f>
        <v>CUDA</v>
      </c>
      <c r="D12" s="5" t="str" cm="1">
        <f t="array" ref="D12">_xlfn.XLOOKUP(Runge1[[#This Row],[Tecnología]]&amp;Runge1[[#This Row],[Metodo]],TbTipos[Tecnología]&amp;TbTipos[Metodo],TbTipos[Tipo])</f>
        <v>CUDA sin graph</v>
      </c>
      <c r="E12" s="1" t="str" cm="1">
        <f t="array" ref="E12">_xlfn.XLOOKUP(Runge1[[#This Row],[Tecnología]]&amp;Runge1[[#This Row],[Problema]],TbNombres[Tecnología]&amp;TbNombres[Problema],TbNombres[Nombre])</f>
        <v>Simple Advdiff</v>
      </c>
      <c r="F12" s="1">
        <v>1</v>
      </c>
      <c r="G12" s="1">
        <v>1</v>
      </c>
      <c r="H12" s="1">
        <v>256</v>
      </c>
      <c r="I12" s="1">
        <v>100</v>
      </c>
      <c r="J12" s="1">
        <v>100</v>
      </c>
      <c r="K12" s="1">
        <v>14.210800000000001</v>
      </c>
      <c r="M12" s="6" t="str">
        <f>_xlfn.XLOOKUP(Runge2[[#This Row],[Metodo]],TbSolver[Metodo],TbSolver[Solver])</f>
        <v>RungeKutta</v>
      </c>
      <c r="N12" s="6" t="str">
        <f>_xlfn.XLOOKUP(Runge2[[#This Row],[Hebras]],TbTecnologia[Hebras],TbTecnologia[Tecnología])</f>
        <v>OMP</v>
      </c>
      <c r="O12" s="7" t="str" cm="1">
        <f t="array" ref="O12">_xlfn.XLOOKUP(Runge2[[#This Row],[Tecnología]]&amp;Runge2[[#This Row],[Metodo]],TbTipos[Tecnología]&amp;TbTipos[Metodo],TbTipos[Tipo])</f>
        <v>OMP Elementos</v>
      </c>
      <c r="P12" s="6" t="str" cm="1">
        <f t="array" ref="P12">_xlfn.XLOOKUP(Runge2[[#This Row],[Tecnología]]&amp;Runge2[[#This Row],[Problema]],TbNombres[Tecnología]&amp;TbNombres[Problema],TbNombres[Nombre])</f>
        <v>Advdiff1d</v>
      </c>
      <c r="Q12" s="6">
        <v>2</v>
      </c>
      <c r="R12" s="6">
        <v>2</v>
      </c>
      <c r="S12" s="6">
        <v>16</v>
      </c>
      <c r="T12" s="6">
        <v>100</v>
      </c>
      <c r="U12" s="6">
        <v>100</v>
      </c>
      <c r="V12" s="6">
        <v>21.2547</v>
      </c>
      <c r="X12" s="6" t="str">
        <f>_xlfn.XLOOKUP(Runge3[[#This Row],[Metodo]],TbSolver[Metodo],TbSolver[Solver])</f>
        <v>RungeKutta</v>
      </c>
      <c r="Y12" s="6" t="str">
        <f>_xlfn.XLOOKUP(Runge3[[#This Row],[Hebras]],TbTecnologia[Hebras],TbTecnologia[Tecnología])</f>
        <v>CUDA</v>
      </c>
      <c r="Z12" s="2" t="str" cm="1">
        <f t="array" ref="Z12">_xlfn.XLOOKUP(Runge3[[#This Row],[Tecnología]]&amp;Runge3[[#This Row],[Metodo]],TbTipos[Tecnología]&amp;TbTipos[Metodo],TbTipos[Tipo])</f>
        <v>CUDA con graph</v>
      </c>
      <c r="AA12" s="2" t="str" cm="1">
        <f t="array" ref="AA12">_xlfn.XLOOKUP(Runge3[[#This Row],[Tecnología]]&amp;Runge3[[#This Row],[Problema]],TbNombres[Tecnología]&amp;TbNombres[Problema],TbNombres[Nombre])</f>
        <v>Brusselator1d</v>
      </c>
      <c r="AB12" s="2">
        <v>2</v>
      </c>
      <c r="AC12" s="2">
        <v>7</v>
      </c>
      <c r="AD12" s="2">
        <v>256</v>
      </c>
      <c r="AE12" s="2">
        <v>100</v>
      </c>
      <c r="AF12" s="2">
        <v>200</v>
      </c>
      <c r="AG12" s="2">
        <v>13.540100000000001</v>
      </c>
      <c r="AI12" s="9" t="str">
        <f>_xlfn.XLOOKUP(Runge4[[#This Row],[Metodo]],TbSolver[Metodo],TbSolver[Solver])</f>
        <v>RungeKutta</v>
      </c>
      <c r="AJ12" s="9" t="str">
        <f>_xlfn.XLOOKUP(Runge4[[#This Row],[Hebras]],TbTecnologia[Hebras],TbTecnologia[Tecnología])</f>
        <v>OMP</v>
      </c>
      <c r="AK12" s="10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12" s="9" t="str" cm="1">
        <f t="array" ref="AL12">_xlfn.XLOOKUP(Runge4[[#This Row],[Tecnología]]&amp;Runge4[[#This Row],[Problema]],TbNombres[Tecnología]&amp;TbNombres[Problema],TbNombres[Nombre])</f>
        <v>Brusselator2d</v>
      </c>
      <c r="AM12" s="9">
        <v>1</v>
      </c>
      <c r="AN12" s="9">
        <v>4</v>
      </c>
      <c r="AO12" s="9">
        <v>4</v>
      </c>
      <c r="AP12" s="9">
        <v>50</v>
      </c>
      <c r="AQ12" s="9">
        <v>5000</v>
      </c>
      <c r="AR12" s="9">
        <v>52.421599999999998</v>
      </c>
    </row>
    <row r="13" spans="2:44" x14ac:dyDescent="0.2">
      <c r="B13" s="1" t="str">
        <f>_xlfn.XLOOKUP(Runge1[[#This Row],[Metodo]],TbSolver[Metodo],TbSolver[Solver])</f>
        <v>RungeKutta</v>
      </c>
      <c r="C13" s="1" t="str">
        <f>_xlfn.XLOOKUP(Runge1[[#This Row],[Hebras]],TbTecnologia[Hebras],TbTecnologia[Tecnología])</f>
        <v>CUDA</v>
      </c>
      <c r="D13" s="5" t="str" cm="1">
        <f t="array" ref="D13">_xlfn.XLOOKUP(Runge1[[#This Row],[Tecnología]]&amp;Runge1[[#This Row],[Metodo]],TbTipos[Tecnología]&amp;TbTipos[Metodo],TbTipos[Tipo])</f>
        <v>CUDA sin graph</v>
      </c>
      <c r="E13" s="1" t="str" cm="1">
        <f t="array" ref="E13">_xlfn.XLOOKUP(Runge1[[#This Row],[Tecnología]]&amp;Runge1[[#This Row],[Problema]],TbNombres[Tecnología]&amp;TbNombres[Problema],TbNombres[Nombre])</f>
        <v>Simple Advdiff</v>
      </c>
      <c r="F13" s="1">
        <v>1</v>
      </c>
      <c r="G13" s="1">
        <v>2</v>
      </c>
      <c r="H13" s="1">
        <v>256</v>
      </c>
      <c r="I13" s="1">
        <v>100</v>
      </c>
      <c r="J13" s="1">
        <v>100</v>
      </c>
      <c r="K13" s="1">
        <v>17.4419</v>
      </c>
      <c r="M13" s="6" t="str">
        <f>_xlfn.XLOOKUP(Runge2[[#This Row],[Metodo]],TbSolver[Metodo],TbSolver[Solver])</f>
        <v>RungeKutta</v>
      </c>
      <c r="N13" s="6" t="str">
        <f>_xlfn.XLOOKUP(Runge2[[#This Row],[Hebras]],TbTecnologia[Hebras],TbTecnologia[Tecnología])</f>
        <v>CUDA</v>
      </c>
      <c r="O13" s="2" t="str" cm="1">
        <f t="array" ref="O13">_xlfn.XLOOKUP(Runge2[[#This Row],[Tecnología]]&amp;Runge2[[#This Row],[Metodo]],TbTipos[Tecnología]&amp;TbTipos[Metodo],TbTipos[Tipo])</f>
        <v>CUDA sin graph</v>
      </c>
      <c r="P13" s="2" t="str" cm="1">
        <f t="array" ref="P13">_xlfn.XLOOKUP(Runge2[[#This Row],[Tecnología]]&amp;Runge2[[#This Row],[Problema]],TbNombres[Tecnología]&amp;TbNombres[Problema],TbNombres[Nombre])</f>
        <v>Advdiff1d</v>
      </c>
      <c r="Q13" s="2">
        <v>1</v>
      </c>
      <c r="R13" s="2">
        <v>3</v>
      </c>
      <c r="S13" s="2">
        <v>256</v>
      </c>
      <c r="T13" s="2">
        <v>100</v>
      </c>
      <c r="U13" s="2">
        <v>100</v>
      </c>
      <c r="V13" s="2">
        <v>21.426300000000001</v>
      </c>
      <c r="X13" s="6" t="str">
        <f>_xlfn.XLOOKUP(Runge3[[#This Row],[Metodo]],TbSolver[Metodo],TbSolver[Solver])</f>
        <v>RungeKutta</v>
      </c>
      <c r="Y13" s="6" t="str">
        <f>_xlfn.XLOOKUP(Runge3[[#This Row],[Hebras]],TbTecnologia[Hebras],TbTecnologia[Tecnología])</f>
        <v>CUDA</v>
      </c>
      <c r="Z13" s="2" t="str" cm="1">
        <f t="array" ref="Z13">_xlfn.XLOOKUP(Runge3[[#This Row],[Tecnología]]&amp;Runge3[[#This Row],[Metodo]],TbTipos[Tecnología]&amp;TbTipos[Metodo],TbTipos[Tipo])</f>
        <v>CUDA sin graph</v>
      </c>
      <c r="AA13" s="2" t="str" cm="1">
        <f t="array" ref="AA13">_xlfn.XLOOKUP(Runge3[[#This Row],[Tecnología]]&amp;Runge3[[#This Row],[Problema]],TbNombres[Tecnología]&amp;TbNombres[Problema],TbNombres[Nombre])</f>
        <v>Brusselator1d</v>
      </c>
      <c r="AB13" s="2">
        <v>1</v>
      </c>
      <c r="AC13" s="2">
        <v>6</v>
      </c>
      <c r="AD13" s="2">
        <v>256</v>
      </c>
      <c r="AE13" s="2">
        <v>100</v>
      </c>
      <c r="AF13" s="2">
        <v>200</v>
      </c>
      <c r="AG13" s="2">
        <v>16.420000000000002</v>
      </c>
      <c r="AI13" s="9" t="str">
        <f>_xlfn.XLOOKUP(Runge4[[#This Row],[Metodo]],TbSolver[Metodo],TbSolver[Solver])</f>
        <v>RungeKutta</v>
      </c>
      <c r="AJ13" s="9" t="str">
        <f>_xlfn.XLOOKUP(Runge4[[#This Row],[Hebras]],TbTecnologia[Hebras],TbTecnologia[Tecnología])</f>
        <v>OMP</v>
      </c>
      <c r="AK13" s="10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13" s="9" t="str" cm="1">
        <f t="array" ref="AL13">_xlfn.XLOOKUP(Runge4[[#This Row],[Tecnología]]&amp;Runge4[[#This Row],[Problema]],TbNombres[Tecnología]&amp;TbNombres[Problema],TbNombres[Nombre])</f>
        <v>Brusselator2d</v>
      </c>
      <c r="AM13" s="9">
        <v>2</v>
      </c>
      <c r="AN13" s="9">
        <v>4</v>
      </c>
      <c r="AO13" s="9">
        <v>4</v>
      </c>
      <c r="AP13" s="9">
        <v>50</v>
      </c>
      <c r="AQ13" s="9">
        <v>5000</v>
      </c>
      <c r="AR13" s="9">
        <v>76.856300000000005</v>
      </c>
    </row>
    <row r="14" spans="2:44" x14ac:dyDescent="0.2">
      <c r="B14" s="1" t="str">
        <f>_xlfn.XLOOKUP(Runge1[[#This Row],[Metodo]],TbSolver[Metodo],TbSolver[Solver])</f>
        <v>RungeKutta</v>
      </c>
      <c r="C14" s="1" t="str">
        <f>_xlfn.XLOOKUP(Runge1[[#This Row],[Hebras]],TbTecnologia[Hebras],TbTecnologia[Tecnología])</f>
        <v>OMP</v>
      </c>
      <c r="D14" s="5" t="str" cm="1">
        <f t="array" ref="D14">_xlfn.XLOOKUP(Runge1[[#This Row],[Tecnología]]&amp;Runge1[[#This Row],[Metodo]],TbTipos[Tecnología]&amp;TbTipos[Metodo],TbTipos[Tipo])</f>
        <v>OMP Elementos</v>
      </c>
      <c r="E14" s="1" t="str" cm="1">
        <f t="array" ref="E14">_xlfn.XLOOKUP(Runge1[[#This Row],[Tecnología]]&amp;Runge1[[#This Row],[Problema]],TbNombres[Tecnología]&amp;TbNombres[Problema],TbNombres[Nombre])</f>
        <v>Simple Advdiff</v>
      </c>
      <c r="F14" s="1">
        <v>2</v>
      </c>
      <c r="G14" s="1">
        <v>1</v>
      </c>
      <c r="H14" s="1">
        <v>16</v>
      </c>
      <c r="I14" s="1">
        <v>100</v>
      </c>
      <c r="J14" s="1">
        <v>100</v>
      </c>
      <c r="K14" s="1">
        <v>22.540800000000001</v>
      </c>
      <c r="M14" s="6" t="str">
        <f>_xlfn.XLOOKUP(Runge2[[#This Row],[Metodo]],TbSolver[Metodo],TbSolver[Solver])</f>
        <v>RungeKutta</v>
      </c>
      <c r="N14" s="6" t="str">
        <f>_xlfn.XLOOKUP(Runge2[[#This Row],[Hebras]],TbTecnologia[Hebras],TbTecnologia[Tecnología])</f>
        <v>CUDA</v>
      </c>
      <c r="O14" s="2" t="str" cm="1">
        <f t="array" ref="O14">_xlfn.XLOOKUP(Runge2[[#This Row],[Tecnología]]&amp;Runge2[[#This Row],[Metodo]],TbTipos[Tecnología]&amp;TbTipos[Metodo],TbTipos[Tipo])</f>
        <v>CUDA sin graph</v>
      </c>
      <c r="P14" s="2" t="str" cm="1">
        <f t="array" ref="P14">_xlfn.XLOOKUP(Runge2[[#This Row],[Tecnología]]&amp;Runge2[[#This Row],[Problema]],TbNombres[Tecnología]&amp;TbNombres[Problema],TbNombres[Nombre])</f>
        <v>Advdiff1d</v>
      </c>
      <c r="Q14" s="2">
        <v>1</v>
      </c>
      <c r="R14" s="2">
        <v>4</v>
      </c>
      <c r="S14" s="2">
        <v>256</v>
      </c>
      <c r="T14" s="2">
        <v>100</v>
      </c>
      <c r="U14" s="2">
        <v>100</v>
      </c>
      <c r="V14" s="2">
        <v>22.0703</v>
      </c>
      <c r="X14" s="6" t="str">
        <f>_xlfn.XLOOKUP(Runge3[[#This Row],[Metodo]],TbSolver[Metodo],TbSolver[Solver])</f>
        <v>RungeKutta</v>
      </c>
      <c r="Y14" s="6" t="str">
        <f>_xlfn.XLOOKUP(Runge3[[#This Row],[Hebras]],TbTecnologia[Hebras],TbTecnologia[Tecnología])</f>
        <v>CUDA</v>
      </c>
      <c r="Z14" s="2" t="str" cm="1">
        <f t="array" ref="Z14">_xlfn.XLOOKUP(Runge3[[#This Row],[Tecnología]]&amp;Runge3[[#This Row],[Metodo]],TbTipos[Tecnología]&amp;TbTipos[Metodo],TbTipos[Tipo])</f>
        <v>CUDA sin graph</v>
      </c>
      <c r="AA14" s="2" t="str" cm="1">
        <f t="array" ref="AA14">_xlfn.XLOOKUP(Runge3[[#This Row],[Tecnología]]&amp;Runge3[[#This Row],[Problema]],TbNombres[Tecnología]&amp;TbNombres[Problema],TbNombres[Nombre])</f>
        <v>Brusselator1d</v>
      </c>
      <c r="AB14" s="2">
        <v>1</v>
      </c>
      <c r="AC14" s="2">
        <v>7</v>
      </c>
      <c r="AD14" s="2">
        <v>256</v>
      </c>
      <c r="AE14" s="2">
        <v>100</v>
      </c>
      <c r="AF14" s="2">
        <v>200</v>
      </c>
      <c r="AG14" s="2">
        <v>16.6784</v>
      </c>
      <c r="AI14" s="9" t="str">
        <f>_xlfn.XLOOKUP(Runge4[[#This Row],[Metodo]],TbSolver[Metodo],TbSolver[Solver])</f>
        <v>RungeKutta</v>
      </c>
      <c r="AJ14" s="9" t="str">
        <f>_xlfn.XLOOKUP(Runge4[[#This Row],[Hebras]],TbTecnologia[Hebras],TbTecnologia[Tecnología])</f>
        <v>OMP</v>
      </c>
      <c r="AK14" s="10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14" s="9" t="str" cm="1">
        <f t="array" ref="AL14">_xlfn.XLOOKUP(Runge4[[#This Row],[Tecnología]]&amp;Runge4[[#This Row],[Problema]],TbNombres[Tecnología]&amp;TbNombres[Problema],TbNombres[Nombre])</f>
        <v>Brusselator2d</v>
      </c>
      <c r="AM14" s="9">
        <v>1</v>
      </c>
      <c r="AN14" s="9">
        <v>4</v>
      </c>
      <c r="AO14" s="9">
        <v>16</v>
      </c>
      <c r="AP14" s="9">
        <v>50</v>
      </c>
      <c r="AQ14" s="9">
        <v>5000</v>
      </c>
      <c r="AR14" s="9">
        <v>81.611099999999993</v>
      </c>
    </row>
    <row r="15" spans="2:44" x14ac:dyDescent="0.2">
      <c r="B15" s="1" t="str">
        <f>_xlfn.XLOOKUP(Runge1[[#This Row],[Metodo]],TbSolver[Metodo],TbSolver[Solver])</f>
        <v>RungeKutta</v>
      </c>
      <c r="C15" s="1" t="str">
        <f>_xlfn.XLOOKUP(Runge1[[#This Row],[Hebras]],TbTecnologia[Hebras],TbTecnologia[Tecnología])</f>
        <v>OMP</v>
      </c>
      <c r="D15" s="5" t="str" cm="1">
        <f t="array" ref="D15">_xlfn.XLOOKUP(Runge1[[#This Row],[Tecnología]]&amp;Runge1[[#This Row],[Metodo]],TbTipos[Tecnología]&amp;TbTipos[Metodo],TbTipos[Tipo])</f>
        <v>OMP Operaciones</v>
      </c>
      <c r="E15" s="1" t="str" cm="1">
        <f t="array" ref="E15">_xlfn.XLOOKUP(Runge1[[#This Row],[Tecnología]]&amp;Runge1[[#This Row],[Problema]],TbNombres[Tecnología]&amp;TbNombres[Problema],TbNombres[Nombre])</f>
        <v>Simple Advdiff</v>
      </c>
      <c r="F15" s="1">
        <v>1</v>
      </c>
      <c r="G15" s="1">
        <v>1</v>
      </c>
      <c r="H15" s="1">
        <v>4</v>
      </c>
      <c r="I15" s="1">
        <v>100</v>
      </c>
      <c r="J15" s="1">
        <v>100</v>
      </c>
      <c r="K15" s="1">
        <v>25.209800000000001</v>
      </c>
      <c r="M15" s="6" t="str">
        <f>_xlfn.XLOOKUP(Runge2[[#This Row],[Metodo]],TbSolver[Metodo],TbSolver[Solver])</f>
        <v>RungeKutta</v>
      </c>
      <c r="N15" s="6" t="str">
        <f>_xlfn.XLOOKUP(Runge2[[#This Row],[Hebras]],TbTecnologia[Hebras],TbTecnologia[Tecnología])</f>
        <v>OMP</v>
      </c>
      <c r="O15" s="7" t="str" cm="1">
        <f t="array" ref="O15">_xlfn.XLOOKUP(Runge2[[#This Row],[Tecnología]]&amp;Runge2[[#This Row],[Metodo]],TbTipos[Tecnología]&amp;TbTipos[Metodo],TbTipos[Tipo])</f>
        <v>OMP Operaciones</v>
      </c>
      <c r="P15" s="6" t="str" cm="1">
        <f t="array" ref="P15">_xlfn.XLOOKUP(Runge2[[#This Row],[Tecnología]]&amp;Runge2[[#This Row],[Problema]],TbNombres[Tecnología]&amp;TbNombres[Problema],TbNombres[Nombre])</f>
        <v>Advdiff1d</v>
      </c>
      <c r="Q15" s="6">
        <v>1</v>
      </c>
      <c r="R15" s="6">
        <v>2</v>
      </c>
      <c r="S15" s="6">
        <v>4</v>
      </c>
      <c r="T15" s="6">
        <v>100</v>
      </c>
      <c r="U15" s="6">
        <v>100</v>
      </c>
      <c r="V15" s="6">
        <v>39.386400000000002</v>
      </c>
      <c r="X15" s="6" t="str">
        <f>_xlfn.XLOOKUP(Runge3[[#This Row],[Metodo]],TbSolver[Metodo],TbSolver[Solver])</f>
        <v>RungeKutta</v>
      </c>
      <c r="Y15" s="6" t="str">
        <f>_xlfn.XLOOKUP(Runge3[[#This Row],[Hebras]],TbTecnologia[Hebras],TbTecnologia[Tecnología])</f>
        <v>CUDA</v>
      </c>
      <c r="Z15" s="2" t="str" cm="1">
        <f t="array" ref="Z15">_xlfn.XLOOKUP(Runge3[[#This Row],[Tecnología]]&amp;Runge3[[#This Row],[Metodo]],TbTipos[Tecnología]&amp;TbTipos[Metodo],TbTipos[Tipo])</f>
        <v>CUDA sin graph</v>
      </c>
      <c r="AA15" s="2" t="str" cm="1">
        <f t="array" ref="AA15">_xlfn.XLOOKUP(Runge3[[#This Row],[Tecnología]]&amp;Runge3[[#This Row],[Problema]],TbNombres[Tecnología]&amp;TbNombres[Problema],TbNombres[Nombre])</f>
        <v>Brusselator1d</v>
      </c>
      <c r="AB15" s="2">
        <v>1</v>
      </c>
      <c r="AC15" s="2">
        <v>5</v>
      </c>
      <c r="AD15" s="2">
        <v>256</v>
      </c>
      <c r="AE15" s="2">
        <v>100</v>
      </c>
      <c r="AF15" s="2">
        <v>200</v>
      </c>
      <c r="AG15" s="2">
        <v>18.841999999999999</v>
      </c>
      <c r="AI15" s="9" t="str">
        <f>_xlfn.XLOOKUP(Runge4[[#This Row],[Metodo]],TbSolver[Metodo],TbSolver[Solver])</f>
        <v>RungeKutta</v>
      </c>
      <c r="AJ15" s="9" t="str">
        <f>_xlfn.XLOOKUP(Runge4[[#This Row],[Hebras]],TbTecnologia[Hebras],TbTecnologia[Tecnología])</f>
        <v>OMP</v>
      </c>
      <c r="AK15" s="10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15" s="9" t="str" cm="1">
        <f t="array" ref="AL15">_xlfn.XLOOKUP(Runge4[[#This Row],[Tecnología]]&amp;Runge4[[#This Row],[Problema]],TbNombres[Tecnología]&amp;TbNombres[Problema],TbNombres[Nombre])</f>
        <v>Brusselator2d</v>
      </c>
      <c r="AM15" s="9">
        <v>1</v>
      </c>
      <c r="AN15" s="9">
        <v>4</v>
      </c>
      <c r="AO15" s="9">
        <v>1</v>
      </c>
      <c r="AP15" s="9">
        <v>50</v>
      </c>
      <c r="AQ15" s="9">
        <v>5000</v>
      </c>
      <c r="AR15" s="9">
        <v>104.01600000000001</v>
      </c>
    </row>
    <row r="16" spans="2:44" x14ac:dyDescent="0.2">
      <c r="B16" s="1" t="str">
        <f>_xlfn.XLOOKUP(Runge1[[#This Row],[Metodo]],TbSolver[Metodo],TbSolver[Solver])</f>
        <v>RungeKutta</v>
      </c>
      <c r="C16" s="1" t="str">
        <f>_xlfn.XLOOKUP(Runge1[[#This Row],[Hebras]],TbTecnologia[Hebras],TbTecnologia[Tecnología])</f>
        <v>OMP</v>
      </c>
      <c r="D16" s="5" t="str" cm="1">
        <f t="array" ref="D16">_xlfn.XLOOKUP(Runge1[[#This Row],[Tecnología]]&amp;Runge1[[#This Row],[Metodo]],TbTipos[Tecnología]&amp;TbTipos[Metodo],TbTipos[Tipo])</f>
        <v>OMP Operaciones</v>
      </c>
      <c r="E16" s="1" t="str" cm="1">
        <f t="array" ref="E16">_xlfn.XLOOKUP(Runge1[[#This Row],[Tecnología]]&amp;Runge1[[#This Row],[Problema]],TbNombres[Tecnología]&amp;TbNombres[Problema],TbNombres[Nombre])</f>
        <v>Simple Advdiff</v>
      </c>
      <c r="F16" s="1">
        <v>1</v>
      </c>
      <c r="G16" s="1">
        <v>1</v>
      </c>
      <c r="H16" s="1">
        <v>16</v>
      </c>
      <c r="I16" s="1">
        <v>100</v>
      </c>
      <c r="J16" s="1">
        <v>100</v>
      </c>
      <c r="K16" s="1">
        <v>61.1526</v>
      </c>
      <c r="M16" s="6" t="str">
        <f>_xlfn.XLOOKUP(Runge2[[#This Row],[Metodo]],TbSolver[Metodo],TbSolver[Solver])</f>
        <v>RungeKutta</v>
      </c>
      <c r="N16" s="6" t="str">
        <f>_xlfn.XLOOKUP(Runge2[[#This Row],[Hebras]],TbTecnologia[Hebras],TbTecnologia[Tecnología])</f>
        <v>OMP</v>
      </c>
      <c r="O16" s="7" t="str" cm="1">
        <f t="array" ref="O16">_xlfn.XLOOKUP(Runge2[[#This Row],[Tecnología]]&amp;Runge2[[#This Row],[Metodo]],TbTipos[Tecnología]&amp;TbTipos[Metodo],TbTipos[Tipo])</f>
        <v>OMP Operaciones</v>
      </c>
      <c r="P16" s="6" t="str" cm="1">
        <f t="array" ref="P16">_xlfn.XLOOKUP(Runge2[[#This Row],[Tecnología]]&amp;Runge2[[#This Row],[Problema]],TbNombres[Tecnología]&amp;TbNombres[Problema],TbNombres[Nombre])</f>
        <v>Advdiff1d</v>
      </c>
      <c r="Q16" s="6">
        <v>1</v>
      </c>
      <c r="R16" s="6">
        <v>2</v>
      </c>
      <c r="S16" s="6">
        <v>16</v>
      </c>
      <c r="T16" s="6">
        <v>100</v>
      </c>
      <c r="U16" s="6">
        <v>100</v>
      </c>
      <c r="V16" s="6">
        <v>94.412800000000004</v>
      </c>
      <c r="X16" s="6" t="str">
        <f>_xlfn.XLOOKUP(Runge3[[#This Row],[Metodo]],TbSolver[Metodo],TbSolver[Solver])</f>
        <v>RungeKutta</v>
      </c>
      <c r="Y16" s="6" t="str">
        <f>_xlfn.XLOOKUP(Runge3[[#This Row],[Hebras]],TbTecnologia[Hebras],TbTecnologia[Tecnología])</f>
        <v>OMP</v>
      </c>
      <c r="Z16" s="7" t="str" cm="1">
        <f t="array" ref="Z16">_xlfn.XLOOKUP(Runge3[[#This Row],[Tecnología]]&amp;Runge3[[#This Row],[Metodo]],TbTipos[Tecnología]&amp;TbTipos[Metodo],TbTipos[Tipo])</f>
        <v>OMP Elementos</v>
      </c>
      <c r="AA16" s="6" t="str" cm="1">
        <f t="array" ref="AA16">_xlfn.XLOOKUP(Runge3[[#This Row],[Tecnología]]&amp;Runge3[[#This Row],[Problema]],TbNombres[Tecnología]&amp;TbNombres[Problema],TbNombres[Nombre])</f>
        <v>Brusselator1d</v>
      </c>
      <c r="AB16" s="6">
        <v>2</v>
      </c>
      <c r="AC16" s="6">
        <v>3</v>
      </c>
      <c r="AD16" s="6">
        <v>16</v>
      </c>
      <c r="AE16" s="6">
        <v>100</v>
      </c>
      <c r="AF16" s="6">
        <v>200</v>
      </c>
      <c r="AG16" s="6">
        <v>23.809799999999999</v>
      </c>
      <c r="AI16" s="9" t="str">
        <f>_xlfn.XLOOKUP(Runge4[[#This Row],[Metodo]],TbSolver[Metodo],TbSolver[Solver])</f>
        <v>RungeKutta</v>
      </c>
      <c r="AJ16" s="9" t="str">
        <f>_xlfn.XLOOKUP(Runge4[[#This Row],[Hebras]],TbTecnologia[Hebras],TbTecnologia[Tecnología])</f>
        <v>OMP</v>
      </c>
      <c r="AK16" s="10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16" s="9" t="str" cm="1">
        <f t="array" ref="AL16">_xlfn.XLOOKUP(Runge4[[#This Row],[Tecnología]]&amp;Runge4[[#This Row],[Problema]],TbNombres[Tecnología]&amp;TbNombres[Problema],TbNombres[Nombre])</f>
        <v>Brusselator2d</v>
      </c>
      <c r="AM16" s="9">
        <v>2</v>
      </c>
      <c r="AN16" s="9">
        <v>4</v>
      </c>
      <c r="AO16" s="9">
        <v>1</v>
      </c>
      <c r="AP16" s="9">
        <v>50</v>
      </c>
      <c r="AQ16" s="9">
        <v>5000</v>
      </c>
      <c r="AR16" s="9">
        <v>267.25799999999998</v>
      </c>
    </row>
    <row r="17" spans="2:44" x14ac:dyDescent="0.2">
      <c r="B17" s="1" t="str">
        <f>_xlfn.XLOOKUP(Runge1[[#This Row],[Metodo]],TbSolver[Metodo],TbSolver[Solver])</f>
        <v>RungeKutta</v>
      </c>
      <c r="C17" s="1" t="str">
        <f>_xlfn.XLOOKUP(Runge1[[#This Row],[Hebras]],TbTecnologia[Hebras],TbTecnologia[Tecnología])</f>
        <v>OMP</v>
      </c>
      <c r="D17" s="5" t="str" cm="1">
        <f t="array" ref="D17">_xlfn.XLOOKUP(Runge1[[#This Row],[Tecnología]]&amp;Runge1[[#This Row],[Metodo]],TbTipos[Tecnología]&amp;TbTipos[Metodo],TbTipos[Tipo])</f>
        <v>OMP Operaciones</v>
      </c>
      <c r="E17" s="1" t="str" cm="1">
        <f t="array" ref="E17">_xlfn.XLOOKUP(Runge1[[#This Row],[Tecnología]]&amp;Runge1[[#This Row],[Problema]],TbNombres[Tecnología]&amp;TbNombres[Problema],TbNombres[Nombre])</f>
        <v>Simple Advdiff</v>
      </c>
      <c r="F17" s="1">
        <v>1</v>
      </c>
      <c r="G17" s="1">
        <v>1</v>
      </c>
      <c r="H17" s="1">
        <v>1</v>
      </c>
      <c r="I17" s="1">
        <v>200</v>
      </c>
      <c r="J17" s="1">
        <v>200</v>
      </c>
      <c r="K17" s="1">
        <v>3.2512799999999999</v>
      </c>
      <c r="M17" s="6" t="str">
        <f>_xlfn.XLOOKUP(Runge2[[#This Row],[Metodo]],TbSolver[Metodo],TbSolver[Solver])</f>
        <v>RungeKutta</v>
      </c>
      <c r="N17" s="6" t="str">
        <f>_xlfn.XLOOKUP(Runge2[[#This Row],[Hebras]],TbTecnologia[Hebras],TbTecnologia[Tecnología])</f>
        <v>OMP</v>
      </c>
      <c r="O17" s="7" t="str" cm="1">
        <f t="array" ref="O17">_xlfn.XLOOKUP(Runge2[[#This Row],[Tecnología]]&amp;Runge2[[#This Row],[Metodo]],TbTipos[Tecnología]&amp;TbTipos[Metodo],TbTipos[Tipo])</f>
        <v>OMP Elementos</v>
      </c>
      <c r="P17" s="6" t="str" cm="1">
        <f t="array" ref="P17">_xlfn.XLOOKUP(Runge2[[#This Row],[Tecnología]]&amp;Runge2[[#This Row],[Problema]],TbNombres[Tecnología]&amp;TbNombres[Problema],TbNombres[Nombre])</f>
        <v>Advdiff1d</v>
      </c>
      <c r="Q17" s="6">
        <v>2</v>
      </c>
      <c r="R17" s="6">
        <v>2</v>
      </c>
      <c r="S17" s="6">
        <v>4</v>
      </c>
      <c r="T17" s="6">
        <v>200</v>
      </c>
      <c r="U17" s="6">
        <v>200</v>
      </c>
      <c r="V17" s="6">
        <v>14.2638</v>
      </c>
      <c r="X17" s="6" t="str">
        <f>_xlfn.XLOOKUP(Runge3[[#This Row],[Metodo]],TbSolver[Metodo],TbSolver[Solver])</f>
        <v>RungeKutta</v>
      </c>
      <c r="Y17" s="6" t="str">
        <f>_xlfn.XLOOKUP(Runge3[[#This Row],[Hebras]],TbTecnologia[Hebras],TbTecnologia[Tecnología])</f>
        <v>OMP</v>
      </c>
      <c r="Z17" s="7" t="str" cm="1">
        <f t="array" ref="Z17">_xlfn.XLOOKUP(Runge3[[#This Row],[Tecnología]]&amp;Runge3[[#This Row],[Metodo]],TbTipos[Tecnología]&amp;TbTipos[Metodo],TbTipos[Tipo])</f>
        <v>OMP Operaciones</v>
      </c>
      <c r="AA17" s="6" t="str" cm="1">
        <f t="array" ref="AA17">_xlfn.XLOOKUP(Runge3[[#This Row],[Tecnología]]&amp;Runge3[[#This Row],[Problema]],TbNombres[Tecnología]&amp;TbNombres[Problema],TbNombres[Nombre])</f>
        <v>Brusselator1d</v>
      </c>
      <c r="AB17" s="6">
        <v>1</v>
      </c>
      <c r="AC17" s="6">
        <v>3</v>
      </c>
      <c r="AD17" s="6">
        <v>4</v>
      </c>
      <c r="AE17" s="6">
        <v>100</v>
      </c>
      <c r="AF17" s="6">
        <v>200</v>
      </c>
      <c r="AG17" s="6">
        <v>34.713299999999997</v>
      </c>
      <c r="AI17" s="6" t="str">
        <f>_xlfn.XLOOKUP(Runge4[[#This Row],[Metodo]],TbSolver[Metodo],TbSolver[Solver])</f>
        <v>RungeKutta</v>
      </c>
      <c r="AJ17" s="6" t="str">
        <f>_xlfn.XLOOKUP(Runge4[[#This Row],[Hebras]],TbTecnologia[Hebras],TbTecnologia[Tecnología])</f>
        <v>CUDA</v>
      </c>
      <c r="AK17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17" s="2" t="str" cm="1">
        <f t="array" ref="AL17">_xlfn.XLOOKUP(Runge4[[#This Row],[Tecnología]]&amp;Runge4[[#This Row],[Problema]],TbNombres[Tecnología]&amp;TbNombres[Problema],TbNombres[Nombre])</f>
        <v>Brusselator2d</v>
      </c>
      <c r="AM17" s="2">
        <v>2</v>
      </c>
      <c r="AN17" s="2">
        <v>9</v>
      </c>
      <c r="AO17" s="2">
        <v>256</v>
      </c>
      <c r="AP17" s="2">
        <v>100</v>
      </c>
      <c r="AQ17" s="2">
        <v>20000</v>
      </c>
      <c r="AR17" s="2">
        <v>24.692</v>
      </c>
    </row>
    <row r="18" spans="2:44" x14ac:dyDescent="0.2">
      <c r="B18" s="1" t="str">
        <f>_xlfn.XLOOKUP(Runge1[[#This Row],[Metodo]],TbSolver[Metodo],TbSolver[Solver])</f>
        <v>RungeKutta</v>
      </c>
      <c r="C18" s="1" t="str">
        <f>_xlfn.XLOOKUP(Runge1[[#This Row],[Hebras]],TbTecnologia[Hebras],TbTecnologia[Tecnología])</f>
        <v>OMP</v>
      </c>
      <c r="D18" s="5" t="str" cm="1">
        <f t="array" ref="D18">_xlfn.XLOOKUP(Runge1[[#This Row],[Tecnología]]&amp;Runge1[[#This Row],[Metodo]],TbTipos[Tecnología]&amp;TbTipos[Metodo],TbTipos[Tipo])</f>
        <v>OMP Elementos</v>
      </c>
      <c r="E18" s="1" t="str" cm="1">
        <f t="array" ref="E18">_xlfn.XLOOKUP(Runge1[[#This Row],[Tecnología]]&amp;Runge1[[#This Row],[Problema]],TbNombres[Tecnología]&amp;TbNombres[Problema],TbNombres[Nombre])</f>
        <v>Simple Advdiff</v>
      </c>
      <c r="F18" s="1">
        <v>2</v>
      </c>
      <c r="G18" s="1">
        <v>1</v>
      </c>
      <c r="H18" s="1">
        <v>1</v>
      </c>
      <c r="I18" s="1">
        <v>200</v>
      </c>
      <c r="J18" s="1">
        <v>200</v>
      </c>
      <c r="K18" s="1">
        <v>6.65367</v>
      </c>
      <c r="M18" s="6" t="str">
        <f>_xlfn.XLOOKUP(Runge2[[#This Row],[Metodo]],TbSolver[Metodo],TbSolver[Solver])</f>
        <v>RungeKutta</v>
      </c>
      <c r="N18" s="6" t="str">
        <f>_xlfn.XLOOKUP(Runge2[[#This Row],[Hebras]],TbTecnologia[Hebras],TbTecnologia[Tecnología])</f>
        <v>OMP</v>
      </c>
      <c r="O18" s="7" t="str" cm="1">
        <f t="array" ref="O18">_xlfn.XLOOKUP(Runge2[[#This Row],[Tecnología]]&amp;Runge2[[#This Row],[Metodo]],TbTipos[Tecnología]&amp;TbTipos[Metodo],TbTipos[Tipo])</f>
        <v>OMP Elementos</v>
      </c>
      <c r="P18" s="6" t="str" cm="1">
        <f t="array" ref="P18">_xlfn.XLOOKUP(Runge2[[#This Row],[Tecnología]]&amp;Runge2[[#This Row],[Problema]],TbNombres[Tecnología]&amp;TbNombres[Problema],TbNombres[Nombre])</f>
        <v>Advdiff1d</v>
      </c>
      <c r="Q18" s="6">
        <v>2</v>
      </c>
      <c r="R18" s="6">
        <v>2</v>
      </c>
      <c r="S18" s="6">
        <v>16</v>
      </c>
      <c r="T18" s="6">
        <v>200</v>
      </c>
      <c r="U18" s="6">
        <v>200</v>
      </c>
      <c r="V18" s="6">
        <v>20.928599999999999</v>
      </c>
      <c r="X18" s="6" t="str">
        <f>_xlfn.XLOOKUP(Runge3[[#This Row],[Metodo]],TbSolver[Metodo],TbSolver[Solver])</f>
        <v>RungeKutta</v>
      </c>
      <c r="Y18" s="6" t="str">
        <f>_xlfn.XLOOKUP(Runge3[[#This Row],[Hebras]],TbTecnologia[Hebras],TbTecnologia[Tecnología])</f>
        <v>OMP</v>
      </c>
      <c r="Z18" s="7" t="str" cm="1">
        <f t="array" ref="Z18">_xlfn.XLOOKUP(Runge3[[#This Row],[Tecnología]]&amp;Runge3[[#This Row],[Metodo]],TbTipos[Tecnología]&amp;TbTipos[Metodo],TbTipos[Tipo])</f>
        <v>OMP Operaciones</v>
      </c>
      <c r="AA18" s="6" t="str" cm="1">
        <f t="array" ref="AA18">_xlfn.XLOOKUP(Runge3[[#This Row],[Tecnología]]&amp;Runge3[[#This Row],[Problema]],TbNombres[Tecnología]&amp;TbNombres[Problema],TbNombres[Nombre])</f>
        <v>Brusselator1d</v>
      </c>
      <c r="AB18" s="6">
        <v>1</v>
      </c>
      <c r="AC18" s="6">
        <v>3</v>
      </c>
      <c r="AD18" s="6">
        <v>16</v>
      </c>
      <c r="AE18" s="6">
        <v>100</v>
      </c>
      <c r="AF18" s="6">
        <v>200</v>
      </c>
      <c r="AG18" s="6">
        <v>95.696600000000004</v>
      </c>
      <c r="AI18" s="6" t="str">
        <f>_xlfn.XLOOKUP(Runge4[[#This Row],[Metodo]],TbSolver[Metodo],TbSolver[Solver])</f>
        <v>RungeKutta</v>
      </c>
      <c r="AJ18" s="6" t="str">
        <f>_xlfn.XLOOKUP(Runge4[[#This Row],[Hebras]],TbTecnologia[Hebras],TbTecnologia[Tecnología])</f>
        <v>CUDA</v>
      </c>
      <c r="AK18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18" s="2" t="str" cm="1">
        <f t="array" ref="AL18">_xlfn.XLOOKUP(Runge4[[#This Row],[Tecnología]]&amp;Runge4[[#This Row],[Problema]],TbNombres[Tecnología]&amp;TbNombres[Problema],TbNombres[Nombre])</f>
        <v>Brusselator2d</v>
      </c>
      <c r="AM18" s="2">
        <v>2</v>
      </c>
      <c r="AN18" s="2">
        <v>8</v>
      </c>
      <c r="AO18" s="2">
        <v>256</v>
      </c>
      <c r="AP18" s="2">
        <v>100</v>
      </c>
      <c r="AQ18" s="2">
        <v>20000</v>
      </c>
      <c r="AR18" s="2">
        <v>24.826599999999999</v>
      </c>
    </row>
    <row r="19" spans="2:44" x14ac:dyDescent="0.2">
      <c r="B19" s="1" t="str">
        <f>_xlfn.XLOOKUP(Runge1[[#This Row],[Metodo]],TbSolver[Metodo],TbSolver[Solver])</f>
        <v>RungeKutta</v>
      </c>
      <c r="C19" s="1" t="str">
        <f>_xlfn.XLOOKUP(Runge1[[#This Row],[Hebras]],TbTecnologia[Hebras],TbTecnologia[Tecnología])</f>
        <v>OMP</v>
      </c>
      <c r="D19" s="5" t="str" cm="1">
        <f t="array" ref="D19">_xlfn.XLOOKUP(Runge1[[#This Row],[Tecnología]]&amp;Runge1[[#This Row],[Metodo]],TbTipos[Tecnología]&amp;TbTipos[Metodo],TbTipos[Tipo])</f>
        <v>OMP Elementos</v>
      </c>
      <c r="E19" s="1" t="str" cm="1">
        <f t="array" ref="E19">_xlfn.XLOOKUP(Runge1[[#This Row],[Tecnología]]&amp;Runge1[[#This Row],[Problema]],TbNombres[Tecnología]&amp;TbNombres[Problema],TbNombres[Nombre])</f>
        <v>Simple Advdiff</v>
      </c>
      <c r="F19" s="1">
        <v>2</v>
      </c>
      <c r="G19" s="1">
        <v>1</v>
      </c>
      <c r="H19" s="1">
        <v>4</v>
      </c>
      <c r="I19" s="1">
        <v>200</v>
      </c>
      <c r="J19" s="1">
        <v>200</v>
      </c>
      <c r="K19" s="1">
        <v>8.3852899999999995</v>
      </c>
      <c r="M19" s="6" t="str">
        <f>_xlfn.XLOOKUP(Runge2[[#This Row],[Metodo]],TbSolver[Metodo],TbSolver[Solver])</f>
        <v>RungeKutta</v>
      </c>
      <c r="N19" s="6" t="str">
        <f>_xlfn.XLOOKUP(Runge2[[#This Row],[Hebras]],TbTecnologia[Hebras],TbTecnologia[Tecnología])</f>
        <v>OMP</v>
      </c>
      <c r="O19" s="7" t="str" cm="1">
        <f t="array" ref="O19">_xlfn.XLOOKUP(Runge2[[#This Row],[Tecnología]]&amp;Runge2[[#This Row],[Metodo]],TbTipos[Tecnología]&amp;TbTipos[Metodo],TbTipos[Tipo])</f>
        <v>OMP Operaciones</v>
      </c>
      <c r="P19" s="6" t="str" cm="1">
        <f t="array" ref="P19">_xlfn.XLOOKUP(Runge2[[#This Row],[Tecnología]]&amp;Runge2[[#This Row],[Problema]],TbNombres[Tecnología]&amp;TbNombres[Problema],TbNombres[Nombre])</f>
        <v>Advdiff1d</v>
      </c>
      <c r="Q19" s="6">
        <v>1</v>
      </c>
      <c r="R19" s="6">
        <v>2</v>
      </c>
      <c r="S19" s="6">
        <v>1</v>
      </c>
      <c r="T19" s="6">
        <v>200</v>
      </c>
      <c r="U19" s="6">
        <v>200</v>
      </c>
      <c r="V19" s="6">
        <v>21.302299999999999</v>
      </c>
      <c r="X19" s="6" t="str">
        <f>_xlfn.XLOOKUP(Runge3[[#This Row],[Metodo]],TbSolver[Metodo],TbSolver[Solver])</f>
        <v>RungeKutta</v>
      </c>
      <c r="Y19" s="6" t="str">
        <f>_xlfn.XLOOKUP(Runge3[[#This Row],[Hebras]],TbTecnologia[Hebras],TbTecnologia[Tecnología])</f>
        <v>OMP</v>
      </c>
      <c r="Z19" s="7" t="str" cm="1">
        <f t="array" ref="Z19">_xlfn.XLOOKUP(Runge3[[#This Row],[Tecnología]]&amp;Runge3[[#This Row],[Metodo]],TbTipos[Tecnología]&amp;TbTipos[Metodo],TbTipos[Tipo])</f>
        <v>OMP Operaciones</v>
      </c>
      <c r="AA19" s="6" t="str" cm="1">
        <f t="array" ref="AA19">_xlfn.XLOOKUP(Runge3[[#This Row],[Tecnología]]&amp;Runge3[[#This Row],[Problema]],TbNombres[Tecnología]&amp;TbNombres[Problema],TbNombres[Nombre])</f>
        <v>Brusselator1d</v>
      </c>
      <c r="AB19" s="6">
        <v>1</v>
      </c>
      <c r="AC19" s="6">
        <v>3</v>
      </c>
      <c r="AD19" s="6">
        <v>1</v>
      </c>
      <c r="AE19" s="6">
        <v>200</v>
      </c>
      <c r="AF19" s="6">
        <v>400</v>
      </c>
      <c r="AG19" s="6">
        <v>7.2618</v>
      </c>
      <c r="AI19" s="6" t="str">
        <f>_xlfn.XLOOKUP(Runge4[[#This Row],[Metodo]],TbSolver[Metodo],TbSolver[Solver])</f>
        <v>RungeKutta</v>
      </c>
      <c r="AJ19" s="6" t="str">
        <f>_xlfn.XLOOKUP(Runge4[[#This Row],[Hebras]],TbTecnologia[Hebras],TbTecnologia[Tecnología])</f>
        <v>CUDA</v>
      </c>
      <c r="AK19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19" s="2" t="str" cm="1">
        <f t="array" ref="AL19">_xlfn.XLOOKUP(Runge4[[#This Row],[Tecnología]]&amp;Runge4[[#This Row],[Problema]],TbNombres[Tecnología]&amp;TbNombres[Problema],TbNombres[Nombre])</f>
        <v>Brusselator2d</v>
      </c>
      <c r="AM19" s="2">
        <v>1</v>
      </c>
      <c r="AN19" s="2">
        <v>8</v>
      </c>
      <c r="AO19" s="2">
        <v>256</v>
      </c>
      <c r="AP19" s="2">
        <v>100</v>
      </c>
      <c r="AQ19" s="2">
        <v>20000</v>
      </c>
      <c r="AR19" s="2">
        <v>27.382100000000001</v>
      </c>
    </row>
    <row r="20" spans="2:44" x14ac:dyDescent="0.2">
      <c r="B20" s="1" t="str">
        <f>_xlfn.XLOOKUP(Runge1[[#This Row],[Metodo]],TbSolver[Metodo],TbSolver[Solver])</f>
        <v>RungeKutta</v>
      </c>
      <c r="C20" s="1" t="str">
        <f>_xlfn.XLOOKUP(Runge1[[#This Row],[Hebras]],TbTecnologia[Hebras],TbTecnologia[Tecnología])</f>
        <v>CUDA</v>
      </c>
      <c r="D20" s="5" t="str" cm="1">
        <f t="array" ref="D20">_xlfn.XLOOKUP(Runge1[[#This Row],[Tecnología]]&amp;Runge1[[#This Row],[Metodo]],TbTipos[Tecnología]&amp;TbTipos[Metodo],TbTipos[Tipo])</f>
        <v>CUDA con graph</v>
      </c>
      <c r="E20" s="1" t="str" cm="1">
        <f t="array" ref="E20">_xlfn.XLOOKUP(Runge1[[#This Row],[Tecnología]]&amp;Runge1[[#This Row],[Problema]],TbNombres[Tecnología]&amp;TbNombres[Problema],TbNombres[Nombre])</f>
        <v>Simple Advdiff</v>
      </c>
      <c r="F20" s="1">
        <v>2</v>
      </c>
      <c r="G20" s="1">
        <v>1</v>
      </c>
      <c r="H20" s="1">
        <v>256</v>
      </c>
      <c r="I20" s="1">
        <v>200</v>
      </c>
      <c r="J20" s="1">
        <v>200</v>
      </c>
      <c r="K20" s="1">
        <v>12.125500000000001</v>
      </c>
      <c r="M20" s="6" t="str">
        <f>_xlfn.XLOOKUP(Runge2[[#This Row],[Metodo]],TbSolver[Metodo],TbSolver[Solver])</f>
        <v>RungeKutta</v>
      </c>
      <c r="N20" s="6" t="str">
        <f>_xlfn.XLOOKUP(Runge2[[#This Row],[Hebras]],TbTecnologia[Hebras],TbTecnologia[Tecnología])</f>
        <v>OMP</v>
      </c>
      <c r="O20" s="7" t="str" cm="1">
        <f t="array" ref="O20">_xlfn.XLOOKUP(Runge2[[#This Row],[Tecnología]]&amp;Runge2[[#This Row],[Metodo]],TbTipos[Tecnología]&amp;TbTipos[Metodo],TbTipos[Tipo])</f>
        <v>OMP Elementos</v>
      </c>
      <c r="P20" s="6" t="str" cm="1">
        <f t="array" ref="P20">_xlfn.XLOOKUP(Runge2[[#This Row],[Tecnología]]&amp;Runge2[[#This Row],[Problema]],TbNombres[Tecnología]&amp;TbNombres[Problema],TbNombres[Nombre])</f>
        <v>Advdiff1d</v>
      </c>
      <c r="Q20" s="6">
        <v>2</v>
      </c>
      <c r="R20" s="6">
        <v>2</v>
      </c>
      <c r="S20" s="6">
        <v>1</v>
      </c>
      <c r="T20" s="6">
        <v>200</v>
      </c>
      <c r="U20" s="6">
        <v>200</v>
      </c>
      <c r="V20" s="6">
        <v>23.9864</v>
      </c>
      <c r="X20" s="6" t="str">
        <f>_xlfn.XLOOKUP(Runge3[[#This Row],[Metodo]],TbSolver[Metodo],TbSolver[Solver])</f>
        <v>RungeKutta</v>
      </c>
      <c r="Y20" s="6" t="str">
        <f>_xlfn.XLOOKUP(Runge3[[#This Row],[Hebras]],TbTecnologia[Hebras],TbTecnologia[Tecnología])</f>
        <v>OMP</v>
      </c>
      <c r="Z20" s="7" t="str" cm="1">
        <f t="array" ref="Z20">_xlfn.XLOOKUP(Runge3[[#This Row],[Tecnología]]&amp;Runge3[[#This Row],[Metodo]],TbTipos[Tecnología]&amp;TbTipos[Metodo],TbTipos[Tipo])</f>
        <v>OMP Elementos</v>
      </c>
      <c r="AA20" s="6" t="str" cm="1">
        <f t="array" ref="AA20">_xlfn.XLOOKUP(Runge3[[#This Row],[Tecnología]]&amp;Runge3[[#This Row],[Problema]],TbNombres[Tecnología]&amp;TbNombres[Problema],TbNombres[Nombre])</f>
        <v>Brusselator1d</v>
      </c>
      <c r="AB20" s="6">
        <v>2</v>
      </c>
      <c r="AC20" s="6">
        <v>3</v>
      </c>
      <c r="AD20" s="6">
        <v>4</v>
      </c>
      <c r="AE20" s="6">
        <v>200</v>
      </c>
      <c r="AF20" s="6">
        <v>400</v>
      </c>
      <c r="AG20" s="6">
        <v>9.9756999999999998</v>
      </c>
      <c r="AI20" s="6" t="str">
        <f>_xlfn.XLOOKUP(Runge4[[#This Row],[Metodo]],TbSolver[Metodo],TbSolver[Solver])</f>
        <v>RungeKutta</v>
      </c>
      <c r="AJ20" s="6" t="str">
        <f>_xlfn.XLOOKUP(Runge4[[#This Row],[Hebras]],TbTecnologia[Hebras],TbTecnologia[Tecnología])</f>
        <v>CUDA</v>
      </c>
      <c r="AK20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20" s="2" t="str" cm="1">
        <f t="array" ref="AL20">_xlfn.XLOOKUP(Runge4[[#This Row],[Tecnología]]&amp;Runge4[[#This Row],[Problema]],TbNombres[Tecnología]&amp;TbNombres[Problema],TbNombres[Nombre])</f>
        <v>Brusselator2d</v>
      </c>
      <c r="AM20" s="2">
        <v>1</v>
      </c>
      <c r="AN20" s="2">
        <v>9</v>
      </c>
      <c r="AO20" s="2">
        <v>256</v>
      </c>
      <c r="AP20" s="2">
        <v>100</v>
      </c>
      <c r="AQ20" s="2">
        <v>20000</v>
      </c>
      <c r="AR20" s="2">
        <v>27.6431</v>
      </c>
    </row>
    <row r="21" spans="2:44" x14ac:dyDescent="0.2">
      <c r="B21" s="1" t="str">
        <f>_xlfn.XLOOKUP(Runge1[[#This Row],[Metodo]],TbSolver[Metodo],TbSolver[Solver])</f>
        <v>RungeKutta</v>
      </c>
      <c r="C21" s="1" t="str">
        <f>_xlfn.XLOOKUP(Runge1[[#This Row],[Hebras]],TbTecnologia[Hebras],TbTecnologia[Tecnología])</f>
        <v>CUDA</v>
      </c>
      <c r="D21" s="5" t="str" cm="1">
        <f t="array" ref="D21">_xlfn.XLOOKUP(Runge1[[#This Row],[Tecnología]]&amp;Runge1[[#This Row],[Metodo]],TbTipos[Tecnología]&amp;TbTipos[Metodo],TbTipos[Tipo])</f>
        <v>CUDA con graph</v>
      </c>
      <c r="E21" s="1" t="str" cm="1">
        <f t="array" ref="E21">_xlfn.XLOOKUP(Runge1[[#This Row],[Tecnología]]&amp;Runge1[[#This Row],[Problema]],TbNombres[Tecnología]&amp;TbNombres[Problema],TbNombres[Nombre])</f>
        <v>Simple Advdiff</v>
      </c>
      <c r="F21" s="1">
        <v>2</v>
      </c>
      <c r="G21" s="1">
        <v>2</v>
      </c>
      <c r="H21" s="1">
        <v>256</v>
      </c>
      <c r="I21" s="1">
        <v>200</v>
      </c>
      <c r="J21" s="1">
        <v>200</v>
      </c>
      <c r="K21" s="1">
        <v>12.1938</v>
      </c>
      <c r="M21" s="6" t="str">
        <f>_xlfn.XLOOKUP(Runge2[[#This Row],[Metodo]],TbSolver[Metodo],TbSolver[Solver])</f>
        <v>RungeKutta</v>
      </c>
      <c r="N21" s="6" t="str">
        <f>_xlfn.XLOOKUP(Runge2[[#This Row],[Hebras]],TbTecnologia[Hebras],TbTecnologia[Tecnología])</f>
        <v>CUDA</v>
      </c>
      <c r="O21" s="2" t="str" cm="1">
        <f t="array" ref="O21">_xlfn.XLOOKUP(Runge2[[#This Row],[Tecnología]]&amp;Runge2[[#This Row],[Metodo]],TbTipos[Tecnología]&amp;TbTipos[Metodo],TbTipos[Tipo])</f>
        <v>CUDA con graph</v>
      </c>
      <c r="P21" s="2" t="str" cm="1">
        <f t="array" ref="P21">_xlfn.XLOOKUP(Runge2[[#This Row],[Tecnología]]&amp;Runge2[[#This Row],[Problema]],TbNombres[Tecnología]&amp;TbNombres[Problema],TbNombres[Nombre])</f>
        <v>Advdiff1d</v>
      </c>
      <c r="Q21" s="2">
        <v>2</v>
      </c>
      <c r="R21" s="2">
        <v>3</v>
      </c>
      <c r="S21" s="2">
        <v>256</v>
      </c>
      <c r="T21" s="2">
        <v>200</v>
      </c>
      <c r="U21" s="2">
        <v>200</v>
      </c>
      <c r="V21" s="2">
        <v>25.8079</v>
      </c>
      <c r="X21" s="6" t="str">
        <f>_xlfn.XLOOKUP(Runge3[[#This Row],[Metodo]],TbSolver[Metodo],TbSolver[Solver])</f>
        <v>RungeKutta</v>
      </c>
      <c r="Y21" s="6" t="str">
        <f>_xlfn.XLOOKUP(Runge3[[#This Row],[Hebras]],TbTecnologia[Hebras],TbTecnologia[Tecnología])</f>
        <v>OMP</v>
      </c>
      <c r="Z21" s="7" t="str" cm="1">
        <f t="array" ref="Z21">_xlfn.XLOOKUP(Runge3[[#This Row],[Tecnología]]&amp;Runge3[[#This Row],[Metodo]],TbTipos[Tecnología]&amp;TbTipos[Metodo],TbTipos[Tipo])</f>
        <v>OMP Elementos</v>
      </c>
      <c r="AA21" s="6" t="str" cm="1">
        <f t="array" ref="AA21">_xlfn.XLOOKUP(Runge3[[#This Row],[Tecnología]]&amp;Runge3[[#This Row],[Problema]],TbNombres[Tecnología]&amp;TbNombres[Problema],TbNombres[Nombre])</f>
        <v>Brusselator1d</v>
      </c>
      <c r="AB21" s="6">
        <v>2</v>
      </c>
      <c r="AC21" s="6">
        <v>3</v>
      </c>
      <c r="AD21" s="6">
        <v>1</v>
      </c>
      <c r="AE21" s="6">
        <v>200</v>
      </c>
      <c r="AF21" s="6">
        <v>400</v>
      </c>
      <c r="AG21" s="6">
        <v>9.9896200000000004</v>
      </c>
      <c r="AI21" s="9" t="str">
        <f>_xlfn.XLOOKUP(Runge4[[#This Row],[Metodo]],TbSolver[Metodo],TbSolver[Solver])</f>
        <v>RungeKutta</v>
      </c>
      <c r="AJ21" s="9" t="str">
        <f>_xlfn.XLOOKUP(Runge4[[#This Row],[Hebras]],TbTecnologia[Hebras],TbTecnologia[Tecnología])</f>
        <v>OMP</v>
      </c>
      <c r="AK21" s="10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21" s="9" t="str" cm="1">
        <f t="array" ref="AL21">_xlfn.XLOOKUP(Runge4[[#This Row],[Tecnología]]&amp;Runge4[[#This Row],[Problema]],TbNombres[Tecnología]&amp;TbNombres[Problema],TbNombres[Nombre])</f>
        <v>Brusselator2d</v>
      </c>
      <c r="AM21" s="9">
        <v>2</v>
      </c>
      <c r="AN21" s="9">
        <v>4</v>
      </c>
      <c r="AO21" s="9">
        <v>16</v>
      </c>
      <c r="AP21" s="9">
        <v>100</v>
      </c>
      <c r="AQ21" s="9">
        <v>20000</v>
      </c>
      <c r="AR21" s="9">
        <v>91.947000000000003</v>
      </c>
    </row>
    <row r="22" spans="2:44" x14ac:dyDescent="0.2">
      <c r="B22" s="1" t="str">
        <f>_xlfn.XLOOKUP(Runge1[[#This Row],[Metodo]],TbSolver[Metodo],TbSolver[Solver])</f>
        <v>RungeKutta</v>
      </c>
      <c r="C22" s="1" t="str">
        <f>_xlfn.XLOOKUP(Runge1[[#This Row],[Hebras]],TbTecnologia[Hebras],TbTecnologia[Tecnología])</f>
        <v>CUDA</v>
      </c>
      <c r="D22" s="5" t="str" cm="1">
        <f t="array" ref="D22">_xlfn.XLOOKUP(Runge1[[#This Row],[Tecnología]]&amp;Runge1[[#This Row],[Metodo]],TbTipos[Tecnología]&amp;TbTipos[Metodo],TbTipos[Tipo])</f>
        <v>CUDA sin graph</v>
      </c>
      <c r="E22" s="1" t="str" cm="1">
        <f t="array" ref="E22">_xlfn.XLOOKUP(Runge1[[#This Row],[Tecnología]]&amp;Runge1[[#This Row],[Problema]],TbNombres[Tecnología]&amp;TbNombres[Problema],TbNombres[Nombre])</f>
        <v>Simple Advdiff</v>
      </c>
      <c r="F22" s="1">
        <v>1</v>
      </c>
      <c r="G22" s="1">
        <v>1</v>
      </c>
      <c r="H22" s="1">
        <v>256</v>
      </c>
      <c r="I22" s="1">
        <v>200</v>
      </c>
      <c r="J22" s="1">
        <v>200</v>
      </c>
      <c r="K22" s="1">
        <v>15.0952</v>
      </c>
      <c r="M22" s="6" t="str">
        <f>_xlfn.XLOOKUP(Runge2[[#This Row],[Metodo]],TbSolver[Metodo],TbSolver[Solver])</f>
        <v>RungeKutta</v>
      </c>
      <c r="N22" s="6" t="str">
        <f>_xlfn.XLOOKUP(Runge2[[#This Row],[Hebras]],TbTecnologia[Hebras],TbTecnologia[Tecnología])</f>
        <v>CUDA</v>
      </c>
      <c r="O22" s="2" t="str" cm="1">
        <f t="array" ref="O22">_xlfn.XLOOKUP(Runge2[[#This Row],[Tecnología]]&amp;Runge2[[#This Row],[Metodo]],TbTipos[Tecnología]&amp;TbTipos[Metodo],TbTipos[Tipo])</f>
        <v>CUDA con graph</v>
      </c>
      <c r="P22" s="2" t="str" cm="1">
        <f t="array" ref="P22">_xlfn.XLOOKUP(Runge2[[#This Row],[Tecnología]]&amp;Runge2[[#This Row],[Problema]],TbNombres[Tecnología]&amp;TbNombres[Problema],TbNombres[Nombre])</f>
        <v>Advdiff1d</v>
      </c>
      <c r="Q22" s="2">
        <v>2</v>
      </c>
      <c r="R22" s="2">
        <v>4</v>
      </c>
      <c r="S22" s="2">
        <v>256</v>
      </c>
      <c r="T22" s="2">
        <v>200</v>
      </c>
      <c r="U22" s="2">
        <v>200</v>
      </c>
      <c r="V22" s="2">
        <v>26.537299999999998</v>
      </c>
      <c r="X22" s="6" t="str">
        <f>_xlfn.XLOOKUP(Runge3[[#This Row],[Metodo]],TbSolver[Metodo],TbSolver[Solver])</f>
        <v>RungeKutta</v>
      </c>
      <c r="Y22" s="6" t="str">
        <f>_xlfn.XLOOKUP(Runge3[[#This Row],[Hebras]],TbTecnologia[Hebras],TbTecnologia[Tecnología])</f>
        <v>CUDA</v>
      </c>
      <c r="Z22" s="2" t="str" cm="1">
        <f t="array" ref="Z22">_xlfn.XLOOKUP(Runge3[[#This Row],[Tecnología]]&amp;Runge3[[#This Row],[Metodo]],TbTipos[Tecnología]&amp;TbTipos[Metodo],TbTipos[Tipo])</f>
        <v>CUDA con graph</v>
      </c>
      <c r="AA22" s="2" t="str" cm="1">
        <f t="array" ref="AA22">_xlfn.XLOOKUP(Runge3[[#This Row],[Tecnología]]&amp;Runge3[[#This Row],[Problema]],TbNombres[Tecnología]&amp;TbNombres[Problema],TbNombres[Nombre])</f>
        <v>Brusselator1d</v>
      </c>
      <c r="AB22" s="2">
        <v>2</v>
      </c>
      <c r="AC22" s="2">
        <v>5</v>
      </c>
      <c r="AD22" s="2">
        <v>256</v>
      </c>
      <c r="AE22" s="2">
        <v>200</v>
      </c>
      <c r="AF22" s="2">
        <v>400</v>
      </c>
      <c r="AG22" s="2">
        <v>13.7011</v>
      </c>
      <c r="AI22" s="9" t="str">
        <f>_xlfn.XLOOKUP(Runge4[[#This Row],[Metodo]],TbSolver[Metodo],TbSolver[Solver])</f>
        <v>RungeKutta</v>
      </c>
      <c r="AJ22" s="9" t="str">
        <f>_xlfn.XLOOKUP(Runge4[[#This Row],[Hebras]],TbTecnologia[Hebras],TbTecnologia[Tecnología])</f>
        <v>OMP</v>
      </c>
      <c r="AK22" s="10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22" s="9" t="str" cm="1">
        <f t="array" ref="AL22">_xlfn.XLOOKUP(Runge4[[#This Row],[Tecnología]]&amp;Runge4[[#This Row],[Problema]],TbNombres[Tecnología]&amp;TbNombres[Problema],TbNombres[Nombre])</f>
        <v>Brusselator2d</v>
      </c>
      <c r="AM22" s="9">
        <v>1</v>
      </c>
      <c r="AN22" s="9">
        <v>4</v>
      </c>
      <c r="AO22" s="9">
        <v>16</v>
      </c>
      <c r="AP22" s="9">
        <v>100</v>
      </c>
      <c r="AQ22" s="9">
        <v>20000</v>
      </c>
      <c r="AR22" s="9">
        <v>100.03700000000001</v>
      </c>
    </row>
    <row r="23" spans="2:44" x14ac:dyDescent="0.2">
      <c r="B23" s="1" t="str">
        <f>_xlfn.XLOOKUP(Runge1[[#This Row],[Metodo]],TbSolver[Metodo],TbSolver[Solver])</f>
        <v>RungeKutta</v>
      </c>
      <c r="C23" s="1" t="str">
        <f>_xlfn.XLOOKUP(Runge1[[#This Row],[Hebras]],TbTecnologia[Hebras],TbTecnologia[Tecnología])</f>
        <v>CUDA</v>
      </c>
      <c r="D23" s="5" t="str" cm="1">
        <f t="array" ref="D23">_xlfn.XLOOKUP(Runge1[[#This Row],[Tecnología]]&amp;Runge1[[#This Row],[Metodo]],TbTipos[Tecnología]&amp;TbTipos[Metodo],TbTipos[Tipo])</f>
        <v>CUDA sin graph</v>
      </c>
      <c r="E23" s="1" t="str" cm="1">
        <f t="array" ref="E23">_xlfn.XLOOKUP(Runge1[[#This Row],[Tecnología]]&amp;Runge1[[#This Row],[Problema]],TbNombres[Tecnología]&amp;TbNombres[Problema],TbNombres[Nombre])</f>
        <v>Simple Advdiff</v>
      </c>
      <c r="F23" s="1">
        <v>1</v>
      </c>
      <c r="G23" s="1">
        <v>2</v>
      </c>
      <c r="H23" s="1">
        <v>256</v>
      </c>
      <c r="I23" s="1">
        <v>200</v>
      </c>
      <c r="J23" s="1">
        <v>200</v>
      </c>
      <c r="K23" s="1">
        <v>18.799099999999999</v>
      </c>
      <c r="M23" s="6" t="str">
        <f>_xlfn.XLOOKUP(Runge2[[#This Row],[Metodo]],TbSolver[Metodo],TbSolver[Solver])</f>
        <v>RungeKutta</v>
      </c>
      <c r="N23" s="6" t="str">
        <f>_xlfn.XLOOKUP(Runge2[[#This Row],[Hebras]],TbTecnologia[Hebras],TbTecnologia[Tecnología])</f>
        <v>CUDA</v>
      </c>
      <c r="O23" s="2" t="str" cm="1">
        <f t="array" ref="O23">_xlfn.XLOOKUP(Runge2[[#This Row],[Tecnología]]&amp;Runge2[[#This Row],[Metodo]],TbTipos[Tecnología]&amp;TbTipos[Metodo],TbTipos[Tipo])</f>
        <v>CUDA sin graph</v>
      </c>
      <c r="P23" s="2" t="str" cm="1">
        <f t="array" ref="P23">_xlfn.XLOOKUP(Runge2[[#This Row],[Tecnología]]&amp;Runge2[[#This Row],[Problema]],TbNombres[Tecnología]&amp;TbNombres[Problema],TbNombres[Nombre])</f>
        <v>Advdiff1d</v>
      </c>
      <c r="Q23" s="2">
        <v>1</v>
      </c>
      <c r="R23" s="2">
        <v>3</v>
      </c>
      <c r="S23" s="2">
        <v>256</v>
      </c>
      <c r="T23" s="2">
        <v>200</v>
      </c>
      <c r="U23" s="2">
        <v>200</v>
      </c>
      <c r="V23" s="2">
        <v>28.723600000000001</v>
      </c>
      <c r="X23" s="6" t="str">
        <f>_xlfn.XLOOKUP(Runge3[[#This Row],[Metodo]],TbSolver[Metodo],TbSolver[Solver])</f>
        <v>RungeKutta</v>
      </c>
      <c r="Y23" s="6" t="str">
        <f>_xlfn.XLOOKUP(Runge3[[#This Row],[Hebras]],TbTecnologia[Hebras],TbTecnologia[Tecnología])</f>
        <v>CUDA</v>
      </c>
      <c r="Z23" s="2" t="str" cm="1">
        <f t="array" ref="Z23">_xlfn.XLOOKUP(Runge3[[#This Row],[Tecnología]]&amp;Runge3[[#This Row],[Metodo]],TbTipos[Tecnología]&amp;TbTipos[Metodo],TbTipos[Tipo])</f>
        <v>CUDA con graph</v>
      </c>
      <c r="AA23" s="2" t="str" cm="1">
        <f t="array" ref="AA23">_xlfn.XLOOKUP(Runge3[[#This Row],[Tecnología]]&amp;Runge3[[#This Row],[Problema]],TbNombres[Tecnología]&amp;TbNombres[Problema],TbNombres[Nombre])</f>
        <v>Brusselator1d</v>
      </c>
      <c r="AB23" s="2">
        <v>2</v>
      </c>
      <c r="AC23" s="2">
        <v>6</v>
      </c>
      <c r="AD23" s="2">
        <v>256</v>
      </c>
      <c r="AE23" s="2">
        <v>200</v>
      </c>
      <c r="AF23" s="2">
        <v>400</v>
      </c>
      <c r="AG23" s="2">
        <v>13.7067</v>
      </c>
      <c r="AI23" s="9" t="str">
        <f>_xlfn.XLOOKUP(Runge4[[#This Row],[Metodo]],TbSolver[Metodo],TbSolver[Solver])</f>
        <v>RungeKutta</v>
      </c>
      <c r="AJ23" s="9" t="str">
        <f>_xlfn.XLOOKUP(Runge4[[#This Row],[Hebras]],TbTecnologia[Hebras],TbTecnologia[Tecnología])</f>
        <v>OMP</v>
      </c>
      <c r="AK23" s="10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23" s="9" t="str" cm="1">
        <f t="array" ref="AL23">_xlfn.XLOOKUP(Runge4[[#This Row],[Tecnología]]&amp;Runge4[[#This Row],[Problema]],TbNombres[Tecnología]&amp;TbNombres[Problema],TbNombres[Nombre])</f>
        <v>Brusselator2d</v>
      </c>
      <c r="AM23" s="9">
        <v>1</v>
      </c>
      <c r="AN23" s="9">
        <v>4</v>
      </c>
      <c r="AO23" s="9">
        <v>4</v>
      </c>
      <c r="AP23" s="9">
        <v>100</v>
      </c>
      <c r="AQ23" s="9">
        <v>20000</v>
      </c>
      <c r="AR23" s="9">
        <v>136.18899999999999</v>
      </c>
    </row>
    <row r="24" spans="2:44" x14ac:dyDescent="0.2">
      <c r="B24" s="1" t="str">
        <f>_xlfn.XLOOKUP(Runge1[[#This Row],[Metodo]],TbSolver[Metodo],TbSolver[Solver])</f>
        <v>RungeKutta</v>
      </c>
      <c r="C24" s="1" t="str">
        <f>_xlfn.XLOOKUP(Runge1[[#This Row],[Hebras]],TbTecnologia[Hebras],TbTecnologia[Tecnología])</f>
        <v>OMP</v>
      </c>
      <c r="D24" s="5" t="str" cm="1">
        <f t="array" ref="D24">_xlfn.XLOOKUP(Runge1[[#This Row],[Tecnología]]&amp;Runge1[[#This Row],[Metodo]],TbTipos[Tecnología]&amp;TbTipos[Metodo],TbTipos[Tipo])</f>
        <v>OMP Operaciones</v>
      </c>
      <c r="E24" s="1" t="str" cm="1">
        <f t="array" ref="E24">_xlfn.XLOOKUP(Runge1[[#This Row],[Tecnología]]&amp;Runge1[[#This Row],[Problema]],TbNombres[Tecnología]&amp;TbNombres[Problema],TbNombres[Nombre])</f>
        <v>Simple Advdiff</v>
      </c>
      <c r="F24" s="1">
        <v>1</v>
      </c>
      <c r="G24" s="1">
        <v>1</v>
      </c>
      <c r="H24" s="1">
        <v>4</v>
      </c>
      <c r="I24" s="1">
        <v>200</v>
      </c>
      <c r="J24" s="1">
        <v>200</v>
      </c>
      <c r="K24" s="1">
        <v>23.6295</v>
      </c>
      <c r="M24" s="6" t="str">
        <f>_xlfn.XLOOKUP(Runge2[[#This Row],[Metodo]],TbSolver[Metodo],TbSolver[Solver])</f>
        <v>RungeKutta</v>
      </c>
      <c r="N24" s="6" t="str">
        <f>_xlfn.XLOOKUP(Runge2[[#This Row],[Hebras]],TbTecnologia[Hebras],TbTecnologia[Tecnología])</f>
        <v>CUDA</v>
      </c>
      <c r="O24" s="2" t="str" cm="1">
        <f t="array" ref="O24">_xlfn.XLOOKUP(Runge2[[#This Row],[Tecnología]]&amp;Runge2[[#This Row],[Metodo]],TbTipos[Tecnología]&amp;TbTipos[Metodo],TbTipos[Tipo])</f>
        <v>CUDA sin graph</v>
      </c>
      <c r="P24" s="2" t="str" cm="1">
        <f t="array" ref="P24">_xlfn.XLOOKUP(Runge2[[#This Row],[Tecnología]]&amp;Runge2[[#This Row],[Problema]],TbNombres[Tecnología]&amp;TbNombres[Problema],TbNombres[Nombre])</f>
        <v>Advdiff1d</v>
      </c>
      <c r="Q24" s="2">
        <v>1</v>
      </c>
      <c r="R24" s="2">
        <v>4</v>
      </c>
      <c r="S24" s="2">
        <v>256</v>
      </c>
      <c r="T24" s="2">
        <v>200</v>
      </c>
      <c r="U24" s="2">
        <v>200</v>
      </c>
      <c r="V24" s="2">
        <v>29.5016</v>
      </c>
      <c r="X24" s="6" t="str">
        <f>_xlfn.XLOOKUP(Runge3[[#This Row],[Metodo]],TbSolver[Metodo],TbSolver[Solver])</f>
        <v>RungeKutta</v>
      </c>
      <c r="Y24" s="6" t="str">
        <f>_xlfn.XLOOKUP(Runge3[[#This Row],[Hebras]],TbTecnologia[Hebras],TbTecnologia[Tecnología])</f>
        <v>CUDA</v>
      </c>
      <c r="Z24" s="2" t="str" cm="1">
        <f t="array" ref="Z24">_xlfn.XLOOKUP(Runge3[[#This Row],[Tecnología]]&amp;Runge3[[#This Row],[Metodo]],TbTipos[Tecnología]&amp;TbTipos[Metodo],TbTipos[Tipo])</f>
        <v>CUDA con graph</v>
      </c>
      <c r="AA24" s="2" t="str" cm="1">
        <f t="array" ref="AA24">_xlfn.XLOOKUP(Runge3[[#This Row],[Tecnología]]&amp;Runge3[[#This Row],[Problema]],TbNombres[Tecnología]&amp;TbNombres[Problema],TbNombres[Nombre])</f>
        <v>Brusselator1d</v>
      </c>
      <c r="AB24" s="2">
        <v>2</v>
      </c>
      <c r="AC24" s="2">
        <v>7</v>
      </c>
      <c r="AD24" s="2">
        <v>256</v>
      </c>
      <c r="AE24" s="2">
        <v>200</v>
      </c>
      <c r="AF24" s="2">
        <v>400</v>
      </c>
      <c r="AG24" s="2">
        <v>13.7905</v>
      </c>
      <c r="AI24" s="9" t="str">
        <f>_xlfn.XLOOKUP(Runge4[[#This Row],[Metodo]],TbSolver[Metodo],TbSolver[Solver])</f>
        <v>RungeKutta</v>
      </c>
      <c r="AJ24" s="9" t="str">
        <f>_xlfn.XLOOKUP(Runge4[[#This Row],[Hebras]],TbTecnologia[Hebras],TbTecnologia[Tecnología])</f>
        <v>OMP</v>
      </c>
      <c r="AK24" s="10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24" s="9" t="str" cm="1">
        <f t="array" ref="AL24">_xlfn.XLOOKUP(Runge4[[#This Row],[Tecnología]]&amp;Runge4[[#This Row],[Problema]],TbNombres[Tecnología]&amp;TbNombres[Problema],TbNombres[Nombre])</f>
        <v>Brusselator2d</v>
      </c>
      <c r="AM24" s="9">
        <v>2</v>
      </c>
      <c r="AN24" s="9">
        <v>4</v>
      </c>
      <c r="AO24" s="9">
        <v>4</v>
      </c>
      <c r="AP24" s="9">
        <v>100</v>
      </c>
      <c r="AQ24" s="9">
        <v>20000</v>
      </c>
      <c r="AR24" s="9">
        <v>284.08</v>
      </c>
    </row>
    <row r="25" spans="2:44" x14ac:dyDescent="0.2">
      <c r="B25" s="1" t="str">
        <f>_xlfn.XLOOKUP(Runge1[[#This Row],[Metodo]],TbSolver[Metodo],TbSolver[Solver])</f>
        <v>RungeKutta</v>
      </c>
      <c r="C25" s="1" t="str">
        <f>_xlfn.XLOOKUP(Runge1[[#This Row],[Hebras]],TbTecnologia[Hebras],TbTecnologia[Tecnología])</f>
        <v>OMP</v>
      </c>
      <c r="D25" s="5" t="str" cm="1">
        <f t="array" ref="D25">_xlfn.XLOOKUP(Runge1[[#This Row],[Tecnología]]&amp;Runge1[[#This Row],[Metodo]],TbTipos[Tecnología]&amp;TbTipos[Metodo],TbTipos[Tipo])</f>
        <v>OMP Elementos</v>
      </c>
      <c r="E25" s="1" t="str" cm="1">
        <f t="array" ref="E25">_xlfn.XLOOKUP(Runge1[[#This Row],[Tecnología]]&amp;Runge1[[#This Row],[Problema]],TbNombres[Tecnología]&amp;TbNombres[Problema],TbNombres[Nombre])</f>
        <v>Simple Advdiff</v>
      </c>
      <c r="F25" s="1">
        <v>2</v>
      </c>
      <c r="G25" s="1">
        <v>1</v>
      </c>
      <c r="H25" s="1">
        <v>16</v>
      </c>
      <c r="I25" s="1">
        <v>200</v>
      </c>
      <c r="J25" s="1">
        <v>200</v>
      </c>
      <c r="K25" s="1">
        <v>25.333300000000001</v>
      </c>
      <c r="M25" s="6" t="str">
        <f>_xlfn.XLOOKUP(Runge2[[#This Row],[Metodo]],TbSolver[Metodo],TbSolver[Solver])</f>
        <v>RungeKutta</v>
      </c>
      <c r="N25" s="6" t="str">
        <f>_xlfn.XLOOKUP(Runge2[[#This Row],[Hebras]],TbTecnologia[Hebras],TbTecnologia[Tecnología])</f>
        <v>OMP</v>
      </c>
      <c r="O25" s="7" t="str" cm="1">
        <f t="array" ref="O25">_xlfn.XLOOKUP(Runge2[[#This Row],[Tecnología]]&amp;Runge2[[#This Row],[Metodo]],TbTipos[Tecnología]&amp;TbTipos[Metodo],TbTipos[Tipo])</f>
        <v>OMP Operaciones</v>
      </c>
      <c r="P25" s="6" t="str" cm="1">
        <f t="array" ref="P25">_xlfn.XLOOKUP(Runge2[[#This Row],[Tecnología]]&amp;Runge2[[#This Row],[Problema]],TbNombres[Tecnología]&amp;TbNombres[Problema],TbNombres[Nombre])</f>
        <v>Advdiff1d</v>
      </c>
      <c r="Q25" s="6">
        <v>1</v>
      </c>
      <c r="R25" s="6">
        <v>2</v>
      </c>
      <c r="S25" s="6">
        <v>4</v>
      </c>
      <c r="T25" s="6">
        <v>200</v>
      </c>
      <c r="U25" s="6">
        <v>200</v>
      </c>
      <c r="V25" s="6">
        <v>41.730200000000004</v>
      </c>
      <c r="X25" s="6" t="str">
        <f>_xlfn.XLOOKUP(Runge3[[#This Row],[Metodo]],TbSolver[Metodo],TbSolver[Solver])</f>
        <v>RungeKutta</v>
      </c>
      <c r="Y25" s="6" t="str">
        <f>_xlfn.XLOOKUP(Runge3[[#This Row],[Hebras]],TbTecnologia[Hebras],TbTecnologia[Tecnología])</f>
        <v>CUDA</v>
      </c>
      <c r="Z25" s="2" t="str" cm="1">
        <f t="array" ref="Z25">_xlfn.XLOOKUP(Runge3[[#This Row],[Tecnología]]&amp;Runge3[[#This Row],[Metodo]],TbTipos[Tecnología]&amp;TbTipos[Metodo],TbTipos[Tipo])</f>
        <v>CUDA sin graph</v>
      </c>
      <c r="AA25" s="2" t="str" cm="1">
        <f t="array" ref="AA25">_xlfn.XLOOKUP(Runge3[[#This Row],[Tecnología]]&amp;Runge3[[#This Row],[Problema]],TbNombres[Tecnología]&amp;TbNombres[Problema],TbNombres[Nombre])</f>
        <v>Brusselator1d</v>
      </c>
      <c r="AB25" s="2">
        <v>1</v>
      </c>
      <c r="AC25" s="2">
        <v>6</v>
      </c>
      <c r="AD25" s="2">
        <v>256</v>
      </c>
      <c r="AE25" s="2">
        <v>200</v>
      </c>
      <c r="AF25" s="2">
        <v>400</v>
      </c>
      <c r="AG25" s="2">
        <v>16.845500000000001</v>
      </c>
      <c r="AI25" s="9" t="str">
        <f>_xlfn.XLOOKUP(Runge4[[#This Row],[Metodo]],TbSolver[Metodo],TbSolver[Solver])</f>
        <v>RungeKutta</v>
      </c>
      <c r="AJ25" s="9" t="str">
        <f>_xlfn.XLOOKUP(Runge4[[#This Row],[Hebras]],TbTecnologia[Hebras],TbTecnologia[Tecnología])</f>
        <v>OMP</v>
      </c>
      <c r="AK25" s="10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25" s="9" t="str" cm="1">
        <f t="array" ref="AL25">_xlfn.XLOOKUP(Runge4[[#This Row],[Tecnología]]&amp;Runge4[[#This Row],[Problema]],TbNombres[Tecnología]&amp;TbNombres[Problema],TbNombres[Nombre])</f>
        <v>Brusselator2d</v>
      </c>
      <c r="AM25" s="9">
        <v>1</v>
      </c>
      <c r="AN25" s="9">
        <v>4</v>
      </c>
      <c r="AO25" s="9">
        <v>1</v>
      </c>
      <c r="AP25" s="9">
        <v>100</v>
      </c>
      <c r="AQ25" s="9">
        <v>20000</v>
      </c>
      <c r="AR25" s="9">
        <v>410.04500000000002</v>
      </c>
    </row>
    <row r="26" spans="2:44" x14ac:dyDescent="0.2">
      <c r="B26" s="1" t="str">
        <f>_xlfn.XLOOKUP(Runge1[[#This Row],[Metodo]],TbSolver[Metodo],TbSolver[Solver])</f>
        <v>RungeKutta</v>
      </c>
      <c r="C26" s="1" t="str">
        <f>_xlfn.XLOOKUP(Runge1[[#This Row],[Hebras]],TbTecnologia[Hebras],TbTecnologia[Tecnología])</f>
        <v>OMP</v>
      </c>
      <c r="D26" s="5" t="str" cm="1">
        <f t="array" ref="D26">_xlfn.XLOOKUP(Runge1[[#This Row],[Tecnología]]&amp;Runge1[[#This Row],[Metodo]],TbTipos[Tecnología]&amp;TbTipos[Metodo],TbTipos[Tipo])</f>
        <v>OMP Operaciones</v>
      </c>
      <c r="E26" s="1" t="str" cm="1">
        <f t="array" ref="E26">_xlfn.XLOOKUP(Runge1[[#This Row],[Tecnología]]&amp;Runge1[[#This Row],[Problema]],TbNombres[Tecnología]&amp;TbNombres[Problema],TbNombres[Nombre])</f>
        <v>Simple Advdiff</v>
      </c>
      <c r="F26" s="1">
        <v>1</v>
      </c>
      <c r="G26" s="1">
        <v>1</v>
      </c>
      <c r="H26" s="1">
        <v>16</v>
      </c>
      <c r="I26" s="1">
        <v>200</v>
      </c>
      <c r="J26" s="1">
        <v>200</v>
      </c>
      <c r="K26" s="1">
        <v>63.666400000000003</v>
      </c>
      <c r="M26" s="6" t="str">
        <f>_xlfn.XLOOKUP(Runge2[[#This Row],[Metodo]],TbSolver[Metodo],TbSolver[Solver])</f>
        <v>RungeKutta</v>
      </c>
      <c r="N26" s="6" t="str">
        <f>_xlfn.XLOOKUP(Runge2[[#This Row],[Hebras]],TbTecnologia[Hebras],TbTecnologia[Tecnología])</f>
        <v>OMP</v>
      </c>
      <c r="O26" s="7" t="str" cm="1">
        <f t="array" ref="O26">_xlfn.XLOOKUP(Runge2[[#This Row],[Tecnología]]&amp;Runge2[[#This Row],[Metodo]],TbTipos[Tecnología]&amp;TbTipos[Metodo],TbTipos[Tipo])</f>
        <v>OMP Operaciones</v>
      </c>
      <c r="P26" s="6" t="str" cm="1">
        <f t="array" ref="P26">_xlfn.XLOOKUP(Runge2[[#This Row],[Tecnología]]&amp;Runge2[[#This Row],[Problema]],TbNombres[Tecnología]&amp;TbNombres[Problema],TbNombres[Nombre])</f>
        <v>Advdiff1d</v>
      </c>
      <c r="Q26" s="6">
        <v>1</v>
      </c>
      <c r="R26" s="6">
        <v>2</v>
      </c>
      <c r="S26" s="6">
        <v>16</v>
      </c>
      <c r="T26" s="6">
        <v>200</v>
      </c>
      <c r="U26" s="6">
        <v>200</v>
      </c>
      <c r="V26" s="6">
        <v>97.440100000000001</v>
      </c>
      <c r="X26" s="6" t="str">
        <f>_xlfn.XLOOKUP(Runge3[[#This Row],[Metodo]],TbSolver[Metodo],TbSolver[Solver])</f>
        <v>RungeKutta</v>
      </c>
      <c r="Y26" s="6" t="str">
        <f>_xlfn.XLOOKUP(Runge3[[#This Row],[Hebras]],TbTecnologia[Hebras],TbTecnologia[Tecnología])</f>
        <v>OMP</v>
      </c>
      <c r="Z26" s="7" t="str" cm="1">
        <f t="array" ref="Z26">_xlfn.XLOOKUP(Runge3[[#This Row],[Tecnología]]&amp;Runge3[[#This Row],[Metodo]],TbTipos[Tecnología]&amp;TbTipos[Metodo],TbTipos[Tipo])</f>
        <v>OMP Elementos</v>
      </c>
      <c r="AA26" s="6" t="str" cm="1">
        <f t="array" ref="AA26">_xlfn.XLOOKUP(Runge3[[#This Row],[Tecnología]]&amp;Runge3[[#This Row],[Problema]],TbNombres[Tecnología]&amp;TbNombres[Problema],TbNombres[Nombre])</f>
        <v>Brusselator1d</v>
      </c>
      <c r="AB26" s="6">
        <v>2</v>
      </c>
      <c r="AC26" s="6">
        <v>3</v>
      </c>
      <c r="AD26" s="6">
        <v>16</v>
      </c>
      <c r="AE26" s="6">
        <v>200</v>
      </c>
      <c r="AF26" s="6">
        <v>400</v>
      </c>
      <c r="AG26" s="6">
        <v>17.2044</v>
      </c>
      <c r="AI26" s="9" t="str">
        <f>_xlfn.XLOOKUP(Runge4[[#This Row],[Metodo]],TbSolver[Metodo],TbSolver[Solver])</f>
        <v>RungeKutta</v>
      </c>
      <c r="AJ26" s="9" t="str">
        <f>_xlfn.XLOOKUP(Runge4[[#This Row],[Hebras]],TbTecnologia[Hebras],TbTecnologia[Tecnología])</f>
        <v>OMP</v>
      </c>
      <c r="AK26" s="10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26" s="9" t="str" cm="1">
        <f t="array" ref="AL26">_xlfn.XLOOKUP(Runge4[[#This Row],[Tecnología]]&amp;Runge4[[#This Row],[Problema]],TbNombres[Tecnología]&amp;TbNombres[Problema],TbNombres[Nombre])</f>
        <v>Brusselator2d</v>
      </c>
      <c r="AM26" s="9">
        <v>2</v>
      </c>
      <c r="AN26" s="9">
        <v>4</v>
      </c>
      <c r="AO26" s="9">
        <v>1</v>
      </c>
      <c r="AP26" s="9">
        <v>100</v>
      </c>
      <c r="AQ26" s="9">
        <v>20000</v>
      </c>
      <c r="AR26" s="9">
        <v>1071.46</v>
      </c>
    </row>
    <row r="27" spans="2:44" x14ac:dyDescent="0.2">
      <c r="B27" s="1" t="str">
        <f>_xlfn.XLOOKUP(Runge1[[#This Row],[Metodo]],TbSolver[Metodo],TbSolver[Solver])</f>
        <v>RungeKutta</v>
      </c>
      <c r="C27" s="1" t="str">
        <f>_xlfn.XLOOKUP(Runge1[[#This Row],[Hebras]],TbTecnologia[Hebras],TbTecnologia[Tecnología])</f>
        <v>OMP</v>
      </c>
      <c r="D27" s="5" t="str" cm="1">
        <f t="array" ref="D27">_xlfn.XLOOKUP(Runge1[[#This Row],[Tecnología]]&amp;Runge1[[#This Row],[Metodo]],TbTipos[Tecnología]&amp;TbTipos[Metodo],TbTipos[Tipo])</f>
        <v>OMP Operaciones</v>
      </c>
      <c r="E27" s="1" t="str" cm="1">
        <f t="array" ref="E27">_xlfn.XLOOKUP(Runge1[[#This Row],[Tecnología]]&amp;Runge1[[#This Row],[Problema]],TbNombres[Tecnología]&amp;TbNombres[Problema],TbNombres[Nombre])</f>
        <v>Simple Advdiff</v>
      </c>
      <c r="F27" s="1">
        <v>1</v>
      </c>
      <c r="G27" s="1">
        <v>1</v>
      </c>
      <c r="H27" s="1">
        <v>1</v>
      </c>
      <c r="I27" s="1">
        <v>500</v>
      </c>
      <c r="J27" s="1">
        <v>500</v>
      </c>
      <c r="K27" s="1">
        <v>4.8437700000000001</v>
      </c>
      <c r="M27" s="6" t="str">
        <f>_xlfn.XLOOKUP(Runge2[[#This Row],[Metodo]],TbSolver[Metodo],TbSolver[Solver])</f>
        <v>RungeKutta</v>
      </c>
      <c r="N27" s="6" t="str">
        <f>_xlfn.XLOOKUP(Runge2[[#This Row],[Hebras]],TbTecnologia[Hebras],TbTecnologia[Tecnología])</f>
        <v>OMP</v>
      </c>
      <c r="O27" s="7" t="str" cm="1">
        <f t="array" ref="O27">_xlfn.XLOOKUP(Runge2[[#This Row],[Tecnología]]&amp;Runge2[[#This Row],[Metodo]],TbTipos[Tecnología]&amp;TbTipos[Metodo],TbTipos[Tipo])</f>
        <v>OMP Elementos</v>
      </c>
      <c r="P27" s="6" t="str" cm="1">
        <f t="array" ref="P27">_xlfn.XLOOKUP(Runge2[[#This Row],[Tecnología]]&amp;Runge2[[#This Row],[Problema]],TbNombres[Tecnología]&amp;TbNombres[Problema],TbNombres[Nombre])</f>
        <v>Advdiff1d</v>
      </c>
      <c r="Q27" s="6">
        <v>2</v>
      </c>
      <c r="R27" s="6">
        <v>2</v>
      </c>
      <c r="S27" s="6">
        <v>16</v>
      </c>
      <c r="T27" s="6">
        <v>500</v>
      </c>
      <c r="U27" s="6">
        <v>500</v>
      </c>
      <c r="V27" s="6">
        <v>18.952200000000001</v>
      </c>
      <c r="X27" s="6" t="str">
        <f>_xlfn.XLOOKUP(Runge3[[#This Row],[Metodo]],TbSolver[Metodo],TbSolver[Solver])</f>
        <v>RungeKutta</v>
      </c>
      <c r="Y27" s="6" t="str">
        <f>_xlfn.XLOOKUP(Runge3[[#This Row],[Hebras]],TbTecnologia[Hebras],TbTecnologia[Tecnología])</f>
        <v>CUDA</v>
      </c>
      <c r="Z27" s="2" t="str" cm="1">
        <f t="array" ref="Z27">_xlfn.XLOOKUP(Runge3[[#This Row],[Tecnología]]&amp;Runge3[[#This Row],[Metodo]],TbTipos[Tecnología]&amp;TbTipos[Metodo],TbTipos[Tipo])</f>
        <v>CUDA sin graph</v>
      </c>
      <c r="AA27" s="2" t="str" cm="1">
        <f t="array" ref="AA27">_xlfn.XLOOKUP(Runge3[[#This Row],[Tecnología]]&amp;Runge3[[#This Row],[Problema]],TbNombres[Tecnología]&amp;TbNombres[Problema],TbNombres[Nombre])</f>
        <v>Brusselator1d</v>
      </c>
      <c r="AB27" s="2">
        <v>1</v>
      </c>
      <c r="AC27" s="2">
        <v>5</v>
      </c>
      <c r="AD27" s="2">
        <v>256</v>
      </c>
      <c r="AE27" s="2">
        <v>200</v>
      </c>
      <c r="AF27" s="2">
        <v>400</v>
      </c>
      <c r="AG27" s="2">
        <v>19.164300000000001</v>
      </c>
      <c r="AI27" s="9" t="str">
        <f>_xlfn.XLOOKUP(Runge4[[#This Row],[Metodo]],TbSolver[Metodo],TbSolver[Solver])</f>
        <v>RungeKutta</v>
      </c>
      <c r="AJ27" s="9" t="str">
        <f>_xlfn.XLOOKUP(Runge4[[#This Row],[Hebras]],TbTecnologia[Hebras],TbTecnologia[Tecnología])</f>
        <v>OMP</v>
      </c>
      <c r="AK27" s="10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27" s="9" t="str" cm="1">
        <f t="array" ref="AL27">_xlfn.XLOOKUP(Runge4[[#This Row],[Tecnología]]&amp;Runge4[[#This Row],[Problema]],TbNombres[Tecnología]&amp;TbNombres[Problema],TbNombres[Nombre])</f>
        <v>Brusselator2d</v>
      </c>
      <c r="AM27" s="9">
        <v>1</v>
      </c>
      <c r="AN27" s="9">
        <v>4</v>
      </c>
      <c r="AO27" s="9">
        <v>16</v>
      </c>
      <c r="AP27" s="9">
        <v>150</v>
      </c>
      <c r="AQ27" s="9">
        <v>45000</v>
      </c>
      <c r="AR27" s="9">
        <v>140.703</v>
      </c>
    </row>
    <row r="28" spans="2:44" x14ac:dyDescent="0.2">
      <c r="B28" s="1" t="str">
        <f>_xlfn.XLOOKUP(Runge1[[#This Row],[Metodo]],TbSolver[Metodo],TbSolver[Solver])</f>
        <v>RungeKutta</v>
      </c>
      <c r="C28" s="1" t="str">
        <f>_xlfn.XLOOKUP(Runge1[[#This Row],[Hebras]],TbTecnologia[Hebras],TbTecnologia[Tecnología])</f>
        <v>OMP</v>
      </c>
      <c r="D28" s="5" t="str" cm="1">
        <f t="array" ref="D28">_xlfn.XLOOKUP(Runge1[[#This Row],[Tecnología]]&amp;Runge1[[#This Row],[Metodo]],TbTipos[Tecnología]&amp;TbTipos[Metodo],TbTipos[Tipo])</f>
        <v>OMP Elementos</v>
      </c>
      <c r="E28" s="1" t="str" cm="1">
        <f t="array" ref="E28">_xlfn.XLOOKUP(Runge1[[#This Row],[Tecnología]]&amp;Runge1[[#This Row],[Problema]],TbNombres[Tecnología]&amp;TbNombres[Problema],TbNombres[Nombre])</f>
        <v>Simple Advdiff</v>
      </c>
      <c r="F28" s="1">
        <v>2</v>
      </c>
      <c r="G28" s="1">
        <v>1</v>
      </c>
      <c r="H28" s="1">
        <v>4</v>
      </c>
      <c r="I28" s="1">
        <v>500</v>
      </c>
      <c r="J28" s="1">
        <v>500</v>
      </c>
      <c r="K28" s="1">
        <v>9.5966100000000001</v>
      </c>
      <c r="M28" s="6" t="str">
        <f>_xlfn.XLOOKUP(Runge2[[#This Row],[Metodo]],TbSolver[Metodo],TbSolver[Solver])</f>
        <v>RungeKutta</v>
      </c>
      <c r="N28" s="6" t="str">
        <f>_xlfn.XLOOKUP(Runge2[[#This Row],[Hebras]],TbTecnologia[Hebras],TbTecnologia[Tecnología])</f>
        <v>OMP</v>
      </c>
      <c r="O28" s="7" t="str" cm="1">
        <f t="array" ref="O28">_xlfn.XLOOKUP(Runge2[[#This Row],[Tecnología]]&amp;Runge2[[#This Row],[Metodo]],TbTipos[Tecnología]&amp;TbTipos[Metodo],TbTipos[Tipo])</f>
        <v>OMP Elementos</v>
      </c>
      <c r="P28" s="6" t="str" cm="1">
        <f t="array" ref="P28">_xlfn.XLOOKUP(Runge2[[#This Row],[Tecnología]]&amp;Runge2[[#This Row],[Problema]],TbNombres[Tecnología]&amp;TbNombres[Problema],TbNombres[Nombre])</f>
        <v>Advdiff1d</v>
      </c>
      <c r="Q28" s="6">
        <v>2</v>
      </c>
      <c r="R28" s="6">
        <v>2</v>
      </c>
      <c r="S28" s="6">
        <v>4</v>
      </c>
      <c r="T28" s="6">
        <v>500</v>
      </c>
      <c r="U28" s="6">
        <v>500</v>
      </c>
      <c r="V28" s="6">
        <v>21.177099999999999</v>
      </c>
      <c r="X28" s="6" t="str">
        <f>_xlfn.XLOOKUP(Runge3[[#This Row],[Metodo]],TbSolver[Metodo],TbSolver[Solver])</f>
        <v>RungeKutta</v>
      </c>
      <c r="Y28" s="6" t="str">
        <f>_xlfn.XLOOKUP(Runge3[[#This Row],[Hebras]],TbTecnologia[Hebras],TbTecnologia[Tecnología])</f>
        <v>CUDA</v>
      </c>
      <c r="Z28" s="2" t="str" cm="1">
        <f t="array" ref="Z28">_xlfn.XLOOKUP(Runge3[[#This Row],[Tecnología]]&amp;Runge3[[#This Row],[Metodo]],TbTipos[Tecnología]&amp;TbTipos[Metodo],TbTipos[Tipo])</f>
        <v>CUDA sin graph</v>
      </c>
      <c r="AA28" s="2" t="str" cm="1">
        <f t="array" ref="AA28">_xlfn.XLOOKUP(Runge3[[#This Row],[Tecnología]]&amp;Runge3[[#This Row],[Problema]],TbNombres[Tecnología]&amp;TbNombres[Problema],TbNombres[Nombre])</f>
        <v>Brusselator1d</v>
      </c>
      <c r="AB28" s="2">
        <v>1</v>
      </c>
      <c r="AC28" s="2">
        <v>7</v>
      </c>
      <c r="AD28" s="2">
        <v>256</v>
      </c>
      <c r="AE28" s="2">
        <v>200</v>
      </c>
      <c r="AF28" s="2">
        <v>400</v>
      </c>
      <c r="AG28" s="2">
        <v>19.444700000000001</v>
      </c>
      <c r="AI28" s="9" t="str">
        <f>_xlfn.XLOOKUP(Runge4[[#This Row],[Metodo]],TbSolver[Metodo],TbSolver[Solver])</f>
        <v>RungeKutta</v>
      </c>
      <c r="AJ28" s="9" t="str">
        <f>_xlfn.XLOOKUP(Runge4[[#This Row],[Hebras]],TbTecnologia[Hebras],TbTecnologia[Tecnología])</f>
        <v>OMP</v>
      </c>
      <c r="AK28" s="10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28" s="9" t="str" cm="1">
        <f t="array" ref="AL28">_xlfn.XLOOKUP(Runge4[[#This Row],[Tecnología]]&amp;Runge4[[#This Row],[Problema]],TbNombres[Tecnología]&amp;TbNombres[Problema],TbNombres[Nombre])</f>
        <v>Brusselator2d</v>
      </c>
      <c r="AM28" s="9">
        <v>2</v>
      </c>
      <c r="AN28" s="9">
        <v>4</v>
      </c>
      <c r="AO28" s="9">
        <v>16</v>
      </c>
      <c r="AP28" s="9">
        <v>150</v>
      </c>
      <c r="AQ28" s="9">
        <v>45000</v>
      </c>
      <c r="AR28" s="9">
        <v>189.822</v>
      </c>
    </row>
    <row r="29" spans="2:44" x14ac:dyDescent="0.2">
      <c r="B29" s="1" t="str">
        <f>_xlfn.XLOOKUP(Runge1[[#This Row],[Metodo]],TbSolver[Metodo],TbSolver[Solver])</f>
        <v>RungeKutta</v>
      </c>
      <c r="C29" s="1" t="str">
        <f>_xlfn.XLOOKUP(Runge1[[#This Row],[Hebras]],TbTecnologia[Hebras],TbTecnologia[Tecnología])</f>
        <v>CUDA</v>
      </c>
      <c r="D29" s="5" t="str" cm="1">
        <f t="array" ref="D29">_xlfn.XLOOKUP(Runge1[[#This Row],[Tecnología]]&amp;Runge1[[#This Row],[Metodo]],TbTipos[Tecnología]&amp;TbTipos[Metodo],TbTipos[Tipo])</f>
        <v>CUDA con graph</v>
      </c>
      <c r="E29" s="1" t="str" cm="1">
        <f t="array" ref="E29">_xlfn.XLOOKUP(Runge1[[#This Row],[Tecnología]]&amp;Runge1[[#This Row],[Problema]],TbNombres[Tecnología]&amp;TbNombres[Problema],TbNombres[Nombre])</f>
        <v>Simple Advdiff</v>
      </c>
      <c r="F29" s="1">
        <v>2</v>
      </c>
      <c r="G29" s="1">
        <v>1</v>
      </c>
      <c r="H29" s="1">
        <v>256</v>
      </c>
      <c r="I29" s="1">
        <v>500</v>
      </c>
      <c r="J29" s="1">
        <v>500</v>
      </c>
      <c r="K29" s="1">
        <v>12.6839</v>
      </c>
      <c r="M29" s="6" t="str">
        <f>_xlfn.XLOOKUP(Runge2[[#This Row],[Metodo]],TbSolver[Metodo],TbSolver[Solver])</f>
        <v>RungeKutta</v>
      </c>
      <c r="N29" s="6" t="str">
        <f>_xlfn.XLOOKUP(Runge2[[#This Row],[Hebras]],TbTecnologia[Hebras],TbTecnologia[Tecnología])</f>
        <v>CUDA</v>
      </c>
      <c r="O29" s="2" t="str" cm="1">
        <f t="array" ref="O29">_xlfn.XLOOKUP(Runge2[[#This Row],[Tecnología]]&amp;Runge2[[#This Row],[Metodo]],TbTipos[Tecnología]&amp;TbTipos[Metodo],TbTipos[Tipo])</f>
        <v>CUDA con graph</v>
      </c>
      <c r="P29" s="2" t="str" cm="1">
        <f t="array" ref="P29">_xlfn.XLOOKUP(Runge2[[#This Row],[Tecnología]]&amp;Runge2[[#This Row],[Problema]],TbNombres[Tecnología]&amp;TbNombres[Problema],TbNombres[Nombre])</f>
        <v>Advdiff1d</v>
      </c>
      <c r="Q29" s="2">
        <v>2</v>
      </c>
      <c r="R29" s="2">
        <v>3</v>
      </c>
      <c r="S29" s="2">
        <v>256</v>
      </c>
      <c r="T29" s="2">
        <v>500</v>
      </c>
      <c r="U29" s="2">
        <v>500</v>
      </c>
      <c r="V29" s="2">
        <v>28.0899</v>
      </c>
      <c r="X29" s="6" t="str">
        <f>_xlfn.XLOOKUP(Runge3[[#This Row],[Metodo]],TbSolver[Metodo],TbSolver[Solver])</f>
        <v>RungeKutta</v>
      </c>
      <c r="Y29" s="6" t="str">
        <f>_xlfn.XLOOKUP(Runge3[[#This Row],[Hebras]],TbTecnologia[Hebras],TbTecnologia[Tecnología])</f>
        <v>OMP</v>
      </c>
      <c r="Z29" s="7" t="str" cm="1">
        <f t="array" ref="Z29">_xlfn.XLOOKUP(Runge3[[#This Row],[Tecnología]]&amp;Runge3[[#This Row],[Metodo]],TbTipos[Tecnología]&amp;TbTipos[Metodo],TbTipos[Tipo])</f>
        <v>OMP Operaciones</v>
      </c>
      <c r="AA29" s="6" t="str" cm="1">
        <f t="array" ref="AA29">_xlfn.XLOOKUP(Runge3[[#This Row],[Tecnología]]&amp;Runge3[[#This Row],[Problema]],TbNombres[Tecnología]&amp;TbNombres[Problema],TbNombres[Nombre])</f>
        <v>Brusselator1d</v>
      </c>
      <c r="AB29" s="6">
        <v>1</v>
      </c>
      <c r="AC29" s="6">
        <v>3</v>
      </c>
      <c r="AD29" s="6">
        <v>4</v>
      </c>
      <c r="AE29" s="6">
        <v>200</v>
      </c>
      <c r="AF29" s="6">
        <v>400</v>
      </c>
      <c r="AG29" s="6">
        <v>36.188600000000001</v>
      </c>
      <c r="AI29" s="9" t="str">
        <f>_xlfn.XLOOKUP(Runge4[[#This Row],[Metodo]],TbSolver[Metodo],TbSolver[Solver])</f>
        <v>RungeKutta</v>
      </c>
      <c r="AJ29" s="9" t="str">
        <f>_xlfn.XLOOKUP(Runge4[[#This Row],[Hebras]],TbTecnologia[Hebras],TbTecnologia[Tecnología])</f>
        <v>OMP</v>
      </c>
      <c r="AK29" s="10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29" s="9" t="str" cm="1">
        <f t="array" ref="AL29">_xlfn.XLOOKUP(Runge4[[#This Row],[Tecnología]]&amp;Runge4[[#This Row],[Problema]],TbNombres[Tecnología]&amp;TbNombres[Problema],TbNombres[Nombre])</f>
        <v>Brusselator2d</v>
      </c>
      <c r="AM29" s="9">
        <v>1</v>
      </c>
      <c r="AN29" s="9">
        <v>4</v>
      </c>
      <c r="AO29" s="9">
        <v>4</v>
      </c>
      <c r="AP29" s="9">
        <v>150</v>
      </c>
      <c r="AQ29" s="9">
        <v>45000</v>
      </c>
      <c r="AR29" s="9">
        <v>270.86099999999999</v>
      </c>
    </row>
    <row r="30" spans="2:44" x14ac:dyDescent="0.2">
      <c r="B30" s="1" t="str">
        <f>_xlfn.XLOOKUP(Runge1[[#This Row],[Metodo]],TbSolver[Metodo],TbSolver[Solver])</f>
        <v>RungeKutta</v>
      </c>
      <c r="C30" s="1" t="str">
        <f>_xlfn.XLOOKUP(Runge1[[#This Row],[Hebras]],TbTecnologia[Hebras],TbTecnologia[Tecnología])</f>
        <v>CUDA</v>
      </c>
      <c r="D30" s="5" t="str" cm="1">
        <f t="array" ref="D30">_xlfn.XLOOKUP(Runge1[[#This Row],[Tecnología]]&amp;Runge1[[#This Row],[Metodo]],TbTipos[Tecnología]&amp;TbTipos[Metodo],TbTipos[Tipo])</f>
        <v>CUDA con graph</v>
      </c>
      <c r="E30" s="1" t="str" cm="1">
        <f t="array" ref="E30">_xlfn.XLOOKUP(Runge1[[#This Row],[Tecnología]]&amp;Runge1[[#This Row],[Problema]],TbNombres[Tecnología]&amp;TbNombres[Problema],TbNombres[Nombre])</f>
        <v>Simple Advdiff</v>
      </c>
      <c r="F30" s="1">
        <v>2</v>
      </c>
      <c r="G30" s="1">
        <v>2</v>
      </c>
      <c r="H30" s="1">
        <v>256</v>
      </c>
      <c r="I30" s="1">
        <v>500</v>
      </c>
      <c r="J30" s="1">
        <v>500</v>
      </c>
      <c r="K30" s="1">
        <v>12.726599999999999</v>
      </c>
      <c r="M30" s="6" t="str">
        <f>_xlfn.XLOOKUP(Runge2[[#This Row],[Metodo]],TbSolver[Metodo],TbSolver[Solver])</f>
        <v>RungeKutta</v>
      </c>
      <c r="N30" s="6" t="str">
        <f>_xlfn.XLOOKUP(Runge2[[#This Row],[Hebras]],TbTecnologia[Hebras],TbTecnologia[Tecnología])</f>
        <v>CUDA</v>
      </c>
      <c r="O30" s="2" t="str" cm="1">
        <f t="array" ref="O30">_xlfn.XLOOKUP(Runge2[[#This Row],[Tecnología]]&amp;Runge2[[#This Row],[Metodo]],TbTipos[Tecnología]&amp;TbTipos[Metodo],TbTipos[Tipo])</f>
        <v>CUDA con graph</v>
      </c>
      <c r="P30" s="2" t="str" cm="1">
        <f t="array" ref="P30">_xlfn.XLOOKUP(Runge2[[#This Row],[Tecnología]]&amp;Runge2[[#This Row],[Problema]],TbNombres[Tecnología]&amp;TbNombres[Problema],TbNombres[Nombre])</f>
        <v>Advdiff1d</v>
      </c>
      <c r="Q30" s="2">
        <v>2</v>
      </c>
      <c r="R30" s="2">
        <v>4</v>
      </c>
      <c r="S30" s="2">
        <v>256</v>
      </c>
      <c r="T30" s="2">
        <v>500</v>
      </c>
      <c r="U30" s="2">
        <v>500</v>
      </c>
      <c r="V30" s="2">
        <v>28.9773</v>
      </c>
      <c r="X30" s="6" t="str">
        <f>_xlfn.XLOOKUP(Runge3[[#This Row],[Metodo]],TbSolver[Metodo],TbSolver[Solver])</f>
        <v>RungeKutta</v>
      </c>
      <c r="Y30" s="6" t="str">
        <f>_xlfn.XLOOKUP(Runge3[[#This Row],[Hebras]],TbTecnologia[Hebras],TbTecnologia[Tecnología])</f>
        <v>OMP</v>
      </c>
      <c r="Z30" s="7" t="str" cm="1">
        <f t="array" ref="Z30">_xlfn.XLOOKUP(Runge3[[#This Row],[Tecnología]]&amp;Runge3[[#This Row],[Metodo]],TbTipos[Tecnología]&amp;TbTipos[Metodo],TbTipos[Tipo])</f>
        <v>OMP Operaciones</v>
      </c>
      <c r="AA30" s="6" t="str" cm="1">
        <f t="array" ref="AA30">_xlfn.XLOOKUP(Runge3[[#This Row],[Tecnología]]&amp;Runge3[[#This Row],[Problema]],TbNombres[Tecnología]&amp;TbNombres[Problema],TbNombres[Nombre])</f>
        <v>Brusselator1d</v>
      </c>
      <c r="AB30" s="6">
        <v>1</v>
      </c>
      <c r="AC30" s="6">
        <v>3</v>
      </c>
      <c r="AD30" s="6">
        <v>16</v>
      </c>
      <c r="AE30" s="6">
        <v>200</v>
      </c>
      <c r="AF30" s="6">
        <v>400</v>
      </c>
      <c r="AG30" s="6">
        <v>89.827600000000004</v>
      </c>
      <c r="AI30" s="9" t="str">
        <f>_xlfn.XLOOKUP(Runge4[[#This Row],[Metodo]],TbSolver[Metodo],TbSolver[Solver])</f>
        <v>RungeKutta</v>
      </c>
      <c r="AJ30" s="9" t="str">
        <f>_xlfn.XLOOKUP(Runge4[[#This Row],[Hebras]],TbTecnologia[Hebras],TbTecnologia[Tecnología])</f>
        <v>OMP</v>
      </c>
      <c r="AK30" s="10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30" s="9" t="str" cm="1">
        <f t="array" ref="AL30">_xlfn.XLOOKUP(Runge4[[#This Row],[Tecnología]]&amp;Runge4[[#This Row],[Problema]],TbNombres[Tecnología]&amp;TbNombres[Problema],TbNombres[Nombre])</f>
        <v>Brusselator2d</v>
      </c>
      <c r="AM30" s="9">
        <v>2</v>
      </c>
      <c r="AN30" s="9">
        <v>4</v>
      </c>
      <c r="AO30" s="9">
        <v>4</v>
      </c>
      <c r="AP30" s="9">
        <v>150</v>
      </c>
      <c r="AQ30" s="9">
        <v>45000</v>
      </c>
      <c r="AR30" s="9">
        <v>646.80999999999995</v>
      </c>
    </row>
    <row r="31" spans="2:44" x14ac:dyDescent="0.2">
      <c r="B31" s="1" t="str">
        <f>_xlfn.XLOOKUP(Runge1[[#This Row],[Metodo]],TbSolver[Metodo],TbSolver[Solver])</f>
        <v>RungeKutta</v>
      </c>
      <c r="C31" s="1" t="str">
        <f>_xlfn.XLOOKUP(Runge1[[#This Row],[Hebras]],TbTecnologia[Hebras],TbTecnologia[Tecnología])</f>
        <v>OMP</v>
      </c>
      <c r="D31" s="5" t="str" cm="1">
        <f t="array" ref="D31">_xlfn.XLOOKUP(Runge1[[#This Row],[Tecnología]]&amp;Runge1[[#This Row],[Metodo]],TbTipos[Tecnología]&amp;TbTipos[Metodo],TbTipos[Tipo])</f>
        <v>OMP Elementos</v>
      </c>
      <c r="E31" s="1" t="str" cm="1">
        <f t="array" ref="E31">_xlfn.XLOOKUP(Runge1[[#This Row],[Tecnología]]&amp;Runge1[[#This Row],[Problema]],TbNombres[Tecnología]&amp;TbNombres[Problema],TbNombres[Nombre])</f>
        <v>Simple Advdiff</v>
      </c>
      <c r="F31" s="1">
        <v>2</v>
      </c>
      <c r="G31" s="1">
        <v>1</v>
      </c>
      <c r="H31" s="1">
        <v>1</v>
      </c>
      <c r="I31" s="1">
        <v>500</v>
      </c>
      <c r="J31" s="1">
        <v>500</v>
      </c>
      <c r="K31" s="1">
        <v>15.7828</v>
      </c>
      <c r="M31" s="6" t="str">
        <f>_xlfn.XLOOKUP(Runge2[[#This Row],[Metodo]],TbSolver[Metodo],TbSolver[Solver])</f>
        <v>RungeKutta</v>
      </c>
      <c r="N31" s="6" t="str">
        <f>_xlfn.XLOOKUP(Runge2[[#This Row],[Hebras]],TbTecnologia[Hebras],TbTecnologia[Tecnología])</f>
        <v>CUDA</v>
      </c>
      <c r="O31" s="2" t="str" cm="1">
        <f t="array" ref="O31">_xlfn.XLOOKUP(Runge2[[#This Row],[Tecnología]]&amp;Runge2[[#This Row],[Metodo]],TbTipos[Tecnología]&amp;TbTipos[Metodo],TbTipos[Tipo])</f>
        <v>CUDA sin graph</v>
      </c>
      <c r="P31" s="2" t="str" cm="1">
        <f t="array" ref="P31">_xlfn.XLOOKUP(Runge2[[#This Row],[Tecnología]]&amp;Runge2[[#This Row],[Problema]],TbNombres[Tecnología]&amp;TbNombres[Problema],TbNombres[Nombre])</f>
        <v>Advdiff1d</v>
      </c>
      <c r="Q31" s="2">
        <v>1</v>
      </c>
      <c r="R31" s="2">
        <v>3</v>
      </c>
      <c r="S31" s="2">
        <v>256</v>
      </c>
      <c r="T31" s="2">
        <v>500</v>
      </c>
      <c r="U31" s="2">
        <v>500</v>
      </c>
      <c r="V31" s="2">
        <v>31.041499999999999</v>
      </c>
      <c r="X31" s="6" t="str">
        <f>_xlfn.XLOOKUP(Runge3[[#This Row],[Metodo]],TbSolver[Metodo],TbSolver[Solver])</f>
        <v>RungeKutta</v>
      </c>
      <c r="Y31" s="6" t="str">
        <f>_xlfn.XLOOKUP(Runge3[[#This Row],[Hebras]],TbTecnologia[Hebras],TbTecnologia[Tecnología])</f>
        <v>OMP</v>
      </c>
      <c r="Z31" s="7" t="str" cm="1">
        <f t="array" ref="Z31">_xlfn.XLOOKUP(Runge3[[#This Row],[Tecnología]]&amp;Runge3[[#This Row],[Metodo]],TbTipos[Tecnología]&amp;TbTipos[Metodo],TbTipos[Tipo])</f>
        <v>OMP Elementos</v>
      </c>
      <c r="AA31" s="6" t="str" cm="1">
        <f t="array" ref="AA31">_xlfn.XLOOKUP(Runge3[[#This Row],[Tecnología]]&amp;Runge3[[#This Row],[Problema]],TbNombres[Tecnología]&amp;TbNombres[Problema],TbNombres[Nombre])</f>
        <v>Brusselator1d</v>
      </c>
      <c r="AB31" s="6">
        <v>2</v>
      </c>
      <c r="AC31" s="6">
        <v>3</v>
      </c>
      <c r="AD31" s="6">
        <v>4</v>
      </c>
      <c r="AE31" s="6">
        <v>500</v>
      </c>
      <c r="AF31" s="6">
        <v>1000</v>
      </c>
      <c r="AG31" s="6">
        <v>12.1547</v>
      </c>
      <c r="AI31" s="9" t="str">
        <f>_xlfn.XLOOKUP(Runge4[[#This Row],[Metodo]],TbSolver[Metodo],TbSolver[Solver])</f>
        <v>RungeKutta</v>
      </c>
      <c r="AJ31" s="9" t="str">
        <f>_xlfn.XLOOKUP(Runge4[[#This Row],[Hebras]],TbTecnologia[Hebras],TbTecnologia[Tecnología])</f>
        <v>OMP</v>
      </c>
      <c r="AK31" s="10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31" s="9" t="str" cm="1">
        <f t="array" ref="AL31">_xlfn.XLOOKUP(Runge4[[#This Row],[Tecnología]]&amp;Runge4[[#This Row],[Problema]],TbNombres[Tecnología]&amp;TbNombres[Problema],TbNombres[Nombre])</f>
        <v>Brusselator2d</v>
      </c>
      <c r="AM31" s="9">
        <v>1</v>
      </c>
      <c r="AN31" s="9">
        <v>4</v>
      </c>
      <c r="AO31" s="9">
        <v>1</v>
      </c>
      <c r="AP31" s="9">
        <v>150</v>
      </c>
      <c r="AQ31" s="9">
        <v>45000</v>
      </c>
      <c r="AR31" s="9">
        <v>963.83900000000006</v>
      </c>
    </row>
    <row r="32" spans="2:44" x14ac:dyDescent="0.2">
      <c r="B32" s="1" t="str">
        <f>_xlfn.XLOOKUP(Runge1[[#This Row],[Metodo]],TbSolver[Metodo],TbSolver[Solver])</f>
        <v>RungeKutta</v>
      </c>
      <c r="C32" s="1" t="str">
        <f>_xlfn.XLOOKUP(Runge1[[#This Row],[Hebras]],TbTecnologia[Hebras],TbTecnologia[Tecnología])</f>
        <v>CUDA</v>
      </c>
      <c r="D32" s="5" t="str" cm="1">
        <f t="array" ref="D32">_xlfn.XLOOKUP(Runge1[[#This Row],[Tecnología]]&amp;Runge1[[#This Row],[Metodo]],TbTipos[Tecnología]&amp;TbTipos[Metodo],TbTipos[Tipo])</f>
        <v>CUDA sin graph</v>
      </c>
      <c r="E32" s="1" t="str" cm="1">
        <f t="array" ref="E32">_xlfn.XLOOKUP(Runge1[[#This Row],[Tecnología]]&amp;Runge1[[#This Row],[Problema]],TbNombres[Tecnología]&amp;TbNombres[Problema],TbNombres[Nombre])</f>
        <v>Simple Advdiff</v>
      </c>
      <c r="F32" s="1">
        <v>1</v>
      </c>
      <c r="G32" s="1">
        <v>1</v>
      </c>
      <c r="H32" s="1">
        <v>256</v>
      </c>
      <c r="I32" s="1">
        <v>500</v>
      </c>
      <c r="J32" s="1">
        <v>500</v>
      </c>
      <c r="K32" s="1">
        <v>16.130500000000001</v>
      </c>
      <c r="M32" s="6" t="str">
        <f>_xlfn.XLOOKUP(Runge2[[#This Row],[Metodo]],TbSolver[Metodo],TbSolver[Solver])</f>
        <v>RungeKutta</v>
      </c>
      <c r="N32" s="6" t="str">
        <f>_xlfn.XLOOKUP(Runge2[[#This Row],[Hebras]],TbTecnologia[Hebras],TbTecnologia[Tecnología])</f>
        <v>CUDA</v>
      </c>
      <c r="O32" s="2" t="str" cm="1">
        <f t="array" ref="O32">_xlfn.XLOOKUP(Runge2[[#This Row],[Tecnología]]&amp;Runge2[[#This Row],[Metodo]],TbTipos[Tecnología]&amp;TbTipos[Metodo],TbTipos[Tipo])</f>
        <v>CUDA sin graph</v>
      </c>
      <c r="P32" s="2" t="str" cm="1">
        <f t="array" ref="P32">_xlfn.XLOOKUP(Runge2[[#This Row],[Tecnología]]&amp;Runge2[[#This Row],[Problema]],TbNombres[Tecnología]&amp;TbNombres[Problema],TbNombres[Nombre])</f>
        <v>Advdiff1d</v>
      </c>
      <c r="Q32" s="2">
        <v>1</v>
      </c>
      <c r="R32" s="2">
        <v>4</v>
      </c>
      <c r="S32" s="2">
        <v>256</v>
      </c>
      <c r="T32" s="2">
        <v>500</v>
      </c>
      <c r="U32" s="2">
        <v>500</v>
      </c>
      <c r="V32" s="2">
        <v>32.172199999999997</v>
      </c>
      <c r="X32" s="6" t="str">
        <f>_xlfn.XLOOKUP(Runge3[[#This Row],[Metodo]],TbSolver[Metodo],TbSolver[Solver])</f>
        <v>RungeKutta</v>
      </c>
      <c r="Y32" s="6" t="str">
        <f>_xlfn.XLOOKUP(Runge3[[#This Row],[Hebras]],TbTecnologia[Hebras],TbTecnologia[Tecnología])</f>
        <v>OMP</v>
      </c>
      <c r="Z32" s="7" t="str" cm="1">
        <f t="array" ref="Z32">_xlfn.XLOOKUP(Runge3[[#This Row],[Tecnología]]&amp;Runge3[[#This Row],[Metodo]],TbTipos[Tecnología]&amp;TbTipos[Metodo],TbTipos[Tipo])</f>
        <v>OMP Operaciones</v>
      </c>
      <c r="AA32" s="6" t="str" cm="1">
        <f t="array" ref="AA32">_xlfn.XLOOKUP(Runge3[[#This Row],[Tecnología]]&amp;Runge3[[#This Row],[Problema]],TbNombres[Tecnología]&amp;TbNombres[Problema],TbNombres[Nombre])</f>
        <v>Brusselator1d</v>
      </c>
      <c r="AB32" s="6">
        <v>1</v>
      </c>
      <c r="AC32" s="6">
        <v>3</v>
      </c>
      <c r="AD32" s="6">
        <v>1</v>
      </c>
      <c r="AE32" s="6">
        <v>500</v>
      </c>
      <c r="AF32" s="6">
        <v>1000</v>
      </c>
      <c r="AG32" s="6">
        <v>12.882199999999999</v>
      </c>
      <c r="AI32" s="9" t="str">
        <f>_xlfn.XLOOKUP(Runge4[[#This Row],[Metodo]],TbSolver[Metodo],TbSolver[Solver])</f>
        <v>RungeKutta</v>
      </c>
      <c r="AJ32" s="9" t="str">
        <f>_xlfn.XLOOKUP(Runge4[[#This Row],[Hebras]],TbTecnologia[Hebras],TbTecnologia[Tecnología])</f>
        <v>OMP</v>
      </c>
      <c r="AK32" s="10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32" s="9" t="str" cm="1">
        <f t="array" ref="AL32">_xlfn.XLOOKUP(Runge4[[#This Row],[Tecnología]]&amp;Runge4[[#This Row],[Problema]],TbNombres[Tecnología]&amp;TbNombres[Problema],TbNombres[Nombre])</f>
        <v>Brusselator2d</v>
      </c>
      <c r="AM32" s="9">
        <v>2</v>
      </c>
      <c r="AN32" s="9">
        <v>4</v>
      </c>
      <c r="AO32" s="9">
        <v>1</v>
      </c>
      <c r="AP32" s="9">
        <v>150</v>
      </c>
      <c r="AQ32" s="9">
        <v>45000</v>
      </c>
      <c r="AR32" s="9">
        <v>2420.3200000000002</v>
      </c>
    </row>
    <row r="33" spans="2:44" x14ac:dyDescent="0.2">
      <c r="B33" s="1" t="str">
        <f>_xlfn.XLOOKUP(Runge1[[#This Row],[Metodo]],TbSolver[Metodo],TbSolver[Solver])</f>
        <v>RungeKutta</v>
      </c>
      <c r="C33" s="1" t="str">
        <f>_xlfn.XLOOKUP(Runge1[[#This Row],[Hebras]],TbTecnologia[Hebras],TbTecnologia[Tecnología])</f>
        <v>CUDA</v>
      </c>
      <c r="D33" s="5" t="str" cm="1">
        <f t="array" ref="D33">_xlfn.XLOOKUP(Runge1[[#This Row],[Tecnología]]&amp;Runge1[[#This Row],[Metodo]],TbTipos[Tecnología]&amp;TbTipos[Metodo],TbTipos[Tipo])</f>
        <v>CUDA sin graph</v>
      </c>
      <c r="E33" s="1" t="str" cm="1">
        <f t="array" ref="E33">_xlfn.XLOOKUP(Runge1[[#This Row],[Tecnología]]&amp;Runge1[[#This Row],[Problema]],TbNombres[Tecnología]&amp;TbNombres[Problema],TbNombres[Nombre])</f>
        <v>Simple Advdiff</v>
      </c>
      <c r="F33" s="1">
        <v>1</v>
      </c>
      <c r="G33" s="1">
        <v>2</v>
      </c>
      <c r="H33" s="1">
        <v>256</v>
      </c>
      <c r="I33" s="1">
        <v>500</v>
      </c>
      <c r="J33" s="1">
        <v>500</v>
      </c>
      <c r="K33" s="1">
        <v>16.178000000000001</v>
      </c>
      <c r="M33" s="6" t="str">
        <f>_xlfn.XLOOKUP(Runge2[[#This Row],[Metodo]],TbSolver[Metodo],TbSolver[Solver])</f>
        <v>RungeKutta</v>
      </c>
      <c r="N33" s="6" t="str">
        <f>_xlfn.XLOOKUP(Runge2[[#This Row],[Hebras]],TbTecnologia[Hebras],TbTecnologia[Tecnología])</f>
        <v>OMP</v>
      </c>
      <c r="O33" s="7" t="str" cm="1">
        <f t="array" ref="O33">_xlfn.XLOOKUP(Runge2[[#This Row],[Tecnología]]&amp;Runge2[[#This Row],[Metodo]],TbTipos[Tecnología]&amp;TbTipos[Metodo],TbTipos[Tipo])</f>
        <v>OMP Operaciones</v>
      </c>
      <c r="P33" s="6" t="str" cm="1">
        <f t="array" ref="P33">_xlfn.XLOOKUP(Runge2[[#This Row],[Tecnología]]&amp;Runge2[[#This Row],[Problema]],TbNombres[Tecnología]&amp;TbNombres[Problema],TbNombres[Nombre])</f>
        <v>Advdiff1d</v>
      </c>
      <c r="Q33" s="6">
        <v>1</v>
      </c>
      <c r="R33" s="6">
        <v>2</v>
      </c>
      <c r="S33" s="6">
        <v>4</v>
      </c>
      <c r="T33" s="6">
        <v>500</v>
      </c>
      <c r="U33" s="6">
        <v>500</v>
      </c>
      <c r="V33" s="6">
        <v>46.340800000000002</v>
      </c>
      <c r="X33" s="6" t="str">
        <f>_xlfn.XLOOKUP(Runge3[[#This Row],[Metodo]],TbSolver[Metodo],TbSolver[Solver])</f>
        <v>RungeKutta</v>
      </c>
      <c r="Y33" s="6" t="str">
        <f>_xlfn.XLOOKUP(Runge3[[#This Row],[Hebras]],TbTecnologia[Hebras],TbTecnologia[Tecnología])</f>
        <v>CUDA</v>
      </c>
      <c r="Z33" s="2" t="str" cm="1">
        <f t="array" ref="Z33">_xlfn.XLOOKUP(Runge3[[#This Row],[Tecnología]]&amp;Runge3[[#This Row],[Metodo]],TbTipos[Tecnología]&amp;TbTipos[Metodo],TbTipos[Tipo])</f>
        <v>CUDA con graph</v>
      </c>
      <c r="AA33" s="2" t="str" cm="1">
        <f t="array" ref="AA33">_xlfn.XLOOKUP(Runge3[[#This Row],[Tecnología]]&amp;Runge3[[#This Row],[Problema]],TbNombres[Tecnología]&amp;TbNombres[Problema],TbNombres[Nombre])</f>
        <v>Brusselator1d</v>
      </c>
      <c r="AB33" s="2">
        <v>2</v>
      </c>
      <c r="AC33" s="2">
        <v>5</v>
      </c>
      <c r="AD33" s="2">
        <v>256</v>
      </c>
      <c r="AE33" s="2">
        <v>500</v>
      </c>
      <c r="AF33" s="2">
        <v>1000</v>
      </c>
      <c r="AG33" s="2">
        <v>13.7845</v>
      </c>
      <c r="AI33" s="6" t="str">
        <f>_xlfn.XLOOKUP(Runge4[[#This Row],[Metodo]],TbSolver[Metodo],TbSolver[Solver])</f>
        <v>RungeKutta</v>
      </c>
      <c r="AJ33" s="6" t="str">
        <f>_xlfn.XLOOKUP(Runge4[[#This Row],[Hebras]],TbTecnologia[Hebras],TbTecnologia[Tecnología])</f>
        <v>CUDA</v>
      </c>
      <c r="AK33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33" s="2" t="str" cm="1">
        <f t="array" ref="AL33">_xlfn.XLOOKUP(Runge4[[#This Row],[Tecnología]]&amp;Runge4[[#This Row],[Problema]],TbNombres[Tecnología]&amp;TbNombres[Problema],TbNombres[Nombre])</f>
        <v>Brusselator2d</v>
      </c>
      <c r="AM33" s="2">
        <v>2</v>
      </c>
      <c r="AN33" s="2">
        <v>8</v>
      </c>
      <c r="AO33" s="2">
        <v>256</v>
      </c>
      <c r="AP33" s="2">
        <v>200</v>
      </c>
      <c r="AQ33" s="2">
        <v>80000</v>
      </c>
      <c r="AR33" s="2">
        <v>48.7956</v>
      </c>
    </row>
    <row r="34" spans="2:44" x14ac:dyDescent="0.2">
      <c r="B34" s="1" t="str">
        <f>_xlfn.XLOOKUP(Runge1[[#This Row],[Metodo]],TbSolver[Metodo],TbSolver[Solver])</f>
        <v>RungeKutta</v>
      </c>
      <c r="C34" s="1" t="str">
        <f>_xlfn.XLOOKUP(Runge1[[#This Row],[Hebras]],TbTecnologia[Hebras],TbTecnologia[Tecnología])</f>
        <v>OMP</v>
      </c>
      <c r="D34" s="5" t="str" cm="1">
        <f t="array" ref="D34">_xlfn.XLOOKUP(Runge1[[#This Row],[Tecnología]]&amp;Runge1[[#This Row],[Metodo]],TbTipos[Tecnología]&amp;TbTipos[Metodo],TbTipos[Tipo])</f>
        <v>OMP Elementos</v>
      </c>
      <c r="E34" s="1" t="str" cm="1">
        <f t="array" ref="E34">_xlfn.XLOOKUP(Runge1[[#This Row],[Tecnología]]&amp;Runge1[[#This Row],[Problema]],TbNombres[Tecnología]&amp;TbNombres[Problema],TbNombres[Nombre])</f>
        <v>Simple Advdiff</v>
      </c>
      <c r="F34" s="1">
        <v>2</v>
      </c>
      <c r="G34" s="1">
        <v>1</v>
      </c>
      <c r="H34" s="1">
        <v>16</v>
      </c>
      <c r="I34" s="1">
        <v>500</v>
      </c>
      <c r="J34" s="1">
        <v>500</v>
      </c>
      <c r="K34" s="1">
        <v>16.979199999999999</v>
      </c>
      <c r="M34" s="6" t="str">
        <f>_xlfn.XLOOKUP(Runge2[[#This Row],[Metodo]],TbSolver[Metodo],TbSolver[Solver])</f>
        <v>RungeKutta</v>
      </c>
      <c r="N34" s="6" t="str">
        <f>_xlfn.XLOOKUP(Runge2[[#This Row],[Hebras]],TbTecnologia[Hebras],TbTecnologia[Tecnología])</f>
        <v>OMP</v>
      </c>
      <c r="O34" s="7" t="str" cm="1">
        <f t="array" ref="O34">_xlfn.XLOOKUP(Runge2[[#This Row],[Tecnología]]&amp;Runge2[[#This Row],[Metodo]],TbTipos[Tecnología]&amp;TbTipos[Metodo],TbTipos[Tipo])</f>
        <v>OMP Operaciones</v>
      </c>
      <c r="P34" s="6" t="str" cm="1">
        <f t="array" ref="P34">_xlfn.XLOOKUP(Runge2[[#This Row],[Tecnología]]&amp;Runge2[[#This Row],[Problema]],TbNombres[Tecnología]&amp;TbNombres[Problema],TbNombres[Nombre])</f>
        <v>Advdiff1d</v>
      </c>
      <c r="Q34" s="6">
        <v>1</v>
      </c>
      <c r="R34" s="6">
        <v>2</v>
      </c>
      <c r="S34" s="6">
        <v>1</v>
      </c>
      <c r="T34" s="6">
        <v>500</v>
      </c>
      <c r="U34" s="6">
        <v>500</v>
      </c>
      <c r="V34" s="6">
        <v>47.666899999999998</v>
      </c>
      <c r="X34" s="6" t="str">
        <f>_xlfn.XLOOKUP(Runge3[[#This Row],[Metodo]],TbSolver[Metodo],TbSolver[Solver])</f>
        <v>RungeKutta</v>
      </c>
      <c r="Y34" s="6" t="str">
        <f>_xlfn.XLOOKUP(Runge3[[#This Row],[Hebras]],TbTecnologia[Hebras],TbTecnologia[Tecnología])</f>
        <v>CUDA</v>
      </c>
      <c r="Z34" s="2" t="str" cm="1">
        <f t="array" ref="Z34">_xlfn.XLOOKUP(Runge3[[#This Row],[Tecnología]]&amp;Runge3[[#This Row],[Metodo]],TbTipos[Tecnología]&amp;TbTipos[Metodo],TbTipos[Tipo])</f>
        <v>CUDA con graph</v>
      </c>
      <c r="AA34" s="2" t="str" cm="1">
        <f t="array" ref="AA34">_xlfn.XLOOKUP(Runge3[[#This Row],[Tecnología]]&amp;Runge3[[#This Row],[Problema]],TbNombres[Tecnología]&amp;TbNombres[Problema],TbNombres[Nombre])</f>
        <v>Brusselator1d</v>
      </c>
      <c r="AB34" s="2">
        <v>2</v>
      </c>
      <c r="AC34" s="2">
        <v>7</v>
      </c>
      <c r="AD34" s="2">
        <v>256</v>
      </c>
      <c r="AE34" s="2">
        <v>500</v>
      </c>
      <c r="AF34" s="2">
        <v>1000</v>
      </c>
      <c r="AG34" s="2">
        <v>13.8317</v>
      </c>
      <c r="AI34" s="6" t="str">
        <f>_xlfn.XLOOKUP(Runge4[[#This Row],[Metodo]],TbSolver[Metodo],TbSolver[Solver])</f>
        <v>RungeKutta</v>
      </c>
      <c r="AJ34" s="6" t="str">
        <f>_xlfn.XLOOKUP(Runge4[[#This Row],[Hebras]],TbTecnologia[Hebras],TbTecnologia[Tecnología])</f>
        <v>CUDA</v>
      </c>
      <c r="AK34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34" s="2" t="str" cm="1">
        <f t="array" ref="AL34">_xlfn.XLOOKUP(Runge4[[#This Row],[Tecnología]]&amp;Runge4[[#This Row],[Problema]],TbNombres[Tecnología]&amp;TbNombres[Problema],TbNombres[Nombre])</f>
        <v>Brusselator2d</v>
      </c>
      <c r="AM34" s="2">
        <v>2</v>
      </c>
      <c r="AN34" s="2">
        <v>9</v>
      </c>
      <c r="AO34" s="2">
        <v>256</v>
      </c>
      <c r="AP34" s="2">
        <v>200</v>
      </c>
      <c r="AQ34" s="2">
        <v>80000</v>
      </c>
      <c r="AR34" s="2">
        <v>49.072600000000001</v>
      </c>
    </row>
    <row r="35" spans="2:44" x14ac:dyDescent="0.2">
      <c r="B35" s="1" t="str">
        <f>_xlfn.XLOOKUP(Runge1[[#This Row],[Metodo]],TbSolver[Metodo],TbSolver[Solver])</f>
        <v>RungeKutta</v>
      </c>
      <c r="C35" s="1" t="str">
        <f>_xlfn.XLOOKUP(Runge1[[#This Row],[Hebras]],TbTecnologia[Hebras],TbTecnologia[Tecnología])</f>
        <v>OMP</v>
      </c>
      <c r="D35" s="5" t="str" cm="1">
        <f t="array" ref="D35">_xlfn.XLOOKUP(Runge1[[#This Row],[Tecnología]]&amp;Runge1[[#This Row],[Metodo]],TbTipos[Tecnología]&amp;TbTipos[Metodo],TbTipos[Tipo])</f>
        <v>OMP Operaciones</v>
      </c>
      <c r="E35" s="1" t="str" cm="1">
        <f t="array" ref="E35">_xlfn.XLOOKUP(Runge1[[#This Row],[Tecnología]]&amp;Runge1[[#This Row],[Problema]],TbNombres[Tecnología]&amp;TbNombres[Problema],TbNombres[Nombre])</f>
        <v>Simple Advdiff</v>
      </c>
      <c r="F35" s="1">
        <v>1</v>
      </c>
      <c r="G35" s="1">
        <v>1</v>
      </c>
      <c r="H35" s="1">
        <v>4</v>
      </c>
      <c r="I35" s="1">
        <v>500</v>
      </c>
      <c r="J35" s="1">
        <v>500</v>
      </c>
      <c r="K35" s="1">
        <v>24.8307</v>
      </c>
      <c r="M35" s="6" t="str">
        <f>_xlfn.XLOOKUP(Runge2[[#This Row],[Metodo]],TbSolver[Metodo],TbSolver[Solver])</f>
        <v>RungeKutta</v>
      </c>
      <c r="N35" s="6" t="str">
        <f>_xlfn.XLOOKUP(Runge2[[#This Row],[Hebras]],TbTecnologia[Hebras],TbTecnologia[Tecnología])</f>
        <v>OMP</v>
      </c>
      <c r="O35" s="7" t="str" cm="1">
        <f t="array" ref="O35">_xlfn.XLOOKUP(Runge2[[#This Row],[Tecnología]]&amp;Runge2[[#This Row],[Metodo]],TbTipos[Tecnología]&amp;TbTipos[Metodo],TbTipos[Tipo])</f>
        <v>OMP Elementos</v>
      </c>
      <c r="P35" s="6" t="str" cm="1">
        <f t="array" ref="P35">_xlfn.XLOOKUP(Runge2[[#This Row],[Tecnología]]&amp;Runge2[[#This Row],[Problema]],TbNombres[Tecnología]&amp;TbNombres[Problema],TbNombres[Nombre])</f>
        <v>Advdiff1d</v>
      </c>
      <c r="Q35" s="6">
        <v>2</v>
      </c>
      <c r="R35" s="6">
        <v>2</v>
      </c>
      <c r="S35" s="6">
        <v>1</v>
      </c>
      <c r="T35" s="6">
        <v>500</v>
      </c>
      <c r="U35" s="6">
        <v>500</v>
      </c>
      <c r="V35" s="6">
        <v>59.217599999999997</v>
      </c>
      <c r="X35" s="6" t="str">
        <f>_xlfn.XLOOKUP(Runge3[[#This Row],[Metodo]],TbSolver[Metodo],TbSolver[Solver])</f>
        <v>RungeKutta</v>
      </c>
      <c r="Y35" s="6" t="str">
        <f>_xlfn.XLOOKUP(Runge3[[#This Row],[Hebras]],TbTecnologia[Hebras],TbTecnologia[Tecnología])</f>
        <v>CUDA</v>
      </c>
      <c r="Z35" s="2" t="str" cm="1">
        <f t="array" ref="Z35">_xlfn.XLOOKUP(Runge3[[#This Row],[Tecnología]]&amp;Runge3[[#This Row],[Metodo]],TbTipos[Tecnología]&amp;TbTipos[Metodo],TbTipos[Tipo])</f>
        <v>CUDA con graph</v>
      </c>
      <c r="AA35" s="2" t="str" cm="1">
        <f t="array" ref="AA35">_xlfn.XLOOKUP(Runge3[[#This Row],[Tecnología]]&amp;Runge3[[#This Row],[Problema]],TbNombres[Tecnología]&amp;TbNombres[Problema],TbNombres[Nombre])</f>
        <v>Brusselator1d</v>
      </c>
      <c r="AB35" s="2">
        <v>2</v>
      </c>
      <c r="AC35" s="2">
        <v>6</v>
      </c>
      <c r="AD35" s="2">
        <v>256</v>
      </c>
      <c r="AE35" s="2">
        <v>500</v>
      </c>
      <c r="AF35" s="2">
        <v>1000</v>
      </c>
      <c r="AG35" s="2">
        <v>13.8804</v>
      </c>
      <c r="AI35" s="6" t="str">
        <f>_xlfn.XLOOKUP(Runge4[[#This Row],[Metodo]],TbSolver[Metodo],TbSolver[Solver])</f>
        <v>RungeKutta</v>
      </c>
      <c r="AJ35" s="6" t="str">
        <f>_xlfn.XLOOKUP(Runge4[[#This Row],[Hebras]],TbTecnologia[Hebras],TbTecnologia[Tecnología])</f>
        <v>CUDA</v>
      </c>
      <c r="AK35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35" s="2" t="str" cm="1">
        <f t="array" ref="AL35">_xlfn.XLOOKUP(Runge4[[#This Row],[Tecnología]]&amp;Runge4[[#This Row],[Problema]],TbNombres[Tecnología]&amp;TbNombres[Problema],TbNombres[Nombre])</f>
        <v>Brusselator2d</v>
      </c>
      <c r="AM35" s="2">
        <v>1</v>
      </c>
      <c r="AN35" s="2">
        <v>9</v>
      </c>
      <c r="AO35" s="2">
        <v>256</v>
      </c>
      <c r="AP35" s="2">
        <v>200</v>
      </c>
      <c r="AQ35" s="2">
        <v>80000</v>
      </c>
      <c r="AR35" s="2">
        <v>50.024799999999999</v>
      </c>
    </row>
    <row r="36" spans="2:44" x14ac:dyDescent="0.2">
      <c r="B36" s="1" t="str">
        <f>_xlfn.XLOOKUP(Runge1[[#This Row],[Metodo]],TbSolver[Metodo],TbSolver[Solver])</f>
        <v>RungeKutta</v>
      </c>
      <c r="C36" s="1" t="str">
        <f>_xlfn.XLOOKUP(Runge1[[#This Row],[Hebras]],TbTecnologia[Hebras],TbTecnologia[Tecnología])</f>
        <v>OMP</v>
      </c>
      <c r="D36" s="5" t="str" cm="1">
        <f t="array" ref="D36">_xlfn.XLOOKUP(Runge1[[#This Row],[Tecnología]]&amp;Runge1[[#This Row],[Metodo]],TbTipos[Tecnología]&amp;TbTipos[Metodo],TbTipos[Tipo])</f>
        <v>OMP Operaciones</v>
      </c>
      <c r="E36" s="1" t="str" cm="1">
        <f t="array" ref="E36">_xlfn.XLOOKUP(Runge1[[#This Row],[Tecnología]]&amp;Runge1[[#This Row],[Problema]],TbNombres[Tecnología]&amp;TbNombres[Problema],TbNombres[Nombre])</f>
        <v>Simple Advdiff</v>
      </c>
      <c r="F36" s="1">
        <v>1</v>
      </c>
      <c r="G36" s="1">
        <v>1</v>
      </c>
      <c r="H36" s="1">
        <v>16</v>
      </c>
      <c r="I36" s="1">
        <v>500</v>
      </c>
      <c r="J36" s="1">
        <v>500</v>
      </c>
      <c r="K36" s="1">
        <v>58.3352</v>
      </c>
      <c r="M36" s="6" t="str">
        <f>_xlfn.XLOOKUP(Runge2[[#This Row],[Metodo]],TbSolver[Metodo],TbSolver[Solver])</f>
        <v>RungeKutta</v>
      </c>
      <c r="N36" s="6" t="str">
        <f>_xlfn.XLOOKUP(Runge2[[#This Row],[Hebras]],TbTecnologia[Hebras],TbTecnologia[Tecnología])</f>
        <v>OMP</v>
      </c>
      <c r="O36" s="7" t="str" cm="1">
        <f t="array" ref="O36">_xlfn.XLOOKUP(Runge2[[#This Row],[Tecnología]]&amp;Runge2[[#This Row],[Metodo]],TbTipos[Tecnología]&amp;TbTipos[Metodo],TbTipos[Tipo])</f>
        <v>OMP Operaciones</v>
      </c>
      <c r="P36" s="6" t="str" cm="1">
        <f t="array" ref="P36">_xlfn.XLOOKUP(Runge2[[#This Row],[Tecnología]]&amp;Runge2[[#This Row],[Problema]],TbNombres[Tecnología]&amp;TbNombres[Problema],TbNombres[Nombre])</f>
        <v>Advdiff1d</v>
      </c>
      <c r="Q36" s="6">
        <v>1</v>
      </c>
      <c r="R36" s="6">
        <v>2</v>
      </c>
      <c r="S36" s="6">
        <v>16</v>
      </c>
      <c r="T36" s="6">
        <v>500</v>
      </c>
      <c r="U36" s="6">
        <v>500</v>
      </c>
      <c r="V36" s="6">
        <v>97.687299999999993</v>
      </c>
      <c r="X36" s="6" t="str">
        <f>_xlfn.XLOOKUP(Runge3[[#This Row],[Metodo]],TbSolver[Metodo],TbSolver[Solver])</f>
        <v>RungeKutta</v>
      </c>
      <c r="Y36" s="6" t="str">
        <f>_xlfn.XLOOKUP(Runge3[[#This Row],[Hebras]],TbTecnologia[Hebras],TbTecnologia[Tecnología])</f>
        <v>OMP</v>
      </c>
      <c r="Z36" s="7" t="str" cm="1">
        <f t="array" ref="Z36">_xlfn.XLOOKUP(Runge3[[#This Row],[Tecnología]]&amp;Runge3[[#This Row],[Metodo]],TbTipos[Tecnología]&amp;TbTipos[Metodo],TbTipos[Tipo])</f>
        <v>OMP Elementos</v>
      </c>
      <c r="AA36" s="6" t="str" cm="1">
        <f t="array" ref="AA36">_xlfn.XLOOKUP(Runge3[[#This Row],[Tecnología]]&amp;Runge3[[#This Row],[Problema]],TbNombres[Tecnología]&amp;TbNombres[Problema],TbNombres[Nombre])</f>
        <v>Brusselator1d</v>
      </c>
      <c r="AB36" s="6">
        <v>2</v>
      </c>
      <c r="AC36" s="6">
        <v>3</v>
      </c>
      <c r="AD36" s="6">
        <v>16</v>
      </c>
      <c r="AE36" s="6">
        <v>500</v>
      </c>
      <c r="AF36" s="6">
        <v>1000</v>
      </c>
      <c r="AG36" s="6">
        <v>15.1356</v>
      </c>
      <c r="AI36" s="6" t="str">
        <f>_xlfn.XLOOKUP(Runge4[[#This Row],[Metodo]],TbSolver[Metodo],TbSolver[Solver])</f>
        <v>RungeKutta</v>
      </c>
      <c r="AJ36" s="6" t="str">
        <f>_xlfn.XLOOKUP(Runge4[[#This Row],[Hebras]],TbTecnologia[Hebras],TbTecnologia[Tecnología])</f>
        <v>CUDA</v>
      </c>
      <c r="AK36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36" s="2" t="str" cm="1">
        <f t="array" ref="AL36">_xlfn.XLOOKUP(Runge4[[#This Row],[Tecnología]]&amp;Runge4[[#This Row],[Problema]],TbNombres[Tecnología]&amp;TbNombres[Problema],TbNombres[Nombre])</f>
        <v>Brusselator2d</v>
      </c>
      <c r="AM36" s="2">
        <v>1</v>
      </c>
      <c r="AN36" s="2">
        <v>8</v>
      </c>
      <c r="AO36" s="2">
        <v>256</v>
      </c>
      <c r="AP36" s="2">
        <v>200</v>
      </c>
      <c r="AQ36" s="2">
        <v>80000</v>
      </c>
      <c r="AR36" s="2">
        <v>50.073500000000003</v>
      </c>
    </row>
    <row r="37" spans="2:44" x14ac:dyDescent="0.2">
      <c r="B37" s="1" t="str">
        <f>_xlfn.XLOOKUP(Runge1[[#This Row],[Metodo]],TbSolver[Metodo],TbSolver[Solver])</f>
        <v>RungeKutta</v>
      </c>
      <c r="C37" s="1" t="str">
        <f>_xlfn.XLOOKUP(Runge1[[#This Row],[Hebras]],TbTecnologia[Hebras],TbTecnologia[Tecnología])</f>
        <v>OMP</v>
      </c>
      <c r="D37" s="5" t="str" cm="1">
        <f t="array" ref="D37">_xlfn.XLOOKUP(Runge1[[#This Row],[Tecnología]]&amp;Runge1[[#This Row],[Metodo]],TbTipos[Tecnología]&amp;TbTipos[Metodo],TbTipos[Tipo])</f>
        <v>OMP Operaciones</v>
      </c>
      <c r="E37" s="1" t="str" cm="1">
        <f t="array" ref="E37">_xlfn.XLOOKUP(Runge1[[#This Row],[Tecnología]]&amp;Runge1[[#This Row],[Problema]],TbNombres[Tecnología]&amp;TbNombres[Problema],TbNombres[Nombre])</f>
        <v>Simple Advdiff</v>
      </c>
      <c r="F37" s="1">
        <v>1</v>
      </c>
      <c r="G37" s="1">
        <v>1</v>
      </c>
      <c r="H37" s="1">
        <v>1</v>
      </c>
      <c r="I37" s="1">
        <v>1000</v>
      </c>
      <c r="J37" s="1">
        <v>1000</v>
      </c>
      <c r="K37" s="1">
        <v>7.3040399999999996</v>
      </c>
      <c r="M37" s="6" t="str">
        <f>_xlfn.XLOOKUP(Runge2[[#This Row],[Metodo]],TbSolver[Metodo],TbSolver[Solver])</f>
        <v>RungeKutta</v>
      </c>
      <c r="N37" s="6" t="str">
        <f>_xlfn.XLOOKUP(Runge2[[#This Row],[Hebras]],TbTecnologia[Hebras],TbTecnologia[Tecnología])</f>
        <v>OMP</v>
      </c>
      <c r="O37" s="7" t="str" cm="1">
        <f t="array" ref="O37">_xlfn.XLOOKUP(Runge2[[#This Row],[Tecnología]]&amp;Runge2[[#This Row],[Metodo]],TbTipos[Tecnología]&amp;TbTipos[Metodo],TbTipos[Tipo])</f>
        <v>OMP Elementos</v>
      </c>
      <c r="P37" s="6" t="str" cm="1">
        <f t="array" ref="P37">_xlfn.XLOOKUP(Runge2[[#This Row],[Tecnología]]&amp;Runge2[[#This Row],[Problema]],TbNombres[Tecnología]&amp;TbNombres[Problema],TbNombres[Nombre])</f>
        <v>Advdiff1d</v>
      </c>
      <c r="Q37" s="6">
        <v>2</v>
      </c>
      <c r="R37" s="6">
        <v>2</v>
      </c>
      <c r="S37" s="6">
        <v>16</v>
      </c>
      <c r="T37" s="6">
        <v>1000</v>
      </c>
      <c r="U37" s="6">
        <v>1000</v>
      </c>
      <c r="V37" s="6">
        <v>21.362100000000002</v>
      </c>
      <c r="X37" s="6" t="str">
        <f>_xlfn.XLOOKUP(Runge3[[#This Row],[Metodo]],TbSolver[Metodo],TbSolver[Solver])</f>
        <v>RungeKutta</v>
      </c>
      <c r="Y37" s="6" t="str">
        <f>_xlfn.XLOOKUP(Runge3[[#This Row],[Hebras]],TbTecnologia[Hebras],TbTecnologia[Tecnología])</f>
        <v>CUDA</v>
      </c>
      <c r="Z37" s="2" t="str" cm="1">
        <f t="array" ref="Z37">_xlfn.XLOOKUP(Runge3[[#This Row],[Tecnología]]&amp;Runge3[[#This Row],[Metodo]],TbTipos[Tecnología]&amp;TbTipos[Metodo],TbTipos[Tipo])</f>
        <v>CUDA sin graph</v>
      </c>
      <c r="AA37" s="2" t="str" cm="1">
        <f t="array" ref="AA37">_xlfn.XLOOKUP(Runge3[[#This Row],[Tecnología]]&amp;Runge3[[#This Row],[Problema]],TbNombres[Tecnología]&amp;TbNombres[Problema],TbNombres[Nombre])</f>
        <v>Brusselator1d</v>
      </c>
      <c r="AB37" s="2">
        <v>1</v>
      </c>
      <c r="AC37" s="2">
        <v>7</v>
      </c>
      <c r="AD37" s="2">
        <v>256</v>
      </c>
      <c r="AE37" s="2">
        <v>500</v>
      </c>
      <c r="AF37" s="2">
        <v>1000</v>
      </c>
      <c r="AG37" s="2">
        <v>16.8781</v>
      </c>
      <c r="AI37" s="9" t="str">
        <f>_xlfn.XLOOKUP(Runge4[[#This Row],[Metodo]],TbSolver[Metodo],TbSolver[Solver])</f>
        <v>RungeKutta</v>
      </c>
      <c r="AJ37" s="9" t="str">
        <f>_xlfn.XLOOKUP(Runge4[[#This Row],[Hebras]],TbTecnologia[Hebras],TbTecnologia[Tecnología])</f>
        <v>OMP</v>
      </c>
      <c r="AK37" s="10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37" s="9" t="str" cm="1">
        <f t="array" ref="AL37">_xlfn.XLOOKUP(Runge4[[#This Row],[Tecnología]]&amp;Runge4[[#This Row],[Problema]],TbNombres[Tecnología]&amp;TbNombres[Problema],TbNombres[Nombre])</f>
        <v>Brusselator2d</v>
      </c>
      <c r="AM37" s="9">
        <v>1</v>
      </c>
      <c r="AN37" s="9">
        <v>4</v>
      </c>
      <c r="AO37" s="9">
        <v>16</v>
      </c>
      <c r="AP37" s="9">
        <v>200</v>
      </c>
      <c r="AQ37" s="9">
        <v>80000</v>
      </c>
      <c r="AR37" s="9">
        <v>185.49299999999999</v>
      </c>
    </row>
    <row r="38" spans="2:44" x14ac:dyDescent="0.2">
      <c r="B38" s="1" t="str">
        <f>_xlfn.XLOOKUP(Runge1[[#This Row],[Metodo]],TbSolver[Metodo],TbSolver[Solver])</f>
        <v>RungeKutta</v>
      </c>
      <c r="C38" s="1" t="str">
        <f>_xlfn.XLOOKUP(Runge1[[#This Row],[Hebras]],TbTecnologia[Hebras],TbTecnologia[Tecnología])</f>
        <v>CUDA</v>
      </c>
      <c r="D38" s="5" t="str" cm="1">
        <f t="array" ref="D38">_xlfn.XLOOKUP(Runge1[[#This Row],[Tecnología]]&amp;Runge1[[#This Row],[Metodo]],TbTipos[Tecnología]&amp;TbTipos[Metodo],TbTipos[Tipo])</f>
        <v>CUDA con graph</v>
      </c>
      <c r="E38" s="1" t="str" cm="1">
        <f t="array" ref="E38">_xlfn.XLOOKUP(Runge1[[#This Row],[Tecnología]]&amp;Runge1[[#This Row],[Problema]],TbNombres[Tecnología]&amp;TbNombres[Problema],TbNombres[Nombre])</f>
        <v>Simple Advdiff</v>
      </c>
      <c r="F38" s="1">
        <v>2</v>
      </c>
      <c r="G38" s="1">
        <v>1</v>
      </c>
      <c r="H38" s="1">
        <v>256</v>
      </c>
      <c r="I38" s="1">
        <v>1000</v>
      </c>
      <c r="J38" s="1">
        <v>1000</v>
      </c>
      <c r="K38" s="1">
        <v>12.7447</v>
      </c>
      <c r="M38" s="6" t="str">
        <f>_xlfn.XLOOKUP(Runge2[[#This Row],[Metodo]],TbSolver[Metodo],TbSolver[Solver])</f>
        <v>RungeKutta</v>
      </c>
      <c r="N38" s="6" t="str">
        <f>_xlfn.XLOOKUP(Runge2[[#This Row],[Hebras]],TbTecnologia[Hebras],TbTecnologia[Tecnología])</f>
        <v>CUDA</v>
      </c>
      <c r="O38" s="2" t="str" cm="1">
        <f t="array" ref="O38">_xlfn.XLOOKUP(Runge2[[#This Row],[Tecnología]]&amp;Runge2[[#This Row],[Metodo]],TbTipos[Tecnología]&amp;TbTipos[Metodo],TbTipos[Tipo])</f>
        <v>CUDA con graph</v>
      </c>
      <c r="P38" s="2" t="str" cm="1">
        <f t="array" ref="P38">_xlfn.XLOOKUP(Runge2[[#This Row],[Tecnología]]&amp;Runge2[[#This Row],[Problema]],TbNombres[Tecnología]&amp;TbNombres[Problema],TbNombres[Nombre])</f>
        <v>Advdiff1d</v>
      </c>
      <c r="Q38" s="2">
        <v>2</v>
      </c>
      <c r="R38" s="2">
        <v>3</v>
      </c>
      <c r="S38" s="2">
        <v>256</v>
      </c>
      <c r="T38" s="2">
        <v>1000</v>
      </c>
      <c r="U38" s="2">
        <v>1000</v>
      </c>
      <c r="V38" s="2">
        <v>28.155000000000001</v>
      </c>
      <c r="X38" s="6" t="str">
        <f>_xlfn.XLOOKUP(Runge3[[#This Row],[Metodo]],TbSolver[Metodo],TbSolver[Solver])</f>
        <v>RungeKutta</v>
      </c>
      <c r="Y38" s="6" t="str">
        <f>_xlfn.XLOOKUP(Runge3[[#This Row],[Hebras]],TbTecnologia[Hebras],TbTecnologia[Tecnología])</f>
        <v>CUDA</v>
      </c>
      <c r="Z38" s="2" t="str" cm="1">
        <f t="array" ref="Z38">_xlfn.XLOOKUP(Runge3[[#This Row],[Tecnología]]&amp;Runge3[[#This Row],[Metodo]],TbTipos[Tecnología]&amp;TbTipos[Metodo],TbTipos[Tipo])</f>
        <v>CUDA sin graph</v>
      </c>
      <c r="AA38" s="2" t="str" cm="1">
        <f t="array" ref="AA38">_xlfn.XLOOKUP(Runge3[[#This Row],[Tecnología]]&amp;Runge3[[#This Row],[Problema]],TbNombres[Tecnología]&amp;TbNombres[Problema],TbNombres[Nombre])</f>
        <v>Brusselator1d</v>
      </c>
      <c r="AB38" s="2">
        <v>1</v>
      </c>
      <c r="AC38" s="2">
        <v>6</v>
      </c>
      <c r="AD38" s="2">
        <v>256</v>
      </c>
      <c r="AE38" s="2">
        <v>500</v>
      </c>
      <c r="AF38" s="2">
        <v>1000</v>
      </c>
      <c r="AG38" s="2">
        <v>16.9712</v>
      </c>
      <c r="AI38" s="9" t="str">
        <f>_xlfn.XLOOKUP(Runge4[[#This Row],[Metodo]],TbSolver[Metodo],TbSolver[Solver])</f>
        <v>RungeKutta</v>
      </c>
      <c r="AJ38" s="9" t="str">
        <f>_xlfn.XLOOKUP(Runge4[[#This Row],[Hebras]],TbTecnologia[Hebras],TbTecnologia[Tecnología])</f>
        <v>OMP</v>
      </c>
      <c r="AK38" s="10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38" s="9" t="str" cm="1">
        <f t="array" ref="AL38">_xlfn.XLOOKUP(Runge4[[#This Row],[Tecnología]]&amp;Runge4[[#This Row],[Problema]],TbNombres[Tecnología]&amp;TbNombres[Problema],TbNombres[Nombre])</f>
        <v>Brusselator2d</v>
      </c>
      <c r="AM38" s="9">
        <v>2</v>
      </c>
      <c r="AN38" s="9">
        <v>4</v>
      </c>
      <c r="AO38" s="9">
        <v>16</v>
      </c>
      <c r="AP38" s="9">
        <v>200</v>
      </c>
      <c r="AQ38" s="9">
        <v>80000</v>
      </c>
      <c r="AR38" s="9">
        <v>337.33600000000001</v>
      </c>
    </row>
    <row r="39" spans="2:44" x14ac:dyDescent="0.2">
      <c r="B39" s="1" t="str">
        <f>_xlfn.XLOOKUP(Runge1[[#This Row],[Metodo]],TbSolver[Metodo],TbSolver[Solver])</f>
        <v>RungeKutta</v>
      </c>
      <c r="C39" s="1" t="str">
        <f>_xlfn.XLOOKUP(Runge1[[#This Row],[Hebras]],TbTecnologia[Hebras],TbTecnologia[Tecnología])</f>
        <v>CUDA</v>
      </c>
      <c r="D39" s="5" t="str" cm="1">
        <f t="array" ref="D39">_xlfn.XLOOKUP(Runge1[[#This Row],[Tecnología]]&amp;Runge1[[#This Row],[Metodo]],TbTipos[Tecnología]&amp;TbTipos[Metodo],TbTipos[Tipo])</f>
        <v>CUDA con graph</v>
      </c>
      <c r="E39" s="1" t="str" cm="1">
        <f t="array" ref="E39">_xlfn.XLOOKUP(Runge1[[#This Row],[Tecnología]]&amp;Runge1[[#This Row],[Problema]],TbNombres[Tecnología]&amp;TbNombres[Problema],TbNombres[Nombre])</f>
        <v>Simple Advdiff</v>
      </c>
      <c r="F39" s="1">
        <v>2</v>
      </c>
      <c r="G39" s="1">
        <v>2</v>
      </c>
      <c r="H39" s="1">
        <v>256</v>
      </c>
      <c r="I39" s="1">
        <v>1000</v>
      </c>
      <c r="J39" s="1">
        <v>1000</v>
      </c>
      <c r="K39" s="1">
        <v>12.8184</v>
      </c>
      <c r="M39" s="6" t="str">
        <f>_xlfn.XLOOKUP(Runge2[[#This Row],[Metodo]],TbSolver[Metodo],TbSolver[Solver])</f>
        <v>RungeKutta</v>
      </c>
      <c r="N39" s="6" t="str">
        <f>_xlfn.XLOOKUP(Runge2[[#This Row],[Hebras]],TbTecnologia[Hebras],TbTecnologia[Tecnología])</f>
        <v>CUDA</v>
      </c>
      <c r="O39" s="2" t="str" cm="1">
        <f t="array" ref="O39">_xlfn.XLOOKUP(Runge2[[#This Row],[Tecnología]]&amp;Runge2[[#This Row],[Metodo]],TbTipos[Tecnología]&amp;TbTipos[Metodo],TbTipos[Tipo])</f>
        <v>CUDA con graph</v>
      </c>
      <c r="P39" s="2" t="str" cm="1">
        <f t="array" ref="P39">_xlfn.XLOOKUP(Runge2[[#This Row],[Tecnología]]&amp;Runge2[[#This Row],[Problema]],TbNombres[Tecnología]&amp;TbNombres[Problema],TbNombres[Nombre])</f>
        <v>Advdiff1d</v>
      </c>
      <c r="Q39" s="2">
        <v>2</v>
      </c>
      <c r="R39" s="2">
        <v>4</v>
      </c>
      <c r="S39" s="2">
        <v>256</v>
      </c>
      <c r="T39" s="2">
        <v>1000</v>
      </c>
      <c r="U39" s="2">
        <v>1000</v>
      </c>
      <c r="V39" s="2">
        <v>29.179400000000001</v>
      </c>
      <c r="X39" s="6" t="str">
        <f>_xlfn.XLOOKUP(Runge3[[#This Row],[Metodo]],TbSolver[Metodo],TbSolver[Solver])</f>
        <v>RungeKutta</v>
      </c>
      <c r="Y39" s="6" t="str">
        <f>_xlfn.XLOOKUP(Runge3[[#This Row],[Hebras]],TbTecnologia[Hebras],TbTecnologia[Tecnología])</f>
        <v>CUDA</v>
      </c>
      <c r="Z39" s="2" t="str" cm="1">
        <f t="array" ref="Z39">_xlfn.XLOOKUP(Runge3[[#This Row],[Tecnología]]&amp;Runge3[[#This Row],[Metodo]],TbTipos[Tecnología]&amp;TbTipos[Metodo],TbTipos[Tipo])</f>
        <v>CUDA sin graph</v>
      </c>
      <c r="AA39" s="2" t="str" cm="1">
        <f t="array" ref="AA39">_xlfn.XLOOKUP(Runge3[[#This Row],[Tecnología]]&amp;Runge3[[#This Row],[Problema]],TbNombres[Tecnología]&amp;TbNombres[Problema],TbNombres[Nombre])</f>
        <v>Brusselator1d</v>
      </c>
      <c r="AB39" s="2">
        <v>1</v>
      </c>
      <c r="AC39" s="2">
        <v>5</v>
      </c>
      <c r="AD39" s="2">
        <v>256</v>
      </c>
      <c r="AE39" s="2">
        <v>500</v>
      </c>
      <c r="AF39" s="2">
        <v>1000</v>
      </c>
      <c r="AG39" s="2">
        <v>17.084399999999999</v>
      </c>
      <c r="AI39" s="9" t="str">
        <f>_xlfn.XLOOKUP(Runge4[[#This Row],[Metodo]],TbSolver[Metodo],TbSolver[Solver])</f>
        <v>RungeKutta</v>
      </c>
      <c r="AJ39" s="9" t="str">
        <f>_xlfn.XLOOKUP(Runge4[[#This Row],[Hebras]],TbTecnologia[Hebras],TbTecnologia[Tecnología])</f>
        <v>OMP</v>
      </c>
      <c r="AK39" s="10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39" s="9" t="str" cm="1">
        <f t="array" ref="AL39">_xlfn.XLOOKUP(Runge4[[#This Row],[Tecnología]]&amp;Runge4[[#This Row],[Problema]],TbNombres[Tecnología]&amp;TbNombres[Problema],TbNombres[Nombre])</f>
        <v>Brusselator2d</v>
      </c>
      <c r="AM39" s="9">
        <v>1</v>
      </c>
      <c r="AN39" s="9">
        <v>4</v>
      </c>
      <c r="AO39" s="9">
        <v>4</v>
      </c>
      <c r="AP39" s="9">
        <v>200</v>
      </c>
      <c r="AQ39" s="9">
        <v>80000</v>
      </c>
      <c r="AR39" s="9">
        <v>468.233</v>
      </c>
    </row>
    <row r="40" spans="2:44" x14ac:dyDescent="0.2">
      <c r="B40" s="1" t="str">
        <f>_xlfn.XLOOKUP(Runge1[[#This Row],[Metodo]],TbSolver[Metodo],TbSolver[Solver])</f>
        <v>RungeKutta</v>
      </c>
      <c r="C40" s="1" t="str">
        <f>_xlfn.XLOOKUP(Runge1[[#This Row],[Hebras]],TbTecnologia[Hebras],TbTecnologia[Tecnología])</f>
        <v>OMP</v>
      </c>
      <c r="D40" s="5" t="str" cm="1">
        <f t="array" ref="D40">_xlfn.XLOOKUP(Runge1[[#This Row],[Tecnología]]&amp;Runge1[[#This Row],[Metodo]],TbTipos[Tecnología]&amp;TbTipos[Metodo],TbTipos[Tipo])</f>
        <v>OMP Elementos</v>
      </c>
      <c r="E40" s="1" t="str" cm="1">
        <f t="array" ref="E40">_xlfn.XLOOKUP(Runge1[[#This Row],[Tecnología]]&amp;Runge1[[#This Row],[Problema]],TbNombres[Tecnología]&amp;TbNombres[Problema],TbNombres[Nombre])</f>
        <v>Simple Advdiff</v>
      </c>
      <c r="F40" s="1">
        <v>2</v>
      </c>
      <c r="G40" s="1">
        <v>1</v>
      </c>
      <c r="H40" s="1">
        <v>4</v>
      </c>
      <c r="I40" s="1">
        <v>1000</v>
      </c>
      <c r="J40" s="1">
        <v>1000</v>
      </c>
      <c r="K40" s="1">
        <v>13.587999999999999</v>
      </c>
      <c r="M40" s="6" t="str">
        <f>_xlfn.XLOOKUP(Runge2[[#This Row],[Metodo]],TbSolver[Metodo],TbSolver[Solver])</f>
        <v>RungeKutta</v>
      </c>
      <c r="N40" s="6" t="str">
        <f>_xlfn.XLOOKUP(Runge2[[#This Row],[Hebras]],TbTecnologia[Hebras],TbTecnologia[Tecnología])</f>
        <v>CUDA</v>
      </c>
      <c r="O40" s="2" t="str" cm="1">
        <f t="array" ref="O40">_xlfn.XLOOKUP(Runge2[[#This Row],[Tecnología]]&amp;Runge2[[#This Row],[Metodo]],TbTipos[Tecnología]&amp;TbTipos[Metodo],TbTipos[Tipo])</f>
        <v>CUDA sin graph</v>
      </c>
      <c r="P40" s="2" t="str" cm="1">
        <f t="array" ref="P40">_xlfn.XLOOKUP(Runge2[[#This Row],[Tecnología]]&amp;Runge2[[#This Row],[Problema]],TbNombres[Tecnología]&amp;TbNombres[Problema],TbNombres[Nombre])</f>
        <v>Advdiff1d</v>
      </c>
      <c r="Q40" s="2">
        <v>1</v>
      </c>
      <c r="R40" s="2">
        <v>3</v>
      </c>
      <c r="S40" s="2">
        <v>256</v>
      </c>
      <c r="T40" s="2">
        <v>1000</v>
      </c>
      <c r="U40" s="2">
        <v>1000</v>
      </c>
      <c r="V40" s="2">
        <v>30.878</v>
      </c>
      <c r="X40" s="6" t="str">
        <f>_xlfn.XLOOKUP(Runge3[[#This Row],[Metodo]],TbSolver[Metodo],TbSolver[Solver])</f>
        <v>RungeKutta</v>
      </c>
      <c r="Y40" s="6" t="str">
        <f>_xlfn.XLOOKUP(Runge3[[#This Row],[Hebras]],TbTecnologia[Hebras],TbTecnologia[Tecnología])</f>
        <v>OMP</v>
      </c>
      <c r="Z40" s="7" t="str" cm="1">
        <f t="array" ref="Z40">_xlfn.XLOOKUP(Runge3[[#This Row],[Tecnología]]&amp;Runge3[[#This Row],[Metodo]],TbTipos[Tecnología]&amp;TbTipos[Metodo],TbTipos[Tipo])</f>
        <v>OMP Elementos</v>
      </c>
      <c r="AA40" s="6" t="str" cm="1">
        <f t="array" ref="AA40">_xlfn.XLOOKUP(Runge3[[#This Row],[Tecnología]]&amp;Runge3[[#This Row],[Problema]],TbNombres[Tecnología]&amp;TbNombres[Problema],TbNombres[Nombre])</f>
        <v>Brusselator1d</v>
      </c>
      <c r="AB40" s="6">
        <v>2</v>
      </c>
      <c r="AC40" s="6">
        <v>3</v>
      </c>
      <c r="AD40" s="6">
        <v>1</v>
      </c>
      <c r="AE40" s="6">
        <v>500</v>
      </c>
      <c r="AF40" s="6">
        <v>1000</v>
      </c>
      <c r="AG40" s="6">
        <v>24.2197</v>
      </c>
      <c r="AI40" s="9" t="str">
        <f>_xlfn.XLOOKUP(Runge4[[#This Row],[Metodo]],TbSolver[Metodo],TbSolver[Solver])</f>
        <v>RungeKutta</v>
      </c>
      <c r="AJ40" s="9" t="str">
        <f>_xlfn.XLOOKUP(Runge4[[#This Row],[Hebras]],TbTecnologia[Hebras],TbTecnologia[Tecnología])</f>
        <v>OMP</v>
      </c>
      <c r="AK40" s="10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40" s="9" t="str" cm="1">
        <f t="array" ref="AL40">_xlfn.XLOOKUP(Runge4[[#This Row],[Tecnología]]&amp;Runge4[[#This Row],[Problema]],TbNombres[Tecnología]&amp;TbNombres[Problema],TbNombres[Nombre])</f>
        <v>Brusselator2d</v>
      </c>
      <c r="AM40" s="9">
        <v>2</v>
      </c>
      <c r="AN40" s="9">
        <v>4</v>
      </c>
      <c r="AO40" s="9">
        <v>4</v>
      </c>
      <c r="AP40" s="9">
        <v>200</v>
      </c>
      <c r="AQ40" s="9">
        <v>80000</v>
      </c>
      <c r="AR40" s="9">
        <v>1145.17</v>
      </c>
    </row>
    <row r="41" spans="2:44" x14ac:dyDescent="0.2">
      <c r="B41" s="1" t="str">
        <f>_xlfn.XLOOKUP(Runge1[[#This Row],[Metodo]],TbSolver[Metodo],TbSolver[Solver])</f>
        <v>RungeKutta</v>
      </c>
      <c r="C41" s="1" t="str">
        <f>_xlfn.XLOOKUP(Runge1[[#This Row],[Hebras]],TbTecnologia[Hebras],TbTecnologia[Tecnología])</f>
        <v>OMP</v>
      </c>
      <c r="D41" s="5" t="str" cm="1">
        <f t="array" ref="D41">_xlfn.XLOOKUP(Runge1[[#This Row],[Tecnología]]&amp;Runge1[[#This Row],[Metodo]],TbTipos[Tecnología]&amp;TbTipos[Metodo],TbTipos[Tipo])</f>
        <v>OMP Elementos</v>
      </c>
      <c r="E41" s="1" t="str" cm="1">
        <f t="array" ref="E41">_xlfn.XLOOKUP(Runge1[[#This Row],[Tecnología]]&amp;Runge1[[#This Row],[Problema]],TbNombres[Tecnología]&amp;TbNombres[Problema],TbNombres[Nombre])</f>
        <v>Simple Advdiff</v>
      </c>
      <c r="F41" s="1">
        <v>2</v>
      </c>
      <c r="G41" s="1">
        <v>1</v>
      </c>
      <c r="H41" s="1">
        <v>16</v>
      </c>
      <c r="I41" s="1">
        <v>1000</v>
      </c>
      <c r="J41" s="1">
        <v>1000</v>
      </c>
      <c r="K41" s="1">
        <v>14.6022</v>
      </c>
      <c r="M41" s="6" t="str">
        <f>_xlfn.XLOOKUP(Runge2[[#This Row],[Metodo]],TbSolver[Metodo],TbSolver[Solver])</f>
        <v>RungeKutta</v>
      </c>
      <c r="N41" s="6" t="str">
        <f>_xlfn.XLOOKUP(Runge2[[#This Row],[Hebras]],TbTecnologia[Hebras],TbTecnologia[Tecnología])</f>
        <v>CUDA</v>
      </c>
      <c r="O41" s="2" t="str" cm="1">
        <f t="array" ref="O41">_xlfn.XLOOKUP(Runge2[[#This Row],[Tecnología]]&amp;Runge2[[#This Row],[Metodo]],TbTipos[Tecnología]&amp;TbTipos[Metodo],TbTipos[Tipo])</f>
        <v>CUDA sin graph</v>
      </c>
      <c r="P41" s="2" t="str" cm="1">
        <f t="array" ref="P41">_xlfn.XLOOKUP(Runge2[[#This Row],[Tecnología]]&amp;Runge2[[#This Row],[Problema]],TbNombres[Tecnología]&amp;TbNombres[Problema],TbNombres[Nombre])</f>
        <v>Advdiff1d</v>
      </c>
      <c r="Q41" s="2">
        <v>1</v>
      </c>
      <c r="R41" s="2">
        <v>4</v>
      </c>
      <c r="S41" s="2">
        <v>256</v>
      </c>
      <c r="T41" s="2">
        <v>1000</v>
      </c>
      <c r="U41" s="2">
        <v>1000</v>
      </c>
      <c r="V41" s="2">
        <v>31.9133</v>
      </c>
      <c r="X41" s="6" t="str">
        <f>_xlfn.XLOOKUP(Runge3[[#This Row],[Metodo]],TbSolver[Metodo],TbSolver[Solver])</f>
        <v>RungeKutta</v>
      </c>
      <c r="Y41" s="6" t="str">
        <f>_xlfn.XLOOKUP(Runge3[[#This Row],[Hebras]],TbTecnologia[Hebras],TbTecnologia[Tecnología])</f>
        <v>OMP</v>
      </c>
      <c r="Z41" s="7" t="str" cm="1">
        <f t="array" ref="Z41">_xlfn.XLOOKUP(Runge3[[#This Row],[Tecnología]]&amp;Runge3[[#This Row],[Metodo]],TbTipos[Tecnología]&amp;TbTipos[Metodo],TbTipos[Tipo])</f>
        <v>OMP Operaciones</v>
      </c>
      <c r="AA41" s="6" t="str" cm="1">
        <f t="array" ref="AA41">_xlfn.XLOOKUP(Runge3[[#This Row],[Tecnología]]&amp;Runge3[[#This Row],[Problema]],TbNombres[Tecnología]&amp;TbNombres[Problema],TbNombres[Nombre])</f>
        <v>Brusselator1d</v>
      </c>
      <c r="AB41" s="6">
        <v>1</v>
      </c>
      <c r="AC41" s="6">
        <v>3</v>
      </c>
      <c r="AD41" s="6">
        <v>4</v>
      </c>
      <c r="AE41" s="6">
        <v>500</v>
      </c>
      <c r="AF41" s="6">
        <v>1000</v>
      </c>
      <c r="AG41" s="6">
        <v>36.987299999999998</v>
      </c>
      <c r="AI41" s="9" t="str">
        <f>_xlfn.XLOOKUP(Runge4[[#This Row],[Metodo]],TbSolver[Metodo],TbSolver[Solver])</f>
        <v>RungeKutta</v>
      </c>
      <c r="AJ41" s="9" t="str">
        <f>_xlfn.XLOOKUP(Runge4[[#This Row],[Hebras]],TbTecnologia[Hebras],TbTecnologia[Tecnología])</f>
        <v>OMP</v>
      </c>
      <c r="AK41" s="10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41" s="9" t="str" cm="1">
        <f t="array" ref="AL41">_xlfn.XLOOKUP(Runge4[[#This Row],[Tecnología]]&amp;Runge4[[#This Row],[Problema]],TbNombres[Tecnología]&amp;TbNombres[Problema],TbNombres[Nombre])</f>
        <v>Brusselator2d</v>
      </c>
      <c r="AM41" s="9">
        <v>1</v>
      </c>
      <c r="AN41" s="9">
        <v>4</v>
      </c>
      <c r="AO41" s="9">
        <v>1</v>
      </c>
      <c r="AP41" s="9">
        <v>200</v>
      </c>
      <c r="AQ41" s="9">
        <v>80000</v>
      </c>
      <c r="AR41" s="9">
        <v>1786.83</v>
      </c>
    </row>
    <row r="42" spans="2:44" x14ac:dyDescent="0.2">
      <c r="B42" s="1" t="str">
        <f>_xlfn.XLOOKUP(Runge1[[#This Row],[Metodo]],TbSolver[Metodo],TbSolver[Solver])</f>
        <v>RungeKutta</v>
      </c>
      <c r="C42" s="1" t="str">
        <f>_xlfn.XLOOKUP(Runge1[[#This Row],[Hebras]],TbTecnologia[Hebras],TbTecnologia[Tecnología])</f>
        <v>CUDA</v>
      </c>
      <c r="D42" s="5" t="str" cm="1">
        <f t="array" ref="D42">_xlfn.XLOOKUP(Runge1[[#This Row],[Tecnología]]&amp;Runge1[[#This Row],[Metodo]],TbTipos[Tecnología]&amp;TbTipos[Metodo],TbTipos[Tipo])</f>
        <v>CUDA sin graph</v>
      </c>
      <c r="E42" s="1" t="str" cm="1">
        <f t="array" ref="E42">_xlfn.XLOOKUP(Runge1[[#This Row],[Tecnología]]&amp;Runge1[[#This Row],[Problema]],TbNombres[Tecnología]&amp;TbNombres[Problema],TbNombres[Nombre])</f>
        <v>Simple Advdiff</v>
      </c>
      <c r="F42" s="1">
        <v>1</v>
      </c>
      <c r="G42" s="1">
        <v>1</v>
      </c>
      <c r="H42" s="1">
        <v>256</v>
      </c>
      <c r="I42" s="1">
        <v>1000</v>
      </c>
      <c r="J42" s="1">
        <v>1000</v>
      </c>
      <c r="K42" s="1">
        <v>15.9902</v>
      </c>
      <c r="M42" s="6" t="str">
        <f>_xlfn.XLOOKUP(Runge2[[#This Row],[Metodo]],TbSolver[Metodo],TbSolver[Solver])</f>
        <v>RungeKutta</v>
      </c>
      <c r="N42" s="6" t="str">
        <f>_xlfn.XLOOKUP(Runge2[[#This Row],[Hebras]],TbTecnologia[Hebras],TbTecnologia[Tecnología])</f>
        <v>OMP</v>
      </c>
      <c r="O42" s="7" t="str" cm="1">
        <f t="array" ref="O42">_xlfn.XLOOKUP(Runge2[[#This Row],[Tecnología]]&amp;Runge2[[#This Row],[Metodo]],TbTipos[Tecnología]&amp;TbTipos[Metodo],TbTipos[Tipo])</f>
        <v>OMP Elementos</v>
      </c>
      <c r="P42" s="6" t="str" cm="1">
        <f t="array" ref="P42">_xlfn.XLOOKUP(Runge2[[#This Row],[Tecnología]]&amp;Runge2[[#This Row],[Problema]],TbNombres[Tecnología]&amp;TbNombres[Problema],TbNombres[Nombre])</f>
        <v>Advdiff1d</v>
      </c>
      <c r="Q42" s="6">
        <v>2</v>
      </c>
      <c r="R42" s="6">
        <v>2</v>
      </c>
      <c r="S42" s="6">
        <v>4</v>
      </c>
      <c r="T42" s="6">
        <v>1000</v>
      </c>
      <c r="U42" s="6">
        <v>1000</v>
      </c>
      <c r="V42" s="6">
        <v>36.563499999999998</v>
      </c>
      <c r="X42" s="6" t="str">
        <f>_xlfn.XLOOKUP(Runge3[[#This Row],[Metodo]],TbSolver[Metodo],TbSolver[Solver])</f>
        <v>RungeKutta</v>
      </c>
      <c r="Y42" s="6" t="str">
        <f>_xlfn.XLOOKUP(Runge3[[#This Row],[Hebras]],TbTecnologia[Hebras],TbTecnologia[Tecnología])</f>
        <v>OMP</v>
      </c>
      <c r="Z42" s="7" t="str" cm="1">
        <f t="array" ref="Z42">_xlfn.XLOOKUP(Runge3[[#This Row],[Tecnología]]&amp;Runge3[[#This Row],[Metodo]],TbTipos[Tecnología]&amp;TbTipos[Metodo],TbTipos[Tipo])</f>
        <v>OMP Operaciones</v>
      </c>
      <c r="AA42" s="6" t="str" cm="1">
        <f t="array" ref="AA42">_xlfn.XLOOKUP(Runge3[[#This Row],[Tecnología]]&amp;Runge3[[#This Row],[Problema]],TbNombres[Tecnología]&amp;TbNombres[Problema],TbNombres[Nombre])</f>
        <v>Brusselator1d</v>
      </c>
      <c r="AB42" s="6">
        <v>1</v>
      </c>
      <c r="AC42" s="6">
        <v>3</v>
      </c>
      <c r="AD42" s="6">
        <v>16</v>
      </c>
      <c r="AE42" s="6">
        <v>500</v>
      </c>
      <c r="AF42" s="6">
        <v>1000</v>
      </c>
      <c r="AG42" s="6">
        <v>91.450400000000002</v>
      </c>
      <c r="AI42" s="9" t="str">
        <f>_xlfn.XLOOKUP(Runge4[[#This Row],[Metodo]],TbSolver[Metodo],TbSolver[Solver])</f>
        <v>RungeKutta</v>
      </c>
      <c r="AJ42" s="9" t="str">
        <f>_xlfn.XLOOKUP(Runge4[[#This Row],[Hebras]],TbTecnologia[Hebras],TbTecnologia[Tecnología])</f>
        <v>OMP</v>
      </c>
      <c r="AK42" s="10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42" s="9" t="str" cm="1">
        <f t="array" ref="AL42">_xlfn.XLOOKUP(Runge4[[#This Row],[Tecnología]]&amp;Runge4[[#This Row],[Problema]],TbNombres[Tecnología]&amp;TbNombres[Problema],TbNombres[Nombre])</f>
        <v>Brusselator2d</v>
      </c>
      <c r="AM42" s="9">
        <v>2</v>
      </c>
      <c r="AN42" s="9">
        <v>4</v>
      </c>
      <c r="AO42" s="9">
        <v>1</v>
      </c>
      <c r="AP42" s="9">
        <v>200</v>
      </c>
      <c r="AQ42" s="9">
        <v>80000</v>
      </c>
      <c r="AR42" s="9">
        <v>4281.99</v>
      </c>
    </row>
    <row r="43" spans="2:44" x14ac:dyDescent="0.2">
      <c r="B43" s="1" t="str">
        <f>_xlfn.XLOOKUP(Runge1[[#This Row],[Metodo]],TbSolver[Metodo],TbSolver[Solver])</f>
        <v>RungeKutta</v>
      </c>
      <c r="C43" s="1" t="str">
        <f>_xlfn.XLOOKUP(Runge1[[#This Row],[Hebras]],TbTecnologia[Hebras],TbTecnologia[Tecnología])</f>
        <v>CUDA</v>
      </c>
      <c r="D43" s="5" t="str" cm="1">
        <f t="array" ref="D43">_xlfn.XLOOKUP(Runge1[[#This Row],[Tecnología]]&amp;Runge1[[#This Row],[Metodo]],TbTipos[Tecnología]&amp;TbTipos[Metodo],TbTipos[Tipo])</f>
        <v>CUDA sin graph</v>
      </c>
      <c r="E43" s="1" t="str" cm="1">
        <f t="array" ref="E43">_xlfn.XLOOKUP(Runge1[[#This Row],[Tecnología]]&amp;Runge1[[#This Row],[Problema]],TbNombres[Tecnología]&amp;TbNombres[Problema],TbNombres[Nombre])</f>
        <v>Simple Advdiff</v>
      </c>
      <c r="F43" s="1">
        <v>1</v>
      </c>
      <c r="G43" s="1">
        <v>2</v>
      </c>
      <c r="H43" s="1">
        <v>256</v>
      </c>
      <c r="I43" s="1">
        <v>1000</v>
      </c>
      <c r="J43" s="1">
        <v>1000</v>
      </c>
      <c r="K43" s="1">
        <v>16.2043</v>
      </c>
      <c r="M43" s="6" t="str">
        <f>_xlfn.XLOOKUP(Runge2[[#This Row],[Metodo]],TbSolver[Metodo],TbSolver[Solver])</f>
        <v>RungeKutta</v>
      </c>
      <c r="N43" s="6" t="str">
        <f>_xlfn.XLOOKUP(Runge2[[#This Row],[Hebras]],TbTecnologia[Hebras],TbTecnologia[Tecnología])</f>
        <v>OMP</v>
      </c>
      <c r="O43" s="7" t="str" cm="1">
        <f t="array" ref="O43">_xlfn.XLOOKUP(Runge2[[#This Row],[Tecnología]]&amp;Runge2[[#This Row],[Metodo]],TbTipos[Tecnología]&amp;TbTipos[Metodo],TbTipos[Tipo])</f>
        <v>OMP Operaciones</v>
      </c>
      <c r="P43" s="6" t="str" cm="1">
        <f t="array" ref="P43">_xlfn.XLOOKUP(Runge2[[#This Row],[Tecnología]]&amp;Runge2[[#This Row],[Problema]],TbNombres[Tecnología]&amp;TbNombres[Problema],TbNombres[Nombre])</f>
        <v>Advdiff1d</v>
      </c>
      <c r="Q43" s="6">
        <v>1</v>
      </c>
      <c r="R43" s="6">
        <v>2</v>
      </c>
      <c r="S43" s="6">
        <v>4</v>
      </c>
      <c r="T43" s="6">
        <v>1000</v>
      </c>
      <c r="U43" s="6">
        <v>1000</v>
      </c>
      <c r="V43" s="6">
        <v>60.924799999999998</v>
      </c>
      <c r="X43" s="6" t="str">
        <f>_xlfn.XLOOKUP(Runge3[[#This Row],[Metodo]],TbSolver[Metodo],TbSolver[Solver])</f>
        <v>RungeKutta</v>
      </c>
      <c r="Y43" s="6" t="str">
        <f>_xlfn.XLOOKUP(Runge3[[#This Row],[Hebras]],TbTecnologia[Hebras],TbTecnologia[Tecnología])</f>
        <v>CUDA</v>
      </c>
      <c r="Z43" s="2" t="str" cm="1">
        <f t="array" ref="Z43">_xlfn.XLOOKUP(Runge3[[#This Row],[Tecnología]]&amp;Runge3[[#This Row],[Metodo]],TbTipos[Tecnología]&amp;TbTipos[Metodo],TbTipos[Tipo])</f>
        <v>CUDA con graph</v>
      </c>
      <c r="AA43" s="2" t="str" cm="1">
        <f t="array" ref="AA43">_xlfn.XLOOKUP(Runge3[[#This Row],[Tecnología]]&amp;Runge3[[#This Row],[Problema]],TbNombres[Tecnología]&amp;TbNombres[Problema],TbNombres[Nombre])</f>
        <v>Brusselator1d</v>
      </c>
      <c r="AB43" s="2">
        <v>2</v>
      </c>
      <c r="AC43" s="2">
        <v>5</v>
      </c>
      <c r="AD43" s="2">
        <v>256</v>
      </c>
      <c r="AE43" s="2">
        <v>1000</v>
      </c>
      <c r="AF43" s="2">
        <v>2000</v>
      </c>
      <c r="AG43" s="2">
        <v>13.797800000000001</v>
      </c>
      <c r="AI43" s="6" t="str">
        <f>_xlfn.XLOOKUP(Runge4[[#This Row],[Metodo]],TbSolver[Metodo],TbSolver[Solver])</f>
        <v>RungeKutta</v>
      </c>
      <c r="AJ43" s="6" t="str">
        <f>_xlfn.XLOOKUP(Runge4[[#This Row],[Hebras]],TbTecnologia[Hebras],TbTecnologia[Tecnología])</f>
        <v>CUDA</v>
      </c>
      <c r="AK43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43" s="2" t="str" cm="1">
        <f t="array" ref="AL43">_xlfn.XLOOKUP(Runge4[[#This Row],[Tecnología]]&amp;Runge4[[#This Row],[Problema]],TbNombres[Tecnología]&amp;TbNombres[Problema],TbNombres[Nombre])</f>
        <v>Brusselator2d</v>
      </c>
      <c r="AM43" s="2">
        <v>1</v>
      </c>
      <c r="AN43" s="2">
        <v>8</v>
      </c>
      <c r="AO43" s="2">
        <v>256</v>
      </c>
      <c r="AP43" s="2">
        <v>500</v>
      </c>
      <c r="AQ43" s="2">
        <v>500000</v>
      </c>
      <c r="AR43" s="2">
        <v>319.90699999999998</v>
      </c>
    </row>
    <row r="44" spans="2:44" x14ac:dyDescent="0.2">
      <c r="B44" s="1" t="str">
        <f>_xlfn.XLOOKUP(Runge1[[#This Row],[Metodo]],TbSolver[Metodo],TbSolver[Solver])</f>
        <v>RungeKutta</v>
      </c>
      <c r="C44" s="1" t="str">
        <f>_xlfn.XLOOKUP(Runge1[[#This Row],[Hebras]],TbTecnologia[Hebras],TbTecnologia[Tecnología])</f>
        <v>OMP</v>
      </c>
      <c r="D44" s="5" t="str" cm="1">
        <f t="array" ref="D44">_xlfn.XLOOKUP(Runge1[[#This Row],[Tecnología]]&amp;Runge1[[#This Row],[Metodo]],TbTipos[Tecnología]&amp;TbTipos[Metodo],TbTipos[Tipo])</f>
        <v>OMP Operaciones</v>
      </c>
      <c r="E44" s="1" t="str" cm="1">
        <f t="array" ref="E44">_xlfn.XLOOKUP(Runge1[[#This Row],[Tecnología]]&amp;Runge1[[#This Row],[Problema]],TbNombres[Tecnología]&amp;TbNombres[Problema],TbNombres[Nombre])</f>
        <v>Simple Advdiff</v>
      </c>
      <c r="F44" s="1">
        <v>1</v>
      </c>
      <c r="G44" s="1">
        <v>1</v>
      </c>
      <c r="H44" s="1">
        <v>4</v>
      </c>
      <c r="I44" s="1">
        <v>1000</v>
      </c>
      <c r="J44" s="1">
        <v>1000</v>
      </c>
      <c r="K44" s="1">
        <v>25.951699999999999</v>
      </c>
      <c r="M44" s="6" t="str">
        <f>_xlfn.XLOOKUP(Runge2[[#This Row],[Metodo]],TbSolver[Metodo],TbSolver[Solver])</f>
        <v>RungeKutta</v>
      </c>
      <c r="N44" s="6" t="str">
        <f>_xlfn.XLOOKUP(Runge2[[#This Row],[Hebras]],TbTecnologia[Hebras],TbTecnologia[Tecnología])</f>
        <v>OMP</v>
      </c>
      <c r="O44" s="7" t="str" cm="1">
        <f t="array" ref="O44">_xlfn.XLOOKUP(Runge2[[#This Row],[Tecnología]]&amp;Runge2[[#This Row],[Metodo]],TbTipos[Tecnología]&amp;TbTipos[Metodo],TbTipos[Tipo])</f>
        <v>OMP Operaciones</v>
      </c>
      <c r="P44" s="6" t="str" cm="1">
        <f t="array" ref="P44">_xlfn.XLOOKUP(Runge2[[#This Row],[Tecnología]]&amp;Runge2[[#This Row],[Problema]],TbNombres[Tecnología]&amp;TbNombres[Problema],TbNombres[Nombre])</f>
        <v>Advdiff1d</v>
      </c>
      <c r="Q44" s="6">
        <v>1</v>
      </c>
      <c r="R44" s="6">
        <v>2</v>
      </c>
      <c r="S44" s="6">
        <v>16</v>
      </c>
      <c r="T44" s="6">
        <v>1000</v>
      </c>
      <c r="U44" s="6">
        <v>1000</v>
      </c>
      <c r="V44" s="6">
        <v>89.934100000000001</v>
      </c>
      <c r="X44" s="6" t="str">
        <f>_xlfn.XLOOKUP(Runge3[[#This Row],[Metodo]],TbSolver[Metodo],TbSolver[Solver])</f>
        <v>RungeKutta</v>
      </c>
      <c r="Y44" s="6" t="str">
        <f>_xlfn.XLOOKUP(Runge3[[#This Row],[Hebras]],TbTecnologia[Hebras],TbTecnologia[Tecnología])</f>
        <v>CUDA</v>
      </c>
      <c r="Z44" s="2" t="str" cm="1">
        <f t="array" ref="Z44">_xlfn.XLOOKUP(Runge3[[#This Row],[Tecnología]]&amp;Runge3[[#This Row],[Metodo]],TbTipos[Tecnología]&amp;TbTipos[Metodo],TbTipos[Tipo])</f>
        <v>CUDA con graph</v>
      </c>
      <c r="AA44" s="2" t="str" cm="1">
        <f t="array" ref="AA44">_xlfn.XLOOKUP(Runge3[[#This Row],[Tecnología]]&amp;Runge3[[#This Row],[Problema]],TbNombres[Tecnología]&amp;TbNombres[Problema],TbNombres[Nombre])</f>
        <v>Brusselator1d</v>
      </c>
      <c r="AB44" s="2">
        <v>2</v>
      </c>
      <c r="AC44" s="2">
        <v>7</v>
      </c>
      <c r="AD44" s="2">
        <v>256</v>
      </c>
      <c r="AE44" s="2">
        <v>1000</v>
      </c>
      <c r="AF44" s="2">
        <v>2000</v>
      </c>
      <c r="AG44" s="2">
        <v>13.9056</v>
      </c>
      <c r="AI44" s="6" t="str">
        <f>_xlfn.XLOOKUP(Runge4[[#This Row],[Metodo]],TbSolver[Metodo],TbSolver[Solver])</f>
        <v>RungeKutta</v>
      </c>
      <c r="AJ44" s="6" t="str">
        <f>_xlfn.XLOOKUP(Runge4[[#This Row],[Hebras]],TbTecnologia[Hebras],TbTecnologia[Tecnología])</f>
        <v>CUDA</v>
      </c>
      <c r="AK44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44" s="2" t="str" cm="1">
        <f t="array" ref="AL44">_xlfn.XLOOKUP(Runge4[[#This Row],[Tecnología]]&amp;Runge4[[#This Row],[Problema]],TbNombres[Tecnología]&amp;TbNombres[Problema],TbNombres[Nombre])</f>
        <v>Brusselator2d</v>
      </c>
      <c r="AM44" s="2">
        <v>1</v>
      </c>
      <c r="AN44" s="2">
        <v>9</v>
      </c>
      <c r="AO44" s="2">
        <v>256</v>
      </c>
      <c r="AP44" s="2">
        <v>500</v>
      </c>
      <c r="AQ44" s="2">
        <v>500000</v>
      </c>
      <c r="AR44" s="2">
        <v>320.22000000000003</v>
      </c>
    </row>
    <row r="45" spans="2:44" x14ac:dyDescent="0.2">
      <c r="B45" s="1" t="str">
        <f>_xlfn.XLOOKUP(Runge1[[#This Row],[Metodo]],TbSolver[Metodo],TbSolver[Solver])</f>
        <v>RungeKutta</v>
      </c>
      <c r="C45" s="1" t="str">
        <f>_xlfn.XLOOKUP(Runge1[[#This Row],[Hebras]],TbTecnologia[Hebras],TbTecnologia[Tecnología])</f>
        <v>OMP</v>
      </c>
      <c r="D45" s="5" t="str" cm="1">
        <f t="array" ref="D45">_xlfn.XLOOKUP(Runge1[[#This Row],[Tecnología]]&amp;Runge1[[#This Row],[Metodo]],TbTipos[Tecnología]&amp;TbTipos[Metodo],TbTipos[Tipo])</f>
        <v>OMP Elementos</v>
      </c>
      <c r="E45" s="1" t="str" cm="1">
        <f t="array" ref="E45">_xlfn.XLOOKUP(Runge1[[#This Row],[Tecnología]]&amp;Runge1[[#This Row],[Problema]],TbNombres[Tecnología]&amp;TbNombres[Problema],TbNombres[Nombre])</f>
        <v>Simple Advdiff</v>
      </c>
      <c r="F45" s="1">
        <v>2</v>
      </c>
      <c r="G45" s="1">
        <v>1</v>
      </c>
      <c r="H45" s="1">
        <v>1</v>
      </c>
      <c r="I45" s="1">
        <v>1000</v>
      </c>
      <c r="J45" s="1">
        <v>1000</v>
      </c>
      <c r="K45" s="1">
        <v>30.9483</v>
      </c>
      <c r="M45" s="6" t="str">
        <f>_xlfn.XLOOKUP(Runge2[[#This Row],[Metodo]],TbSolver[Metodo],TbSolver[Solver])</f>
        <v>RungeKutta</v>
      </c>
      <c r="N45" s="6" t="str">
        <f>_xlfn.XLOOKUP(Runge2[[#This Row],[Hebras]],TbTecnologia[Hebras],TbTecnologia[Tecnología])</f>
        <v>OMP</v>
      </c>
      <c r="O45" s="7" t="str" cm="1">
        <f t="array" ref="O45">_xlfn.XLOOKUP(Runge2[[#This Row],[Tecnología]]&amp;Runge2[[#This Row],[Metodo]],TbTipos[Tecnología]&amp;TbTipos[Metodo],TbTipos[Tipo])</f>
        <v>OMP Operaciones</v>
      </c>
      <c r="P45" s="6" t="str" cm="1">
        <f t="array" ref="P45">_xlfn.XLOOKUP(Runge2[[#This Row],[Tecnología]]&amp;Runge2[[#This Row],[Problema]],TbNombres[Tecnología]&amp;TbNombres[Problema],TbNombres[Nombre])</f>
        <v>Advdiff1d</v>
      </c>
      <c r="Q45" s="6">
        <v>1</v>
      </c>
      <c r="R45" s="6">
        <v>2</v>
      </c>
      <c r="S45" s="6">
        <v>1</v>
      </c>
      <c r="T45" s="6">
        <v>1000</v>
      </c>
      <c r="U45" s="6">
        <v>1000</v>
      </c>
      <c r="V45" s="6">
        <v>92.846000000000004</v>
      </c>
      <c r="X45" s="6" t="str">
        <f>_xlfn.XLOOKUP(Runge3[[#This Row],[Metodo]],TbSolver[Metodo],TbSolver[Solver])</f>
        <v>RungeKutta</v>
      </c>
      <c r="Y45" s="6" t="str">
        <f>_xlfn.XLOOKUP(Runge3[[#This Row],[Hebras]],TbTecnologia[Hebras],TbTecnologia[Tecnología])</f>
        <v>CUDA</v>
      </c>
      <c r="Z45" s="2" t="str" cm="1">
        <f t="array" ref="Z45">_xlfn.XLOOKUP(Runge3[[#This Row],[Tecnología]]&amp;Runge3[[#This Row],[Metodo]],TbTipos[Tecnología]&amp;TbTipos[Metodo],TbTipos[Tipo])</f>
        <v>CUDA con graph</v>
      </c>
      <c r="AA45" s="2" t="str" cm="1">
        <f t="array" ref="AA45">_xlfn.XLOOKUP(Runge3[[#This Row],[Tecnología]]&amp;Runge3[[#This Row],[Problema]],TbNombres[Tecnología]&amp;TbNombres[Problema],TbNombres[Nombre])</f>
        <v>Brusselator1d</v>
      </c>
      <c r="AB45" s="2">
        <v>2</v>
      </c>
      <c r="AC45" s="2">
        <v>6</v>
      </c>
      <c r="AD45" s="2">
        <v>256</v>
      </c>
      <c r="AE45" s="2">
        <v>1000</v>
      </c>
      <c r="AF45" s="2">
        <v>2000</v>
      </c>
      <c r="AG45" s="2">
        <v>13.928100000000001</v>
      </c>
      <c r="AI45" s="6" t="str">
        <f>_xlfn.XLOOKUP(Runge4[[#This Row],[Metodo]],TbSolver[Metodo],TbSolver[Solver])</f>
        <v>RungeKutta</v>
      </c>
      <c r="AJ45" s="6" t="str">
        <f>_xlfn.XLOOKUP(Runge4[[#This Row],[Hebras]],TbTecnologia[Hebras],TbTecnologia[Tecnología])</f>
        <v>CUDA</v>
      </c>
      <c r="AK45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45" s="2" t="str" cm="1">
        <f t="array" ref="AL45">_xlfn.XLOOKUP(Runge4[[#This Row],[Tecnología]]&amp;Runge4[[#This Row],[Problema]],TbNombres[Tecnología]&amp;TbNombres[Problema],TbNombres[Nombre])</f>
        <v>Brusselator2d</v>
      </c>
      <c r="AM45" s="2">
        <v>2</v>
      </c>
      <c r="AN45" s="2">
        <v>8</v>
      </c>
      <c r="AO45" s="2">
        <v>256</v>
      </c>
      <c r="AP45" s="2">
        <v>500</v>
      </c>
      <c r="AQ45" s="2">
        <v>500000</v>
      </c>
      <c r="AR45" s="2">
        <v>323.428</v>
      </c>
    </row>
    <row r="46" spans="2:44" x14ac:dyDescent="0.2">
      <c r="B46" s="1" t="str">
        <f>_xlfn.XLOOKUP(Runge1[[#This Row],[Metodo]],TbSolver[Metodo],TbSolver[Solver])</f>
        <v>RungeKutta</v>
      </c>
      <c r="C46" s="1" t="str">
        <f>_xlfn.XLOOKUP(Runge1[[#This Row],[Hebras]],TbTecnologia[Hebras],TbTecnologia[Tecnología])</f>
        <v>OMP</v>
      </c>
      <c r="D46" s="5" t="str" cm="1">
        <f t="array" ref="D46">_xlfn.XLOOKUP(Runge1[[#This Row],[Tecnología]]&amp;Runge1[[#This Row],[Metodo]],TbTipos[Tecnología]&amp;TbTipos[Metodo],TbTipos[Tipo])</f>
        <v>OMP Operaciones</v>
      </c>
      <c r="E46" s="1" t="str" cm="1">
        <f t="array" ref="E46">_xlfn.XLOOKUP(Runge1[[#This Row],[Tecnología]]&amp;Runge1[[#This Row],[Problema]],TbNombres[Tecnología]&amp;TbNombres[Problema],TbNombres[Nombre])</f>
        <v>Simple Advdiff</v>
      </c>
      <c r="F46" s="1">
        <v>1</v>
      </c>
      <c r="G46" s="1">
        <v>1</v>
      </c>
      <c r="H46" s="1">
        <v>16</v>
      </c>
      <c r="I46" s="1">
        <v>1000</v>
      </c>
      <c r="J46" s="1">
        <v>1000</v>
      </c>
      <c r="K46" s="1">
        <v>61.305300000000003</v>
      </c>
      <c r="M46" s="6" t="str">
        <f>_xlfn.XLOOKUP(Runge2[[#This Row],[Metodo]],TbSolver[Metodo],TbSolver[Solver])</f>
        <v>RungeKutta</v>
      </c>
      <c r="N46" s="6" t="str">
        <f>_xlfn.XLOOKUP(Runge2[[#This Row],[Hebras]],TbTecnologia[Hebras],TbTecnologia[Tecnología])</f>
        <v>OMP</v>
      </c>
      <c r="O46" s="7" t="str" cm="1">
        <f t="array" ref="O46">_xlfn.XLOOKUP(Runge2[[#This Row],[Tecnología]]&amp;Runge2[[#This Row],[Metodo]],TbTipos[Tecnología]&amp;TbTipos[Metodo],TbTipos[Tipo])</f>
        <v>OMP Elementos</v>
      </c>
      <c r="P46" s="6" t="str" cm="1">
        <f t="array" ref="P46">_xlfn.XLOOKUP(Runge2[[#This Row],[Tecnología]]&amp;Runge2[[#This Row],[Problema]],TbNombres[Tecnología]&amp;TbNombres[Problema],TbNombres[Nombre])</f>
        <v>Advdiff1d</v>
      </c>
      <c r="Q46" s="6">
        <v>2</v>
      </c>
      <c r="R46" s="6">
        <v>2</v>
      </c>
      <c r="S46" s="6">
        <v>1</v>
      </c>
      <c r="T46" s="6">
        <v>1000</v>
      </c>
      <c r="U46" s="6">
        <v>1000</v>
      </c>
      <c r="V46" s="6">
        <v>115.922</v>
      </c>
      <c r="X46" s="6" t="str">
        <f>_xlfn.XLOOKUP(Runge3[[#This Row],[Metodo]],TbSolver[Metodo],TbSolver[Solver])</f>
        <v>RungeKutta</v>
      </c>
      <c r="Y46" s="6" t="str">
        <f>_xlfn.XLOOKUP(Runge3[[#This Row],[Hebras]],TbTecnologia[Hebras],TbTecnologia[Tecnología])</f>
        <v>CUDA</v>
      </c>
      <c r="Z46" s="2" t="str" cm="1">
        <f t="array" ref="Z46">_xlfn.XLOOKUP(Runge3[[#This Row],[Tecnología]]&amp;Runge3[[#This Row],[Metodo]],TbTipos[Tecnología]&amp;TbTipos[Metodo],TbTipos[Tipo])</f>
        <v>CUDA sin graph</v>
      </c>
      <c r="AA46" s="2" t="str" cm="1">
        <f t="array" ref="AA46">_xlfn.XLOOKUP(Runge3[[#This Row],[Tecnología]]&amp;Runge3[[#This Row],[Problema]],TbNombres[Tecnología]&amp;TbNombres[Problema],TbNombres[Nombre])</f>
        <v>Brusselator1d</v>
      </c>
      <c r="AB46" s="2">
        <v>1</v>
      </c>
      <c r="AC46" s="2">
        <v>7</v>
      </c>
      <c r="AD46" s="2">
        <v>256</v>
      </c>
      <c r="AE46" s="2">
        <v>1000</v>
      </c>
      <c r="AF46" s="2">
        <v>2000</v>
      </c>
      <c r="AG46" s="2">
        <v>16.9695</v>
      </c>
      <c r="AI46" s="6" t="str">
        <f>_xlfn.XLOOKUP(Runge4[[#This Row],[Metodo]],TbSolver[Metodo],TbSolver[Solver])</f>
        <v>RungeKutta</v>
      </c>
      <c r="AJ46" s="6" t="str">
        <f>_xlfn.XLOOKUP(Runge4[[#This Row],[Hebras]],TbTecnologia[Hebras],TbTecnologia[Tecnología])</f>
        <v>CUDA</v>
      </c>
      <c r="AK46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46" s="2" t="str" cm="1">
        <f t="array" ref="AL46">_xlfn.XLOOKUP(Runge4[[#This Row],[Tecnología]]&amp;Runge4[[#This Row],[Problema]],TbNombres[Tecnología]&amp;TbNombres[Problema],TbNombres[Nombre])</f>
        <v>Brusselator2d</v>
      </c>
      <c r="AM46" s="2">
        <v>2</v>
      </c>
      <c r="AN46" s="2">
        <v>9</v>
      </c>
      <c r="AO46" s="2">
        <v>256</v>
      </c>
      <c r="AP46" s="2">
        <v>500</v>
      </c>
      <c r="AQ46" s="2">
        <v>500000</v>
      </c>
      <c r="AR46" s="2">
        <v>325.197</v>
      </c>
    </row>
    <row r="47" spans="2:44" x14ac:dyDescent="0.2">
      <c r="B47" s="1" t="str">
        <f>_xlfn.XLOOKUP(Runge1[[#This Row],[Metodo]],TbSolver[Metodo],TbSolver[Solver])</f>
        <v>RungeKutta</v>
      </c>
      <c r="C47" s="1" t="str">
        <f>_xlfn.XLOOKUP(Runge1[[#This Row],[Hebras]],TbTecnologia[Hebras],TbTecnologia[Tecnología])</f>
        <v>CUDA</v>
      </c>
      <c r="D47" s="5" t="str" cm="1">
        <f t="array" ref="D47">_xlfn.XLOOKUP(Runge1[[#This Row],[Tecnología]]&amp;Runge1[[#This Row],[Metodo]],TbTipos[Tecnología]&amp;TbTipos[Metodo],TbTipos[Tipo])</f>
        <v>CUDA con graph</v>
      </c>
      <c r="E47" s="1" t="str" cm="1">
        <f t="array" ref="E47">_xlfn.XLOOKUP(Runge1[[#This Row],[Tecnología]]&amp;Runge1[[#This Row],[Problema]],TbNombres[Tecnología]&amp;TbNombres[Problema],TbNombres[Nombre])</f>
        <v>Simple Advdiff</v>
      </c>
      <c r="F47" s="1">
        <v>2</v>
      </c>
      <c r="G47" s="1">
        <v>1</v>
      </c>
      <c r="H47" s="1">
        <v>256</v>
      </c>
      <c r="I47" s="1">
        <v>2000</v>
      </c>
      <c r="J47" s="1">
        <v>2000</v>
      </c>
      <c r="K47" s="1">
        <v>12.811299999999999</v>
      </c>
      <c r="M47" s="6" t="str">
        <f>_xlfn.XLOOKUP(Runge2[[#This Row],[Metodo]],TbSolver[Metodo],TbSolver[Solver])</f>
        <v>RungeKutta</v>
      </c>
      <c r="N47" s="6" t="str">
        <f>_xlfn.XLOOKUP(Runge2[[#This Row],[Hebras]],TbTecnologia[Hebras],TbTecnologia[Tecnología])</f>
        <v>CUDA</v>
      </c>
      <c r="O47" s="2" t="str" cm="1">
        <f t="array" ref="O47">_xlfn.XLOOKUP(Runge2[[#This Row],[Tecnología]]&amp;Runge2[[#This Row],[Metodo]],TbTipos[Tecnología]&amp;TbTipos[Metodo],TbTipos[Tipo])</f>
        <v>CUDA con graph</v>
      </c>
      <c r="P47" s="2" t="str" cm="1">
        <f t="array" ref="P47">_xlfn.XLOOKUP(Runge2[[#This Row],[Tecnología]]&amp;Runge2[[#This Row],[Problema]],TbNombres[Tecnología]&amp;TbNombres[Problema],TbNombres[Nombre])</f>
        <v>Advdiff1d</v>
      </c>
      <c r="Q47" s="2">
        <v>2</v>
      </c>
      <c r="R47" s="2">
        <v>3</v>
      </c>
      <c r="S47" s="2">
        <v>256</v>
      </c>
      <c r="T47" s="2">
        <v>2000</v>
      </c>
      <c r="U47" s="2">
        <v>2000</v>
      </c>
      <c r="V47" s="2">
        <v>28.197199999999999</v>
      </c>
      <c r="X47" s="6" t="str">
        <f>_xlfn.XLOOKUP(Runge3[[#This Row],[Metodo]],TbSolver[Metodo],TbSolver[Solver])</f>
        <v>RungeKutta</v>
      </c>
      <c r="Y47" s="6" t="str">
        <f>_xlfn.XLOOKUP(Runge3[[#This Row],[Hebras]],TbTecnologia[Hebras],TbTecnologia[Tecnología])</f>
        <v>CUDA</v>
      </c>
      <c r="Z47" s="2" t="str" cm="1">
        <f t="array" ref="Z47">_xlfn.XLOOKUP(Runge3[[#This Row],[Tecnología]]&amp;Runge3[[#This Row],[Metodo]],TbTipos[Tecnología]&amp;TbTipos[Metodo],TbTipos[Tipo])</f>
        <v>CUDA sin graph</v>
      </c>
      <c r="AA47" s="2" t="str" cm="1">
        <f t="array" ref="AA47">_xlfn.XLOOKUP(Runge3[[#This Row],[Tecnología]]&amp;Runge3[[#This Row],[Problema]],TbNombres[Tecnología]&amp;TbNombres[Problema],TbNombres[Nombre])</f>
        <v>Brusselator1d</v>
      </c>
      <c r="AB47" s="2">
        <v>1</v>
      </c>
      <c r="AC47" s="2">
        <v>6</v>
      </c>
      <c r="AD47" s="2">
        <v>256</v>
      </c>
      <c r="AE47" s="2">
        <v>1000</v>
      </c>
      <c r="AF47" s="2">
        <v>2000</v>
      </c>
      <c r="AG47" s="2">
        <v>16.985800000000001</v>
      </c>
    </row>
    <row r="48" spans="2:44" x14ac:dyDescent="0.2">
      <c r="B48" s="1" t="str">
        <f>_xlfn.XLOOKUP(Runge1[[#This Row],[Metodo]],TbSolver[Metodo],TbSolver[Solver])</f>
        <v>RungeKutta</v>
      </c>
      <c r="C48" s="1" t="str">
        <f>_xlfn.XLOOKUP(Runge1[[#This Row],[Hebras]],TbTecnologia[Hebras],TbTecnologia[Tecnología])</f>
        <v>CUDA</v>
      </c>
      <c r="D48" s="5" t="str" cm="1">
        <f t="array" ref="D48">_xlfn.XLOOKUP(Runge1[[#This Row],[Tecnología]]&amp;Runge1[[#This Row],[Metodo]],TbTipos[Tecnología]&amp;TbTipos[Metodo],TbTipos[Tipo])</f>
        <v>CUDA con graph</v>
      </c>
      <c r="E48" s="1" t="str" cm="1">
        <f t="array" ref="E48">_xlfn.XLOOKUP(Runge1[[#This Row],[Tecnología]]&amp;Runge1[[#This Row],[Problema]],TbNombres[Tecnología]&amp;TbNombres[Problema],TbNombres[Nombre])</f>
        <v>Simple Advdiff</v>
      </c>
      <c r="F48" s="1">
        <v>2</v>
      </c>
      <c r="G48" s="1">
        <v>2</v>
      </c>
      <c r="H48" s="1">
        <v>256</v>
      </c>
      <c r="I48" s="1">
        <v>2000</v>
      </c>
      <c r="J48" s="1">
        <v>2000</v>
      </c>
      <c r="K48" s="1">
        <v>12.8325</v>
      </c>
      <c r="M48" s="6" t="str">
        <f>_xlfn.XLOOKUP(Runge2[[#This Row],[Metodo]],TbSolver[Metodo],TbSolver[Solver])</f>
        <v>RungeKutta</v>
      </c>
      <c r="N48" s="6" t="str">
        <f>_xlfn.XLOOKUP(Runge2[[#This Row],[Hebras]],TbTecnologia[Hebras],TbTecnologia[Tecnología])</f>
        <v>CUDA</v>
      </c>
      <c r="O48" s="2" t="str" cm="1">
        <f t="array" ref="O48">_xlfn.XLOOKUP(Runge2[[#This Row],[Tecnología]]&amp;Runge2[[#This Row],[Metodo]],TbTipos[Tecnología]&amp;TbTipos[Metodo],TbTipos[Tipo])</f>
        <v>CUDA con graph</v>
      </c>
      <c r="P48" s="2" t="str" cm="1">
        <f t="array" ref="P48">_xlfn.XLOOKUP(Runge2[[#This Row],[Tecnología]]&amp;Runge2[[#This Row],[Problema]],TbNombres[Tecnología]&amp;TbNombres[Problema],TbNombres[Nombre])</f>
        <v>Advdiff1d</v>
      </c>
      <c r="Q48" s="2">
        <v>2</v>
      </c>
      <c r="R48" s="2">
        <v>4</v>
      </c>
      <c r="S48" s="2">
        <v>256</v>
      </c>
      <c r="T48" s="2">
        <v>2000</v>
      </c>
      <c r="U48" s="2">
        <v>2000</v>
      </c>
      <c r="V48" s="2">
        <v>29.2395</v>
      </c>
      <c r="X48" s="6" t="str">
        <f>_xlfn.XLOOKUP(Runge3[[#This Row],[Metodo]],TbSolver[Metodo],TbSolver[Solver])</f>
        <v>RungeKutta</v>
      </c>
      <c r="Y48" s="6" t="str">
        <f>_xlfn.XLOOKUP(Runge3[[#This Row],[Hebras]],TbTecnologia[Hebras],TbTecnologia[Tecnología])</f>
        <v>CUDA</v>
      </c>
      <c r="Z48" s="2" t="str" cm="1">
        <f t="array" ref="Z48">_xlfn.XLOOKUP(Runge3[[#This Row],[Tecnología]]&amp;Runge3[[#This Row],[Metodo]],TbTipos[Tecnología]&amp;TbTipos[Metodo],TbTipos[Tipo])</f>
        <v>CUDA sin graph</v>
      </c>
      <c r="AA48" s="2" t="str" cm="1">
        <f t="array" ref="AA48">_xlfn.XLOOKUP(Runge3[[#This Row],[Tecnología]]&amp;Runge3[[#This Row],[Problema]],TbNombres[Tecnología]&amp;TbNombres[Problema],TbNombres[Nombre])</f>
        <v>Brusselator1d</v>
      </c>
      <c r="AB48" s="2">
        <v>1</v>
      </c>
      <c r="AC48" s="2">
        <v>5</v>
      </c>
      <c r="AD48" s="2">
        <v>256</v>
      </c>
      <c r="AE48" s="2">
        <v>1000</v>
      </c>
      <c r="AF48" s="2">
        <v>2000</v>
      </c>
      <c r="AG48" s="2">
        <v>17.097100000000001</v>
      </c>
    </row>
    <row r="49" spans="2:33" x14ac:dyDescent="0.2">
      <c r="B49" s="1" t="str">
        <f>_xlfn.XLOOKUP(Runge1[[#This Row],[Metodo]],TbSolver[Metodo],TbSolver[Solver])</f>
        <v>RungeKutta</v>
      </c>
      <c r="C49" s="1" t="str">
        <f>_xlfn.XLOOKUP(Runge1[[#This Row],[Hebras]],TbTecnologia[Hebras],TbTecnologia[Tecnología])</f>
        <v>CUDA</v>
      </c>
      <c r="D49" s="5" t="str" cm="1">
        <f t="array" ref="D49">_xlfn.XLOOKUP(Runge1[[#This Row],[Tecnología]]&amp;Runge1[[#This Row],[Metodo]],TbTipos[Tecnología]&amp;TbTipos[Metodo],TbTipos[Tipo])</f>
        <v>CUDA sin graph</v>
      </c>
      <c r="E49" s="1" t="str" cm="1">
        <f t="array" ref="E49">_xlfn.XLOOKUP(Runge1[[#This Row],[Tecnología]]&amp;Runge1[[#This Row],[Problema]],TbNombres[Tecnología]&amp;TbNombres[Problema],TbNombres[Nombre])</f>
        <v>Simple Advdiff</v>
      </c>
      <c r="F49" s="1">
        <v>1</v>
      </c>
      <c r="G49" s="1">
        <v>1</v>
      </c>
      <c r="H49" s="1">
        <v>256</v>
      </c>
      <c r="I49" s="1">
        <v>2000</v>
      </c>
      <c r="J49" s="1">
        <v>2000</v>
      </c>
      <c r="K49" s="1">
        <v>16.205400000000001</v>
      </c>
      <c r="M49" s="6" t="str">
        <f>_xlfn.XLOOKUP(Runge2[[#This Row],[Metodo]],TbSolver[Metodo],TbSolver[Solver])</f>
        <v>RungeKutta</v>
      </c>
      <c r="N49" s="6" t="str">
        <f>_xlfn.XLOOKUP(Runge2[[#This Row],[Hebras]],TbTecnologia[Hebras],TbTecnologia[Tecnología])</f>
        <v>CUDA</v>
      </c>
      <c r="O49" s="2" t="str" cm="1">
        <f t="array" ref="O49">_xlfn.XLOOKUP(Runge2[[#This Row],[Tecnología]]&amp;Runge2[[#This Row],[Metodo]],TbTipos[Tecnología]&amp;TbTipos[Metodo],TbTipos[Tipo])</f>
        <v>CUDA sin graph</v>
      </c>
      <c r="P49" s="2" t="str" cm="1">
        <f t="array" ref="P49">_xlfn.XLOOKUP(Runge2[[#This Row],[Tecnología]]&amp;Runge2[[#This Row],[Problema]],TbNombres[Tecnología]&amp;TbNombres[Problema],TbNombres[Nombre])</f>
        <v>Advdiff1d</v>
      </c>
      <c r="Q49" s="2">
        <v>1</v>
      </c>
      <c r="R49" s="2">
        <v>3</v>
      </c>
      <c r="S49" s="2">
        <v>256</v>
      </c>
      <c r="T49" s="2">
        <v>2000</v>
      </c>
      <c r="U49" s="2">
        <v>2000</v>
      </c>
      <c r="V49" s="2">
        <v>31.2256</v>
      </c>
      <c r="X49" s="6" t="str">
        <f>_xlfn.XLOOKUP(Runge3[[#This Row],[Metodo]],TbSolver[Metodo],TbSolver[Solver])</f>
        <v>RungeKutta</v>
      </c>
      <c r="Y49" s="6" t="str">
        <f>_xlfn.XLOOKUP(Runge3[[#This Row],[Hebras]],TbTecnologia[Hebras],TbTecnologia[Tecnología])</f>
        <v>OMP</v>
      </c>
      <c r="Z49" s="7" t="str" cm="1">
        <f t="array" ref="Z49">_xlfn.XLOOKUP(Runge3[[#This Row],[Tecnología]]&amp;Runge3[[#This Row],[Metodo]],TbTipos[Tecnología]&amp;TbTipos[Metodo],TbTipos[Tipo])</f>
        <v>OMP Elementos</v>
      </c>
      <c r="AA49" s="6" t="str" cm="1">
        <f t="array" ref="AA49">_xlfn.XLOOKUP(Runge3[[#This Row],[Tecnología]]&amp;Runge3[[#This Row],[Problema]],TbNombres[Tecnología]&amp;TbNombres[Problema],TbNombres[Nombre])</f>
        <v>Brusselator1d</v>
      </c>
      <c r="AB49" s="6">
        <v>2</v>
      </c>
      <c r="AC49" s="6">
        <v>3</v>
      </c>
      <c r="AD49" s="6">
        <v>4</v>
      </c>
      <c r="AE49" s="6">
        <v>1000</v>
      </c>
      <c r="AF49" s="6">
        <v>2000</v>
      </c>
      <c r="AG49" s="6">
        <v>17.784600000000001</v>
      </c>
    </row>
    <row r="50" spans="2:33" x14ac:dyDescent="0.2">
      <c r="B50" s="1" t="str">
        <f>_xlfn.XLOOKUP(Runge1[[#This Row],[Metodo]],TbSolver[Metodo],TbSolver[Solver])</f>
        <v>RungeKutta</v>
      </c>
      <c r="C50" s="1" t="str">
        <f>_xlfn.XLOOKUP(Runge1[[#This Row],[Hebras]],TbTecnologia[Hebras],TbTecnologia[Tecnología])</f>
        <v>CUDA</v>
      </c>
      <c r="D50" s="5" t="str" cm="1">
        <f t="array" ref="D50">_xlfn.XLOOKUP(Runge1[[#This Row],[Tecnología]]&amp;Runge1[[#This Row],[Metodo]],TbTipos[Tecnología]&amp;TbTipos[Metodo],TbTipos[Tipo])</f>
        <v>CUDA sin graph</v>
      </c>
      <c r="E50" s="1" t="str" cm="1">
        <f t="array" ref="E50">_xlfn.XLOOKUP(Runge1[[#This Row],[Tecnología]]&amp;Runge1[[#This Row],[Problema]],TbNombres[Tecnología]&amp;TbNombres[Problema],TbNombres[Nombre])</f>
        <v>Simple Advdiff</v>
      </c>
      <c r="F50" s="1">
        <v>1</v>
      </c>
      <c r="G50" s="1">
        <v>2</v>
      </c>
      <c r="H50" s="1">
        <v>256</v>
      </c>
      <c r="I50" s="1">
        <v>2000</v>
      </c>
      <c r="J50" s="1">
        <v>2000</v>
      </c>
      <c r="K50" s="1">
        <v>17.6327</v>
      </c>
      <c r="M50" s="6" t="str">
        <f>_xlfn.XLOOKUP(Runge2[[#This Row],[Metodo]],TbSolver[Metodo],TbSolver[Solver])</f>
        <v>RungeKutta</v>
      </c>
      <c r="N50" s="6" t="str">
        <f>_xlfn.XLOOKUP(Runge2[[#This Row],[Hebras]],TbTecnologia[Hebras],TbTecnologia[Tecnología])</f>
        <v>CUDA</v>
      </c>
      <c r="O50" s="2" t="str" cm="1">
        <f t="array" ref="O50">_xlfn.XLOOKUP(Runge2[[#This Row],[Tecnología]]&amp;Runge2[[#This Row],[Metodo]],TbTipos[Tecnología]&amp;TbTipos[Metodo],TbTipos[Tipo])</f>
        <v>CUDA sin graph</v>
      </c>
      <c r="P50" s="2" t="str" cm="1">
        <f t="array" ref="P50">_xlfn.XLOOKUP(Runge2[[#This Row],[Tecnología]]&amp;Runge2[[#This Row],[Problema]],TbNombres[Tecnología]&amp;TbNombres[Problema],TbNombres[Nombre])</f>
        <v>Advdiff1d</v>
      </c>
      <c r="Q50" s="2">
        <v>1</v>
      </c>
      <c r="R50" s="2">
        <v>4</v>
      </c>
      <c r="S50" s="2">
        <v>256</v>
      </c>
      <c r="T50" s="2">
        <v>2000</v>
      </c>
      <c r="U50" s="2">
        <v>2000</v>
      </c>
      <c r="V50" s="2">
        <v>32.1464</v>
      </c>
      <c r="X50" s="6" t="str">
        <f>_xlfn.XLOOKUP(Runge3[[#This Row],[Metodo]],TbSolver[Metodo],TbSolver[Solver])</f>
        <v>RungeKutta</v>
      </c>
      <c r="Y50" s="6" t="str">
        <f>_xlfn.XLOOKUP(Runge3[[#This Row],[Hebras]],TbTecnologia[Hebras],TbTecnologia[Tecnología])</f>
        <v>OMP</v>
      </c>
      <c r="Z50" s="7" t="str" cm="1">
        <f t="array" ref="Z50">_xlfn.XLOOKUP(Runge3[[#This Row],[Tecnología]]&amp;Runge3[[#This Row],[Metodo]],TbTipos[Tecnología]&amp;TbTipos[Metodo],TbTipos[Tipo])</f>
        <v>OMP Elementos</v>
      </c>
      <c r="AA50" s="6" t="str" cm="1">
        <f t="array" ref="AA50">_xlfn.XLOOKUP(Runge3[[#This Row],[Tecnología]]&amp;Runge3[[#This Row],[Problema]],TbNombres[Tecnología]&amp;TbNombres[Problema],TbNombres[Nombre])</f>
        <v>Brusselator1d</v>
      </c>
      <c r="AB50" s="6">
        <v>2</v>
      </c>
      <c r="AC50" s="6">
        <v>3</v>
      </c>
      <c r="AD50" s="6">
        <v>16</v>
      </c>
      <c r="AE50" s="6">
        <v>1000</v>
      </c>
      <c r="AF50" s="6">
        <v>2000</v>
      </c>
      <c r="AG50" s="6">
        <v>19.337499999999999</v>
      </c>
    </row>
    <row r="51" spans="2:33" x14ac:dyDescent="0.2">
      <c r="B51" s="1" t="str">
        <f>_xlfn.XLOOKUP(Runge1[[#This Row],[Metodo]],TbSolver[Metodo],TbSolver[Solver])</f>
        <v>RungeKutta</v>
      </c>
      <c r="C51" s="1" t="str">
        <f>_xlfn.XLOOKUP(Runge1[[#This Row],[Hebras]],TbTecnologia[Hebras],TbTecnologia[Tecnología])</f>
        <v>CUDA</v>
      </c>
      <c r="D51" s="5" t="str" cm="1">
        <f t="array" ref="D51">_xlfn.XLOOKUP(Runge1[[#This Row],[Tecnología]]&amp;Runge1[[#This Row],[Metodo]],TbTipos[Tecnología]&amp;TbTipos[Metodo],TbTipos[Tipo])</f>
        <v>CUDA con graph</v>
      </c>
      <c r="E51" s="1" t="str" cm="1">
        <f t="array" ref="E51">_xlfn.XLOOKUP(Runge1[[#This Row],[Tecnología]]&amp;Runge1[[#This Row],[Problema]],TbNombres[Tecnología]&amp;TbNombres[Problema],TbNombres[Nombre])</f>
        <v>Simple Advdiff</v>
      </c>
      <c r="F51" s="1">
        <v>2</v>
      </c>
      <c r="G51" s="1">
        <v>2</v>
      </c>
      <c r="H51" s="1">
        <v>256</v>
      </c>
      <c r="I51" s="1">
        <v>5000</v>
      </c>
      <c r="J51" s="1">
        <v>5000</v>
      </c>
      <c r="K51" s="1">
        <v>13.033099999999999</v>
      </c>
      <c r="M51" s="6" t="str">
        <f>_xlfn.XLOOKUP(Runge2[[#This Row],[Metodo]],TbSolver[Metodo],TbSolver[Solver])</f>
        <v>RungeKutta</v>
      </c>
      <c r="N51" s="6" t="str">
        <f>_xlfn.XLOOKUP(Runge2[[#This Row],[Hebras]],TbTecnologia[Hebras],TbTecnologia[Tecnología])</f>
        <v>CUDA</v>
      </c>
      <c r="O51" s="2" t="str" cm="1">
        <f t="array" ref="O51">_xlfn.XLOOKUP(Runge2[[#This Row],[Tecnología]]&amp;Runge2[[#This Row],[Metodo]],TbTipos[Tecnología]&amp;TbTipos[Metodo],TbTipos[Tipo])</f>
        <v>CUDA con graph</v>
      </c>
      <c r="P51" s="2" t="str" cm="1">
        <f t="array" ref="P51">_xlfn.XLOOKUP(Runge2[[#This Row],[Tecnología]]&amp;Runge2[[#This Row],[Problema]],TbNombres[Tecnología]&amp;TbNombres[Problema],TbNombres[Nombre])</f>
        <v>Advdiff1d</v>
      </c>
      <c r="Q51" s="2">
        <v>2</v>
      </c>
      <c r="R51" s="2">
        <v>3</v>
      </c>
      <c r="S51" s="2">
        <v>256</v>
      </c>
      <c r="T51" s="2">
        <v>5000</v>
      </c>
      <c r="U51" s="2">
        <v>5000</v>
      </c>
      <c r="V51" s="2">
        <v>28.538799999999998</v>
      </c>
      <c r="X51" s="6" t="str">
        <f>_xlfn.XLOOKUP(Runge3[[#This Row],[Metodo]],TbSolver[Metodo],TbSolver[Solver])</f>
        <v>RungeKutta</v>
      </c>
      <c r="Y51" s="6" t="str">
        <f>_xlfn.XLOOKUP(Runge3[[#This Row],[Hebras]],TbTecnologia[Hebras],TbTecnologia[Tecnología])</f>
        <v>OMP</v>
      </c>
      <c r="Z51" s="7" t="str" cm="1">
        <f t="array" ref="Z51">_xlfn.XLOOKUP(Runge3[[#This Row],[Tecnología]]&amp;Runge3[[#This Row],[Metodo]],TbTipos[Tecnología]&amp;TbTipos[Metodo],TbTipos[Tipo])</f>
        <v>OMP Operaciones</v>
      </c>
      <c r="AA51" s="6" t="str" cm="1">
        <f t="array" ref="AA51">_xlfn.XLOOKUP(Runge3[[#This Row],[Tecnología]]&amp;Runge3[[#This Row],[Problema]],TbNombres[Tecnología]&amp;TbNombres[Problema],TbNombres[Nombre])</f>
        <v>Brusselator1d</v>
      </c>
      <c r="AB51" s="6">
        <v>1</v>
      </c>
      <c r="AC51" s="6">
        <v>3</v>
      </c>
      <c r="AD51" s="6">
        <v>1</v>
      </c>
      <c r="AE51" s="6">
        <v>1000</v>
      </c>
      <c r="AF51" s="6">
        <v>2000</v>
      </c>
      <c r="AG51" s="6">
        <v>22.602</v>
      </c>
    </row>
    <row r="52" spans="2:33" x14ac:dyDescent="0.2">
      <c r="B52" s="1" t="str">
        <f>_xlfn.XLOOKUP(Runge1[[#This Row],[Metodo]],TbSolver[Metodo],TbSolver[Solver])</f>
        <v>RungeKutta</v>
      </c>
      <c r="C52" s="1" t="str">
        <f>_xlfn.XLOOKUP(Runge1[[#This Row],[Hebras]],TbTecnologia[Hebras],TbTecnologia[Tecnología])</f>
        <v>CUDA</v>
      </c>
      <c r="D52" s="5" t="str" cm="1">
        <f t="array" ref="D52">_xlfn.XLOOKUP(Runge1[[#This Row],[Tecnología]]&amp;Runge1[[#This Row],[Metodo]],TbTipos[Tecnología]&amp;TbTipos[Metodo],TbTipos[Tipo])</f>
        <v>CUDA con graph</v>
      </c>
      <c r="E52" s="1" t="str" cm="1">
        <f t="array" ref="E52">_xlfn.XLOOKUP(Runge1[[#This Row],[Tecnología]]&amp;Runge1[[#This Row],[Problema]],TbNombres[Tecnología]&amp;TbNombres[Problema],TbNombres[Nombre])</f>
        <v>Simple Advdiff</v>
      </c>
      <c r="F52" s="1">
        <v>2</v>
      </c>
      <c r="G52" s="1">
        <v>1</v>
      </c>
      <c r="H52" s="1">
        <v>256</v>
      </c>
      <c r="I52" s="1">
        <v>5000</v>
      </c>
      <c r="J52" s="1">
        <v>5000</v>
      </c>
      <c r="K52" s="1">
        <v>13.042</v>
      </c>
      <c r="M52" s="6" t="str">
        <f>_xlfn.XLOOKUP(Runge2[[#This Row],[Metodo]],TbSolver[Metodo],TbSolver[Solver])</f>
        <v>RungeKutta</v>
      </c>
      <c r="N52" s="6" t="str">
        <f>_xlfn.XLOOKUP(Runge2[[#This Row],[Hebras]],TbTecnologia[Hebras],TbTecnologia[Tecnología])</f>
        <v>CUDA</v>
      </c>
      <c r="O52" s="2" t="str" cm="1">
        <f t="array" ref="O52">_xlfn.XLOOKUP(Runge2[[#This Row],[Tecnología]]&amp;Runge2[[#This Row],[Metodo]],TbTipos[Tecnología]&amp;TbTipos[Metodo],TbTipos[Tipo])</f>
        <v>CUDA con graph</v>
      </c>
      <c r="P52" s="2" t="str" cm="1">
        <f t="array" ref="P52">_xlfn.XLOOKUP(Runge2[[#This Row],[Tecnología]]&amp;Runge2[[#This Row],[Problema]],TbNombres[Tecnología]&amp;TbNombres[Problema],TbNombres[Nombre])</f>
        <v>Advdiff1d</v>
      </c>
      <c r="Q52" s="2">
        <v>2</v>
      </c>
      <c r="R52" s="2">
        <v>4</v>
      </c>
      <c r="S52" s="2">
        <v>256</v>
      </c>
      <c r="T52" s="2">
        <v>5000</v>
      </c>
      <c r="U52" s="2">
        <v>5000</v>
      </c>
      <c r="V52" s="2">
        <v>29.455300000000001</v>
      </c>
      <c r="X52" s="6" t="str">
        <f>_xlfn.XLOOKUP(Runge3[[#This Row],[Metodo]],TbSolver[Metodo],TbSolver[Solver])</f>
        <v>RungeKutta</v>
      </c>
      <c r="Y52" s="6" t="str">
        <f>_xlfn.XLOOKUP(Runge3[[#This Row],[Hebras]],TbTecnologia[Hebras],TbTecnologia[Tecnología])</f>
        <v>OMP</v>
      </c>
      <c r="Z52" s="7" t="str" cm="1">
        <f t="array" ref="Z52">_xlfn.XLOOKUP(Runge3[[#This Row],[Tecnología]]&amp;Runge3[[#This Row],[Metodo]],TbTipos[Tecnología]&amp;TbTipos[Metodo],TbTipos[Tipo])</f>
        <v>OMP Operaciones</v>
      </c>
      <c r="AA52" s="6" t="str" cm="1">
        <f t="array" ref="AA52">_xlfn.XLOOKUP(Runge3[[#This Row],[Tecnología]]&amp;Runge3[[#This Row],[Problema]],TbNombres[Tecnología]&amp;TbNombres[Problema],TbNombres[Nombre])</f>
        <v>Brusselator1d</v>
      </c>
      <c r="AB52" s="6">
        <v>1</v>
      </c>
      <c r="AC52" s="6">
        <v>3</v>
      </c>
      <c r="AD52" s="6">
        <v>4</v>
      </c>
      <c r="AE52" s="6">
        <v>1000</v>
      </c>
      <c r="AF52" s="6">
        <v>2000</v>
      </c>
      <c r="AG52" s="6">
        <v>39.355499999999999</v>
      </c>
    </row>
    <row r="53" spans="2:33" x14ac:dyDescent="0.2">
      <c r="B53" s="1" t="str">
        <f>_xlfn.XLOOKUP(Runge1[[#This Row],[Metodo]],TbSolver[Metodo],TbSolver[Solver])</f>
        <v>RungeKutta</v>
      </c>
      <c r="C53" s="1" t="str">
        <f>_xlfn.XLOOKUP(Runge1[[#This Row],[Hebras]],TbTecnologia[Hebras],TbTecnologia[Tecnología])</f>
        <v>CUDA</v>
      </c>
      <c r="D53" s="5" t="str" cm="1">
        <f t="array" ref="D53">_xlfn.XLOOKUP(Runge1[[#This Row],[Tecnología]]&amp;Runge1[[#This Row],[Metodo]],TbTipos[Tecnología]&amp;TbTipos[Metodo],TbTipos[Tipo])</f>
        <v>CUDA sin graph</v>
      </c>
      <c r="E53" s="1" t="str" cm="1">
        <f t="array" ref="E53">_xlfn.XLOOKUP(Runge1[[#This Row],[Tecnología]]&amp;Runge1[[#This Row],[Problema]],TbNombres[Tecnología]&amp;TbNombres[Problema],TbNombres[Nombre])</f>
        <v>Simple Advdiff</v>
      </c>
      <c r="F53" s="1">
        <v>1</v>
      </c>
      <c r="G53" s="1">
        <v>1</v>
      </c>
      <c r="H53" s="1">
        <v>256</v>
      </c>
      <c r="I53" s="1">
        <v>5000</v>
      </c>
      <c r="J53" s="1">
        <v>5000</v>
      </c>
      <c r="K53" s="1">
        <v>16.254300000000001</v>
      </c>
      <c r="M53" s="6" t="str">
        <f>_xlfn.XLOOKUP(Runge2[[#This Row],[Metodo]],TbSolver[Metodo],TbSolver[Solver])</f>
        <v>RungeKutta</v>
      </c>
      <c r="N53" s="6" t="str">
        <f>_xlfn.XLOOKUP(Runge2[[#This Row],[Hebras]],TbTecnologia[Hebras],TbTecnologia[Tecnología])</f>
        <v>CUDA</v>
      </c>
      <c r="O53" s="2" t="str" cm="1">
        <f t="array" ref="O53">_xlfn.XLOOKUP(Runge2[[#This Row],[Tecnología]]&amp;Runge2[[#This Row],[Metodo]],TbTipos[Tecnología]&amp;TbTipos[Metodo],TbTipos[Tipo])</f>
        <v>CUDA sin graph</v>
      </c>
      <c r="P53" s="2" t="str" cm="1">
        <f t="array" ref="P53">_xlfn.XLOOKUP(Runge2[[#This Row],[Tecnología]]&amp;Runge2[[#This Row],[Problema]],TbNombres[Tecnología]&amp;TbNombres[Problema],TbNombres[Nombre])</f>
        <v>Advdiff1d</v>
      </c>
      <c r="Q53" s="2">
        <v>1</v>
      </c>
      <c r="R53" s="2">
        <v>3</v>
      </c>
      <c r="S53" s="2">
        <v>256</v>
      </c>
      <c r="T53" s="2">
        <v>5000</v>
      </c>
      <c r="U53" s="2">
        <v>5000</v>
      </c>
      <c r="V53" s="2">
        <v>31.218399999999999</v>
      </c>
      <c r="X53" s="6" t="str">
        <f>_xlfn.XLOOKUP(Runge3[[#This Row],[Metodo]],TbSolver[Metodo],TbSolver[Solver])</f>
        <v>RungeKutta</v>
      </c>
      <c r="Y53" s="6" t="str">
        <f>_xlfn.XLOOKUP(Runge3[[#This Row],[Hebras]],TbTecnologia[Hebras],TbTecnologia[Tecnología])</f>
        <v>OMP</v>
      </c>
      <c r="Z53" s="7" t="str" cm="1">
        <f t="array" ref="Z53">_xlfn.XLOOKUP(Runge3[[#This Row],[Tecnología]]&amp;Runge3[[#This Row],[Metodo]],TbTipos[Tecnología]&amp;TbTipos[Metodo],TbTipos[Tipo])</f>
        <v>OMP Elementos</v>
      </c>
      <c r="AA53" s="6" t="str" cm="1">
        <f t="array" ref="AA53">_xlfn.XLOOKUP(Runge3[[#This Row],[Tecnología]]&amp;Runge3[[#This Row],[Problema]],TbNombres[Tecnología]&amp;TbNombres[Problema],TbNombres[Nombre])</f>
        <v>Brusselator1d</v>
      </c>
      <c r="AB53" s="6">
        <v>2</v>
      </c>
      <c r="AC53" s="6">
        <v>3</v>
      </c>
      <c r="AD53" s="6">
        <v>1</v>
      </c>
      <c r="AE53" s="6">
        <v>1000</v>
      </c>
      <c r="AF53" s="6">
        <v>2000</v>
      </c>
      <c r="AG53" s="6">
        <v>47.749899999999997</v>
      </c>
    </row>
    <row r="54" spans="2:33" x14ac:dyDescent="0.2">
      <c r="B54" s="1" t="str">
        <f>_xlfn.XLOOKUP(Runge1[[#This Row],[Metodo]],TbSolver[Metodo],TbSolver[Solver])</f>
        <v>RungeKutta</v>
      </c>
      <c r="C54" s="1" t="str">
        <f>_xlfn.XLOOKUP(Runge1[[#This Row],[Hebras]],TbTecnologia[Hebras],TbTecnologia[Tecnología])</f>
        <v>CUDA</v>
      </c>
      <c r="D54" s="5" t="str" cm="1">
        <f t="array" ref="D54">_xlfn.XLOOKUP(Runge1[[#This Row],[Tecnología]]&amp;Runge1[[#This Row],[Metodo]],TbTipos[Tecnología]&amp;TbTipos[Metodo],TbTipos[Tipo])</f>
        <v>CUDA sin graph</v>
      </c>
      <c r="E54" s="1" t="str" cm="1">
        <f t="array" ref="E54">_xlfn.XLOOKUP(Runge1[[#This Row],[Tecnología]]&amp;Runge1[[#This Row],[Problema]],TbNombres[Tecnología]&amp;TbNombres[Problema],TbNombres[Nombre])</f>
        <v>Simple Advdiff</v>
      </c>
      <c r="F54" s="1">
        <v>1</v>
      </c>
      <c r="G54" s="1">
        <v>2</v>
      </c>
      <c r="H54" s="1">
        <v>256</v>
      </c>
      <c r="I54" s="1">
        <v>5000</v>
      </c>
      <c r="J54" s="1">
        <v>5000</v>
      </c>
      <c r="K54" s="1">
        <v>16.41</v>
      </c>
      <c r="M54" s="6" t="str">
        <f>_xlfn.XLOOKUP(Runge2[[#This Row],[Metodo]],TbSolver[Metodo],TbSolver[Solver])</f>
        <v>RungeKutta</v>
      </c>
      <c r="N54" s="6" t="str">
        <f>_xlfn.XLOOKUP(Runge2[[#This Row],[Hebras]],TbTecnologia[Hebras],TbTecnologia[Tecnología])</f>
        <v>CUDA</v>
      </c>
      <c r="O54" s="2" t="str" cm="1">
        <f t="array" ref="O54">_xlfn.XLOOKUP(Runge2[[#This Row],[Tecnología]]&amp;Runge2[[#This Row],[Metodo]],TbTipos[Tecnología]&amp;TbTipos[Metodo],TbTipos[Tipo])</f>
        <v>CUDA sin graph</v>
      </c>
      <c r="P54" s="2" t="str" cm="1">
        <f t="array" ref="P54">_xlfn.XLOOKUP(Runge2[[#This Row],[Tecnología]]&amp;Runge2[[#This Row],[Problema]],TbNombres[Tecnología]&amp;TbNombres[Problema],TbNombres[Nombre])</f>
        <v>Advdiff1d</v>
      </c>
      <c r="Q54" s="2">
        <v>1</v>
      </c>
      <c r="R54" s="2">
        <v>4</v>
      </c>
      <c r="S54" s="2">
        <v>256</v>
      </c>
      <c r="T54" s="2">
        <v>5000</v>
      </c>
      <c r="U54" s="2">
        <v>5000</v>
      </c>
      <c r="V54" s="2">
        <v>32.3249</v>
      </c>
      <c r="X54" s="6" t="str">
        <f>_xlfn.XLOOKUP(Runge3[[#This Row],[Metodo]],TbSolver[Metodo],TbSolver[Solver])</f>
        <v>RungeKutta</v>
      </c>
      <c r="Y54" s="6" t="str">
        <f>_xlfn.XLOOKUP(Runge3[[#This Row],[Hebras]],TbTecnologia[Hebras],TbTecnologia[Tecnología])</f>
        <v>OMP</v>
      </c>
      <c r="Z54" s="7" t="str" cm="1">
        <f t="array" ref="Z54">_xlfn.XLOOKUP(Runge3[[#This Row],[Tecnología]]&amp;Runge3[[#This Row],[Metodo]],TbTipos[Tecnología]&amp;TbTipos[Metodo],TbTipos[Tipo])</f>
        <v>OMP Operaciones</v>
      </c>
      <c r="AA54" s="6" t="str" cm="1">
        <f t="array" ref="AA54">_xlfn.XLOOKUP(Runge3[[#This Row],[Tecnología]]&amp;Runge3[[#This Row],[Problema]],TbNombres[Tecnología]&amp;TbNombres[Problema],TbNombres[Nombre])</f>
        <v>Brusselator1d</v>
      </c>
      <c r="AB54" s="6">
        <v>1</v>
      </c>
      <c r="AC54" s="6">
        <v>3</v>
      </c>
      <c r="AD54" s="6">
        <v>16</v>
      </c>
      <c r="AE54" s="6">
        <v>1000</v>
      </c>
      <c r="AF54" s="6">
        <v>2000</v>
      </c>
      <c r="AG54" s="6">
        <v>96.912199999999999</v>
      </c>
    </row>
    <row r="55" spans="2:33" x14ac:dyDescent="0.2">
      <c r="B55" s="1" t="str">
        <f>_xlfn.XLOOKUP(Runge1[[#This Row],[Metodo]],TbSolver[Metodo],TbSolver[Solver])</f>
        <v>RungeKutta</v>
      </c>
      <c r="C55" s="1" t="str">
        <f>_xlfn.XLOOKUP(Runge1[[#This Row],[Hebras]],TbTecnologia[Hebras],TbTecnologia[Tecnología])</f>
        <v>CUDA</v>
      </c>
      <c r="D55" s="5" t="str" cm="1">
        <f t="array" ref="D55">_xlfn.XLOOKUP(Runge1[[#This Row],[Tecnología]]&amp;Runge1[[#This Row],[Metodo]],TbTipos[Tecnología]&amp;TbTipos[Metodo],TbTipos[Tipo])</f>
        <v>CUDA sin graph</v>
      </c>
      <c r="E55" s="1" t="str" cm="1">
        <f t="array" ref="E55">_xlfn.XLOOKUP(Runge1[[#This Row],[Tecnología]]&amp;Runge1[[#This Row],[Problema]],TbNombres[Tecnología]&amp;TbNombres[Problema],TbNombres[Nombre])</f>
        <v>Simple Advdiff</v>
      </c>
      <c r="F55" s="1">
        <v>1</v>
      </c>
      <c r="G55" s="1">
        <v>1</v>
      </c>
      <c r="H55" s="1">
        <v>256</v>
      </c>
      <c r="I55" s="1">
        <v>10000</v>
      </c>
      <c r="J55" s="1">
        <v>10000</v>
      </c>
      <c r="K55" s="1">
        <v>19.186399999999999</v>
      </c>
      <c r="M55" s="6" t="str">
        <f>_xlfn.XLOOKUP(Runge2[[#This Row],[Metodo]],TbSolver[Metodo],TbSolver[Solver])</f>
        <v>RungeKutta</v>
      </c>
      <c r="N55" s="6" t="str">
        <f>_xlfn.XLOOKUP(Runge2[[#This Row],[Hebras]],TbTecnologia[Hebras],TbTecnologia[Tecnología])</f>
        <v>CUDA</v>
      </c>
      <c r="O55" s="2" t="str" cm="1">
        <f t="array" ref="O55">_xlfn.XLOOKUP(Runge2[[#This Row],[Tecnología]]&amp;Runge2[[#This Row],[Metodo]],TbTipos[Tecnología]&amp;TbTipos[Metodo],TbTipos[Tipo])</f>
        <v>CUDA sin graph</v>
      </c>
      <c r="P55" s="2" t="str" cm="1">
        <f t="array" ref="P55">_xlfn.XLOOKUP(Runge2[[#This Row],[Tecnología]]&amp;Runge2[[#This Row],[Problema]],TbNombres[Tecnología]&amp;TbNombres[Problema],TbNombres[Nombre])</f>
        <v>Advdiff1d</v>
      </c>
      <c r="Q55" s="2">
        <v>1</v>
      </c>
      <c r="R55" s="2">
        <v>3</v>
      </c>
      <c r="S55" s="2">
        <v>256</v>
      </c>
      <c r="T55" s="2">
        <v>10000</v>
      </c>
      <c r="U55" s="2">
        <v>10000</v>
      </c>
      <c r="V55" s="2">
        <v>31.145700000000001</v>
      </c>
      <c r="X55" s="6" t="str">
        <f>_xlfn.XLOOKUP(Runge3[[#This Row],[Metodo]],TbSolver[Metodo],TbSolver[Solver])</f>
        <v>RungeKutta</v>
      </c>
      <c r="Y55" s="6" t="str">
        <f>_xlfn.XLOOKUP(Runge3[[#This Row],[Hebras]],TbTecnologia[Hebras],TbTecnologia[Tecnología])</f>
        <v>CUDA</v>
      </c>
      <c r="Z55" s="2" t="str" cm="1">
        <f t="array" ref="Z55">_xlfn.XLOOKUP(Runge3[[#This Row],[Tecnología]]&amp;Runge3[[#This Row],[Metodo]],TbTipos[Tecnología]&amp;TbTipos[Metodo],TbTipos[Tipo])</f>
        <v>CUDA con graph</v>
      </c>
      <c r="AA55" s="2" t="str" cm="1">
        <f t="array" ref="AA55">_xlfn.XLOOKUP(Runge3[[#This Row],[Tecnología]]&amp;Runge3[[#This Row],[Problema]],TbNombres[Tecnología]&amp;TbNombres[Problema],TbNombres[Nombre])</f>
        <v>Brusselator1d</v>
      </c>
      <c r="AB55" s="2">
        <v>2</v>
      </c>
      <c r="AC55" s="2">
        <v>5</v>
      </c>
      <c r="AD55" s="2">
        <v>256</v>
      </c>
      <c r="AE55" s="2">
        <v>2000</v>
      </c>
      <c r="AF55" s="2">
        <v>4000</v>
      </c>
      <c r="AG55" s="2">
        <v>13.908799999999999</v>
      </c>
    </row>
    <row r="56" spans="2:33" x14ac:dyDescent="0.2">
      <c r="B56" s="1" t="str">
        <f>_xlfn.XLOOKUP(Runge1[[#This Row],[Metodo]],TbSolver[Metodo],TbSolver[Solver])</f>
        <v>RungeKutta</v>
      </c>
      <c r="C56" s="1" t="str">
        <f>_xlfn.XLOOKUP(Runge1[[#This Row],[Hebras]],TbTecnologia[Hebras],TbTecnologia[Tecnología])</f>
        <v>CUDA</v>
      </c>
      <c r="D56" s="5" t="str" cm="1">
        <f t="array" ref="D56">_xlfn.XLOOKUP(Runge1[[#This Row],[Tecnología]]&amp;Runge1[[#This Row],[Metodo]],TbTipos[Tecnología]&amp;TbTipos[Metodo],TbTipos[Tipo])</f>
        <v>CUDA sin graph</v>
      </c>
      <c r="E56" s="1" t="str" cm="1">
        <f t="array" ref="E56">_xlfn.XLOOKUP(Runge1[[#This Row],[Tecnología]]&amp;Runge1[[#This Row],[Problema]],TbNombres[Tecnología]&amp;TbNombres[Problema],TbNombres[Nombre])</f>
        <v>Simple Advdiff</v>
      </c>
      <c r="F56" s="1">
        <v>1</v>
      </c>
      <c r="G56" s="1">
        <v>1</v>
      </c>
      <c r="H56" s="1">
        <v>256</v>
      </c>
      <c r="I56" s="1">
        <v>20000</v>
      </c>
      <c r="J56" s="1">
        <v>20000</v>
      </c>
      <c r="K56" s="1">
        <v>20.569500000000001</v>
      </c>
      <c r="M56" s="6" t="str">
        <f>_xlfn.XLOOKUP(Runge2[[#This Row],[Metodo]],TbSolver[Metodo],TbSolver[Solver])</f>
        <v>RungeKutta</v>
      </c>
      <c r="N56" s="6" t="str">
        <f>_xlfn.XLOOKUP(Runge2[[#This Row],[Hebras]],TbTecnologia[Hebras],TbTecnologia[Tecnología])</f>
        <v>CUDA</v>
      </c>
      <c r="O56" s="2" t="str" cm="1">
        <f t="array" ref="O56">_xlfn.XLOOKUP(Runge2[[#This Row],[Tecnología]]&amp;Runge2[[#This Row],[Metodo]],TbTipos[Tecnología]&amp;TbTipos[Metodo],TbTipos[Tipo])</f>
        <v>CUDA sin graph</v>
      </c>
      <c r="P56" s="2" t="str" cm="1">
        <f t="array" ref="P56">_xlfn.XLOOKUP(Runge2[[#This Row],[Tecnología]]&amp;Runge2[[#This Row],[Problema]],TbNombres[Tecnología]&amp;TbNombres[Problema],TbNombres[Nombre])</f>
        <v>Advdiff1d</v>
      </c>
      <c r="Q56" s="2">
        <v>1</v>
      </c>
      <c r="R56" s="2">
        <v>3</v>
      </c>
      <c r="S56" s="2">
        <v>256</v>
      </c>
      <c r="T56" s="2">
        <v>20000</v>
      </c>
      <c r="U56" s="2">
        <v>20000</v>
      </c>
      <c r="V56" s="2">
        <v>51.704099999999997</v>
      </c>
      <c r="X56" s="6" t="str">
        <f>_xlfn.XLOOKUP(Runge3[[#This Row],[Metodo]],TbSolver[Metodo],TbSolver[Solver])</f>
        <v>RungeKutta</v>
      </c>
      <c r="Y56" s="6" t="str">
        <f>_xlfn.XLOOKUP(Runge3[[#This Row],[Hebras]],TbTecnologia[Hebras],TbTecnologia[Tecnología])</f>
        <v>CUDA</v>
      </c>
      <c r="Z56" s="2" t="str" cm="1">
        <f t="array" ref="Z56">_xlfn.XLOOKUP(Runge3[[#This Row],[Tecnología]]&amp;Runge3[[#This Row],[Metodo]],TbTipos[Tecnología]&amp;TbTipos[Metodo],TbTipos[Tipo])</f>
        <v>CUDA con graph</v>
      </c>
      <c r="AA56" s="2" t="str" cm="1">
        <f t="array" ref="AA56">_xlfn.XLOOKUP(Runge3[[#This Row],[Tecnología]]&amp;Runge3[[#This Row],[Problema]],TbNombres[Tecnología]&amp;TbNombres[Problema],TbNombres[Nombre])</f>
        <v>Brusselator1d</v>
      </c>
      <c r="AB56" s="2">
        <v>2</v>
      </c>
      <c r="AC56" s="2">
        <v>7</v>
      </c>
      <c r="AD56" s="2">
        <v>256</v>
      </c>
      <c r="AE56" s="2">
        <v>2000</v>
      </c>
      <c r="AF56" s="2">
        <v>4000</v>
      </c>
      <c r="AG56" s="2">
        <v>13.9933</v>
      </c>
    </row>
    <row r="57" spans="2:33" x14ac:dyDescent="0.2">
      <c r="B57" s="1" t="str">
        <f>_xlfn.XLOOKUP(Runge1[[#This Row],[Metodo]],TbSolver[Metodo],TbSolver[Solver])</f>
        <v>RungeKutta</v>
      </c>
      <c r="C57" s="1" t="str">
        <f>_xlfn.XLOOKUP(Runge1[[#This Row],[Hebras]],TbTecnologia[Hebras],TbTecnologia[Tecnología])</f>
        <v>CUDA</v>
      </c>
      <c r="D57" s="5" t="str" cm="1">
        <f t="array" ref="D57">_xlfn.XLOOKUP(Runge1[[#This Row],[Tecnología]]&amp;Runge1[[#This Row],[Metodo]],TbTipos[Tecnología]&amp;TbTipos[Metodo],TbTipos[Tipo])</f>
        <v>CUDA sin graph</v>
      </c>
      <c r="E57" s="1" t="str" cm="1">
        <f t="array" ref="E57">_xlfn.XLOOKUP(Runge1[[#This Row],[Tecnología]]&amp;Runge1[[#This Row],[Problema]],TbNombres[Tecnología]&amp;TbNombres[Problema],TbNombres[Nombre])</f>
        <v>Simple Advdiff</v>
      </c>
      <c r="F57" s="1">
        <v>1</v>
      </c>
      <c r="G57" s="1">
        <v>1</v>
      </c>
      <c r="H57" s="1">
        <v>256</v>
      </c>
      <c r="I57" s="1">
        <v>50000</v>
      </c>
      <c r="J57" s="1">
        <v>50000</v>
      </c>
      <c r="K57" s="1">
        <v>25.6021</v>
      </c>
      <c r="M57" s="6" t="str">
        <f>_xlfn.XLOOKUP(Runge2[[#This Row],[Metodo]],TbSolver[Metodo],TbSolver[Solver])</f>
        <v>RungeKutta</v>
      </c>
      <c r="N57" s="6" t="str">
        <f>_xlfn.XLOOKUP(Runge2[[#This Row],[Hebras]],TbTecnologia[Hebras],TbTecnologia[Tecnología])</f>
        <v>CUDA</v>
      </c>
      <c r="O57" s="2" t="str" cm="1">
        <f t="array" ref="O57">_xlfn.XLOOKUP(Runge2[[#This Row],[Tecnología]]&amp;Runge2[[#This Row],[Metodo]],TbTipos[Tecnología]&amp;TbTipos[Metodo],TbTipos[Tipo])</f>
        <v>CUDA sin graph</v>
      </c>
      <c r="P57" s="2" t="str" cm="1">
        <f t="array" ref="P57">_xlfn.XLOOKUP(Runge2[[#This Row],[Tecnología]]&amp;Runge2[[#This Row],[Problema]],TbNombres[Tecnología]&amp;TbNombres[Problema],TbNombres[Nombre])</f>
        <v>Advdiff1d</v>
      </c>
      <c r="Q57" s="2">
        <v>1</v>
      </c>
      <c r="R57" s="2">
        <v>3</v>
      </c>
      <c r="S57" s="2">
        <v>256</v>
      </c>
      <c r="T57" s="2">
        <v>50000</v>
      </c>
      <c r="U57" s="2">
        <v>50000</v>
      </c>
      <c r="V57" s="2">
        <v>73.457300000000004</v>
      </c>
      <c r="X57" s="6" t="str">
        <f>_xlfn.XLOOKUP(Runge3[[#This Row],[Metodo]],TbSolver[Metodo],TbSolver[Solver])</f>
        <v>RungeKutta</v>
      </c>
      <c r="Y57" s="6" t="str">
        <f>_xlfn.XLOOKUP(Runge3[[#This Row],[Hebras]],TbTecnologia[Hebras],TbTecnologia[Tecnología])</f>
        <v>CUDA</v>
      </c>
      <c r="Z57" s="2" t="str" cm="1">
        <f t="array" ref="Z57">_xlfn.XLOOKUP(Runge3[[#This Row],[Tecnología]]&amp;Runge3[[#This Row],[Metodo]],TbTipos[Tecnología]&amp;TbTipos[Metodo],TbTipos[Tipo])</f>
        <v>CUDA con graph</v>
      </c>
      <c r="AA57" s="2" t="str" cm="1">
        <f t="array" ref="AA57">_xlfn.XLOOKUP(Runge3[[#This Row],[Tecnología]]&amp;Runge3[[#This Row],[Problema]],TbNombres[Tecnología]&amp;TbNombres[Problema],TbNombres[Nombre])</f>
        <v>Brusselator1d</v>
      </c>
      <c r="AB57" s="2">
        <v>2</v>
      </c>
      <c r="AC57" s="2">
        <v>6</v>
      </c>
      <c r="AD57" s="2">
        <v>256</v>
      </c>
      <c r="AE57" s="2">
        <v>2000</v>
      </c>
      <c r="AF57" s="2">
        <v>4000</v>
      </c>
      <c r="AG57" s="2">
        <v>14.0442</v>
      </c>
    </row>
    <row r="58" spans="2:33" x14ac:dyDescent="0.2">
      <c r="B58" s="1" t="str">
        <f>_xlfn.XLOOKUP(Runge1[[#This Row],[Metodo]],TbSolver[Metodo],TbSolver[Solver])</f>
        <v>RungeKutta</v>
      </c>
      <c r="C58" s="1" t="str">
        <f>_xlfn.XLOOKUP(Runge1[[#This Row],[Hebras]],TbTecnologia[Hebras],TbTecnologia[Tecnología])</f>
        <v>CUDA</v>
      </c>
      <c r="D58" s="5" t="str" cm="1">
        <f t="array" ref="D58">_xlfn.XLOOKUP(Runge1[[#This Row],[Tecnología]]&amp;Runge1[[#This Row],[Metodo]],TbTipos[Tecnología]&amp;TbTipos[Metodo],TbTipos[Tipo])</f>
        <v>CUDA sin graph</v>
      </c>
      <c r="E58" s="1" t="str" cm="1">
        <f t="array" ref="E58">_xlfn.XLOOKUP(Runge1[[#This Row],[Tecnología]]&amp;Runge1[[#This Row],[Problema]],TbNombres[Tecnología]&amp;TbNombres[Problema],TbNombres[Nombre])</f>
        <v>Simple Advdiff</v>
      </c>
      <c r="F58" s="1">
        <v>1</v>
      </c>
      <c r="G58" s="1">
        <v>1</v>
      </c>
      <c r="H58" s="1">
        <v>256</v>
      </c>
      <c r="I58" s="1">
        <v>100000</v>
      </c>
      <c r="J58" s="1">
        <v>100000</v>
      </c>
      <c r="K58" s="1">
        <v>36.124099999999999</v>
      </c>
      <c r="M58" s="6" t="str">
        <f>_xlfn.XLOOKUP(Runge2[[#This Row],[Metodo]],TbSolver[Metodo],TbSolver[Solver])</f>
        <v>RungeKutta</v>
      </c>
      <c r="N58" s="6" t="str">
        <f>_xlfn.XLOOKUP(Runge2[[#This Row],[Hebras]],TbTecnologia[Hebras],TbTecnologia[Tecnología])</f>
        <v>CUDA</v>
      </c>
      <c r="O58" s="2" t="str" cm="1">
        <f t="array" ref="O58">_xlfn.XLOOKUP(Runge2[[#This Row],[Tecnología]]&amp;Runge2[[#This Row],[Metodo]],TbTipos[Tecnología]&amp;TbTipos[Metodo],TbTipos[Tipo])</f>
        <v>CUDA sin graph</v>
      </c>
      <c r="P58" s="2" t="str" cm="1">
        <f t="array" ref="P58">_xlfn.XLOOKUP(Runge2[[#This Row],[Tecnología]]&amp;Runge2[[#This Row],[Problema]],TbNombres[Tecnología]&amp;TbNombres[Problema],TbNombres[Nombre])</f>
        <v>Advdiff1d</v>
      </c>
      <c r="Q58" s="2">
        <v>1</v>
      </c>
      <c r="R58" s="2">
        <v>3</v>
      </c>
      <c r="S58" s="2">
        <v>256</v>
      </c>
      <c r="T58" s="2">
        <v>100000</v>
      </c>
      <c r="U58" s="2">
        <v>100000</v>
      </c>
      <c r="V58" s="2">
        <v>134.52500000000001</v>
      </c>
      <c r="X58" s="6" t="str">
        <f>_xlfn.XLOOKUP(Runge3[[#This Row],[Metodo]],TbSolver[Metodo],TbSolver[Solver])</f>
        <v>RungeKutta</v>
      </c>
      <c r="Y58" s="6" t="str">
        <f>_xlfn.XLOOKUP(Runge3[[#This Row],[Hebras]],TbTecnologia[Hebras],TbTecnologia[Tecnología])</f>
        <v>CUDA</v>
      </c>
      <c r="Z58" s="2" t="str" cm="1">
        <f t="array" ref="Z58">_xlfn.XLOOKUP(Runge3[[#This Row],[Tecnología]]&amp;Runge3[[#This Row],[Metodo]],TbTipos[Tecnología]&amp;TbTipos[Metodo],TbTipos[Tipo])</f>
        <v>CUDA sin graph</v>
      </c>
      <c r="AA58" s="2" t="str" cm="1">
        <f t="array" ref="AA58">_xlfn.XLOOKUP(Runge3[[#This Row],[Tecnología]]&amp;Runge3[[#This Row],[Problema]],TbNombres[Tecnología]&amp;TbNombres[Problema],TbNombres[Nombre])</f>
        <v>Brusselator1d</v>
      </c>
      <c r="AB58" s="2">
        <v>1</v>
      </c>
      <c r="AC58" s="2">
        <v>6</v>
      </c>
      <c r="AD58" s="2">
        <v>256</v>
      </c>
      <c r="AE58" s="2">
        <v>2000</v>
      </c>
      <c r="AF58" s="2">
        <v>4000</v>
      </c>
      <c r="AG58" s="2">
        <v>17.095600000000001</v>
      </c>
    </row>
    <row r="59" spans="2:33" x14ac:dyDescent="0.2">
      <c r="B59" s="1" t="str">
        <f>_xlfn.XLOOKUP(Runge1[[#This Row],[Metodo]],TbSolver[Metodo],TbSolver[Solver])</f>
        <v>RungeKutta</v>
      </c>
      <c r="C59" s="1" t="str">
        <f>_xlfn.XLOOKUP(Runge1[[#This Row],[Hebras]],TbTecnologia[Hebras],TbTecnologia[Tecnología])</f>
        <v>CUDA</v>
      </c>
      <c r="D59" s="5" t="str" cm="1">
        <f t="array" ref="D59">_xlfn.XLOOKUP(Runge1[[#This Row],[Tecnología]]&amp;Runge1[[#This Row],[Metodo]],TbTipos[Tecnología]&amp;TbTipos[Metodo],TbTipos[Tipo])</f>
        <v>CUDA sin graph</v>
      </c>
      <c r="E59" s="1" t="str" cm="1">
        <f t="array" ref="E59">_xlfn.XLOOKUP(Runge1[[#This Row],[Tecnología]]&amp;Runge1[[#This Row],[Problema]],TbNombres[Tecnología]&amp;TbNombres[Problema],TbNombres[Nombre])</f>
        <v>Simple Advdiff</v>
      </c>
      <c r="F59" s="1">
        <v>1</v>
      </c>
      <c r="G59" s="1">
        <v>1</v>
      </c>
      <c r="H59" s="1">
        <v>256</v>
      </c>
      <c r="I59" s="1">
        <v>200000</v>
      </c>
      <c r="J59" s="1">
        <v>200000</v>
      </c>
      <c r="K59" s="1">
        <v>72.234200000000001</v>
      </c>
      <c r="M59" s="6" t="str">
        <f>_xlfn.XLOOKUP(Runge2[[#This Row],[Metodo]],TbSolver[Metodo],TbSolver[Solver])</f>
        <v>RungeKutta</v>
      </c>
      <c r="N59" s="6" t="str">
        <f>_xlfn.XLOOKUP(Runge2[[#This Row],[Hebras]],TbTecnologia[Hebras],TbTecnologia[Tecnología])</f>
        <v>CUDA</v>
      </c>
      <c r="O59" s="2" t="str" cm="1">
        <f t="array" ref="O59">_xlfn.XLOOKUP(Runge2[[#This Row],[Tecnología]]&amp;Runge2[[#This Row],[Metodo]],TbTipos[Tecnología]&amp;TbTipos[Metodo],TbTipos[Tipo])</f>
        <v>CUDA sin graph</v>
      </c>
      <c r="P59" s="2" t="str" cm="1">
        <f t="array" ref="P59">_xlfn.XLOOKUP(Runge2[[#This Row],[Tecnología]]&amp;Runge2[[#This Row],[Problema]],TbNombres[Tecnología]&amp;TbNombres[Problema],TbNombres[Nombre])</f>
        <v>Advdiff1d</v>
      </c>
      <c r="Q59" s="2">
        <v>1</v>
      </c>
      <c r="R59" s="2">
        <v>3</v>
      </c>
      <c r="S59" s="2">
        <v>256</v>
      </c>
      <c r="T59" s="2">
        <v>200000</v>
      </c>
      <c r="U59" s="2">
        <v>200000</v>
      </c>
      <c r="V59" s="2">
        <v>270.13499999999999</v>
      </c>
      <c r="X59" s="6" t="str">
        <f>_xlfn.XLOOKUP(Runge3[[#This Row],[Metodo]],TbSolver[Metodo],TbSolver[Solver])</f>
        <v>RungeKutta</v>
      </c>
      <c r="Y59" s="6" t="str">
        <f>_xlfn.XLOOKUP(Runge3[[#This Row],[Hebras]],TbTecnologia[Hebras],TbTecnologia[Tecnología])</f>
        <v>CUDA</v>
      </c>
      <c r="Z59" s="2" t="str" cm="1">
        <f t="array" ref="Z59">_xlfn.XLOOKUP(Runge3[[#This Row],[Tecnología]]&amp;Runge3[[#This Row],[Metodo]],TbTipos[Tecnología]&amp;TbTipos[Metodo],TbTipos[Tipo])</f>
        <v>CUDA sin graph</v>
      </c>
      <c r="AA59" s="2" t="str" cm="1">
        <f t="array" ref="AA59">_xlfn.XLOOKUP(Runge3[[#This Row],[Tecnología]]&amp;Runge3[[#This Row],[Problema]],TbNombres[Tecnología]&amp;TbNombres[Problema],TbNombres[Nombre])</f>
        <v>Brusselator1d</v>
      </c>
      <c r="AB59" s="2">
        <v>1</v>
      </c>
      <c r="AC59" s="2">
        <v>5</v>
      </c>
      <c r="AD59" s="2">
        <v>256</v>
      </c>
      <c r="AE59" s="2">
        <v>2000</v>
      </c>
      <c r="AF59" s="2">
        <v>4000</v>
      </c>
      <c r="AG59" s="2">
        <v>17.201499999999999</v>
      </c>
    </row>
    <row r="60" spans="2:33" x14ac:dyDescent="0.2">
      <c r="B60" s="5" t="str">
        <f>_xlfn.XLOOKUP(Runge1[[#This Row],[Metodo]],TbSolver[Metodo],TbSolver[Solver])</f>
        <v>RungeKutta</v>
      </c>
      <c r="C60" s="5" t="str">
        <f>_xlfn.XLOOKUP(Runge1[[#This Row],[Hebras]],TbTecnologia[Hebras],TbTecnologia[Tecnología])</f>
        <v>CUDA</v>
      </c>
      <c r="D60" s="5" t="str" cm="1">
        <f t="array" ref="D60">_xlfn.XLOOKUP(Runge1[[#This Row],[Tecnología]]&amp;Runge1[[#This Row],[Metodo]],TbTipos[Tecnología]&amp;TbTipos[Metodo],TbTipos[Tipo])</f>
        <v>CUDA sin graph</v>
      </c>
      <c r="E60" s="5" t="str" cm="1">
        <f t="array" ref="E60">_xlfn.XLOOKUP(Runge1[[#This Row],[Tecnología]]&amp;Runge1[[#This Row],[Problema]],TbNombres[Tecnología]&amp;TbNombres[Problema],TbNombres[Nombre])</f>
        <v>Simple Advdiff</v>
      </c>
      <c r="F60" s="1">
        <v>1</v>
      </c>
      <c r="G60" s="1">
        <v>1</v>
      </c>
      <c r="H60" s="1">
        <v>256</v>
      </c>
      <c r="I60" s="1">
        <v>75000</v>
      </c>
      <c r="J60" s="1">
        <v>75000</v>
      </c>
      <c r="K60" s="1">
        <v>31.302900000000001</v>
      </c>
      <c r="M60" s="7" t="str">
        <f>_xlfn.XLOOKUP(Runge2[[#This Row],[Metodo]],TbSolver[Metodo],TbSolver[Solver])</f>
        <v>RungeKutta</v>
      </c>
      <c r="N60" s="7" t="str">
        <f>_xlfn.XLOOKUP(Runge2[[#This Row],[Hebras]],TbTecnologia[Hebras],TbTecnologia[Tecnología])</f>
        <v>CUDA</v>
      </c>
      <c r="O60" s="7" t="str" cm="1">
        <f t="array" ref="O60">_xlfn.XLOOKUP(Runge2[[#This Row],[Tecnología]]&amp;Runge2[[#This Row],[Metodo]],TbTipos[Tecnología]&amp;TbTipos[Metodo],TbTipos[Tipo])</f>
        <v>CUDA sin graph</v>
      </c>
      <c r="P60" s="14" t="str" cm="1">
        <f t="array" ref="P60">_xlfn.XLOOKUP(Runge2[[#This Row],[Tecnología]]&amp;Runge2[[#This Row],[Problema]],TbNombres[Tecnología]&amp;TbNombres[Problema],TbNombres[Nombre])</f>
        <v>Advdiff1d</v>
      </c>
      <c r="Q60" s="6">
        <v>1</v>
      </c>
      <c r="R60" s="6">
        <v>3</v>
      </c>
      <c r="S60" s="6">
        <v>256</v>
      </c>
      <c r="T60" s="6">
        <v>75000</v>
      </c>
      <c r="U60" s="6">
        <v>75000</v>
      </c>
      <c r="V60" s="6">
        <v>113.012</v>
      </c>
      <c r="X60" s="6" t="str">
        <f>_xlfn.XLOOKUP(Runge3[[#This Row],[Metodo]],TbSolver[Metodo],TbSolver[Solver])</f>
        <v>RungeKutta</v>
      </c>
      <c r="Y60" s="6" t="str">
        <f>_xlfn.XLOOKUP(Runge3[[#This Row],[Hebras]],TbTecnologia[Hebras],TbTecnologia[Tecnología])</f>
        <v>CUDA</v>
      </c>
      <c r="Z60" s="2" t="str" cm="1">
        <f t="array" ref="Z60">_xlfn.XLOOKUP(Runge3[[#This Row],[Tecnología]]&amp;Runge3[[#This Row],[Metodo]],TbTipos[Tecnología]&amp;TbTipos[Metodo],TbTipos[Tipo])</f>
        <v>CUDA sin graph</v>
      </c>
      <c r="AA60" s="2" t="str" cm="1">
        <f t="array" ref="AA60">_xlfn.XLOOKUP(Runge3[[#This Row],[Tecnología]]&amp;Runge3[[#This Row],[Problema]],TbNombres[Tecnología]&amp;TbNombres[Problema],TbNombres[Nombre])</f>
        <v>Brusselator1d</v>
      </c>
      <c r="AB60" s="2">
        <v>1</v>
      </c>
      <c r="AC60" s="2">
        <v>7</v>
      </c>
      <c r="AD60" s="2">
        <v>256</v>
      </c>
      <c r="AE60" s="2">
        <v>2000</v>
      </c>
      <c r="AF60" s="2">
        <v>4000</v>
      </c>
      <c r="AG60" s="2">
        <v>17.2821</v>
      </c>
    </row>
    <row r="61" spans="2:33" x14ac:dyDescent="0.2">
      <c r="B61" s="5" t="str">
        <f>_xlfn.XLOOKUP(Runge1[[#This Row],[Metodo]],TbSolver[Metodo],TbSolver[Solver])</f>
        <v>RungeKutta</v>
      </c>
      <c r="C61" s="5" t="str">
        <f>_xlfn.XLOOKUP(Runge1[[#This Row],[Hebras]],TbTecnologia[Hebras],TbTecnologia[Tecnología])</f>
        <v>CUDA</v>
      </c>
      <c r="D61" s="5" t="str" cm="1">
        <f t="array" ref="D61">_xlfn.XLOOKUP(Runge1[[#This Row],[Tecnología]]&amp;Runge1[[#This Row],[Metodo]],TbTipos[Tecnología]&amp;TbTipos[Metodo],TbTipos[Tipo])</f>
        <v>CUDA sin graph</v>
      </c>
      <c r="E61" s="5" t="str" cm="1">
        <f t="array" ref="E61">_xlfn.XLOOKUP(Runge1[[#This Row],[Tecnología]]&amp;Runge1[[#This Row],[Problema]],TbNombres[Tecnología]&amp;TbNombres[Problema],TbNombres[Nombre])</f>
        <v>Simple Advdiff</v>
      </c>
      <c r="F61" s="1">
        <v>1</v>
      </c>
      <c r="G61" s="1">
        <v>1</v>
      </c>
      <c r="H61" s="1">
        <v>256</v>
      </c>
      <c r="I61" s="1">
        <v>150000</v>
      </c>
      <c r="J61" s="1">
        <v>150000</v>
      </c>
      <c r="K61" s="1">
        <v>53.823599999999999</v>
      </c>
      <c r="M61" s="7" t="str">
        <f>_xlfn.XLOOKUP(Runge2[[#This Row],[Metodo]],TbSolver[Metodo],TbSolver[Solver])</f>
        <v>RungeKutta</v>
      </c>
      <c r="N61" s="7" t="str">
        <f>_xlfn.XLOOKUP(Runge2[[#This Row],[Hebras]],TbTecnologia[Hebras],TbTecnologia[Tecnología])</f>
        <v>CUDA</v>
      </c>
      <c r="O61" s="7" t="str" cm="1">
        <f t="array" ref="O61">_xlfn.XLOOKUP(Runge2[[#This Row],[Tecnología]]&amp;Runge2[[#This Row],[Metodo]],TbTipos[Tecnología]&amp;TbTipos[Metodo],TbTipos[Tipo])</f>
        <v>CUDA sin graph</v>
      </c>
      <c r="P61" s="14" t="str" cm="1">
        <f t="array" ref="P61">_xlfn.XLOOKUP(Runge2[[#This Row],[Tecnología]]&amp;Runge2[[#This Row],[Problema]],TbNombres[Tecnología]&amp;TbNombres[Problema],TbNombres[Nombre])</f>
        <v>Advdiff1d</v>
      </c>
      <c r="Q61" s="6">
        <v>1</v>
      </c>
      <c r="R61" s="6">
        <v>3</v>
      </c>
      <c r="S61" s="6">
        <v>256</v>
      </c>
      <c r="T61" s="6">
        <v>150000</v>
      </c>
      <c r="U61" s="6">
        <v>150000</v>
      </c>
      <c r="V61" s="6">
        <v>202.547</v>
      </c>
      <c r="X61" s="6" t="str">
        <f>_xlfn.XLOOKUP(Runge3[[#This Row],[Metodo]],TbSolver[Metodo],TbSolver[Solver])</f>
        <v>RungeKutta</v>
      </c>
      <c r="Y61" s="6" t="str">
        <f>_xlfn.XLOOKUP(Runge3[[#This Row],[Hebras]],TbTecnologia[Hebras],TbTecnologia[Tecnología])</f>
        <v>CUDA</v>
      </c>
      <c r="Z61" s="2" t="str" cm="1">
        <f t="array" ref="Z61">_xlfn.XLOOKUP(Runge3[[#This Row],[Tecnología]]&amp;Runge3[[#This Row],[Metodo]],TbTipos[Tecnología]&amp;TbTipos[Metodo],TbTipos[Tipo])</f>
        <v>CUDA con graph</v>
      </c>
      <c r="AA61" s="2" t="str" cm="1">
        <f t="array" ref="AA61">_xlfn.XLOOKUP(Runge3[[#This Row],[Tecnología]]&amp;Runge3[[#This Row],[Problema]],TbNombres[Tecnología]&amp;TbNombres[Problema],TbNombres[Nombre])</f>
        <v>Brusselator1d</v>
      </c>
      <c r="AB61" s="2">
        <v>2</v>
      </c>
      <c r="AC61" s="2">
        <v>5</v>
      </c>
      <c r="AD61" s="2">
        <v>256</v>
      </c>
      <c r="AE61" s="2">
        <v>5000</v>
      </c>
      <c r="AF61" s="2">
        <v>10000</v>
      </c>
      <c r="AG61" s="2">
        <v>14.1684</v>
      </c>
    </row>
    <row r="62" spans="2:33" x14ac:dyDescent="0.2">
      <c r="B62" s="5" t="str">
        <f>_xlfn.XLOOKUP(Runge1[[#This Row],[Metodo]],TbSolver[Metodo],TbSolver[Solver])</f>
        <v>RungeKutta</v>
      </c>
      <c r="C62" s="5" t="str">
        <f>_xlfn.XLOOKUP(Runge1[[#This Row],[Hebras]],TbTecnologia[Hebras],TbTecnologia[Tecnología])</f>
        <v>CUDA</v>
      </c>
      <c r="D62" s="5" t="str" cm="1">
        <f t="array" ref="D62">_xlfn.XLOOKUP(Runge1[[#This Row],[Tecnología]]&amp;Runge1[[#This Row],[Metodo]],TbTipos[Tecnología]&amp;TbTipos[Metodo],TbTipos[Tipo])</f>
        <v>CUDA sin graph</v>
      </c>
      <c r="E62" s="5" t="str" cm="1">
        <f t="array" ref="E62">_xlfn.XLOOKUP(Runge1[[#This Row],[Tecnología]]&amp;Runge1[[#This Row],[Problema]],TbNombres[Tecnología]&amp;TbNombres[Problema],TbNombres[Nombre])</f>
        <v>Simple Advdiff</v>
      </c>
      <c r="F62" s="1">
        <v>1</v>
      </c>
      <c r="G62" s="1">
        <v>1</v>
      </c>
      <c r="H62" s="1">
        <v>256</v>
      </c>
      <c r="I62" s="1">
        <v>250000</v>
      </c>
      <c r="J62" s="1">
        <v>250000</v>
      </c>
      <c r="K62" s="1">
        <v>94.997200000000007</v>
      </c>
      <c r="M62" s="7" t="str">
        <f>_xlfn.XLOOKUP(Runge2[[#This Row],[Metodo]],TbSolver[Metodo],TbSolver[Solver])</f>
        <v>RungeKutta</v>
      </c>
      <c r="N62" s="7" t="str">
        <f>_xlfn.XLOOKUP(Runge2[[#This Row],[Hebras]],TbTecnologia[Hebras],TbTecnologia[Tecnología])</f>
        <v>CUDA</v>
      </c>
      <c r="O62" s="7" t="str" cm="1">
        <f t="array" ref="O62">_xlfn.XLOOKUP(Runge2[[#This Row],[Tecnología]]&amp;Runge2[[#This Row],[Metodo]],TbTipos[Tecnología]&amp;TbTipos[Metodo],TbTipos[Tipo])</f>
        <v>CUDA sin graph</v>
      </c>
      <c r="P62" s="14" t="str" cm="1">
        <f t="array" ref="P62">_xlfn.XLOOKUP(Runge2[[#This Row],[Tecnología]]&amp;Runge2[[#This Row],[Problema]],TbNombres[Tecnología]&amp;TbNombres[Problema],TbNombres[Nombre])</f>
        <v>Advdiff1d</v>
      </c>
      <c r="Q62" s="6">
        <v>1</v>
      </c>
      <c r="R62" s="6">
        <v>3</v>
      </c>
      <c r="S62" s="6">
        <v>256</v>
      </c>
      <c r="T62" s="6">
        <v>250000</v>
      </c>
      <c r="U62" s="6">
        <v>250000</v>
      </c>
      <c r="V62" s="6">
        <v>340.20699999999999</v>
      </c>
      <c r="X62" s="6" t="str">
        <f>_xlfn.XLOOKUP(Runge3[[#This Row],[Metodo]],TbSolver[Metodo],TbSolver[Solver])</f>
        <v>RungeKutta</v>
      </c>
      <c r="Y62" s="6" t="str">
        <f>_xlfn.XLOOKUP(Runge3[[#This Row],[Hebras]],TbTecnologia[Hebras],TbTecnologia[Tecnología])</f>
        <v>CUDA</v>
      </c>
      <c r="Z62" s="2" t="str" cm="1">
        <f t="array" ref="Z62">_xlfn.XLOOKUP(Runge3[[#This Row],[Tecnología]]&amp;Runge3[[#This Row],[Metodo]],TbTipos[Tecnología]&amp;TbTipos[Metodo],TbTipos[Tipo])</f>
        <v>CUDA con graph</v>
      </c>
      <c r="AA62" s="2" t="str" cm="1">
        <f t="array" ref="AA62">_xlfn.XLOOKUP(Runge3[[#This Row],[Tecnología]]&amp;Runge3[[#This Row],[Problema]],TbNombres[Tecnología]&amp;TbNombres[Problema],TbNombres[Nombre])</f>
        <v>Brusselator1d</v>
      </c>
      <c r="AB62" s="2">
        <v>2</v>
      </c>
      <c r="AC62" s="2">
        <v>6</v>
      </c>
      <c r="AD62" s="2">
        <v>256</v>
      </c>
      <c r="AE62" s="2">
        <v>5000</v>
      </c>
      <c r="AF62" s="2">
        <v>10000</v>
      </c>
      <c r="AG62" s="2">
        <v>14.3065</v>
      </c>
    </row>
    <row r="63" spans="2:33" x14ac:dyDescent="0.2">
      <c r="B63" s="5" t="str">
        <f>_xlfn.XLOOKUP(Runge1[[#This Row],[Metodo]],TbSolver[Metodo],TbSolver[Solver])</f>
        <v>RungeKutta</v>
      </c>
      <c r="C63" s="5" t="str">
        <f>_xlfn.XLOOKUP(Runge1[[#This Row],[Hebras]],TbTecnologia[Hebras],TbTecnologia[Tecnología])</f>
        <v>CUDA</v>
      </c>
      <c r="D63" s="5" t="str" cm="1">
        <f t="array" ref="D63">_xlfn.XLOOKUP(Runge1[[#This Row],[Tecnología]]&amp;Runge1[[#This Row],[Metodo]],TbTipos[Tecnología]&amp;TbTipos[Metodo],TbTipos[Tipo])</f>
        <v>CUDA sin graph</v>
      </c>
      <c r="E63" s="5" t="str" cm="1">
        <f t="array" ref="E63">_xlfn.XLOOKUP(Runge1[[#This Row],[Tecnología]]&amp;Runge1[[#This Row],[Problema]],TbNombres[Tecnología]&amp;TbNombres[Problema],TbNombres[Nombre])</f>
        <v>Simple Advdiff</v>
      </c>
      <c r="F63" s="1">
        <v>1</v>
      </c>
      <c r="G63" s="1">
        <v>1</v>
      </c>
      <c r="H63" s="1">
        <v>256</v>
      </c>
      <c r="I63" s="1">
        <v>300000</v>
      </c>
      <c r="J63" s="1">
        <v>300000</v>
      </c>
      <c r="K63" s="1">
        <v>113.41</v>
      </c>
      <c r="M63" s="7" t="str">
        <f>_xlfn.XLOOKUP(Runge2[[#This Row],[Metodo]],TbSolver[Metodo],TbSolver[Solver])</f>
        <v>RungeKutta</v>
      </c>
      <c r="N63" s="7" t="str">
        <f>_xlfn.XLOOKUP(Runge2[[#This Row],[Hebras]],TbTecnologia[Hebras],TbTecnologia[Tecnología])</f>
        <v>CUDA</v>
      </c>
      <c r="O63" s="7" t="str" cm="1">
        <f t="array" ref="O63">_xlfn.XLOOKUP(Runge2[[#This Row],[Tecnología]]&amp;Runge2[[#This Row],[Metodo]],TbTipos[Tecnología]&amp;TbTipos[Metodo],TbTipos[Tipo])</f>
        <v>CUDA sin graph</v>
      </c>
      <c r="P63" s="14" t="str" cm="1">
        <f t="array" ref="P63">_xlfn.XLOOKUP(Runge2[[#This Row],[Tecnología]]&amp;Runge2[[#This Row],[Problema]],TbNombres[Tecnología]&amp;TbNombres[Problema],TbNombres[Nombre])</f>
        <v>Advdiff1d</v>
      </c>
      <c r="Q63" s="6">
        <v>1</v>
      </c>
      <c r="R63" s="6">
        <v>3</v>
      </c>
      <c r="S63" s="6">
        <v>256</v>
      </c>
      <c r="T63" s="6">
        <v>300000</v>
      </c>
      <c r="U63" s="6">
        <v>300000</v>
      </c>
      <c r="V63" s="6">
        <v>411.625</v>
      </c>
      <c r="X63" s="6" t="str">
        <f>_xlfn.XLOOKUP(Runge3[[#This Row],[Metodo]],TbSolver[Metodo],TbSolver[Solver])</f>
        <v>RungeKutta</v>
      </c>
      <c r="Y63" s="6" t="str">
        <f>_xlfn.XLOOKUP(Runge3[[#This Row],[Hebras]],TbTecnologia[Hebras],TbTecnologia[Tecnología])</f>
        <v>CUDA</v>
      </c>
      <c r="Z63" s="2" t="str" cm="1">
        <f t="array" ref="Z63">_xlfn.XLOOKUP(Runge3[[#This Row],[Tecnología]]&amp;Runge3[[#This Row],[Metodo]],TbTipos[Tecnología]&amp;TbTipos[Metodo],TbTipos[Tipo])</f>
        <v>CUDA con graph</v>
      </c>
      <c r="AA63" s="2" t="str" cm="1">
        <f t="array" ref="AA63">_xlfn.XLOOKUP(Runge3[[#This Row],[Tecnología]]&amp;Runge3[[#This Row],[Problema]],TbNombres[Tecnología]&amp;TbNombres[Problema],TbNombres[Nombre])</f>
        <v>Brusselator1d</v>
      </c>
      <c r="AB63" s="2">
        <v>2</v>
      </c>
      <c r="AC63" s="2">
        <v>7</v>
      </c>
      <c r="AD63" s="2">
        <v>256</v>
      </c>
      <c r="AE63" s="2">
        <v>5000</v>
      </c>
      <c r="AF63" s="2">
        <v>10000</v>
      </c>
      <c r="AG63" s="2">
        <v>14.404299999999999</v>
      </c>
    </row>
    <row r="64" spans="2:33" x14ac:dyDescent="0.2">
      <c r="B64" s="5" t="str">
        <f>_xlfn.XLOOKUP(Runge1[[#This Row],[Metodo]],TbSolver[Metodo],TbSolver[Solver])</f>
        <v>RungeKutta</v>
      </c>
      <c r="C64" s="5" t="str">
        <f>_xlfn.XLOOKUP(Runge1[[#This Row],[Hebras]],TbTecnologia[Hebras],TbTecnologia[Tecnología])</f>
        <v>CUDA</v>
      </c>
      <c r="D64" s="5" t="str" cm="1">
        <f t="array" ref="D64">_xlfn.XLOOKUP(Runge1[[#This Row],[Tecnología]]&amp;Runge1[[#This Row],[Metodo]],TbTipos[Tecnología]&amp;TbTipos[Metodo],TbTipos[Tipo])</f>
        <v>CUDA sin graph</v>
      </c>
      <c r="E64" s="5" t="str" cm="1">
        <f t="array" ref="E64">_xlfn.XLOOKUP(Runge1[[#This Row],[Tecnología]]&amp;Runge1[[#This Row],[Problema]],TbNombres[Tecnología]&amp;TbNombres[Problema],TbNombres[Nombre])</f>
        <v>Simple Advdiff</v>
      </c>
      <c r="F64" s="1">
        <v>1</v>
      </c>
      <c r="G64" s="1">
        <v>1</v>
      </c>
      <c r="H64" s="1">
        <v>256</v>
      </c>
      <c r="I64" s="1">
        <v>350000</v>
      </c>
      <c r="J64" s="1">
        <v>350000</v>
      </c>
      <c r="K64" s="1">
        <v>136.81</v>
      </c>
      <c r="M64" s="7" t="str">
        <f>_xlfn.XLOOKUP(Runge2[[#This Row],[Metodo]],TbSolver[Metodo],TbSolver[Solver])</f>
        <v>RungeKutta</v>
      </c>
      <c r="N64" s="7" t="str">
        <f>_xlfn.XLOOKUP(Runge2[[#This Row],[Hebras]],TbTecnologia[Hebras],TbTecnologia[Tecnología])</f>
        <v>CUDA</v>
      </c>
      <c r="O64" s="7" t="str" cm="1">
        <f t="array" ref="O64">_xlfn.XLOOKUP(Runge2[[#This Row],[Tecnología]]&amp;Runge2[[#This Row],[Metodo]],TbTipos[Tecnología]&amp;TbTipos[Metodo],TbTipos[Tipo])</f>
        <v>CUDA sin graph</v>
      </c>
      <c r="P64" s="14" t="str" cm="1">
        <f t="array" ref="P64">_xlfn.XLOOKUP(Runge2[[#This Row],[Tecnología]]&amp;Runge2[[#This Row],[Problema]],TbNombres[Tecnología]&amp;TbNombres[Problema],TbNombres[Nombre])</f>
        <v>Advdiff1d</v>
      </c>
      <c r="Q64" s="6">
        <v>1</v>
      </c>
      <c r="R64" s="6">
        <v>3</v>
      </c>
      <c r="S64" s="6">
        <v>256</v>
      </c>
      <c r="T64" s="6">
        <v>350000</v>
      </c>
      <c r="U64" s="6">
        <v>350000</v>
      </c>
      <c r="V64" s="6">
        <v>484.81400000000002</v>
      </c>
      <c r="X64" s="6" t="str">
        <f>_xlfn.XLOOKUP(Runge3[[#This Row],[Metodo]],TbSolver[Metodo],TbSolver[Solver])</f>
        <v>RungeKutta</v>
      </c>
      <c r="Y64" s="6" t="str">
        <f>_xlfn.XLOOKUP(Runge3[[#This Row],[Hebras]],TbTecnologia[Hebras],TbTecnologia[Tecnología])</f>
        <v>CUDA</v>
      </c>
      <c r="Z64" s="2" t="str" cm="1">
        <f t="array" ref="Z64">_xlfn.XLOOKUP(Runge3[[#This Row],[Tecnología]]&amp;Runge3[[#This Row],[Metodo]],TbTipos[Tecnología]&amp;TbTipos[Metodo],TbTipos[Tipo])</f>
        <v>CUDA sin graph</v>
      </c>
      <c r="AA64" s="2" t="str" cm="1">
        <f t="array" ref="AA64">_xlfn.XLOOKUP(Runge3[[#This Row],[Tecnología]]&amp;Runge3[[#This Row],[Problema]],TbNombres[Tecnología]&amp;TbNombres[Problema],TbNombres[Nombre])</f>
        <v>Brusselator1d</v>
      </c>
      <c r="AB64" s="2">
        <v>1</v>
      </c>
      <c r="AC64" s="2">
        <v>5</v>
      </c>
      <c r="AD64" s="2">
        <v>256</v>
      </c>
      <c r="AE64" s="2">
        <v>5000</v>
      </c>
      <c r="AF64" s="2">
        <v>10000</v>
      </c>
      <c r="AG64" s="2">
        <v>17.438700000000001</v>
      </c>
    </row>
    <row r="65" spans="2:33" x14ac:dyDescent="0.2">
      <c r="B65" s="5" t="str">
        <f>_xlfn.XLOOKUP(Runge1[[#This Row],[Metodo]],TbSolver[Metodo],TbSolver[Solver])</f>
        <v>RungeKutta</v>
      </c>
      <c r="C65" s="5" t="str">
        <f>_xlfn.XLOOKUP(Runge1[[#This Row],[Hebras]],TbTecnologia[Hebras],TbTecnologia[Tecnología])</f>
        <v>CUDA</v>
      </c>
      <c r="D65" s="5" t="str" cm="1">
        <f t="array" ref="D65">_xlfn.XLOOKUP(Runge1[[#This Row],[Tecnología]]&amp;Runge1[[#This Row],[Metodo]],TbTipos[Tecnología]&amp;TbTipos[Metodo],TbTipos[Tipo])</f>
        <v>CUDA sin graph</v>
      </c>
      <c r="E65" s="5" t="str" cm="1">
        <f t="array" ref="E65">_xlfn.XLOOKUP(Runge1[[#This Row],[Tecnología]]&amp;Runge1[[#This Row],[Problema]],TbNombres[Tecnología]&amp;TbNombres[Problema],TbNombres[Nombre])</f>
        <v>Simple Advdiff</v>
      </c>
      <c r="F65" s="1">
        <v>1</v>
      </c>
      <c r="G65" s="1">
        <v>1</v>
      </c>
      <c r="H65" s="1">
        <v>256</v>
      </c>
      <c r="I65" s="1">
        <v>400000</v>
      </c>
      <c r="J65" s="1">
        <v>400000</v>
      </c>
      <c r="K65" s="1">
        <v>159.56</v>
      </c>
      <c r="M65" s="7" t="str">
        <f>_xlfn.XLOOKUP(Runge2[[#This Row],[Metodo]],TbSolver[Metodo],TbSolver[Solver])</f>
        <v>RungeKutta</v>
      </c>
      <c r="N65" s="7" t="str">
        <f>_xlfn.XLOOKUP(Runge2[[#This Row],[Hebras]],TbTecnologia[Hebras],TbTecnologia[Tecnología])</f>
        <v>CUDA</v>
      </c>
      <c r="O65" s="7" t="str" cm="1">
        <f t="array" ref="O65">_xlfn.XLOOKUP(Runge2[[#This Row],[Tecnología]]&amp;Runge2[[#This Row],[Metodo]],TbTipos[Tecnología]&amp;TbTipos[Metodo],TbTipos[Tipo])</f>
        <v>CUDA sin graph</v>
      </c>
      <c r="P65" s="14" t="str" cm="1">
        <f t="array" ref="P65">_xlfn.XLOOKUP(Runge2[[#This Row],[Tecnología]]&amp;Runge2[[#This Row],[Problema]],TbNombres[Tecnología]&amp;TbNombres[Problema],TbNombres[Nombre])</f>
        <v>Advdiff1d</v>
      </c>
      <c r="Q65" s="6">
        <v>1</v>
      </c>
      <c r="R65" s="6">
        <v>3</v>
      </c>
      <c r="S65" s="6">
        <v>256</v>
      </c>
      <c r="T65" s="6">
        <v>400000</v>
      </c>
      <c r="U65" s="6">
        <v>400000</v>
      </c>
      <c r="V65" s="6">
        <v>542.48699999999997</v>
      </c>
      <c r="X65" s="6" t="str">
        <f>_xlfn.XLOOKUP(Runge3[[#This Row],[Metodo]],TbSolver[Metodo],TbSolver[Solver])</f>
        <v>RungeKutta</v>
      </c>
      <c r="Y65" s="6" t="str">
        <f>_xlfn.XLOOKUP(Runge3[[#This Row],[Hebras]],TbTecnologia[Hebras],TbTecnologia[Tecnología])</f>
        <v>CUDA</v>
      </c>
      <c r="Z65" s="2" t="str" cm="1">
        <f t="array" ref="Z65">_xlfn.XLOOKUP(Runge3[[#This Row],[Tecnología]]&amp;Runge3[[#This Row],[Metodo]],TbTipos[Tecnología]&amp;TbTipos[Metodo],TbTipos[Tipo])</f>
        <v>CUDA sin graph</v>
      </c>
      <c r="AA65" s="2" t="str" cm="1">
        <f t="array" ref="AA65">_xlfn.XLOOKUP(Runge3[[#This Row],[Tecnología]]&amp;Runge3[[#This Row],[Problema]],TbNombres[Tecnología]&amp;TbNombres[Problema],TbNombres[Nombre])</f>
        <v>Brusselator1d</v>
      </c>
      <c r="AB65" s="2">
        <v>1</v>
      </c>
      <c r="AC65" s="2">
        <v>7</v>
      </c>
      <c r="AD65" s="2">
        <v>256</v>
      </c>
      <c r="AE65" s="2">
        <v>5000</v>
      </c>
      <c r="AF65" s="2">
        <v>10000</v>
      </c>
      <c r="AG65" s="2">
        <v>17.483899999999998</v>
      </c>
    </row>
    <row r="66" spans="2:33" x14ac:dyDescent="0.2">
      <c r="B66" s="5" t="str">
        <f>_xlfn.XLOOKUP(Runge1[[#This Row],[Metodo]],TbSolver[Metodo],TbSolver[Solver])</f>
        <v>RungeKutta</v>
      </c>
      <c r="C66" s="5" t="str">
        <f>_xlfn.XLOOKUP(Runge1[[#This Row],[Hebras]],TbTecnologia[Hebras],TbTecnologia[Tecnología])</f>
        <v>CUDA</v>
      </c>
      <c r="D66" s="5" t="str" cm="1">
        <f t="array" ref="D66">_xlfn.XLOOKUP(Runge1[[#This Row],[Tecnología]]&amp;Runge1[[#This Row],[Metodo]],TbTipos[Tecnología]&amp;TbTipos[Metodo],TbTipos[Tipo])</f>
        <v>CUDA sin graph</v>
      </c>
      <c r="E66" s="5" t="str" cm="1">
        <f t="array" ref="E66">_xlfn.XLOOKUP(Runge1[[#This Row],[Tecnología]]&amp;Runge1[[#This Row],[Problema]],TbNombres[Tecnología]&amp;TbNombres[Problema],TbNombres[Nombre])</f>
        <v>Simple Advdiff</v>
      </c>
      <c r="F66" s="1">
        <v>1</v>
      </c>
      <c r="G66" s="1">
        <v>1</v>
      </c>
      <c r="H66" s="1">
        <v>256</v>
      </c>
      <c r="I66" s="1">
        <v>450000</v>
      </c>
      <c r="J66" s="1">
        <v>450000</v>
      </c>
      <c r="K66" s="1">
        <v>185.614</v>
      </c>
      <c r="M66" s="7" t="str">
        <f>_xlfn.XLOOKUP(Runge2[[#This Row],[Metodo]],TbSolver[Metodo],TbSolver[Solver])</f>
        <v>RungeKutta</v>
      </c>
      <c r="N66" s="7" t="str">
        <f>_xlfn.XLOOKUP(Runge2[[#This Row],[Hebras]],TbTecnologia[Hebras],TbTecnologia[Tecnología])</f>
        <v>CUDA</v>
      </c>
      <c r="O66" s="7" t="str" cm="1">
        <f t="array" ref="O66">_xlfn.XLOOKUP(Runge2[[#This Row],[Tecnología]]&amp;Runge2[[#This Row],[Metodo]],TbTipos[Tecnología]&amp;TbTipos[Metodo],TbTipos[Tipo])</f>
        <v>CUDA sin graph</v>
      </c>
      <c r="P66" s="14" t="str" cm="1">
        <f t="array" ref="P66">_xlfn.XLOOKUP(Runge2[[#This Row],[Tecnología]]&amp;Runge2[[#This Row],[Problema]],TbNombres[Tecnología]&amp;TbNombres[Problema],TbNombres[Nombre])</f>
        <v>Advdiff1d</v>
      </c>
      <c r="Q66" s="6">
        <v>1</v>
      </c>
      <c r="R66" s="6">
        <v>3</v>
      </c>
      <c r="S66" s="6">
        <v>256</v>
      </c>
      <c r="T66" s="6">
        <v>450000</v>
      </c>
      <c r="U66" s="6">
        <v>450000</v>
      </c>
      <c r="V66" s="6">
        <v>615.779</v>
      </c>
      <c r="X66" s="6" t="str">
        <f>_xlfn.XLOOKUP(Runge3[[#This Row],[Metodo]],TbSolver[Metodo],TbSolver[Solver])</f>
        <v>RungeKutta</v>
      </c>
      <c r="Y66" s="6" t="str">
        <f>_xlfn.XLOOKUP(Runge3[[#This Row],[Hebras]],TbTecnologia[Hebras],TbTecnologia[Tecnología])</f>
        <v>CUDA</v>
      </c>
      <c r="Z66" s="2" t="str" cm="1">
        <f t="array" ref="Z66">_xlfn.XLOOKUP(Runge3[[#This Row],[Tecnología]]&amp;Runge3[[#This Row],[Metodo]],TbTipos[Tecnología]&amp;TbTipos[Metodo],TbTipos[Tipo])</f>
        <v>CUDA sin graph</v>
      </c>
      <c r="AA66" s="2" t="str" cm="1">
        <f t="array" ref="AA66">_xlfn.XLOOKUP(Runge3[[#This Row],[Tecnología]]&amp;Runge3[[#This Row],[Problema]],TbNombres[Tecnología]&amp;TbNombres[Problema],TbNombres[Nombre])</f>
        <v>Brusselator1d</v>
      </c>
      <c r="AB66" s="2">
        <v>1</v>
      </c>
      <c r="AC66" s="2">
        <v>6</v>
      </c>
      <c r="AD66" s="2">
        <v>256</v>
      </c>
      <c r="AE66" s="2">
        <v>5000</v>
      </c>
      <c r="AF66" s="2">
        <v>10000</v>
      </c>
      <c r="AG66" s="2">
        <v>17.822700000000001</v>
      </c>
    </row>
    <row r="67" spans="2:33" x14ac:dyDescent="0.2">
      <c r="B67" s="5" t="str">
        <f>_xlfn.XLOOKUP(Runge1[[#This Row],[Metodo]],TbSolver[Metodo],TbSolver[Solver])</f>
        <v>RungeKutta</v>
      </c>
      <c r="C67" s="5" t="str">
        <f>_xlfn.XLOOKUP(Runge1[[#This Row],[Hebras]],TbTecnologia[Hebras],TbTecnologia[Tecnología])</f>
        <v>CUDA</v>
      </c>
      <c r="D67" s="5" t="str" cm="1">
        <f t="array" ref="D67">_xlfn.XLOOKUP(Runge1[[#This Row],[Tecnología]]&amp;Runge1[[#This Row],[Metodo]],TbTipos[Tecnología]&amp;TbTipos[Metodo],TbTipos[Tipo])</f>
        <v>CUDA sin graph</v>
      </c>
      <c r="E67" s="5" t="str" cm="1">
        <f t="array" ref="E67">_xlfn.XLOOKUP(Runge1[[#This Row],[Tecnología]]&amp;Runge1[[#This Row],[Problema]],TbNombres[Tecnología]&amp;TbNombres[Problema],TbNombres[Nombre])</f>
        <v>Simple Advdiff</v>
      </c>
      <c r="F67" s="1">
        <v>1</v>
      </c>
      <c r="G67" s="1">
        <v>1</v>
      </c>
      <c r="H67" s="1">
        <v>256</v>
      </c>
      <c r="I67" s="1">
        <v>500000</v>
      </c>
      <c r="J67" s="1">
        <v>500000</v>
      </c>
      <c r="K67" s="1">
        <v>214.54400000000001</v>
      </c>
      <c r="M67" s="7" t="str">
        <f>_xlfn.XLOOKUP(Runge2[[#This Row],[Metodo]],TbSolver[Metodo],TbSolver[Solver])</f>
        <v>RungeKutta</v>
      </c>
      <c r="N67" s="7" t="str">
        <f>_xlfn.XLOOKUP(Runge2[[#This Row],[Hebras]],TbTecnologia[Hebras],TbTecnologia[Tecnología])</f>
        <v>CUDA</v>
      </c>
      <c r="O67" s="7" t="str" cm="1">
        <f t="array" ref="O67">_xlfn.XLOOKUP(Runge2[[#This Row],[Tecnología]]&amp;Runge2[[#This Row],[Metodo]],TbTipos[Tecnología]&amp;TbTipos[Metodo],TbTipos[Tipo])</f>
        <v>CUDA sin graph</v>
      </c>
      <c r="P67" s="14" t="str" cm="1">
        <f t="array" ref="P67">_xlfn.XLOOKUP(Runge2[[#This Row],[Tecnología]]&amp;Runge2[[#This Row],[Problema]],TbNombres[Tecnología]&amp;TbNombres[Problema],TbNombres[Nombre])</f>
        <v>Advdiff1d</v>
      </c>
      <c r="Q67" s="6">
        <v>1</v>
      </c>
      <c r="R67" s="6">
        <v>3</v>
      </c>
      <c r="S67" s="6">
        <v>256</v>
      </c>
      <c r="T67" s="6">
        <v>500000</v>
      </c>
      <c r="U67" s="6">
        <v>500000</v>
      </c>
      <c r="V67" s="6">
        <v>687.30799999999999</v>
      </c>
      <c r="X67" s="6" t="str">
        <f>_xlfn.XLOOKUP(Runge3[[#This Row],[Metodo]],TbSolver[Metodo],TbSolver[Solver])</f>
        <v>RungeKutta</v>
      </c>
      <c r="Y67" s="6" t="str">
        <f>_xlfn.XLOOKUP(Runge3[[#This Row],[Hebras]],TbTecnologia[Hebras],TbTecnologia[Tecnología])</f>
        <v>CUDA</v>
      </c>
      <c r="Z67" s="2" t="str" cm="1">
        <f t="array" ref="Z67">_xlfn.XLOOKUP(Runge3[[#This Row],[Tecnología]]&amp;Runge3[[#This Row],[Metodo]],TbTipos[Tecnología]&amp;TbTipos[Metodo],TbTipos[Tipo])</f>
        <v>CUDA sin graph</v>
      </c>
      <c r="AA67" s="2" t="str" cm="1">
        <f t="array" ref="AA67">_xlfn.XLOOKUP(Runge3[[#This Row],[Tecnología]]&amp;Runge3[[#This Row],[Problema]],TbNombres[Tecnología]&amp;TbNombres[Problema],TbNombres[Nombre])</f>
        <v>Brusselator1d</v>
      </c>
      <c r="AB67" s="2">
        <v>1</v>
      </c>
      <c r="AC67" s="2">
        <v>5</v>
      </c>
      <c r="AD67" s="2">
        <v>256</v>
      </c>
      <c r="AE67" s="2">
        <v>10000</v>
      </c>
      <c r="AF67" s="2">
        <v>20000</v>
      </c>
      <c r="AG67" s="2">
        <v>22.3018</v>
      </c>
    </row>
    <row r="68" spans="2:33" x14ac:dyDescent="0.2">
      <c r="B68" s="5" t="str">
        <f>_xlfn.XLOOKUP(Runge1[[#This Row],[Metodo]],TbSolver[Metodo],TbSolver[Solver])</f>
        <v>RungeKutta</v>
      </c>
      <c r="C68" s="5" t="str">
        <f>_xlfn.XLOOKUP(Runge1[[#This Row],[Hebras]],TbTecnologia[Hebras],TbTecnologia[Tecnología])</f>
        <v>CUDA</v>
      </c>
      <c r="D68" s="5" t="str" cm="1">
        <f t="array" ref="D68">_xlfn.XLOOKUP(Runge1[[#This Row],[Tecnología]]&amp;Runge1[[#This Row],[Metodo]],TbTipos[Tecnología]&amp;TbTipos[Metodo],TbTipos[Tipo])</f>
        <v>CUDA con graph</v>
      </c>
      <c r="E68" s="5" t="str" cm="1">
        <f t="array" ref="E68">_xlfn.XLOOKUP(Runge1[[#This Row],[Tecnología]]&amp;Runge1[[#This Row],[Problema]],TbNombres[Tecnología]&amp;TbNombres[Problema],TbNombres[Nombre])</f>
        <v>Simple Advdiff</v>
      </c>
      <c r="F68" s="1">
        <v>2</v>
      </c>
      <c r="G68" s="1">
        <v>1</v>
      </c>
      <c r="H68" s="1">
        <v>256</v>
      </c>
      <c r="I68" s="1">
        <v>10000</v>
      </c>
      <c r="J68" s="1">
        <v>10000</v>
      </c>
      <c r="K68" s="1">
        <v>12.9445</v>
      </c>
      <c r="M68" s="10" t="str">
        <f>_xlfn.XLOOKUP(Runge2[[#This Row],[Metodo]],TbSolver[Metodo],TbSolver[Solver])</f>
        <v>RungeKutta</v>
      </c>
      <c r="N68" s="10" t="str">
        <f>_xlfn.XLOOKUP(Runge2[[#This Row],[Hebras]],TbTecnologia[Hebras],TbTecnologia[Tecnología])</f>
        <v>CUDA</v>
      </c>
      <c r="O68" s="10" t="str" cm="1">
        <f t="array" ref="O68">_xlfn.XLOOKUP(Runge2[[#This Row],[Tecnología]]&amp;Runge2[[#This Row],[Metodo]],TbTipos[Tecnología]&amp;TbTipos[Metodo],TbTipos[Tipo])</f>
        <v>CUDA con graph</v>
      </c>
      <c r="P68" s="23" t="str" cm="1">
        <f t="array" ref="P68">_xlfn.XLOOKUP(Runge2[[#This Row],[Tecnología]]&amp;Runge2[[#This Row],[Problema]],TbNombres[Tecnología]&amp;TbNombres[Problema],TbNombres[Nombre])</f>
        <v>Advdiff1d</v>
      </c>
      <c r="Q68" s="9">
        <v>2</v>
      </c>
      <c r="R68" s="9">
        <v>3</v>
      </c>
      <c r="S68" s="9">
        <v>256</v>
      </c>
      <c r="T68" s="9">
        <v>10000</v>
      </c>
      <c r="U68" s="9">
        <v>10000</v>
      </c>
      <c r="V68" s="9">
        <v>28.323499999999999</v>
      </c>
      <c r="X68" s="6" t="str">
        <f>_xlfn.XLOOKUP(Runge3[[#This Row],[Metodo]],TbSolver[Metodo],TbSolver[Solver])</f>
        <v>RungeKutta</v>
      </c>
      <c r="Y68" s="6" t="str">
        <f>_xlfn.XLOOKUP(Runge3[[#This Row],[Hebras]],TbTecnologia[Hebras],TbTecnologia[Tecnología])</f>
        <v>CUDA</v>
      </c>
      <c r="Z68" s="2" t="str" cm="1">
        <f t="array" ref="Z68">_xlfn.XLOOKUP(Runge3[[#This Row],[Tecnología]]&amp;Runge3[[#This Row],[Metodo]],TbTipos[Tecnología]&amp;TbTipos[Metodo],TbTipos[Tipo])</f>
        <v>CUDA sin graph</v>
      </c>
      <c r="AA68" s="2" t="str" cm="1">
        <f t="array" ref="AA68">_xlfn.XLOOKUP(Runge3[[#This Row],[Tecnología]]&amp;Runge3[[#This Row],[Problema]],TbNombres[Tecnología]&amp;TbNombres[Problema],TbNombres[Nombre])</f>
        <v>Brusselator1d</v>
      </c>
      <c r="AB68" s="2">
        <v>1</v>
      </c>
      <c r="AC68" s="2">
        <v>5</v>
      </c>
      <c r="AD68" s="2">
        <v>256</v>
      </c>
      <c r="AE68" s="2">
        <v>20000</v>
      </c>
      <c r="AF68" s="2">
        <v>40000</v>
      </c>
      <c r="AG68" s="2">
        <v>28.273800000000001</v>
      </c>
    </row>
    <row r="69" spans="2:33" x14ac:dyDescent="0.2">
      <c r="B69" s="5" t="str">
        <f>_xlfn.XLOOKUP(Runge1[[#This Row],[Metodo]],TbSolver[Metodo],TbSolver[Solver])</f>
        <v>RungeKutta</v>
      </c>
      <c r="C69" s="5" t="str">
        <f>_xlfn.XLOOKUP(Runge1[[#This Row],[Hebras]],TbTecnologia[Hebras],TbTecnologia[Tecnología])</f>
        <v>CUDA</v>
      </c>
      <c r="D69" s="5" t="str" cm="1">
        <f t="array" ref="D69">_xlfn.XLOOKUP(Runge1[[#This Row],[Tecnología]]&amp;Runge1[[#This Row],[Metodo]],TbTipos[Tecnología]&amp;TbTipos[Metodo],TbTipos[Tipo])</f>
        <v>CUDA con graph</v>
      </c>
      <c r="E69" s="5" t="str" cm="1">
        <f t="array" ref="E69">_xlfn.XLOOKUP(Runge1[[#This Row],[Tecnología]]&amp;Runge1[[#This Row],[Problema]],TbNombres[Tecnología]&amp;TbNombres[Problema],TbNombres[Nombre])</f>
        <v>Simple Advdiff</v>
      </c>
      <c r="F69" s="1">
        <v>2</v>
      </c>
      <c r="G69" s="1">
        <v>1</v>
      </c>
      <c r="H69" s="1">
        <v>256</v>
      </c>
      <c r="I69" s="1">
        <v>20000</v>
      </c>
      <c r="J69" s="1">
        <v>20000</v>
      </c>
      <c r="K69" s="1">
        <v>16.968599999999999</v>
      </c>
      <c r="M69" s="10" t="str">
        <f>_xlfn.XLOOKUP(Runge2[[#This Row],[Metodo]],TbSolver[Metodo],TbSolver[Solver])</f>
        <v>RungeKutta</v>
      </c>
      <c r="N69" s="10" t="str">
        <f>_xlfn.XLOOKUP(Runge2[[#This Row],[Hebras]],TbTecnologia[Hebras],TbTecnologia[Tecnología])</f>
        <v>CUDA</v>
      </c>
      <c r="O69" s="10" t="str" cm="1">
        <f t="array" ref="O69">_xlfn.XLOOKUP(Runge2[[#This Row],[Tecnología]]&amp;Runge2[[#This Row],[Metodo]],TbTipos[Tecnología]&amp;TbTipos[Metodo],TbTipos[Tipo])</f>
        <v>CUDA con graph</v>
      </c>
      <c r="P69" s="23" t="str" cm="1">
        <f t="array" ref="P69">_xlfn.XLOOKUP(Runge2[[#This Row],[Tecnología]]&amp;Runge2[[#This Row],[Problema]],TbNombres[Tecnología]&amp;TbNombres[Problema],TbNombres[Nombre])</f>
        <v>Advdiff1d</v>
      </c>
      <c r="Q69" s="9">
        <v>2</v>
      </c>
      <c r="R69" s="9">
        <v>3</v>
      </c>
      <c r="S69" s="9">
        <v>256</v>
      </c>
      <c r="T69" s="9">
        <v>20000</v>
      </c>
      <c r="U69" s="9">
        <v>20000</v>
      </c>
      <c r="V69" s="9">
        <v>48.682600000000001</v>
      </c>
      <c r="X69" s="6" t="str">
        <f>_xlfn.XLOOKUP(Runge3[[#This Row],[Metodo]],TbSolver[Metodo],TbSolver[Solver])</f>
        <v>RungeKutta</v>
      </c>
      <c r="Y69" s="6" t="str">
        <f>_xlfn.XLOOKUP(Runge3[[#This Row],[Hebras]],TbTecnologia[Hebras],TbTecnologia[Tecnología])</f>
        <v>CUDA</v>
      </c>
      <c r="Z69" s="2" t="str" cm="1">
        <f t="array" ref="Z69">_xlfn.XLOOKUP(Runge3[[#This Row],[Tecnología]]&amp;Runge3[[#This Row],[Metodo]],TbTipos[Tecnología]&amp;TbTipos[Metodo],TbTipos[Tipo])</f>
        <v>CUDA sin graph</v>
      </c>
      <c r="AA69" s="2" t="str" cm="1">
        <f t="array" ref="AA69">_xlfn.XLOOKUP(Runge3[[#This Row],[Tecnología]]&amp;Runge3[[#This Row],[Problema]],TbNombres[Tecnología]&amp;TbNombres[Problema],TbNombres[Nombre])</f>
        <v>Brusselator1d</v>
      </c>
      <c r="AB69" s="2">
        <v>1</v>
      </c>
      <c r="AC69" s="2">
        <v>5</v>
      </c>
      <c r="AD69" s="2">
        <v>256</v>
      </c>
      <c r="AE69" s="2">
        <v>50000</v>
      </c>
      <c r="AF69" s="2">
        <v>100000</v>
      </c>
      <c r="AG69" s="2">
        <v>43.403700000000001</v>
      </c>
    </row>
    <row r="70" spans="2:33" x14ac:dyDescent="0.2">
      <c r="B70" s="5" t="str">
        <f>_xlfn.XLOOKUP(Runge1[[#This Row],[Metodo]],TbSolver[Metodo],TbSolver[Solver])</f>
        <v>RungeKutta</v>
      </c>
      <c r="C70" s="5" t="str">
        <f>_xlfn.XLOOKUP(Runge1[[#This Row],[Hebras]],TbTecnologia[Hebras],TbTecnologia[Tecnología])</f>
        <v>CUDA</v>
      </c>
      <c r="D70" s="5" t="str" cm="1">
        <f t="array" ref="D70">_xlfn.XLOOKUP(Runge1[[#This Row],[Tecnología]]&amp;Runge1[[#This Row],[Metodo]],TbTipos[Tecnología]&amp;TbTipos[Metodo],TbTipos[Tipo])</f>
        <v>CUDA con graph</v>
      </c>
      <c r="E70" s="5" t="str" cm="1">
        <f t="array" ref="E70">_xlfn.XLOOKUP(Runge1[[#This Row],[Tecnología]]&amp;Runge1[[#This Row],[Problema]],TbNombres[Tecnología]&amp;TbNombres[Problema],TbNombres[Nombre])</f>
        <v>Simple Advdiff</v>
      </c>
      <c r="F70" s="1">
        <v>2</v>
      </c>
      <c r="G70" s="1">
        <v>1</v>
      </c>
      <c r="H70" s="1">
        <v>256</v>
      </c>
      <c r="I70" s="1">
        <v>50000</v>
      </c>
      <c r="J70" s="1">
        <v>50000</v>
      </c>
      <c r="K70" s="1">
        <v>21.761800000000001</v>
      </c>
      <c r="M70" s="10" t="str">
        <f>_xlfn.XLOOKUP(Runge2[[#This Row],[Metodo]],TbSolver[Metodo],TbSolver[Solver])</f>
        <v>RungeKutta</v>
      </c>
      <c r="N70" s="10" t="str">
        <f>_xlfn.XLOOKUP(Runge2[[#This Row],[Hebras]],TbTecnologia[Hebras],TbTecnologia[Tecnología])</f>
        <v>CUDA</v>
      </c>
      <c r="O70" s="10" t="str" cm="1">
        <f t="array" ref="O70">_xlfn.XLOOKUP(Runge2[[#This Row],[Tecnología]]&amp;Runge2[[#This Row],[Metodo]],TbTipos[Tecnología]&amp;TbTipos[Metodo],TbTipos[Tipo])</f>
        <v>CUDA con graph</v>
      </c>
      <c r="P70" s="23" t="str" cm="1">
        <f t="array" ref="P70">_xlfn.XLOOKUP(Runge2[[#This Row],[Tecnología]]&amp;Runge2[[#This Row],[Problema]],TbNombres[Tecnología]&amp;TbNombres[Problema],TbNombres[Nombre])</f>
        <v>Advdiff1d</v>
      </c>
      <c r="Q70" s="9">
        <v>2</v>
      </c>
      <c r="R70" s="9">
        <v>3</v>
      </c>
      <c r="S70" s="9">
        <v>256</v>
      </c>
      <c r="T70" s="9">
        <v>50000</v>
      </c>
      <c r="U70" s="9">
        <v>50000</v>
      </c>
      <c r="V70" s="9">
        <v>70.976600000000005</v>
      </c>
      <c r="X70" s="6" t="str">
        <f>_xlfn.XLOOKUP(Runge3[[#This Row],[Metodo]],TbSolver[Metodo],TbSolver[Solver])</f>
        <v>RungeKutta</v>
      </c>
      <c r="Y70" s="6" t="str">
        <f>_xlfn.XLOOKUP(Runge3[[#This Row],[Hebras]],TbTecnologia[Hebras],TbTecnologia[Tecnología])</f>
        <v>CUDA</v>
      </c>
      <c r="Z70" s="2" t="str" cm="1">
        <f t="array" ref="Z70">_xlfn.XLOOKUP(Runge3[[#This Row],[Tecnología]]&amp;Runge3[[#This Row],[Metodo]],TbTipos[Tecnología]&amp;TbTipos[Metodo],TbTipos[Tipo])</f>
        <v>CUDA sin graph</v>
      </c>
      <c r="AA70" s="2" t="str" cm="1">
        <f t="array" ref="AA70">_xlfn.XLOOKUP(Runge3[[#This Row],[Tecnología]]&amp;Runge3[[#This Row],[Problema]],TbNombres[Tecnología]&amp;TbNombres[Problema],TbNombres[Nombre])</f>
        <v>Brusselator1d</v>
      </c>
      <c r="AB70" s="2">
        <v>1</v>
      </c>
      <c r="AC70" s="2">
        <v>5</v>
      </c>
      <c r="AD70" s="2">
        <v>256</v>
      </c>
      <c r="AE70" s="2">
        <v>100000</v>
      </c>
      <c r="AF70" s="2">
        <v>200000</v>
      </c>
      <c r="AG70" s="2">
        <v>89.162099999999995</v>
      </c>
    </row>
    <row r="71" spans="2:33" x14ac:dyDescent="0.2">
      <c r="B71" s="5" t="str">
        <f>_xlfn.XLOOKUP(Runge1[[#This Row],[Metodo]],TbSolver[Metodo],TbSolver[Solver])</f>
        <v>RungeKutta</v>
      </c>
      <c r="C71" s="5" t="str">
        <f>_xlfn.XLOOKUP(Runge1[[#This Row],[Hebras]],TbTecnologia[Hebras],TbTecnologia[Tecnología])</f>
        <v>CUDA</v>
      </c>
      <c r="D71" s="5" t="str" cm="1">
        <f t="array" ref="D71">_xlfn.XLOOKUP(Runge1[[#This Row],[Tecnología]]&amp;Runge1[[#This Row],[Metodo]],TbTipos[Tecnología]&amp;TbTipos[Metodo],TbTipos[Tipo])</f>
        <v>CUDA con graph</v>
      </c>
      <c r="E71" s="5" t="str" cm="1">
        <f t="array" ref="E71">_xlfn.XLOOKUP(Runge1[[#This Row],[Tecnología]]&amp;Runge1[[#This Row],[Problema]],TbNombres[Tecnología]&amp;TbNombres[Problema],TbNombres[Nombre])</f>
        <v>Simple Advdiff</v>
      </c>
      <c r="F71" s="1">
        <v>2</v>
      </c>
      <c r="G71" s="1">
        <v>1</v>
      </c>
      <c r="H71" s="1">
        <v>256</v>
      </c>
      <c r="I71" s="1">
        <v>75000</v>
      </c>
      <c r="J71" s="1">
        <v>75000</v>
      </c>
      <c r="K71" s="1">
        <v>28.4298</v>
      </c>
      <c r="M71" s="10" t="str">
        <f>_xlfn.XLOOKUP(Runge2[[#This Row],[Metodo]],TbSolver[Metodo],TbSolver[Solver])</f>
        <v>RungeKutta</v>
      </c>
      <c r="N71" s="10" t="str">
        <f>_xlfn.XLOOKUP(Runge2[[#This Row],[Hebras]],TbTecnologia[Hebras],TbTecnologia[Tecnología])</f>
        <v>CUDA</v>
      </c>
      <c r="O71" s="10" t="str" cm="1">
        <f t="array" ref="O71">_xlfn.XLOOKUP(Runge2[[#This Row],[Tecnología]]&amp;Runge2[[#This Row],[Metodo]],TbTipos[Tecnología]&amp;TbTipos[Metodo],TbTipos[Tipo])</f>
        <v>CUDA con graph</v>
      </c>
      <c r="P71" s="23" t="str" cm="1">
        <f t="array" ref="P71">_xlfn.XLOOKUP(Runge2[[#This Row],[Tecnología]]&amp;Runge2[[#This Row],[Problema]],TbNombres[Tecnología]&amp;TbNombres[Problema],TbNombres[Nombre])</f>
        <v>Advdiff1d</v>
      </c>
      <c r="Q71" s="9">
        <v>2</v>
      </c>
      <c r="R71" s="9">
        <v>3</v>
      </c>
      <c r="S71" s="9">
        <v>256</v>
      </c>
      <c r="T71" s="9">
        <v>75000</v>
      </c>
      <c r="U71" s="9">
        <v>75000</v>
      </c>
      <c r="V71" s="9">
        <v>111.44499999999999</v>
      </c>
      <c r="X71" s="6" t="str">
        <f>_xlfn.XLOOKUP(Runge3[[#This Row],[Metodo]],TbSolver[Metodo],TbSolver[Solver])</f>
        <v>RungeKutta</v>
      </c>
      <c r="Y71" s="6" t="str">
        <f>_xlfn.XLOOKUP(Runge3[[#This Row],[Hebras]],TbTecnologia[Hebras],TbTecnologia[Tecnología])</f>
        <v>CUDA</v>
      </c>
      <c r="Z71" s="2" t="str" cm="1">
        <f t="array" ref="Z71">_xlfn.XLOOKUP(Runge3[[#This Row],[Tecnología]]&amp;Runge3[[#This Row],[Metodo]],TbTipos[Tecnología]&amp;TbTipos[Metodo],TbTipos[Tipo])</f>
        <v>CUDA sin graph</v>
      </c>
      <c r="AA71" s="2" t="str" cm="1">
        <f t="array" ref="AA71">_xlfn.XLOOKUP(Runge3[[#This Row],[Tecnología]]&amp;Runge3[[#This Row],[Problema]],TbNombres[Tecnología]&amp;TbNombres[Problema],TbNombres[Nombre])</f>
        <v>Brusselator1d</v>
      </c>
      <c r="AB71" s="2">
        <v>1</v>
      </c>
      <c r="AC71" s="2">
        <v>5</v>
      </c>
      <c r="AD71" s="2">
        <v>256</v>
      </c>
      <c r="AE71" s="2">
        <v>200000</v>
      </c>
      <c r="AF71" s="2">
        <v>400000</v>
      </c>
      <c r="AG71" s="2">
        <v>195.79300000000001</v>
      </c>
    </row>
    <row r="72" spans="2:33" x14ac:dyDescent="0.2">
      <c r="B72" s="5" t="str">
        <f>_xlfn.XLOOKUP(Runge1[[#This Row],[Metodo]],TbSolver[Metodo],TbSolver[Solver])</f>
        <v>RungeKutta</v>
      </c>
      <c r="C72" s="5" t="str">
        <f>_xlfn.XLOOKUP(Runge1[[#This Row],[Hebras]],TbTecnologia[Hebras],TbTecnologia[Tecnología])</f>
        <v>CUDA</v>
      </c>
      <c r="D72" s="5" t="str" cm="1">
        <f t="array" ref="D72">_xlfn.XLOOKUP(Runge1[[#This Row],[Tecnología]]&amp;Runge1[[#This Row],[Metodo]],TbTipos[Tecnología]&amp;TbTipos[Metodo],TbTipos[Tipo])</f>
        <v>CUDA con graph</v>
      </c>
      <c r="E72" s="5" t="str" cm="1">
        <f t="array" ref="E72">_xlfn.XLOOKUP(Runge1[[#This Row],[Tecnología]]&amp;Runge1[[#This Row],[Problema]],TbNombres[Tecnología]&amp;TbNombres[Problema],TbNombres[Nombre])</f>
        <v>Simple Advdiff</v>
      </c>
      <c r="F72" s="1">
        <v>2</v>
      </c>
      <c r="G72" s="1">
        <v>1</v>
      </c>
      <c r="H72" s="1">
        <v>256</v>
      </c>
      <c r="I72" s="1">
        <v>100000</v>
      </c>
      <c r="J72" s="1">
        <v>100000</v>
      </c>
      <c r="K72" s="1">
        <v>32.409700000000001</v>
      </c>
      <c r="M72" s="10" t="str">
        <f>_xlfn.XLOOKUP(Runge2[[#This Row],[Metodo]],TbSolver[Metodo],TbSolver[Solver])</f>
        <v>RungeKutta</v>
      </c>
      <c r="N72" s="10" t="str">
        <f>_xlfn.XLOOKUP(Runge2[[#This Row],[Hebras]],TbTecnologia[Hebras],TbTecnologia[Tecnología])</f>
        <v>CUDA</v>
      </c>
      <c r="O72" s="10" t="str" cm="1">
        <f t="array" ref="O72">_xlfn.XLOOKUP(Runge2[[#This Row],[Tecnología]]&amp;Runge2[[#This Row],[Metodo]],TbTipos[Tecnología]&amp;TbTipos[Metodo],TbTipos[Tipo])</f>
        <v>CUDA con graph</v>
      </c>
      <c r="P72" s="23" t="str" cm="1">
        <f t="array" ref="P72">_xlfn.XLOOKUP(Runge2[[#This Row],[Tecnología]]&amp;Runge2[[#This Row],[Problema]],TbNombres[Tecnología]&amp;TbNombres[Problema],TbNombres[Nombre])</f>
        <v>Advdiff1d</v>
      </c>
      <c r="Q72" s="9">
        <v>2</v>
      </c>
      <c r="R72" s="9">
        <v>3</v>
      </c>
      <c r="S72" s="9">
        <v>256</v>
      </c>
      <c r="T72" s="9">
        <v>100000</v>
      </c>
      <c r="U72" s="9">
        <v>100000</v>
      </c>
      <c r="V72" s="9">
        <v>132.828</v>
      </c>
      <c r="X72" s="7" t="str">
        <f>_xlfn.XLOOKUP(Runge3[[#This Row],[Metodo]],TbSolver[Metodo],TbSolver[Solver])</f>
        <v>RungeKutta</v>
      </c>
      <c r="Y72" s="7" t="str">
        <f>_xlfn.XLOOKUP(Runge3[[#This Row],[Hebras]],TbTecnologia[Hebras],TbTecnologia[Tecnología])</f>
        <v>CUDA</v>
      </c>
      <c r="Z72" s="7" t="str" cm="1">
        <f t="array" ref="Z72">_xlfn.XLOOKUP(Runge3[[#This Row],[Tecnología]]&amp;Runge3[[#This Row],[Metodo]],TbTipos[Tecnología]&amp;TbTipos[Metodo],TbTipos[Tipo])</f>
        <v>CUDA sin graph</v>
      </c>
      <c r="AA72" s="14" t="str" cm="1">
        <f t="array" ref="AA72">_xlfn.XLOOKUP(Runge3[[#This Row],[Tecnología]]&amp;Runge3[[#This Row],[Problema]],TbNombres[Tecnología]&amp;TbNombres[Problema],TbNombres[Nombre])</f>
        <v>Brusselator1d</v>
      </c>
      <c r="AB72" s="6">
        <v>1</v>
      </c>
      <c r="AC72" s="6">
        <v>5</v>
      </c>
      <c r="AD72" s="6">
        <v>256</v>
      </c>
      <c r="AE72" s="6">
        <v>75000</v>
      </c>
      <c r="AF72" s="6">
        <v>150000</v>
      </c>
      <c r="AG72" s="6">
        <v>66.495599999999996</v>
      </c>
    </row>
    <row r="73" spans="2:33" x14ac:dyDescent="0.2">
      <c r="B73" s="5" t="str">
        <f>_xlfn.XLOOKUP(Runge1[[#This Row],[Metodo]],TbSolver[Metodo],TbSolver[Solver])</f>
        <v>RungeKutta</v>
      </c>
      <c r="C73" s="5" t="str">
        <f>_xlfn.XLOOKUP(Runge1[[#This Row],[Hebras]],TbTecnologia[Hebras],TbTecnologia[Tecnología])</f>
        <v>CUDA</v>
      </c>
      <c r="D73" s="5" t="str" cm="1">
        <f t="array" ref="D73">_xlfn.XLOOKUP(Runge1[[#This Row],[Tecnología]]&amp;Runge1[[#This Row],[Metodo]],TbTipos[Tecnología]&amp;TbTipos[Metodo],TbTipos[Tipo])</f>
        <v>CUDA con graph</v>
      </c>
      <c r="E73" s="5" t="str" cm="1">
        <f t="array" ref="E73">_xlfn.XLOOKUP(Runge1[[#This Row],[Tecnología]]&amp;Runge1[[#This Row],[Problema]],TbNombres[Tecnología]&amp;TbNombres[Problema],TbNombres[Nombre])</f>
        <v>Simple Advdiff</v>
      </c>
      <c r="F73" s="1">
        <v>2</v>
      </c>
      <c r="G73" s="1">
        <v>1</v>
      </c>
      <c r="H73" s="1">
        <v>256</v>
      </c>
      <c r="I73" s="1">
        <v>150000</v>
      </c>
      <c r="J73" s="1">
        <v>150000</v>
      </c>
      <c r="K73" s="1">
        <v>50.311100000000003</v>
      </c>
      <c r="M73" s="10" t="str">
        <f>_xlfn.XLOOKUP(Runge2[[#This Row],[Metodo]],TbSolver[Metodo],TbSolver[Solver])</f>
        <v>RungeKutta</v>
      </c>
      <c r="N73" s="10" t="str">
        <f>_xlfn.XLOOKUP(Runge2[[#This Row],[Hebras]],TbTecnologia[Hebras],TbTecnologia[Tecnología])</f>
        <v>CUDA</v>
      </c>
      <c r="O73" s="10" t="str" cm="1">
        <f t="array" ref="O73">_xlfn.XLOOKUP(Runge2[[#This Row],[Tecnología]]&amp;Runge2[[#This Row],[Metodo]],TbTipos[Tecnología]&amp;TbTipos[Metodo],TbTipos[Tipo])</f>
        <v>CUDA con graph</v>
      </c>
      <c r="P73" s="23" t="str" cm="1">
        <f t="array" ref="P73">_xlfn.XLOOKUP(Runge2[[#This Row],[Tecnología]]&amp;Runge2[[#This Row],[Problema]],TbNombres[Tecnología]&amp;TbNombres[Problema],TbNombres[Nombre])</f>
        <v>Advdiff1d</v>
      </c>
      <c r="Q73" s="9">
        <v>2</v>
      </c>
      <c r="R73" s="9">
        <v>3</v>
      </c>
      <c r="S73" s="9">
        <v>256</v>
      </c>
      <c r="T73" s="9">
        <v>150000</v>
      </c>
      <c r="U73" s="9">
        <v>150000</v>
      </c>
      <c r="V73" s="9">
        <v>201.69</v>
      </c>
      <c r="X73" s="7" t="str">
        <f>_xlfn.XLOOKUP(Runge3[[#This Row],[Metodo]],TbSolver[Metodo],TbSolver[Solver])</f>
        <v>RungeKutta</v>
      </c>
      <c r="Y73" s="7" t="str">
        <f>_xlfn.XLOOKUP(Runge3[[#This Row],[Hebras]],TbTecnologia[Hebras],TbTecnologia[Tecnología])</f>
        <v>CUDA</v>
      </c>
      <c r="Z73" s="7" t="str" cm="1">
        <f t="array" ref="Z73">_xlfn.XLOOKUP(Runge3[[#This Row],[Tecnología]]&amp;Runge3[[#This Row],[Metodo]],TbTipos[Tecnología]&amp;TbTipos[Metodo],TbTipos[Tipo])</f>
        <v>CUDA sin graph</v>
      </c>
      <c r="AA73" s="14" t="str" cm="1">
        <f t="array" ref="AA73">_xlfn.XLOOKUP(Runge3[[#This Row],[Tecnología]]&amp;Runge3[[#This Row],[Problema]],TbNombres[Tecnología]&amp;TbNombres[Problema],TbNombres[Nombre])</f>
        <v>Brusselator1d</v>
      </c>
      <c r="AB73" s="6">
        <v>1</v>
      </c>
      <c r="AC73" s="6">
        <v>5</v>
      </c>
      <c r="AD73" s="6">
        <v>256</v>
      </c>
      <c r="AE73" s="6">
        <v>150000</v>
      </c>
      <c r="AF73" s="6">
        <v>300000</v>
      </c>
      <c r="AG73" s="6">
        <v>141.374</v>
      </c>
    </row>
    <row r="74" spans="2:33" x14ac:dyDescent="0.2">
      <c r="B74" s="5" t="str">
        <f>_xlfn.XLOOKUP(Runge1[[#This Row],[Metodo]],TbSolver[Metodo],TbSolver[Solver])</f>
        <v>RungeKutta</v>
      </c>
      <c r="C74" s="5" t="str">
        <f>_xlfn.XLOOKUP(Runge1[[#This Row],[Hebras]],TbTecnologia[Hebras],TbTecnologia[Tecnología])</f>
        <v>CUDA</v>
      </c>
      <c r="D74" s="5" t="str" cm="1">
        <f t="array" ref="D74">_xlfn.XLOOKUP(Runge1[[#This Row],[Tecnología]]&amp;Runge1[[#This Row],[Metodo]],TbTipos[Tecnología]&amp;TbTipos[Metodo],TbTipos[Tipo])</f>
        <v>CUDA con graph</v>
      </c>
      <c r="E74" s="5" t="str" cm="1">
        <f t="array" ref="E74">_xlfn.XLOOKUP(Runge1[[#This Row],[Tecnología]]&amp;Runge1[[#This Row],[Problema]],TbNombres[Tecnología]&amp;TbNombres[Problema],TbNombres[Nombre])</f>
        <v>Simple Advdiff</v>
      </c>
      <c r="F74" s="1">
        <v>2</v>
      </c>
      <c r="G74" s="1">
        <v>1</v>
      </c>
      <c r="H74" s="1">
        <v>256</v>
      </c>
      <c r="I74" s="1">
        <v>200000</v>
      </c>
      <c r="J74" s="1">
        <v>200000</v>
      </c>
      <c r="K74" s="1">
        <v>68.772999999999996</v>
      </c>
      <c r="M74" s="10" t="str">
        <f>_xlfn.XLOOKUP(Runge2[[#This Row],[Metodo]],TbSolver[Metodo],TbSolver[Solver])</f>
        <v>RungeKutta</v>
      </c>
      <c r="N74" s="10" t="str">
        <f>_xlfn.XLOOKUP(Runge2[[#This Row],[Hebras]],TbTecnologia[Hebras],TbTecnologia[Tecnología])</f>
        <v>CUDA</v>
      </c>
      <c r="O74" s="10" t="str" cm="1">
        <f t="array" ref="O74">_xlfn.XLOOKUP(Runge2[[#This Row],[Tecnología]]&amp;Runge2[[#This Row],[Metodo]],TbTipos[Tecnología]&amp;TbTipos[Metodo],TbTipos[Tipo])</f>
        <v>CUDA con graph</v>
      </c>
      <c r="P74" s="23" t="str" cm="1">
        <f t="array" ref="P74">_xlfn.XLOOKUP(Runge2[[#This Row],[Tecnología]]&amp;Runge2[[#This Row],[Problema]],TbNombres[Tecnología]&amp;TbNombres[Problema],TbNombres[Nombre])</f>
        <v>Advdiff1d</v>
      </c>
      <c r="Q74" s="9">
        <v>2</v>
      </c>
      <c r="R74" s="9">
        <v>3</v>
      </c>
      <c r="S74" s="9">
        <v>256</v>
      </c>
      <c r="T74" s="9">
        <v>200000</v>
      </c>
      <c r="U74" s="9">
        <v>200000</v>
      </c>
      <c r="V74" s="9">
        <v>269.69499999999999</v>
      </c>
      <c r="X74" s="7" t="str">
        <f>_xlfn.XLOOKUP(Runge3[[#This Row],[Metodo]],TbSolver[Metodo],TbSolver[Solver])</f>
        <v>RungeKutta</v>
      </c>
      <c r="Y74" s="7" t="str">
        <f>_xlfn.XLOOKUP(Runge3[[#This Row],[Hebras]],TbTecnologia[Hebras],TbTecnologia[Tecnología])</f>
        <v>CUDA</v>
      </c>
      <c r="Z74" s="7" t="str" cm="1">
        <f t="array" ref="Z74">_xlfn.XLOOKUP(Runge3[[#This Row],[Tecnología]]&amp;Runge3[[#This Row],[Metodo]],TbTipos[Tecnología]&amp;TbTipos[Metodo],TbTipos[Tipo])</f>
        <v>CUDA sin graph</v>
      </c>
      <c r="AA74" s="14" t="str" cm="1">
        <f t="array" ref="AA74">_xlfn.XLOOKUP(Runge3[[#This Row],[Tecnología]]&amp;Runge3[[#This Row],[Problema]],TbNombres[Tecnología]&amp;TbNombres[Problema],TbNombres[Nombre])</f>
        <v>Brusselator1d</v>
      </c>
      <c r="AB74" s="6">
        <v>1</v>
      </c>
      <c r="AC74" s="6">
        <v>5</v>
      </c>
      <c r="AD74" s="6">
        <v>256</v>
      </c>
      <c r="AE74" s="6">
        <v>250000</v>
      </c>
      <c r="AF74" s="6">
        <v>500000</v>
      </c>
      <c r="AG74" s="6">
        <v>246.38900000000001</v>
      </c>
    </row>
    <row r="75" spans="2:33" x14ac:dyDescent="0.2">
      <c r="B75" s="5" t="str">
        <f>_xlfn.XLOOKUP(Runge1[[#This Row],[Metodo]],TbSolver[Metodo],TbSolver[Solver])</f>
        <v>RungeKutta</v>
      </c>
      <c r="C75" s="5" t="str">
        <f>_xlfn.XLOOKUP(Runge1[[#This Row],[Hebras]],TbTecnologia[Hebras],TbTecnologia[Tecnología])</f>
        <v>CUDA</v>
      </c>
      <c r="D75" s="5" t="str" cm="1">
        <f t="array" ref="D75">_xlfn.XLOOKUP(Runge1[[#This Row],[Tecnología]]&amp;Runge1[[#This Row],[Metodo]],TbTipos[Tecnología]&amp;TbTipos[Metodo],TbTipos[Tipo])</f>
        <v>CUDA con graph</v>
      </c>
      <c r="E75" s="5" t="str" cm="1">
        <f t="array" ref="E75">_xlfn.XLOOKUP(Runge1[[#This Row],[Tecnología]]&amp;Runge1[[#This Row],[Problema]],TbNombres[Tecnología]&amp;TbNombres[Problema],TbNombres[Nombre])</f>
        <v>Simple Advdiff</v>
      </c>
      <c r="F75" s="1">
        <v>2</v>
      </c>
      <c r="G75" s="1">
        <v>1</v>
      </c>
      <c r="H75" s="1">
        <v>256</v>
      </c>
      <c r="I75" s="1">
        <v>250000</v>
      </c>
      <c r="J75" s="1">
        <v>250000</v>
      </c>
      <c r="K75" s="1">
        <v>90.616900000000001</v>
      </c>
      <c r="M75" s="10" t="str">
        <f>_xlfn.XLOOKUP(Runge2[[#This Row],[Metodo]],TbSolver[Metodo],TbSolver[Solver])</f>
        <v>RungeKutta</v>
      </c>
      <c r="N75" s="10" t="str">
        <f>_xlfn.XLOOKUP(Runge2[[#This Row],[Hebras]],TbTecnologia[Hebras],TbTecnologia[Tecnología])</f>
        <v>CUDA</v>
      </c>
      <c r="O75" s="10" t="str" cm="1">
        <f t="array" ref="O75">_xlfn.XLOOKUP(Runge2[[#This Row],[Tecnología]]&amp;Runge2[[#This Row],[Metodo]],TbTipos[Tecnología]&amp;TbTipos[Metodo],TbTipos[Tipo])</f>
        <v>CUDA con graph</v>
      </c>
      <c r="P75" s="23" t="str" cm="1">
        <f t="array" ref="P75">_xlfn.XLOOKUP(Runge2[[#This Row],[Tecnología]]&amp;Runge2[[#This Row],[Problema]],TbNombres[Tecnología]&amp;TbNombres[Problema],TbNombres[Nombre])</f>
        <v>Advdiff1d</v>
      </c>
      <c r="Q75" s="9">
        <v>2</v>
      </c>
      <c r="R75" s="9">
        <v>3</v>
      </c>
      <c r="S75" s="9">
        <v>256</v>
      </c>
      <c r="T75" s="9">
        <v>250000</v>
      </c>
      <c r="U75" s="9">
        <v>250000</v>
      </c>
      <c r="V75" s="9">
        <v>340.43</v>
      </c>
      <c r="X75" s="7" t="str">
        <f>_xlfn.XLOOKUP(Runge3[[#This Row],[Metodo]],TbSolver[Metodo],TbSolver[Solver])</f>
        <v>RungeKutta</v>
      </c>
      <c r="Y75" s="7" t="str">
        <f>_xlfn.XLOOKUP(Runge3[[#This Row],[Hebras]],TbTecnologia[Hebras],TbTecnologia[Tecnología])</f>
        <v>CUDA</v>
      </c>
      <c r="Z75" s="7" t="str" cm="1">
        <f t="array" ref="Z75">_xlfn.XLOOKUP(Runge3[[#This Row],[Tecnología]]&amp;Runge3[[#This Row],[Metodo]],TbTipos[Tecnología]&amp;TbTipos[Metodo],TbTipos[Tipo])</f>
        <v>CUDA sin graph</v>
      </c>
      <c r="AA75" s="14" t="str" cm="1">
        <f t="array" ref="AA75">_xlfn.XLOOKUP(Runge3[[#This Row],[Tecnología]]&amp;Runge3[[#This Row],[Problema]],TbNombres[Tecnología]&amp;TbNombres[Problema],TbNombres[Nombre])</f>
        <v>Brusselator1d</v>
      </c>
      <c r="AB75" s="6">
        <v>1</v>
      </c>
      <c r="AC75" s="6">
        <v>5</v>
      </c>
      <c r="AD75" s="6">
        <v>256</v>
      </c>
      <c r="AE75" s="6">
        <v>300000</v>
      </c>
      <c r="AF75" s="6">
        <v>600000</v>
      </c>
      <c r="AG75" s="6">
        <v>291.95100000000002</v>
      </c>
    </row>
    <row r="76" spans="2:33" x14ac:dyDescent="0.2">
      <c r="B76" s="5" t="str">
        <f>_xlfn.XLOOKUP(Runge1[[#This Row],[Metodo]],TbSolver[Metodo],TbSolver[Solver])</f>
        <v>RungeKutta</v>
      </c>
      <c r="C76" s="5" t="str">
        <f>_xlfn.XLOOKUP(Runge1[[#This Row],[Hebras]],TbTecnologia[Hebras],TbTecnologia[Tecnología])</f>
        <v>CUDA</v>
      </c>
      <c r="D76" s="5" t="str" cm="1">
        <f t="array" ref="D76">_xlfn.XLOOKUP(Runge1[[#This Row],[Tecnología]]&amp;Runge1[[#This Row],[Metodo]],TbTipos[Tecnología]&amp;TbTipos[Metodo],TbTipos[Tipo])</f>
        <v>CUDA con graph</v>
      </c>
      <c r="E76" s="5" t="str" cm="1">
        <f t="array" ref="E76">_xlfn.XLOOKUP(Runge1[[#This Row],[Tecnología]]&amp;Runge1[[#This Row],[Problema]],TbNombres[Tecnología]&amp;TbNombres[Problema],TbNombres[Nombre])</f>
        <v>Simple Advdiff</v>
      </c>
      <c r="F76" s="1">
        <v>2</v>
      </c>
      <c r="G76" s="1">
        <v>1</v>
      </c>
      <c r="H76" s="1">
        <v>256</v>
      </c>
      <c r="I76" s="1">
        <v>300000</v>
      </c>
      <c r="J76" s="1">
        <v>300000</v>
      </c>
      <c r="K76" s="1">
        <v>109.379</v>
      </c>
      <c r="M76" s="10" t="str">
        <f>_xlfn.XLOOKUP(Runge2[[#This Row],[Metodo]],TbSolver[Metodo],TbSolver[Solver])</f>
        <v>RungeKutta</v>
      </c>
      <c r="N76" s="10" t="str">
        <f>_xlfn.XLOOKUP(Runge2[[#This Row],[Hebras]],TbTecnologia[Hebras],TbTecnologia[Tecnología])</f>
        <v>CUDA</v>
      </c>
      <c r="O76" s="10" t="str" cm="1">
        <f t="array" ref="O76">_xlfn.XLOOKUP(Runge2[[#This Row],[Tecnología]]&amp;Runge2[[#This Row],[Metodo]],TbTipos[Tecnología]&amp;TbTipos[Metodo],TbTipos[Tipo])</f>
        <v>CUDA con graph</v>
      </c>
      <c r="P76" s="23" t="str" cm="1">
        <f t="array" ref="P76">_xlfn.XLOOKUP(Runge2[[#This Row],[Tecnología]]&amp;Runge2[[#This Row],[Problema]],TbNombres[Tecnología]&amp;TbNombres[Problema],TbNombres[Nombre])</f>
        <v>Advdiff1d</v>
      </c>
      <c r="Q76" s="9">
        <v>2</v>
      </c>
      <c r="R76" s="9">
        <v>3</v>
      </c>
      <c r="S76" s="9">
        <v>256</v>
      </c>
      <c r="T76" s="9">
        <v>300000</v>
      </c>
      <c r="U76" s="9">
        <v>300000</v>
      </c>
      <c r="V76" s="9">
        <v>412.34100000000001</v>
      </c>
      <c r="X76" s="7" t="str">
        <f>_xlfn.XLOOKUP(Runge3[[#This Row],[Metodo]],TbSolver[Metodo],TbSolver[Solver])</f>
        <v>RungeKutta</v>
      </c>
      <c r="Y76" s="7" t="str">
        <f>_xlfn.XLOOKUP(Runge3[[#This Row],[Hebras]],TbTecnologia[Hebras],TbTecnologia[Tecnología])</f>
        <v>CUDA</v>
      </c>
      <c r="Z76" s="7" t="str" cm="1">
        <f t="array" ref="Z76">_xlfn.XLOOKUP(Runge3[[#This Row],[Tecnología]]&amp;Runge3[[#This Row],[Metodo]],TbTipos[Tecnología]&amp;TbTipos[Metodo],TbTipos[Tipo])</f>
        <v>CUDA sin graph</v>
      </c>
      <c r="AA76" s="14" t="str" cm="1">
        <f t="array" ref="AA76">_xlfn.XLOOKUP(Runge3[[#This Row],[Tecnología]]&amp;Runge3[[#This Row],[Problema]],TbNombres[Tecnología]&amp;TbNombres[Problema],TbNombres[Nombre])</f>
        <v>Brusselator1d</v>
      </c>
      <c r="AB76" s="6">
        <v>1</v>
      </c>
      <c r="AC76" s="6">
        <v>5</v>
      </c>
      <c r="AD76" s="6">
        <v>256</v>
      </c>
      <c r="AE76" s="6">
        <v>350000</v>
      </c>
      <c r="AF76" s="6">
        <v>700000</v>
      </c>
      <c r="AG76" s="6">
        <v>335.23500000000001</v>
      </c>
    </row>
    <row r="77" spans="2:33" x14ac:dyDescent="0.2">
      <c r="B77" s="5" t="str">
        <f>_xlfn.XLOOKUP(Runge1[[#This Row],[Metodo]],TbSolver[Metodo],TbSolver[Solver])</f>
        <v>RungeKutta</v>
      </c>
      <c r="C77" s="5" t="str">
        <f>_xlfn.XLOOKUP(Runge1[[#This Row],[Hebras]],TbTecnologia[Hebras],TbTecnologia[Tecnología])</f>
        <v>CUDA</v>
      </c>
      <c r="D77" s="5" t="str" cm="1">
        <f t="array" ref="D77">_xlfn.XLOOKUP(Runge1[[#This Row],[Tecnología]]&amp;Runge1[[#This Row],[Metodo]],TbTipos[Tecnología]&amp;TbTipos[Metodo],TbTipos[Tipo])</f>
        <v>CUDA con graph</v>
      </c>
      <c r="E77" s="5" t="str" cm="1">
        <f t="array" ref="E77">_xlfn.XLOOKUP(Runge1[[#This Row],[Tecnología]]&amp;Runge1[[#This Row],[Problema]],TbNombres[Tecnología]&amp;TbNombres[Problema],TbNombres[Nombre])</f>
        <v>Simple Advdiff</v>
      </c>
      <c r="F77" s="1">
        <v>2</v>
      </c>
      <c r="G77" s="1">
        <v>1</v>
      </c>
      <c r="H77" s="1">
        <v>256</v>
      </c>
      <c r="I77" s="1">
        <v>350000</v>
      </c>
      <c r="J77" s="1">
        <v>350000</v>
      </c>
      <c r="K77" s="1">
        <v>132.48500000000001</v>
      </c>
      <c r="M77" s="10" t="str">
        <f>_xlfn.XLOOKUP(Runge2[[#This Row],[Metodo]],TbSolver[Metodo],TbSolver[Solver])</f>
        <v>RungeKutta</v>
      </c>
      <c r="N77" s="10" t="str">
        <f>_xlfn.XLOOKUP(Runge2[[#This Row],[Hebras]],TbTecnologia[Hebras],TbTecnologia[Tecnología])</f>
        <v>CUDA</v>
      </c>
      <c r="O77" s="10" t="str" cm="1">
        <f t="array" ref="O77">_xlfn.XLOOKUP(Runge2[[#This Row],[Tecnología]]&amp;Runge2[[#This Row],[Metodo]],TbTipos[Tecnología]&amp;TbTipos[Metodo],TbTipos[Tipo])</f>
        <v>CUDA con graph</v>
      </c>
      <c r="P77" s="23" t="str" cm="1">
        <f t="array" ref="P77">_xlfn.XLOOKUP(Runge2[[#This Row],[Tecnología]]&amp;Runge2[[#This Row],[Problema]],TbNombres[Tecnología]&amp;TbNombres[Problema],TbNombres[Nombre])</f>
        <v>Advdiff1d</v>
      </c>
      <c r="Q77" s="9">
        <v>2</v>
      </c>
      <c r="R77" s="9">
        <v>3</v>
      </c>
      <c r="S77" s="9">
        <v>256</v>
      </c>
      <c r="T77" s="9">
        <v>350000</v>
      </c>
      <c r="U77" s="9">
        <v>350000</v>
      </c>
      <c r="V77" s="9">
        <v>485.90699999999998</v>
      </c>
      <c r="X77" s="7" t="str">
        <f>_xlfn.XLOOKUP(Runge3[[#This Row],[Metodo]],TbSolver[Metodo],TbSolver[Solver])</f>
        <v>RungeKutta</v>
      </c>
      <c r="Y77" s="7" t="str">
        <f>_xlfn.XLOOKUP(Runge3[[#This Row],[Hebras]],TbTecnologia[Hebras],TbTecnologia[Tecnología])</f>
        <v>CUDA</v>
      </c>
      <c r="Z77" s="7" t="str" cm="1">
        <f t="array" ref="Z77">_xlfn.XLOOKUP(Runge3[[#This Row],[Tecnología]]&amp;Runge3[[#This Row],[Metodo]],TbTipos[Tecnología]&amp;TbTipos[Metodo],TbTipos[Tipo])</f>
        <v>CUDA sin graph</v>
      </c>
      <c r="AA77" s="14" t="str" cm="1">
        <f t="array" ref="AA77">_xlfn.XLOOKUP(Runge3[[#This Row],[Tecnología]]&amp;Runge3[[#This Row],[Problema]],TbNombres[Tecnología]&amp;TbNombres[Problema],TbNombres[Nombre])</f>
        <v>Brusselator1d</v>
      </c>
      <c r="AB77" s="6">
        <v>1</v>
      </c>
      <c r="AC77" s="6">
        <v>5</v>
      </c>
      <c r="AD77" s="6">
        <v>256</v>
      </c>
      <c r="AE77" s="6">
        <v>400000</v>
      </c>
      <c r="AF77" s="6">
        <v>800000</v>
      </c>
      <c r="AG77" s="6">
        <v>379.27300000000002</v>
      </c>
    </row>
    <row r="78" spans="2:33" x14ac:dyDescent="0.2">
      <c r="B78" s="5" t="str">
        <f>_xlfn.XLOOKUP(Runge1[[#This Row],[Metodo]],TbSolver[Metodo],TbSolver[Solver])</f>
        <v>RungeKutta</v>
      </c>
      <c r="C78" s="5" t="str">
        <f>_xlfn.XLOOKUP(Runge1[[#This Row],[Hebras]],TbTecnologia[Hebras],TbTecnologia[Tecnología])</f>
        <v>CUDA</v>
      </c>
      <c r="D78" s="5" t="str" cm="1">
        <f t="array" ref="D78">_xlfn.XLOOKUP(Runge1[[#This Row],[Tecnología]]&amp;Runge1[[#This Row],[Metodo]],TbTipos[Tecnología]&amp;TbTipos[Metodo],TbTipos[Tipo])</f>
        <v>CUDA con graph</v>
      </c>
      <c r="E78" s="5" t="str" cm="1">
        <f t="array" ref="E78">_xlfn.XLOOKUP(Runge1[[#This Row],[Tecnología]]&amp;Runge1[[#This Row],[Problema]],TbNombres[Tecnología]&amp;TbNombres[Problema],TbNombres[Nombre])</f>
        <v>Simple Advdiff</v>
      </c>
      <c r="F78" s="1">
        <v>2</v>
      </c>
      <c r="G78" s="1">
        <v>1</v>
      </c>
      <c r="H78" s="1">
        <v>256</v>
      </c>
      <c r="I78" s="1">
        <v>400000</v>
      </c>
      <c r="J78" s="1">
        <v>400000</v>
      </c>
      <c r="K78" s="1">
        <v>154.892</v>
      </c>
      <c r="M78" s="10" t="str">
        <f>_xlfn.XLOOKUP(Runge2[[#This Row],[Metodo]],TbSolver[Metodo],TbSolver[Solver])</f>
        <v>RungeKutta</v>
      </c>
      <c r="N78" s="10" t="str">
        <f>_xlfn.XLOOKUP(Runge2[[#This Row],[Hebras]],TbTecnologia[Hebras],TbTecnologia[Tecnología])</f>
        <v>CUDA</v>
      </c>
      <c r="O78" s="10" t="str" cm="1">
        <f t="array" ref="O78">_xlfn.XLOOKUP(Runge2[[#This Row],[Tecnología]]&amp;Runge2[[#This Row],[Metodo]],TbTipos[Tecnología]&amp;TbTipos[Metodo],TbTipos[Tipo])</f>
        <v>CUDA con graph</v>
      </c>
      <c r="P78" s="23" t="str" cm="1">
        <f t="array" ref="P78">_xlfn.XLOOKUP(Runge2[[#This Row],[Tecnología]]&amp;Runge2[[#This Row],[Problema]],TbNombres[Tecnología]&amp;TbNombres[Problema],TbNombres[Nombre])</f>
        <v>Advdiff1d</v>
      </c>
      <c r="Q78" s="9">
        <v>2</v>
      </c>
      <c r="R78" s="9">
        <v>3</v>
      </c>
      <c r="S78" s="9">
        <v>256</v>
      </c>
      <c r="T78" s="9">
        <v>400000</v>
      </c>
      <c r="U78" s="9">
        <v>400000</v>
      </c>
      <c r="V78" s="9">
        <v>544.51099999999997</v>
      </c>
      <c r="X78" s="7" t="str">
        <f>_xlfn.XLOOKUP(Runge3[[#This Row],[Metodo]],TbSolver[Metodo],TbSolver[Solver])</f>
        <v>RungeKutta</v>
      </c>
      <c r="Y78" s="7" t="str">
        <f>_xlfn.XLOOKUP(Runge3[[#This Row],[Hebras]],TbTecnologia[Hebras],TbTecnologia[Tecnología])</f>
        <v>CUDA</v>
      </c>
      <c r="Z78" s="7" t="str" cm="1">
        <f t="array" ref="Z78">_xlfn.XLOOKUP(Runge3[[#This Row],[Tecnología]]&amp;Runge3[[#This Row],[Metodo]],TbTipos[Tecnología]&amp;TbTipos[Metodo],TbTipos[Tipo])</f>
        <v>CUDA sin graph</v>
      </c>
      <c r="AA78" s="14" t="str" cm="1">
        <f t="array" ref="AA78">_xlfn.XLOOKUP(Runge3[[#This Row],[Tecnología]]&amp;Runge3[[#This Row],[Problema]],TbNombres[Tecnología]&amp;TbNombres[Problema],TbNombres[Nombre])</f>
        <v>Brusselator1d</v>
      </c>
      <c r="AB78" s="6">
        <v>1</v>
      </c>
      <c r="AC78" s="6">
        <v>5</v>
      </c>
      <c r="AD78" s="6">
        <v>256</v>
      </c>
      <c r="AE78" s="6">
        <v>450000</v>
      </c>
      <c r="AF78" s="6">
        <v>900000</v>
      </c>
      <c r="AG78" s="6">
        <v>423.52100000000002</v>
      </c>
    </row>
    <row r="79" spans="2:33" x14ac:dyDescent="0.2">
      <c r="B79" s="5" t="str">
        <f>_xlfn.XLOOKUP(Runge1[[#This Row],[Metodo]],TbSolver[Metodo],TbSolver[Solver])</f>
        <v>RungeKutta</v>
      </c>
      <c r="C79" s="5" t="str">
        <f>_xlfn.XLOOKUP(Runge1[[#This Row],[Hebras]],TbTecnologia[Hebras],TbTecnologia[Tecnología])</f>
        <v>CUDA</v>
      </c>
      <c r="D79" s="5" t="str" cm="1">
        <f t="array" ref="D79">_xlfn.XLOOKUP(Runge1[[#This Row],[Tecnología]]&amp;Runge1[[#This Row],[Metodo]],TbTipos[Tecnología]&amp;TbTipos[Metodo],TbTipos[Tipo])</f>
        <v>CUDA con graph</v>
      </c>
      <c r="E79" s="5" t="str" cm="1">
        <f t="array" ref="E79">_xlfn.XLOOKUP(Runge1[[#This Row],[Tecnología]]&amp;Runge1[[#This Row],[Problema]],TbNombres[Tecnología]&amp;TbNombres[Problema],TbNombres[Nombre])</f>
        <v>Simple Advdiff</v>
      </c>
      <c r="F79" s="1">
        <v>2</v>
      </c>
      <c r="G79" s="1">
        <v>1</v>
      </c>
      <c r="H79" s="1">
        <v>256</v>
      </c>
      <c r="I79" s="1">
        <v>450000</v>
      </c>
      <c r="J79" s="1">
        <v>450000</v>
      </c>
      <c r="K79" s="1">
        <v>180.83099999999999</v>
      </c>
      <c r="M79" s="10" t="str">
        <f>_xlfn.XLOOKUP(Runge2[[#This Row],[Metodo]],TbSolver[Metodo],TbSolver[Solver])</f>
        <v>RungeKutta</v>
      </c>
      <c r="N79" s="10" t="str">
        <f>_xlfn.XLOOKUP(Runge2[[#This Row],[Hebras]],TbTecnologia[Hebras],TbTecnologia[Tecnología])</f>
        <v>CUDA</v>
      </c>
      <c r="O79" s="10" t="str" cm="1">
        <f t="array" ref="O79">_xlfn.XLOOKUP(Runge2[[#This Row],[Tecnología]]&amp;Runge2[[#This Row],[Metodo]],TbTipos[Tecnología]&amp;TbTipos[Metodo],TbTipos[Tipo])</f>
        <v>CUDA con graph</v>
      </c>
      <c r="P79" s="23" t="str" cm="1">
        <f t="array" ref="P79">_xlfn.XLOOKUP(Runge2[[#This Row],[Tecnología]]&amp;Runge2[[#This Row],[Problema]],TbNombres[Tecnología]&amp;TbNombres[Problema],TbNombres[Nombre])</f>
        <v>Advdiff1d</v>
      </c>
      <c r="Q79" s="9">
        <v>2</v>
      </c>
      <c r="R79" s="9">
        <v>3</v>
      </c>
      <c r="S79" s="9">
        <v>256</v>
      </c>
      <c r="T79" s="9">
        <v>450000</v>
      </c>
      <c r="U79" s="9">
        <v>450000</v>
      </c>
      <c r="V79" s="9">
        <v>618.33900000000006</v>
      </c>
      <c r="X79" s="7" t="str">
        <f>_xlfn.XLOOKUP(Runge3[[#This Row],[Metodo]],TbSolver[Metodo],TbSolver[Solver])</f>
        <v>RungeKutta</v>
      </c>
      <c r="Y79" s="7" t="str">
        <f>_xlfn.XLOOKUP(Runge3[[#This Row],[Hebras]],TbTecnologia[Hebras],TbTecnologia[Tecnología])</f>
        <v>CUDA</v>
      </c>
      <c r="Z79" s="7" t="str" cm="1">
        <f t="array" ref="Z79">_xlfn.XLOOKUP(Runge3[[#This Row],[Tecnología]]&amp;Runge3[[#This Row],[Metodo]],TbTipos[Tecnología]&amp;TbTipos[Metodo],TbTipos[Tipo])</f>
        <v>CUDA sin graph</v>
      </c>
      <c r="AA79" s="14" t="str" cm="1">
        <f t="array" ref="AA79">_xlfn.XLOOKUP(Runge3[[#This Row],[Tecnología]]&amp;Runge3[[#This Row],[Problema]],TbNombres[Tecnología]&amp;TbNombres[Problema],TbNombres[Nombre])</f>
        <v>Brusselator1d</v>
      </c>
      <c r="AB79" s="6">
        <v>1</v>
      </c>
      <c r="AC79" s="6">
        <v>5</v>
      </c>
      <c r="AD79" s="6">
        <v>256</v>
      </c>
      <c r="AE79" s="6">
        <v>500000</v>
      </c>
      <c r="AF79" s="6">
        <v>1000000</v>
      </c>
      <c r="AG79" s="6">
        <v>469.07100000000003</v>
      </c>
    </row>
    <row r="80" spans="2:33" x14ac:dyDescent="0.2">
      <c r="B80" s="5" t="str">
        <f>_xlfn.XLOOKUP(Runge1[[#This Row],[Metodo]],TbSolver[Metodo],TbSolver[Solver])</f>
        <v>RungeKutta</v>
      </c>
      <c r="C80" s="5" t="str">
        <f>_xlfn.XLOOKUP(Runge1[[#This Row],[Hebras]],TbTecnologia[Hebras],TbTecnologia[Tecnología])</f>
        <v>CUDA</v>
      </c>
      <c r="D80" s="5" t="str" cm="1">
        <f t="array" ref="D80">_xlfn.XLOOKUP(Runge1[[#This Row],[Tecnología]]&amp;Runge1[[#This Row],[Metodo]],TbTipos[Tecnología]&amp;TbTipos[Metodo],TbTipos[Tipo])</f>
        <v>CUDA con graph</v>
      </c>
      <c r="E80" s="5" t="str" cm="1">
        <f t="array" ref="E80">_xlfn.XLOOKUP(Runge1[[#This Row],[Tecnología]]&amp;Runge1[[#This Row],[Problema]],TbNombres[Tecnología]&amp;TbNombres[Problema],TbNombres[Nombre])</f>
        <v>Simple Advdiff</v>
      </c>
      <c r="F80" s="1">
        <v>2</v>
      </c>
      <c r="G80" s="1">
        <v>1</v>
      </c>
      <c r="H80" s="1">
        <v>256</v>
      </c>
      <c r="I80" s="1">
        <v>500000</v>
      </c>
      <c r="J80" s="1">
        <v>500000</v>
      </c>
      <c r="K80" s="1">
        <v>209.68299999999999</v>
      </c>
      <c r="M80" s="10" t="str">
        <f>_xlfn.XLOOKUP(Runge2[[#This Row],[Metodo]],TbSolver[Metodo],TbSolver[Solver])</f>
        <v>RungeKutta</v>
      </c>
      <c r="N80" s="10" t="str">
        <f>_xlfn.XLOOKUP(Runge2[[#This Row],[Hebras]],TbTecnologia[Hebras],TbTecnologia[Tecnología])</f>
        <v>CUDA</v>
      </c>
      <c r="O80" s="10" t="str" cm="1">
        <f t="array" ref="O80">_xlfn.XLOOKUP(Runge2[[#This Row],[Tecnología]]&amp;Runge2[[#This Row],[Metodo]],TbTipos[Tecnología]&amp;TbTipos[Metodo],TbTipos[Tipo])</f>
        <v>CUDA con graph</v>
      </c>
      <c r="P80" s="23" t="str" cm="1">
        <f t="array" ref="P80">_xlfn.XLOOKUP(Runge2[[#This Row],[Tecnología]]&amp;Runge2[[#This Row],[Problema]],TbNombres[Tecnología]&amp;TbNombres[Problema],TbNombres[Nombre])</f>
        <v>Advdiff1d</v>
      </c>
      <c r="Q80" s="9">
        <v>2</v>
      </c>
      <c r="R80" s="9">
        <v>3</v>
      </c>
      <c r="S80" s="9">
        <v>256</v>
      </c>
      <c r="T80" s="9">
        <v>500000</v>
      </c>
      <c r="U80" s="9">
        <v>500000</v>
      </c>
      <c r="V80" s="9">
        <v>690.38900000000001</v>
      </c>
      <c r="X80" s="7" t="str">
        <f>_xlfn.XLOOKUP(Runge3[[#This Row],[Metodo]],TbSolver[Metodo],TbSolver[Solver])</f>
        <v>RungeKutta</v>
      </c>
      <c r="Y80" s="7" t="str">
        <f>_xlfn.XLOOKUP(Runge3[[#This Row],[Hebras]],TbTecnologia[Hebras],TbTecnologia[Tecnología])</f>
        <v>CUDA</v>
      </c>
      <c r="Z80" s="7" t="str" cm="1">
        <f t="array" ref="Z80">_xlfn.XLOOKUP(Runge3[[#This Row],[Tecnología]]&amp;Runge3[[#This Row],[Metodo]],TbTipos[Tecnología]&amp;TbTipos[Metodo],TbTipos[Tipo])</f>
        <v>CUDA con graph</v>
      </c>
      <c r="AA80" s="14" t="str" cm="1">
        <f t="array" ref="AA80">_xlfn.XLOOKUP(Runge3[[#This Row],[Tecnología]]&amp;Runge3[[#This Row],[Problema]],TbNombres[Tecnología]&amp;TbNombres[Problema],TbNombres[Nombre])</f>
        <v>Brusselator1d</v>
      </c>
      <c r="AB80" s="6">
        <v>2</v>
      </c>
      <c r="AC80" s="6">
        <v>5</v>
      </c>
      <c r="AD80" s="6">
        <v>256</v>
      </c>
      <c r="AE80" s="6">
        <v>10000</v>
      </c>
      <c r="AF80" s="6">
        <v>20000</v>
      </c>
      <c r="AG80" s="6">
        <v>18.899000000000001</v>
      </c>
    </row>
    <row r="81" spans="24:37" x14ac:dyDescent="0.2">
      <c r="X81" s="7" t="str">
        <f>_xlfn.XLOOKUP(Runge3[[#This Row],[Metodo]],TbSolver[Metodo],TbSolver[Solver])</f>
        <v>RungeKutta</v>
      </c>
      <c r="Y81" s="7" t="str">
        <f>_xlfn.XLOOKUP(Runge3[[#This Row],[Hebras]],TbTecnologia[Hebras],TbTecnologia[Tecnología])</f>
        <v>CUDA</v>
      </c>
      <c r="Z81" s="7" t="str" cm="1">
        <f t="array" ref="Z81">_xlfn.XLOOKUP(Runge3[[#This Row],[Tecnología]]&amp;Runge3[[#This Row],[Metodo]],TbTipos[Tecnología]&amp;TbTipos[Metodo],TbTipos[Tipo])</f>
        <v>CUDA con graph</v>
      </c>
      <c r="AA81" s="14" t="str" cm="1">
        <f t="array" ref="AA81">_xlfn.XLOOKUP(Runge3[[#This Row],[Tecnología]]&amp;Runge3[[#This Row],[Problema]],TbNombres[Tecnología]&amp;TbNombres[Problema],TbNombres[Nombre])</f>
        <v>Brusselator1d</v>
      </c>
      <c r="AB81" s="6">
        <v>2</v>
      </c>
      <c r="AC81" s="6">
        <v>5</v>
      </c>
      <c r="AD81" s="6">
        <v>256</v>
      </c>
      <c r="AE81" s="6">
        <v>20000</v>
      </c>
      <c r="AF81" s="6">
        <v>40000</v>
      </c>
      <c r="AG81" s="6">
        <v>24.3675</v>
      </c>
    </row>
    <row r="82" spans="24:37" x14ac:dyDescent="0.2">
      <c r="X82" s="7" t="str">
        <f>_xlfn.XLOOKUP(Runge3[[#This Row],[Metodo]],TbSolver[Metodo],TbSolver[Solver])</f>
        <v>RungeKutta</v>
      </c>
      <c r="Y82" s="7" t="str">
        <f>_xlfn.XLOOKUP(Runge3[[#This Row],[Hebras]],TbTecnologia[Hebras],TbTecnologia[Tecnología])</f>
        <v>CUDA</v>
      </c>
      <c r="Z82" s="7" t="str" cm="1">
        <f t="array" ref="Z82">_xlfn.XLOOKUP(Runge3[[#This Row],[Tecnología]]&amp;Runge3[[#This Row],[Metodo]],TbTipos[Tecnología]&amp;TbTipos[Metodo],TbTipos[Tipo])</f>
        <v>CUDA con graph</v>
      </c>
      <c r="AA82" s="14" t="str" cm="1">
        <f t="array" ref="AA82">_xlfn.XLOOKUP(Runge3[[#This Row],[Tecnología]]&amp;Runge3[[#This Row],[Problema]],TbNombres[Tecnología]&amp;TbNombres[Problema],TbNombres[Nombre])</f>
        <v>Brusselator1d</v>
      </c>
      <c r="AB82" s="6">
        <v>2</v>
      </c>
      <c r="AC82" s="6">
        <v>5</v>
      </c>
      <c r="AD82" s="6">
        <v>256</v>
      </c>
      <c r="AE82" s="6">
        <v>50000</v>
      </c>
      <c r="AF82" s="6">
        <v>100000</v>
      </c>
      <c r="AG82" s="6">
        <v>39.9285</v>
      </c>
    </row>
    <row r="83" spans="24:37" x14ac:dyDescent="0.2">
      <c r="X83" s="7" t="str">
        <f>_xlfn.XLOOKUP(Runge3[[#This Row],[Metodo]],TbSolver[Metodo],TbSolver[Solver])</f>
        <v>RungeKutta</v>
      </c>
      <c r="Y83" s="7" t="str">
        <f>_xlfn.XLOOKUP(Runge3[[#This Row],[Hebras]],TbTecnologia[Hebras],TbTecnologia[Tecnología])</f>
        <v>CUDA</v>
      </c>
      <c r="Z83" s="7" t="str" cm="1">
        <f t="array" ref="Z83">_xlfn.XLOOKUP(Runge3[[#This Row],[Tecnología]]&amp;Runge3[[#This Row],[Metodo]],TbTipos[Tecnología]&amp;TbTipos[Metodo],TbTipos[Tipo])</f>
        <v>CUDA con graph</v>
      </c>
      <c r="AA83" s="14" t="str" cm="1">
        <f t="array" ref="AA83">_xlfn.XLOOKUP(Runge3[[#This Row],[Tecnología]]&amp;Runge3[[#This Row],[Problema]],TbNombres[Tecnología]&amp;TbNombres[Problema],TbNombres[Nombre])</f>
        <v>Brusselator1d</v>
      </c>
      <c r="AB83" s="6">
        <v>2</v>
      </c>
      <c r="AC83" s="6">
        <v>5</v>
      </c>
      <c r="AD83" s="6">
        <v>256</v>
      </c>
      <c r="AE83" s="6">
        <v>75000</v>
      </c>
      <c r="AF83" s="6">
        <v>150000</v>
      </c>
      <c r="AG83" s="6">
        <v>62.948599999999999</v>
      </c>
    </row>
    <row r="84" spans="24:37" x14ac:dyDescent="0.2">
      <c r="X84" s="7" t="str">
        <f>_xlfn.XLOOKUP(Runge3[[#This Row],[Metodo]],TbSolver[Metodo],TbSolver[Solver])</f>
        <v>RungeKutta</v>
      </c>
      <c r="Y84" s="7" t="str">
        <f>_xlfn.XLOOKUP(Runge3[[#This Row],[Hebras]],TbTecnologia[Hebras],TbTecnologia[Tecnología])</f>
        <v>CUDA</v>
      </c>
      <c r="Z84" s="7" t="str" cm="1">
        <f t="array" ref="Z84">_xlfn.XLOOKUP(Runge3[[#This Row],[Tecnología]]&amp;Runge3[[#This Row],[Metodo]],TbTipos[Tecnología]&amp;TbTipos[Metodo],TbTipos[Tipo])</f>
        <v>CUDA con graph</v>
      </c>
      <c r="AA84" s="14" t="str" cm="1">
        <f t="array" ref="AA84">_xlfn.XLOOKUP(Runge3[[#This Row],[Tecnología]]&amp;Runge3[[#This Row],[Problema]],TbNombres[Tecnología]&amp;TbNombres[Problema],TbNombres[Nombre])</f>
        <v>Brusselator1d</v>
      </c>
      <c r="AB84" s="6">
        <v>2</v>
      </c>
      <c r="AC84" s="6">
        <v>5</v>
      </c>
      <c r="AD84" s="6">
        <v>256</v>
      </c>
      <c r="AE84" s="6">
        <v>100000</v>
      </c>
      <c r="AF84" s="6">
        <v>200000</v>
      </c>
      <c r="AG84" s="6">
        <v>85.591800000000006</v>
      </c>
    </row>
    <row r="85" spans="24:37" x14ac:dyDescent="0.2">
      <c r="X85" s="7" t="str">
        <f>_xlfn.XLOOKUP(Runge3[[#This Row],[Metodo]],TbSolver[Metodo],TbSolver[Solver])</f>
        <v>RungeKutta</v>
      </c>
      <c r="Y85" s="7" t="str">
        <f>_xlfn.XLOOKUP(Runge3[[#This Row],[Hebras]],TbTecnologia[Hebras],TbTecnologia[Tecnología])</f>
        <v>CUDA</v>
      </c>
      <c r="Z85" s="7" t="str" cm="1">
        <f t="array" ref="Z85">_xlfn.XLOOKUP(Runge3[[#This Row],[Tecnología]]&amp;Runge3[[#This Row],[Metodo]],TbTipos[Tecnología]&amp;TbTipos[Metodo],TbTipos[Tipo])</f>
        <v>CUDA con graph</v>
      </c>
      <c r="AA85" s="14" t="str" cm="1">
        <f t="array" ref="AA85">_xlfn.XLOOKUP(Runge3[[#This Row],[Tecnología]]&amp;Runge3[[#This Row],[Problema]],TbNombres[Tecnología]&amp;TbNombres[Problema],TbNombres[Nombre])</f>
        <v>Brusselator1d</v>
      </c>
      <c r="AB85" s="6">
        <v>2</v>
      </c>
      <c r="AC85" s="6">
        <v>5</v>
      </c>
      <c r="AD85" s="6">
        <v>256</v>
      </c>
      <c r="AE85" s="6">
        <v>150000</v>
      </c>
      <c r="AF85" s="6">
        <v>300000</v>
      </c>
      <c r="AG85" s="6">
        <v>136.15</v>
      </c>
    </row>
    <row r="86" spans="24:37" x14ac:dyDescent="0.2">
      <c r="X86" s="7" t="str">
        <f>_xlfn.XLOOKUP(Runge3[[#This Row],[Metodo]],TbSolver[Metodo],TbSolver[Solver])</f>
        <v>RungeKutta</v>
      </c>
      <c r="Y86" s="7" t="str">
        <f>_xlfn.XLOOKUP(Runge3[[#This Row],[Hebras]],TbTecnologia[Hebras],TbTecnologia[Tecnología])</f>
        <v>CUDA</v>
      </c>
      <c r="Z86" s="7" t="str" cm="1">
        <f t="array" ref="Z86">_xlfn.XLOOKUP(Runge3[[#This Row],[Tecnología]]&amp;Runge3[[#This Row],[Metodo]],TbTipos[Tecnología]&amp;TbTipos[Metodo],TbTipos[Tipo])</f>
        <v>CUDA con graph</v>
      </c>
      <c r="AA86" s="14" t="str" cm="1">
        <f t="array" ref="AA86">_xlfn.XLOOKUP(Runge3[[#This Row],[Tecnología]]&amp;Runge3[[#This Row],[Problema]],TbNombres[Tecnología]&amp;TbNombres[Problema],TbNombres[Nombre])</f>
        <v>Brusselator1d</v>
      </c>
      <c r="AB86" s="6">
        <v>2</v>
      </c>
      <c r="AC86" s="6">
        <v>5</v>
      </c>
      <c r="AD86" s="6">
        <v>256</v>
      </c>
      <c r="AE86" s="6">
        <v>200000</v>
      </c>
      <c r="AF86" s="6">
        <v>400000</v>
      </c>
      <c r="AG86" s="6">
        <v>190.59800000000001</v>
      </c>
    </row>
    <row r="87" spans="24:37" x14ac:dyDescent="0.2">
      <c r="X87" s="7" t="str">
        <f>_xlfn.XLOOKUP(Runge3[[#This Row],[Metodo]],TbSolver[Metodo],TbSolver[Solver])</f>
        <v>RungeKutta</v>
      </c>
      <c r="Y87" s="7" t="str">
        <f>_xlfn.XLOOKUP(Runge3[[#This Row],[Hebras]],TbTecnologia[Hebras],TbTecnologia[Tecnología])</f>
        <v>CUDA</v>
      </c>
      <c r="Z87" s="7" t="str" cm="1">
        <f t="array" ref="Z87">_xlfn.XLOOKUP(Runge3[[#This Row],[Tecnología]]&amp;Runge3[[#This Row],[Metodo]],TbTipos[Tecnología]&amp;TbTipos[Metodo],TbTipos[Tipo])</f>
        <v>CUDA con graph</v>
      </c>
      <c r="AA87" s="14" t="str" cm="1">
        <f t="array" ref="AA87">_xlfn.XLOOKUP(Runge3[[#This Row],[Tecnología]]&amp;Runge3[[#This Row],[Problema]],TbNombres[Tecnología]&amp;TbNombres[Problema],TbNombres[Nombre])</f>
        <v>Brusselator1d</v>
      </c>
      <c r="AB87" s="6">
        <v>2</v>
      </c>
      <c r="AC87" s="6">
        <v>5</v>
      </c>
      <c r="AD87" s="6">
        <v>256</v>
      </c>
      <c r="AE87" s="6">
        <v>250000</v>
      </c>
      <c r="AF87" s="6">
        <v>500000</v>
      </c>
      <c r="AG87" s="6">
        <v>241.274</v>
      </c>
      <c r="AI87" s="1"/>
      <c r="AJ87" s="1"/>
      <c r="AK87" s="1"/>
    </row>
    <row r="88" spans="24:37" x14ac:dyDescent="0.2">
      <c r="X88" s="7" t="str">
        <f>_xlfn.XLOOKUP(Runge3[[#This Row],[Metodo]],TbSolver[Metodo],TbSolver[Solver])</f>
        <v>RungeKutta</v>
      </c>
      <c r="Y88" s="7" t="str">
        <f>_xlfn.XLOOKUP(Runge3[[#This Row],[Hebras]],TbTecnologia[Hebras],TbTecnologia[Tecnología])</f>
        <v>CUDA</v>
      </c>
      <c r="Z88" s="7" t="str" cm="1">
        <f t="array" ref="Z88">_xlfn.XLOOKUP(Runge3[[#This Row],[Tecnología]]&amp;Runge3[[#This Row],[Metodo]],TbTipos[Tecnología]&amp;TbTipos[Metodo],TbTipos[Tipo])</f>
        <v>CUDA con graph</v>
      </c>
      <c r="AA88" s="14" t="str" cm="1">
        <f t="array" ref="AA88">_xlfn.XLOOKUP(Runge3[[#This Row],[Tecnología]]&amp;Runge3[[#This Row],[Problema]],TbNombres[Tecnología]&amp;TbNombres[Problema],TbNombres[Nombre])</f>
        <v>Brusselator1d</v>
      </c>
      <c r="AB88" s="6">
        <v>2</v>
      </c>
      <c r="AC88" s="6">
        <v>5</v>
      </c>
      <c r="AD88" s="6">
        <v>256</v>
      </c>
      <c r="AE88" s="6">
        <v>300000</v>
      </c>
      <c r="AF88" s="6">
        <v>600000</v>
      </c>
      <c r="AG88" s="6">
        <v>286.33699999999999</v>
      </c>
    </row>
    <row r="89" spans="24:37" x14ac:dyDescent="0.2">
      <c r="X89" s="7" t="str">
        <f>_xlfn.XLOOKUP(Runge3[[#This Row],[Metodo]],TbSolver[Metodo],TbSolver[Solver])</f>
        <v>RungeKutta</v>
      </c>
      <c r="Y89" s="7" t="str">
        <f>_xlfn.XLOOKUP(Runge3[[#This Row],[Hebras]],TbTecnologia[Hebras],TbTecnologia[Tecnología])</f>
        <v>CUDA</v>
      </c>
      <c r="Z89" s="7" t="str" cm="1">
        <f t="array" ref="Z89">_xlfn.XLOOKUP(Runge3[[#This Row],[Tecnología]]&amp;Runge3[[#This Row],[Metodo]],TbTipos[Tecnología]&amp;TbTipos[Metodo],TbTipos[Tipo])</f>
        <v>CUDA con graph</v>
      </c>
      <c r="AA89" s="14" t="str" cm="1">
        <f t="array" ref="AA89">_xlfn.XLOOKUP(Runge3[[#This Row],[Tecnología]]&amp;Runge3[[#This Row],[Problema]],TbNombres[Tecnología]&amp;TbNombres[Problema],TbNombres[Nombre])</f>
        <v>Brusselator1d</v>
      </c>
      <c r="AB89" s="6">
        <v>2</v>
      </c>
      <c r="AC89" s="6">
        <v>5</v>
      </c>
      <c r="AD89" s="6">
        <v>256</v>
      </c>
      <c r="AE89" s="6">
        <v>350000</v>
      </c>
      <c r="AF89" s="6">
        <v>700000</v>
      </c>
      <c r="AG89" s="6">
        <v>330.11399999999998</v>
      </c>
    </row>
    <row r="90" spans="24:37" x14ac:dyDescent="0.2">
      <c r="X90" s="7" t="str">
        <f>_xlfn.XLOOKUP(Runge3[[#This Row],[Metodo]],TbSolver[Metodo],TbSolver[Solver])</f>
        <v>RungeKutta</v>
      </c>
      <c r="Y90" s="7" t="str">
        <f>_xlfn.XLOOKUP(Runge3[[#This Row],[Hebras]],TbTecnologia[Hebras],TbTecnologia[Tecnología])</f>
        <v>CUDA</v>
      </c>
      <c r="Z90" s="7" t="str" cm="1">
        <f t="array" ref="Z90">_xlfn.XLOOKUP(Runge3[[#This Row],[Tecnología]]&amp;Runge3[[#This Row],[Metodo]],TbTipos[Tecnología]&amp;TbTipos[Metodo],TbTipos[Tipo])</f>
        <v>CUDA con graph</v>
      </c>
      <c r="AA90" s="14" t="str" cm="1">
        <f t="array" ref="AA90">_xlfn.XLOOKUP(Runge3[[#This Row],[Tecnología]]&amp;Runge3[[#This Row],[Problema]],TbNombres[Tecnología]&amp;TbNombres[Problema],TbNombres[Nombre])</f>
        <v>Brusselator1d</v>
      </c>
      <c r="AB90" s="6">
        <v>2</v>
      </c>
      <c r="AC90" s="6">
        <v>5</v>
      </c>
      <c r="AD90" s="6">
        <v>256</v>
      </c>
      <c r="AE90" s="6">
        <v>400000</v>
      </c>
      <c r="AF90" s="6">
        <v>800000</v>
      </c>
      <c r="AG90" s="6">
        <v>373.81</v>
      </c>
    </row>
    <row r="91" spans="24:37" x14ac:dyDescent="0.2">
      <c r="X91" s="7" t="str">
        <f>_xlfn.XLOOKUP(Runge3[[#This Row],[Metodo]],TbSolver[Metodo],TbSolver[Solver])</f>
        <v>RungeKutta</v>
      </c>
      <c r="Y91" s="7" t="str">
        <f>_xlfn.XLOOKUP(Runge3[[#This Row],[Hebras]],TbTecnologia[Hebras],TbTecnologia[Tecnología])</f>
        <v>CUDA</v>
      </c>
      <c r="Z91" s="7" t="str" cm="1">
        <f t="array" ref="Z91">_xlfn.XLOOKUP(Runge3[[#This Row],[Tecnología]]&amp;Runge3[[#This Row],[Metodo]],TbTipos[Tecnología]&amp;TbTipos[Metodo],TbTipos[Tipo])</f>
        <v>CUDA con graph</v>
      </c>
      <c r="AA91" s="14" t="str" cm="1">
        <f t="array" ref="AA91">_xlfn.XLOOKUP(Runge3[[#This Row],[Tecnología]]&amp;Runge3[[#This Row],[Problema]],TbNombres[Tecnología]&amp;TbNombres[Problema],TbNombres[Nombre])</f>
        <v>Brusselator1d</v>
      </c>
      <c r="AB91" s="6">
        <v>2</v>
      </c>
      <c r="AC91" s="6">
        <v>5</v>
      </c>
      <c r="AD91" s="6">
        <v>256</v>
      </c>
      <c r="AE91" s="6">
        <v>450000</v>
      </c>
      <c r="AF91" s="6">
        <v>900000</v>
      </c>
      <c r="AG91" s="6">
        <v>418.26100000000002</v>
      </c>
    </row>
    <row r="92" spans="24:37" x14ac:dyDescent="0.2">
      <c r="X92" s="7" t="str">
        <f>_xlfn.XLOOKUP(Runge3[[#This Row],[Metodo]],TbSolver[Metodo],TbSolver[Solver])</f>
        <v>RungeKutta</v>
      </c>
      <c r="Y92" s="7" t="str">
        <f>_xlfn.XLOOKUP(Runge3[[#This Row],[Hebras]],TbTecnologia[Hebras],TbTecnologia[Tecnología])</f>
        <v>CUDA</v>
      </c>
      <c r="Z92" s="7" t="str" cm="1">
        <f t="array" ref="Z92">_xlfn.XLOOKUP(Runge3[[#This Row],[Tecnología]]&amp;Runge3[[#This Row],[Metodo]],TbTipos[Tecnología]&amp;TbTipos[Metodo],TbTipos[Tipo])</f>
        <v>CUDA con graph</v>
      </c>
      <c r="AA92" s="14" t="str" cm="1">
        <f t="array" ref="AA92">_xlfn.XLOOKUP(Runge3[[#This Row],[Tecnología]]&amp;Runge3[[#This Row],[Problema]],TbNombres[Tecnología]&amp;TbNombres[Problema],TbNombres[Nombre])</f>
        <v>Brusselator1d</v>
      </c>
      <c r="AB92" s="6">
        <v>2</v>
      </c>
      <c r="AC92" s="6">
        <v>5</v>
      </c>
      <c r="AD92" s="6">
        <v>256</v>
      </c>
      <c r="AE92" s="6">
        <v>500000</v>
      </c>
      <c r="AF92" s="6">
        <v>1000000</v>
      </c>
      <c r="AG92" s="6">
        <v>463.78100000000001</v>
      </c>
    </row>
    <row r="93" spans="24:37" x14ac:dyDescent="0.2">
      <c r="X93" s="7" t="str">
        <f>_xlfn.XLOOKUP(Runge3[[#This Row],[Metodo]],TbSolver[Metodo],TbSolver[Solver])</f>
        <v>RungeKutta</v>
      </c>
      <c r="Y93" s="7" t="str">
        <f>_xlfn.XLOOKUP(Runge3[[#This Row],[Hebras]],TbTecnologia[Hebras],TbTecnologia[Tecnología])</f>
        <v>CUDA</v>
      </c>
      <c r="Z93" s="7" t="str" cm="1">
        <f t="array" ref="Z93">_xlfn.XLOOKUP(Runge3[[#This Row],[Tecnología]]&amp;Runge3[[#This Row],[Metodo]],TbTipos[Tecnología]&amp;TbTipos[Metodo],TbTipos[Tipo])</f>
        <v>CUDA sin graph</v>
      </c>
      <c r="AA93" s="7" t="str" cm="1">
        <f t="array" ref="AA93">_xlfn.XLOOKUP(Runge3[[#This Row],[Tecnología]]&amp;Runge3[[#This Row],[Problema]],TbNombres[Tecnología]&amp;TbNombres[Problema],TbNombres[Nombre])</f>
        <v>Brusselator1d</v>
      </c>
      <c r="AB93" s="6">
        <v>1</v>
      </c>
      <c r="AC93" s="6">
        <v>7</v>
      </c>
      <c r="AD93" s="6">
        <v>256</v>
      </c>
      <c r="AE93" s="6">
        <v>150</v>
      </c>
      <c r="AF93" s="6">
        <v>300</v>
      </c>
      <c r="AG93" s="6">
        <v>17.3857</v>
      </c>
    </row>
    <row r="94" spans="24:37" x14ac:dyDescent="0.2">
      <c r="X94" s="10" t="str">
        <f>_xlfn.XLOOKUP(Runge3[[#This Row],[Metodo]],TbSolver[Metodo],TbSolver[Solver])</f>
        <v>RungeKutta</v>
      </c>
      <c r="Y94" s="10" t="str">
        <f>_xlfn.XLOOKUP(Runge3[[#This Row],[Hebras]],TbTecnologia[Hebras],TbTecnologia[Tecnología])</f>
        <v>CUDA</v>
      </c>
      <c r="Z94" s="10" t="str" cm="1">
        <f t="array" ref="Z94">_xlfn.XLOOKUP(Runge3[[#This Row],[Tecnología]]&amp;Runge3[[#This Row],[Metodo]],TbTipos[Tecnología]&amp;TbTipos[Metodo],TbTipos[Tipo])</f>
        <v>CUDA con graph</v>
      </c>
      <c r="AA94" s="10" t="str" cm="1">
        <f t="array" ref="AA94">_xlfn.XLOOKUP(Runge3[[#This Row],[Tecnología]]&amp;Runge3[[#This Row],[Problema]],TbNombres[Tecnología]&amp;TbNombres[Problema],TbNombres[Nombre])</f>
        <v>Brusselator1d</v>
      </c>
      <c r="AB94" s="9">
        <v>2</v>
      </c>
      <c r="AC94" s="9">
        <v>7</v>
      </c>
      <c r="AD94" s="9">
        <v>256</v>
      </c>
      <c r="AE94" s="9">
        <v>150</v>
      </c>
      <c r="AF94" s="9">
        <v>300</v>
      </c>
      <c r="AG94" s="9">
        <v>13.928699999999999</v>
      </c>
    </row>
    <row r="95" spans="24:37" x14ac:dyDescent="0.2">
      <c r="X95" s="7" t="str">
        <f>_xlfn.XLOOKUP(Runge3[[#This Row],[Metodo]],TbSolver[Metodo],TbSolver[Solver])</f>
        <v>RungeKutta</v>
      </c>
      <c r="Y95" s="7" t="str">
        <f>_xlfn.XLOOKUP(Runge3[[#This Row],[Hebras]],TbTecnologia[Hebras],TbTecnologia[Tecnología])</f>
        <v>CUDA</v>
      </c>
      <c r="Z95" s="7" t="str" cm="1">
        <f t="array" ref="Z95">_xlfn.XLOOKUP(Runge3[[#This Row],[Tecnología]]&amp;Runge3[[#This Row],[Metodo]],TbTipos[Tecnología]&amp;TbTipos[Metodo],TbTipos[Tipo])</f>
        <v>CUDA sin graph</v>
      </c>
      <c r="AA95" s="7" t="str" cm="1">
        <f t="array" ref="AA95">_xlfn.XLOOKUP(Runge3[[#This Row],[Tecnología]]&amp;Runge3[[#This Row],[Problema]],TbNombres[Tecnología]&amp;TbNombres[Problema],TbNombres[Nombre])</f>
        <v>Brusselator1d</v>
      </c>
      <c r="AB95" s="6">
        <v>1</v>
      </c>
      <c r="AC95" s="6">
        <v>7</v>
      </c>
      <c r="AD95" s="6">
        <v>256</v>
      </c>
      <c r="AE95" s="6">
        <v>250</v>
      </c>
      <c r="AF95" s="6">
        <v>500</v>
      </c>
      <c r="AG95" s="6">
        <v>17.446200000000001</v>
      </c>
    </row>
    <row r="96" spans="24:37" x14ac:dyDescent="0.2">
      <c r="X96" s="10" t="str">
        <f>_xlfn.XLOOKUP(Runge3[[#This Row],[Metodo]],TbSolver[Metodo],TbSolver[Solver])</f>
        <v>RungeKutta</v>
      </c>
      <c r="Y96" s="10" t="str">
        <f>_xlfn.XLOOKUP(Runge3[[#This Row],[Hebras]],TbTecnologia[Hebras],TbTecnologia[Tecnología])</f>
        <v>CUDA</v>
      </c>
      <c r="Z96" s="10" t="str" cm="1">
        <f t="array" ref="Z96">_xlfn.XLOOKUP(Runge3[[#This Row],[Tecnología]]&amp;Runge3[[#This Row],[Metodo]],TbTipos[Tecnología]&amp;TbTipos[Metodo],TbTipos[Tipo])</f>
        <v>CUDA con graph</v>
      </c>
      <c r="AA96" s="10" t="str" cm="1">
        <f t="array" ref="AA96">_xlfn.XLOOKUP(Runge3[[#This Row],[Tecnología]]&amp;Runge3[[#This Row],[Problema]],TbNombres[Tecnología]&amp;TbNombres[Problema],TbNombres[Nombre])</f>
        <v>Brusselator1d</v>
      </c>
      <c r="AB96" s="9">
        <v>2</v>
      </c>
      <c r="AC96" s="9">
        <v>7</v>
      </c>
      <c r="AD96" s="9">
        <v>256</v>
      </c>
      <c r="AE96" s="9">
        <v>250</v>
      </c>
      <c r="AF96" s="9">
        <v>500</v>
      </c>
      <c r="AG96" s="9">
        <v>13.885</v>
      </c>
    </row>
    <row r="97" spans="11:34" x14ac:dyDescent="0.2">
      <c r="X97" s="7" t="str">
        <f>_xlfn.XLOOKUP(Runge3[[#This Row],[Metodo]],TbSolver[Metodo],TbSolver[Solver])</f>
        <v>RungeKutta</v>
      </c>
      <c r="Y97" s="7" t="str">
        <f>_xlfn.XLOOKUP(Runge3[[#This Row],[Hebras]],TbTecnologia[Hebras],TbTecnologia[Tecnología])</f>
        <v>CUDA</v>
      </c>
      <c r="Z97" s="7" t="str" cm="1">
        <f t="array" ref="Z97">_xlfn.XLOOKUP(Runge3[[#This Row],[Tecnología]]&amp;Runge3[[#This Row],[Metodo]],TbTipos[Tecnología]&amp;TbTipos[Metodo],TbTipos[Tipo])</f>
        <v>CUDA sin graph</v>
      </c>
      <c r="AA97" s="7" t="str" cm="1">
        <f t="array" ref="AA97">_xlfn.XLOOKUP(Runge3[[#This Row],[Tecnología]]&amp;Runge3[[#This Row],[Problema]],TbNombres[Tecnología]&amp;TbNombres[Problema],TbNombres[Nombre])</f>
        <v>Brusselator1d</v>
      </c>
      <c r="AB97" s="6">
        <v>1</v>
      </c>
      <c r="AC97" s="6">
        <v>7</v>
      </c>
      <c r="AD97" s="6">
        <v>256</v>
      </c>
      <c r="AE97" s="6">
        <v>300</v>
      </c>
      <c r="AF97" s="6">
        <v>600</v>
      </c>
      <c r="AG97" s="6">
        <v>17.123699999999999</v>
      </c>
    </row>
    <row r="98" spans="11:34" x14ac:dyDescent="0.2">
      <c r="X98" s="10" t="str">
        <f>_xlfn.XLOOKUP(Runge3[[#This Row],[Metodo]],TbSolver[Metodo],TbSolver[Solver])</f>
        <v>RungeKutta</v>
      </c>
      <c r="Y98" s="10" t="str">
        <f>_xlfn.XLOOKUP(Runge3[[#This Row],[Hebras]],TbTecnologia[Hebras],TbTecnologia[Tecnología])</f>
        <v>CUDA</v>
      </c>
      <c r="Z98" s="10" t="str" cm="1">
        <f t="array" ref="Z98">_xlfn.XLOOKUP(Runge3[[#This Row],[Tecnología]]&amp;Runge3[[#This Row],[Metodo]],TbTipos[Tecnología]&amp;TbTipos[Metodo],TbTipos[Tipo])</f>
        <v>CUDA con graph</v>
      </c>
      <c r="AA98" s="10" t="str" cm="1">
        <f t="array" ref="AA98">_xlfn.XLOOKUP(Runge3[[#This Row],[Tecnología]]&amp;Runge3[[#This Row],[Problema]],TbNombres[Tecnología]&amp;TbNombres[Problema],TbNombres[Nombre])</f>
        <v>Brusselator1d</v>
      </c>
      <c r="AB98" s="9">
        <v>2</v>
      </c>
      <c r="AC98" s="9">
        <v>7</v>
      </c>
      <c r="AD98" s="9">
        <v>256</v>
      </c>
      <c r="AE98" s="9">
        <v>300</v>
      </c>
      <c r="AF98" s="9">
        <v>600</v>
      </c>
      <c r="AG98" s="9">
        <v>13.9244</v>
      </c>
    </row>
    <row r="99" spans="11:34" x14ac:dyDescent="0.2">
      <c r="K99" s="1"/>
      <c r="L99" s="1"/>
      <c r="M99" s="1"/>
      <c r="N99" s="1"/>
      <c r="O99" s="1"/>
      <c r="P99" s="1"/>
      <c r="Q99" s="1"/>
      <c r="U99" s="1"/>
      <c r="V99" s="1"/>
      <c r="W99" s="1"/>
      <c r="X99" s="7" t="str">
        <f>_xlfn.XLOOKUP(Runge3[[#This Row],[Metodo]],TbSolver[Metodo],TbSolver[Solver])</f>
        <v>RungeKutta</v>
      </c>
      <c r="Y99" s="7" t="str">
        <f>_xlfn.XLOOKUP(Runge3[[#This Row],[Hebras]],TbTecnologia[Hebras],TbTecnologia[Tecnología])</f>
        <v>CUDA</v>
      </c>
      <c r="Z99" s="7" t="str" cm="1">
        <f t="array" ref="Z99">_xlfn.XLOOKUP(Runge3[[#This Row],[Tecnología]]&amp;Runge3[[#This Row],[Metodo]],TbTipos[Tecnología]&amp;TbTipos[Metodo],TbTipos[Tipo])</f>
        <v>CUDA sin graph</v>
      </c>
      <c r="AA99" s="7" t="str" cm="1">
        <f t="array" ref="AA99">_xlfn.XLOOKUP(Runge3[[#This Row],[Tecnología]]&amp;Runge3[[#This Row],[Problema]],TbNombres[Tecnología]&amp;TbNombres[Problema],TbNombres[Nombre])</f>
        <v>Brusselator1d</v>
      </c>
      <c r="AB99" s="6">
        <v>1</v>
      </c>
      <c r="AC99" s="6">
        <v>7</v>
      </c>
      <c r="AD99" s="6">
        <v>256</v>
      </c>
      <c r="AE99" s="6">
        <v>350</v>
      </c>
      <c r="AF99" s="6">
        <v>700</v>
      </c>
      <c r="AG99" s="6">
        <v>17.1724</v>
      </c>
      <c r="AH99" s="1"/>
    </row>
    <row r="100" spans="11:34" x14ac:dyDescent="0.2">
      <c r="X100" s="10" t="str">
        <f>_xlfn.XLOOKUP(Runge3[[#This Row],[Metodo]],TbSolver[Metodo],TbSolver[Solver])</f>
        <v>RungeKutta</v>
      </c>
      <c r="Y100" s="10" t="str">
        <f>_xlfn.XLOOKUP(Runge3[[#This Row],[Hebras]],TbTecnologia[Hebras],TbTecnologia[Tecnología])</f>
        <v>CUDA</v>
      </c>
      <c r="Z100" s="10" t="str" cm="1">
        <f t="array" ref="Z100">_xlfn.XLOOKUP(Runge3[[#This Row],[Tecnología]]&amp;Runge3[[#This Row],[Metodo]],TbTipos[Tecnología]&amp;TbTipos[Metodo],TbTipos[Tipo])</f>
        <v>CUDA con graph</v>
      </c>
      <c r="AA100" s="10" t="str" cm="1">
        <f t="array" ref="AA100">_xlfn.XLOOKUP(Runge3[[#This Row],[Tecnología]]&amp;Runge3[[#This Row],[Problema]],TbNombres[Tecnología]&amp;TbNombres[Problema],TbNombres[Nombre])</f>
        <v>Brusselator1d</v>
      </c>
      <c r="AB100" s="9">
        <v>2</v>
      </c>
      <c r="AC100" s="9">
        <v>7</v>
      </c>
      <c r="AD100" s="9">
        <v>256</v>
      </c>
      <c r="AE100" s="9">
        <v>350</v>
      </c>
      <c r="AF100" s="9">
        <v>700</v>
      </c>
      <c r="AG100" s="9">
        <v>13.954800000000001</v>
      </c>
    </row>
    <row r="101" spans="11:34" x14ac:dyDescent="0.2">
      <c r="X101" s="7" t="str">
        <f>_xlfn.XLOOKUP(Runge3[[#This Row],[Metodo]],TbSolver[Metodo],TbSolver[Solver])</f>
        <v>RungeKutta</v>
      </c>
      <c r="Y101" s="7" t="str">
        <f>_xlfn.XLOOKUP(Runge3[[#This Row],[Hebras]],TbTecnologia[Hebras],TbTecnologia[Tecnología])</f>
        <v>CUDA</v>
      </c>
      <c r="Z101" s="7" t="str" cm="1">
        <f t="array" ref="Z101">_xlfn.XLOOKUP(Runge3[[#This Row],[Tecnología]]&amp;Runge3[[#This Row],[Metodo]],TbTipos[Tecnología]&amp;TbTipos[Metodo],TbTipos[Tipo])</f>
        <v>CUDA sin graph</v>
      </c>
      <c r="AA101" s="7" t="str" cm="1">
        <f t="array" ref="AA101">_xlfn.XLOOKUP(Runge3[[#This Row],[Tecnología]]&amp;Runge3[[#This Row],[Problema]],TbNombres[Tecnología]&amp;TbNombres[Problema],TbNombres[Nombre])</f>
        <v>Brusselator1d</v>
      </c>
      <c r="AB101" s="6">
        <v>1</v>
      </c>
      <c r="AC101" s="6">
        <v>7</v>
      </c>
      <c r="AD101" s="6">
        <v>256</v>
      </c>
      <c r="AE101" s="6">
        <v>400</v>
      </c>
      <c r="AF101" s="6">
        <v>800</v>
      </c>
      <c r="AG101" s="6">
        <v>17.241</v>
      </c>
    </row>
    <row r="102" spans="11:34" x14ac:dyDescent="0.2">
      <c r="X102" s="10" t="str">
        <f>_xlfn.XLOOKUP(Runge3[[#This Row],[Metodo]],TbSolver[Metodo],TbSolver[Solver])</f>
        <v>RungeKutta</v>
      </c>
      <c r="Y102" s="10" t="str">
        <f>_xlfn.XLOOKUP(Runge3[[#This Row],[Hebras]],TbTecnologia[Hebras],TbTecnologia[Tecnología])</f>
        <v>CUDA</v>
      </c>
      <c r="Z102" s="10" t="str" cm="1">
        <f t="array" ref="Z102">_xlfn.XLOOKUP(Runge3[[#This Row],[Tecnología]]&amp;Runge3[[#This Row],[Metodo]],TbTipos[Tecnología]&amp;TbTipos[Metodo],TbTipos[Tipo])</f>
        <v>CUDA con graph</v>
      </c>
      <c r="AA102" s="10" t="str" cm="1">
        <f t="array" ref="AA102">_xlfn.XLOOKUP(Runge3[[#This Row],[Tecnología]]&amp;Runge3[[#This Row],[Problema]],TbNombres[Tecnología]&amp;TbNombres[Problema],TbNombres[Nombre])</f>
        <v>Brusselator1d</v>
      </c>
      <c r="AB102" s="9">
        <v>2</v>
      </c>
      <c r="AC102" s="9">
        <v>7</v>
      </c>
      <c r="AD102" s="9">
        <v>256</v>
      </c>
      <c r="AE102" s="9">
        <v>400</v>
      </c>
      <c r="AF102" s="9">
        <v>800</v>
      </c>
      <c r="AG102" s="9">
        <v>14.0098</v>
      </c>
    </row>
    <row r="103" spans="11:34" x14ac:dyDescent="0.2">
      <c r="X103" s="7" t="str">
        <f>_xlfn.XLOOKUP(Runge3[[#This Row],[Metodo]],TbSolver[Metodo],TbSolver[Solver])</f>
        <v>RungeKutta</v>
      </c>
      <c r="Y103" s="7" t="str">
        <f>_xlfn.XLOOKUP(Runge3[[#This Row],[Hebras]],TbTecnologia[Hebras],TbTecnologia[Tecnología])</f>
        <v>CUDA</v>
      </c>
      <c r="Z103" s="7" t="str" cm="1">
        <f t="array" ref="Z103">_xlfn.XLOOKUP(Runge3[[#This Row],[Tecnología]]&amp;Runge3[[#This Row],[Metodo]],TbTipos[Tecnología]&amp;TbTipos[Metodo],TbTipos[Tipo])</f>
        <v>CUDA sin graph</v>
      </c>
      <c r="AA103" s="7" t="str" cm="1">
        <f t="array" ref="AA103">_xlfn.XLOOKUP(Runge3[[#This Row],[Tecnología]]&amp;Runge3[[#This Row],[Problema]],TbNombres[Tecnología]&amp;TbNombres[Problema],TbNombres[Nombre])</f>
        <v>Brusselator1d</v>
      </c>
      <c r="AB103" s="6">
        <v>1</v>
      </c>
      <c r="AC103" s="6">
        <v>7</v>
      </c>
      <c r="AD103" s="6">
        <v>256</v>
      </c>
      <c r="AE103" s="6">
        <v>450</v>
      </c>
      <c r="AF103" s="6">
        <v>900</v>
      </c>
      <c r="AG103" s="6">
        <v>17.2881</v>
      </c>
    </row>
    <row r="104" spans="11:34" x14ac:dyDescent="0.2">
      <c r="X104" s="10" t="str">
        <f>_xlfn.XLOOKUP(Runge3[[#This Row],[Metodo]],TbSolver[Metodo],TbSolver[Solver])</f>
        <v>RungeKutta</v>
      </c>
      <c r="Y104" s="10" t="str">
        <f>_xlfn.XLOOKUP(Runge3[[#This Row],[Hebras]],TbTecnologia[Hebras],TbTecnologia[Tecnología])</f>
        <v>CUDA</v>
      </c>
      <c r="Z104" s="10" t="str" cm="1">
        <f t="array" ref="Z104">_xlfn.XLOOKUP(Runge3[[#This Row],[Tecnología]]&amp;Runge3[[#This Row],[Metodo]],TbTipos[Tecnología]&amp;TbTipos[Metodo],TbTipos[Tipo])</f>
        <v>CUDA con graph</v>
      </c>
      <c r="AA104" s="10" t="str" cm="1">
        <f t="array" ref="AA104">_xlfn.XLOOKUP(Runge3[[#This Row],[Tecnología]]&amp;Runge3[[#This Row],[Problema]],TbNombres[Tecnología]&amp;TbNombres[Problema],TbNombres[Nombre])</f>
        <v>Brusselator1d</v>
      </c>
      <c r="AB104" s="9">
        <v>2</v>
      </c>
      <c r="AC104" s="9">
        <v>7</v>
      </c>
      <c r="AD104" s="9">
        <v>256</v>
      </c>
      <c r="AE104" s="9">
        <v>450</v>
      </c>
      <c r="AF104" s="9">
        <v>900</v>
      </c>
      <c r="AG104" s="9">
        <v>14.026</v>
      </c>
    </row>
  </sheetData>
  <mergeCells count="8">
    <mergeCell ref="B3:K3"/>
    <mergeCell ref="B4:K4"/>
    <mergeCell ref="M3:V3"/>
    <mergeCell ref="M4:V4"/>
    <mergeCell ref="X3:AG3"/>
    <mergeCell ref="X4:AG4"/>
    <mergeCell ref="AI3:AR3"/>
    <mergeCell ref="AI4:AR4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1B591-E363-451E-B492-59DB686A139E}">
  <dimension ref="B1:AR86"/>
  <sheetViews>
    <sheetView zoomScaleNormal="100" workbookViewId="0">
      <selection activeCell="AI17" sqref="AI17"/>
    </sheetView>
  </sheetViews>
  <sheetFormatPr defaultColWidth="10" defaultRowHeight="12.75" x14ac:dyDescent="0.2"/>
  <cols>
    <col min="2" max="2" width="14.28515625" bestFit="1" customWidth="1"/>
    <col min="3" max="3" width="8" customWidth="1"/>
    <col min="4" max="4" width="16.42578125" bestFit="1" customWidth="1"/>
    <col min="5" max="5" width="12.7109375" bestFit="1" customWidth="1"/>
    <col min="13" max="13" width="14.28515625" bestFit="1" customWidth="1"/>
    <col min="14" max="14" width="7.140625" customWidth="1"/>
    <col min="15" max="15" width="16.42578125" bestFit="1" customWidth="1"/>
    <col min="16" max="16" width="12.7109375" bestFit="1" customWidth="1"/>
    <col min="24" max="24" width="14.28515625" bestFit="1" customWidth="1"/>
    <col min="25" max="25" width="7" customWidth="1"/>
    <col min="26" max="26" width="16.42578125" bestFit="1" customWidth="1"/>
    <col min="27" max="27" width="12.7109375" bestFit="1" customWidth="1"/>
    <col min="35" max="35" width="14.28515625" bestFit="1" customWidth="1"/>
    <col min="36" max="36" width="8.42578125" customWidth="1"/>
    <col min="37" max="37" width="16.42578125" bestFit="1" customWidth="1"/>
    <col min="38" max="38" width="12.7109375" bestFit="1" customWidth="1"/>
  </cols>
  <sheetData>
    <row r="1" spans="2:44" ht="27.75" x14ac:dyDescent="0.2">
      <c r="L1" s="3" t="s">
        <v>17</v>
      </c>
    </row>
    <row r="3" spans="2:44" x14ac:dyDescent="0.2">
      <c r="B3" s="4" t="s">
        <v>7</v>
      </c>
      <c r="C3" s="4"/>
      <c r="D3" s="4"/>
      <c r="E3" s="4"/>
      <c r="F3" s="4"/>
      <c r="G3" s="4"/>
      <c r="H3" s="4"/>
      <c r="I3" s="4"/>
      <c r="J3" s="4"/>
      <c r="K3" s="4"/>
      <c r="M3" s="4" t="s">
        <v>9</v>
      </c>
      <c r="N3" s="4"/>
      <c r="O3" s="4"/>
      <c r="P3" s="4"/>
      <c r="Q3" s="4"/>
      <c r="R3" s="4"/>
      <c r="S3" s="4"/>
      <c r="T3" s="4"/>
      <c r="U3" s="4"/>
      <c r="V3" s="4"/>
      <c r="X3" s="4" t="s">
        <v>11</v>
      </c>
      <c r="Y3" s="4"/>
      <c r="Z3" s="4"/>
      <c r="AA3" s="4"/>
      <c r="AB3" s="4"/>
      <c r="AC3" s="4"/>
      <c r="AD3" s="4"/>
      <c r="AE3" s="4"/>
      <c r="AF3" s="4"/>
      <c r="AG3" s="4"/>
      <c r="AI3" s="4" t="s">
        <v>13</v>
      </c>
      <c r="AJ3" s="4"/>
      <c r="AK3" s="4"/>
      <c r="AL3" s="4"/>
      <c r="AM3" s="4"/>
      <c r="AN3" s="4"/>
      <c r="AO3" s="4"/>
      <c r="AP3" s="4"/>
      <c r="AQ3" s="4"/>
      <c r="AR3" s="4"/>
    </row>
    <row r="4" spans="2:44" x14ac:dyDescent="0.2">
      <c r="B4" s="4" t="s">
        <v>8</v>
      </c>
      <c r="C4" s="4"/>
      <c r="D4" s="4"/>
      <c r="E4" s="4"/>
      <c r="F4" s="4"/>
      <c r="G4" s="4"/>
      <c r="H4" s="4"/>
      <c r="I4" s="4"/>
      <c r="J4" s="4"/>
      <c r="K4" s="4"/>
      <c r="M4" s="4" t="s">
        <v>10</v>
      </c>
      <c r="N4" s="4"/>
      <c r="O4" s="4"/>
      <c r="P4" s="4"/>
      <c r="Q4" s="4"/>
      <c r="R4" s="4"/>
      <c r="S4" s="4"/>
      <c r="T4" s="4"/>
      <c r="U4" s="4"/>
      <c r="V4" s="4"/>
      <c r="X4" s="4" t="s">
        <v>12</v>
      </c>
      <c r="Y4" s="4"/>
      <c r="Z4" s="4"/>
      <c r="AA4" s="4"/>
      <c r="AB4" s="4"/>
      <c r="AC4" s="4"/>
      <c r="AD4" s="4"/>
      <c r="AE4" s="4"/>
      <c r="AF4" s="4"/>
      <c r="AG4" s="4"/>
      <c r="AI4" s="4" t="s">
        <v>14</v>
      </c>
      <c r="AJ4" s="4"/>
      <c r="AK4" s="4"/>
      <c r="AL4" s="4"/>
      <c r="AM4" s="4"/>
      <c r="AN4" s="4"/>
      <c r="AO4" s="4"/>
      <c r="AP4" s="4"/>
      <c r="AQ4" s="4"/>
      <c r="AR4" s="4"/>
    </row>
    <row r="5" spans="2:44" x14ac:dyDescent="0.2">
      <c r="B5" s="1"/>
      <c r="C5" s="1"/>
      <c r="D5" s="1"/>
      <c r="E5" s="1"/>
      <c r="F5" s="1"/>
      <c r="G5" s="1"/>
      <c r="H5" s="1"/>
      <c r="M5" s="1"/>
      <c r="N5" s="1"/>
      <c r="O5" s="1"/>
      <c r="P5" s="1"/>
      <c r="Q5" s="1"/>
      <c r="R5" s="1"/>
      <c r="S5" s="1"/>
      <c r="X5" s="1"/>
      <c r="Y5" s="1"/>
      <c r="Z5" s="1"/>
      <c r="AA5" s="1"/>
      <c r="AB5" s="1"/>
      <c r="AC5" s="1"/>
      <c r="AD5" s="1"/>
      <c r="AI5" s="1"/>
      <c r="AJ5" s="1"/>
      <c r="AK5" s="1"/>
      <c r="AL5" s="1"/>
      <c r="AM5" s="1"/>
      <c r="AN5" s="1"/>
      <c r="AO5" s="1"/>
    </row>
    <row r="6" spans="2:44" x14ac:dyDescent="0.2">
      <c r="B6" s="1" t="s">
        <v>31</v>
      </c>
      <c r="C6" s="1" t="s">
        <v>23</v>
      </c>
      <c r="D6" s="1" t="s">
        <v>6</v>
      </c>
      <c r="E6" s="1" t="s">
        <v>30</v>
      </c>
      <c r="F6" s="1" t="s">
        <v>1</v>
      </c>
      <c r="G6" s="1" t="s">
        <v>2</v>
      </c>
      <c r="H6" s="1" t="s">
        <v>3</v>
      </c>
      <c r="I6" s="1" t="s">
        <v>4</v>
      </c>
      <c r="J6" s="1" t="s">
        <v>0</v>
      </c>
      <c r="K6" s="1" t="s">
        <v>5</v>
      </c>
      <c r="M6" s="1" t="s">
        <v>31</v>
      </c>
      <c r="N6" s="1" t="s">
        <v>23</v>
      </c>
      <c r="O6" s="1" t="s">
        <v>6</v>
      </c>
      <c r="P6" s="1" t="s">
        <v>30</v>
      </c>
      <c r="Q6" s="1" t="s">
        <v>1</v>
      </c>
      <c r="R6" s="1" t="s">
        <v>2</v>
      </c>
      <c r="S6" s="1" t="s">
        <v>3</v>
      </c>
      <c r="T6" s="1" t="s">
        <v>4</v>
      </c>
      <c r="U6" s="1" t="s">
        <v>0</v>
      </c>
      <c r="V6" s="1" t="s">
        <v>5</v>
      </c>
      <c r="X6" s="1" t="s">
        <v>31</v>
      </c>
      <c r="Y6" s="1" t="s">
        <v>23</v>
      </c>
      <c r="Z6" s="1" t="s">
        <v>6</v>
      </c>
      <c r="AA6" s="1" t="s">
        <v>30</v>
      </c>
      <c r="AB6" s="1" t="s">
        <v>1</v>
      </c>
      <c r="AC6" s="1" t="s">
        <v>2</v>
      </c>
      <c r="AD6" s="1" t="s">
        <v>3</v>
      </c>
      <c r="AE6" s="1" t="s">
        <v>4</v>
      </c>
      <c r="AF6" s="1" t="s">
        <v>0</v>
      </c>
      <c r="AG6" s="1" t="s">
        <v>5</v>
      </c>
      <c r="AI6" s="1" t="s">
        <v>31</v>
      </c>
      <c r="AJ6" s="1" t="s">
        <v>23</v>
      </c>
      <c r="AK6" s="1" t="s">
        <v>6</v>
      </c>
      <c r="AL6" s="1" t="s">
        <v>30</v>
      </c>
      <c r="AM6" s="1" t="s">
        <v>1</v>
      </c>
      <c r="AN6" s="1" t="s">
        <v>2</v>
      </c>
      <c r="AO6" s="1" t="s">
        <v>3</v>
      </c>
      <c r="AP6" s="1" t="s">
        <v>4</v>
      </c>
      <c r="AQ6" s="1" t="s">
        <v>0</v>
      </c>
      <c r="AR6" s="1" t="s">
        <v>5</v>
      </c>
    </row>
    <row r="7" spans="2:44" x14ac:dyDescent="0.2">
      <c r="B7" s="1" t="str">
        <f>_xlfn.XLOOKUP(Bash1[[#This Row],[Metodo]],TbSolver[Metodo],TbSolver[Solver])</f>
        <v>AdamsBashford</v>
      </c>
      <c r="C7" s="1" t="str">
        <f>_xlfn.XLOOKUP(Bash1[[#This Row],[Hebras]],TbTecnologia[Hebras],TbTecnologia[Tecnología])</f>
        <v>CUDA</v>
      </c>
      <c r="D7" s="1" t="str" cm="1">
        <f t="array" ref="D7">_xlfn.XLOOKUP(Bash1[[#This Row],[Tecnología]]&amp;Bash1[[#This Row],[Metodo]],TbTipos[Tecnología]&amp;TbTipos[Metodo],TbTipos[Tipo])</f>
        <v>CUDA sin graph</v>
      </c>
      <c r="E7" s="1" t="str" cm="1">
        <f t="array" ref="E7">_xlfn.XLOOKUP(Bash1[[#This Row],[Tecnología]]&amp;Bash1[[#This Row],[Problema]],TbNombres[Tecnología]&amp;TbNombres[Problema],TbNombres[Nombre])</f>
        <v>Simple Advdiff</v>
      </c>
      <c r="F7" s="1">
        <v>3</v>
      </c>
      <c r="G7" s="1">
        <v>1</v>
      </c>
      <c r="H7" s="1">
        <v>256</v>
      </c>
      <c r="I7" s="1">
        <v>100</v>
      </c>
      <c r="J7" s="1">
        <v>100</v>
      </c>
      <c r="K7" s="1">
        <v>3.70452</v>
      </c>
      <c r="M7" s="6" t="str">
        <f>_xlfn.XLOOKUP(Bash2[[#This Row],[Metodo]],TbSolver[Metodo],TbSolver[Solver])</f>
        <v>AdamsBashford</v>
      </c>
      <c r="N7" s="6" t="str">
        <f>_xlfn.XLOOKUP(Bash2[[#This Row],[Hebras]],TbTecnologia[Hebras],TbTecnologia[Tecnología])</f>
        <v>CUDA</v>
      </c>
      <c r="O7" s="2" t="str" cm="1">
        <f t="array" ref="O7">_xlfn.XLOOKUP(Bash2[[#This Row],[Tecnología]]&amp;Bash2[[#This Row],[Metodo]],TbTipos[Tecnología]&amp;TbTipos[Metodo],TbTipos[Tipo])</f>
        <v>CUDA sin graph</v>
      </c>
      <c r="P7" s="2" t="str" cm="1">
        <f t="array" ref="P7">_xlfn.XLOOKUP(Bash2[[#This Row],[Tecnología]]&amp;Bash2[[#This Row],[Problema]],TbNombres[Tecnología]&amp;TbNombres[Problema],TbNombres[Nombre])</f>
        <v>Advdiff1d</v>
      </c>
      <c r="Q7" s="2">
        <v>3</v>
      </c>
      <c r="R7" s="2">
        <v>3</v>
      </c>
      <c r="S7" s="2">
        <v>256</v>
      </c>
      <c r="T7" s="2">
        <v>100</v>
      </c>
      <c r="U7" s="2">
        <v>100</v>
      </c>
      <c r="V7" s="2">
        <v>5.5731599999999997</v>
      </c>
      <c r="X7" s="6" t="str">
        <f>_xlfn.XLOOKUP(Bash3[[#This Row],[Metodo]],TbSolver[Metodo],TbSolver[Solver])</f>
        <v>AdamsBashford</v>
      </c>
      <c r="Y7" s="6" t="str">
        <f>_xlfn.XLOOKUP(Bash3[[#This Row],[Hebras]],TbTecnologia[Hebras],TbTecnologia[Tecnología])</f>
        <v>CUDA</v>
      </c>
      <c r="Z7" s="2" t="str" cm="1">
        <f t="array" ref="Z7">_xlfn.XLOOKUP(Bash3[[#This Row],[Tecnología]]&amp;Bash3[[#This Row],[Metodo]],TbTipos[Tecnología]&amp;TbTipos[Metodo],TbTipos[Tipo])</f>
        <v>CUDA sin graph</v>
      </c>
      <c r="AA7" s="2" t="str" cm="1">
        <f t="array" ref="AA7">_xlfn.XLOOKUP(Bash3[[#This Row],[Tecnología]]&amp;Bash3[[#This Row],[Problema]],TbNombres[Tecnología]&amp;TbNombres[Problema],TbNombres[Nombre])</f>
        <v>Brusselator1d</v>
      </c>
      <c r="AB7" s="2">
        <v>3</v>
      </c>
      <c r="AC7" s="2">
        <v>5</v>
      </c>
      <c r="AD7" s="2">
        <v>256</v>
      </c>
      <c r="AE7" s="2">
        <v>100</v>
      </c>
      <c r="AF7" s="2">
        <v>200</v>
      </c>
      <c r="AG7" s="2">
        <v>4.2511799999999997</v>
      </c>
      <c r="AI7" s="6" t="str">
        <f>_xlfn.XLOOKUP(Bash4[[#This Row],[Metodo]],TbSolver[Metodo],TbSolver[Solver])</f>
        <v>AdamsBashford</v>
      </c>
      <c r="AJ7" s="6" t="str">
        <f>_xlfn.XLOOKUP(Bash4[[#This Row],[Hebras]],TbTecnologia[Hebras],TbTecnologia[Tecnología])</f>
        <v>CUDA</v>
      </c>
      <c r="AK7" s="2" t="str" cm="1">
        <f t="array" ref="AK7">_xlfn.XLOOKUP(Bash4[[#This Row],[Tecnología]]&amp;Bash4[[#This Row],[Metodo]],TbTipos[Tecnología]&amp;TbTipos[Metodo],TbTipos[Tipo])</f>
        <v>CUDA sin graph</v>
      </c>
      <c r="AL7" s="2" t="str" cm="1">
        <f t="array" ref="AL7">_xlfn.XLOOKUP(Bash4[[#This Row],[Tecnología]]&amp;Bash4[[#This Row],[Problema]],TbNombres[Tecnología]&amp;TbNombres[Problema],TbNombres[Nombre])</f>
        <v>Brusselator2d</v>
      </c>
      <c r="AM7" s="2">
        <v>3</v>
      </c>
      <c r="AN7" s="2">
        <v>9</v>
      </c>
      <c r="AO7" s="2">
        <v>256</v>
      </c>
      <c r="AP7" s="2">
        <v>50</v>
      </c>
      <c r="AQ7" s="2">
        <v>5000</v>
      </c>
      <c r="AR7" s="2">
        <v>5.2246300000000003</v>
      </c>
    </row>
    <row r="8" spans="2:44" x14ac:dyDescent="0.2">
      <c r="B8" s="1" t="str">
        <f>_xlfn.XLOOKUP(Bash1[[#This Row],[Metodo]],TbSolver[Metodo],TbSolver[Solver])</f>
        <v>AdamsBashford</v>
      </c>
      <c r="C8" s="1" t="str">
        <f>_xlfn.XLOOKUP(Bash1[[#This Row],[Hebras]],TbTecnologia[Hebras],TbTecnologia[Tecnología])</f>
        <v>CUDA</v>
      </c>
      <c r="D8" s="1" t="str" cm="1">
        <f t="array" ref="D8">_xlfn.XLOOKUP(Bash1[[#This Row],[Tecnología]]&amp;Bash1[[#This Row],[Metodo]],TbTipos[Tecnología]&amp;TbTipos[Metodo],TbTipos[Tipo])</f>
        <v>CUDA sin graph</v>
      </c>
      <c r="E8" s="1" t="str" cm="1">
        <f t="array" ref="E8">_xlfn.XLOOKUP(Bash1[[#This Row],[Tecnología]]&amp;Bash1[[#This Row],[Problema]],TbNombres[Tecnología]&amp;TbNombres[Problema],TbNombres[Nombre])</f>
        <v>Simple Advdiff</v>
      </c>
      <c r="F8" s="1">
        <v>3</v>
      </c>
      <c r="G8" s="1">
        <v>2</v>
      </c>
      <c r="H8" s="1">
        <v>256</v>
      </c>
      <c r="I8" s="1">
        <v>100</v>
      </c>
      <c r="J8" s="1">
        <v>100</v>
      </c>
      <c r="K8" s="1">
        <v>3.7521300000000002</v>
      </c>
      <c r="M8" s="6" t="str">
        <f>_xlfn.XLOOKUP(Bash2[[#This Row],[Metodo]],TbSolver[Metodo],TbSolver[Solver])</f>
        <v>AdamsBashford</v>
      </c>
      <c r="N8" s="6" t="str">
        <f>_xlfn.XLOOKUP(Bash2[[#This Row],[Hebras]],TbTecnologia[Hebras],TbTecnologia[Tecnología])</f>
        <v>CUDA</v>
      </c>
      <c r="O8" s="2" t="str" cm="1">
        <f t="array" ref="O8">_xlfn.XLOOKUP(Bash2[[#This Row],[Tecnología]]&amp;Bash2[[#This Row],[Metodo]],TbTipos[Tecnología]&amp;TbTipos[Metodo],TbTipos[Tipo])</f>
        <v>CUDA sin graph</v>
      </c>
      <c r="P8" s="2" t="str" cm="1">
        <f t="array" ref="P8">_xlfn.XLOOKUP(Bash2[[#This Row],[Tecnología]]&amp;Bash2[[#This Row],[Problema]],TbNombres[Tecnología]&amp;TbNombres[Problema],TbNombres[Nombre])</f>
        <v>Advdiff1d</v>
      </c>
      <c r="Q8" s="2">
        <v>3</v>
      </c>
      <c r="R8" s="2">
        <v>4</v>
      </c>
      <c r="S8" s="2">
        <v>256</v>
      </c>
      <c r="T8" s="2">
        <v>100</v>
      </c>
      <c r="U8" s="2">
        <v>100</v>
      </c>
      <c r="V8" s="2">
        <v>5.7496799999999997</v>
      </c>
      <c r="X8" s="6" t="str">
        <f>_xlfn.XLOOKUP(Bash3[[#This Row],[Metodo]],TbSolver[Metodo],TbSolver[Solver])</f>
        <v>AdamsBashford</v>
      </c>
      <c r="Y8" s="6" t="str">
        <f>_xlfn.XLOOKUP(Bash3[[#This Row],[Hebras]],TbTecnologia[Hebras],TbTecnologia[Tecnología])</f>
        <v>CUDA</v>
      </c>
      <c r="Z8" s="2" t="str" cm="1">
        <f t="array" ref="Z8">_xlfn.XLOOKUP(Bash3[[#This Row],[Tecnología]]&amp;Bash3[[#This Row],[Metodo]],TbTipos[Tecnología]&amp;TbTipos[Metodo],TbTipos[Tipo])</f>
        <v>CUDA sin graph</v>
      </c>
      <c r="AA8" s="2" t="str" cm="1">
        <f t="array" ref="AA8">_xlfn.XLOOKUP(Bash3[[#This Row],[Tecnología]]&amp;Bash3[[#This Row],[Problema]],TbNombres[Tecnología]&amp;TbNombres[Problema],TbNombres[Nombre])</f>
        <v>Brusselator1d</v>
      </c>
      <c r="AB8" s="2">
        <v>3</v>
      </c>
      <c r="AC8" s="2">
        <v>6</v>
      </c>
      <c r="AD8" s="2">
        <v>256</v>
      </c>
      <c r="AE8" s="2">
        <v>100</v>
      </c>
      <c r="AF8" s="2">
        <v>200</v>
      </c>
      <c r="AG8" s="2">
        <v>4.2739500000000001</v>
      </c>
      <c r="AI8" s="6" t="str">
        <f>_xlfn.XLOOKUP(Bash4[[#This Row],[Metodo]],TbSolver[Metodo],TbSolver[Solver])</f>
        <v>AdamsBashford</v>
      </c>
      <c r="AJ8" s="6" t="str">
        <f>_xlfn.XLOOKUP(Bash4[[#This Row],[Hebras]],TbTecnologia[Hebras],TbTecnologia[Tecnología])</f>
        <v>CUDA</v>
      </c>
      <c r="AK8" s="2" t="str" cm="1">
        <f t="array" ref="AK8">_xlfn.XLOOKUP(Bash4[[#This Row],[Tecnología]]&amp;Bash4[[#This Row],[Metodo]],TbTipos[Tecnología]&amp;TbTipos[Metodo],TbTipos[Tipo])</f>
        <v>CUDA sin graph</v>
      </c>
      <c r="AL8" s="2" t="str" cm="1">
        <f t="array" ref="AL8">_xlfn.XLOOKUP(Bash4[[#This Row],[Tecnología]]&amp;Bash4[[#This Row],[Problema]],TbNombres[Tecnología]&amp;TbNombres[Problema],TbNombres[Nombre])</f>
        <v>Brusselator2d</v>
      </c>
      <c r="AM8" s="2">
        <v>3</v>
      </c>
      <c r="AN8" s="2">
        <v>8</v>
      </c>
      <c r="AO8" s="2">
        <v>256</v>
      </c>
      <c r="AP8" s="2">
        <v>50</v>
      </c>
      <c r="AQ8" s="2">
        <v>5000</v>
      </c>
      <c r="AR8" s="2">
        <v>5.2259399999999996</v>
      </c>
    </row>
    <row r="9" spans="2:44" x14ac:dyDescent="0.2">
      <c r="B9" s="1" t="str">
        <f>_xlfn.XLOOKUP(Bash1[[#This Row],[Metodo]],TbSolver[Metodo],TbSolver[Solver])</f>
        <v>AdamsBashford</v>
      </c>
      <c r="C9" s="1" t="str">
        <f>_xlfn.XLOOKUP(Bash1[[#This Row],[Hebras]],TbTecnologia[Hebras],TbTecnologia[Tecnología])</f>
        <v>CUDA</v>
      </c>
      <c r="D9" s="1" t="str" cm="1">
        <f t="array" ref="D9">_xlfn.XLOOKUP(Bash1[[#This Row],[Tecnología]]&amp;Bash1[[#This Row],[Metodo]],TbTipos[Tecnología]&amp;TbTipos[Metodo],TbTipos[Tipo])</f>
        <v>CUDA sin graph</v>
      </c>
      <c r="E9" s="1" t="str" cm="1">
        <f t="array" ref="E9">_xlfn.XLOOKUP(Bash1[[#This Row],[Tecnología]]&amp;Bash1[[#This Row],[Problema]],TbNombres[Tecnología]&amp;TbNombres[Problema],TbNombres[Nombre])</f>
        <v>Simple Advdiff</v>
      </c>
      <c r="F9" s="1">
        <v>3</v>
      </c>
      <c r="G9" s="1">
        <v>2</v>
      </c>
      <c r="H9" s="1">
        <v>256</v>
      </c>
      <c r="I9" s="1">
        <v>200</v>
      </c>
      <c r="J9" s="1">
        <v>200</v>
      </c>
      <c r="K9" s="1">
        <v>4.0783500000000004</v>
      </c>
      <c r="M9" s="6" t="str">
        <f>_xlfn.XLOOKUP(Bash2[[#This Row],[Metodo]],TbSolver[Metodo],TbSolver[Solver])</f>
        <v>AdamsBashford</v>
      </c>
      <c r="N9" s="6" t="str">
        <f>_xlfn.XLOOKUP(Bash2[[#This Row],[Hebras]],TbTecnologia[Hebras],TbTecnologia[Tecnología])</f>
        <v>CUDA</v>
      </c>
      <c r="O9" s="2" t="str" cm="1">
        <f t="array" ref="O9">_xlfn.XLOOKUP(Bash2[[#This Row],[Tecnología]]&amp;Bash2[[#This Row],[Metodo]],TbTipos[Tecnología]&amp;TbTipos[Metodo],TbTipos[Tipo])</f>
        <v>CUDA sin graph</v>
      </c>
      <c r="P9" s="2" t="str" cm="1">
        <f t="array" ref="P9">_xlfn.XLOOKUP(Bash2[[#This Row],[Tecnología]]&amp;Bash2[[#This Row],[Problema]],TbNombres[Tecnología]&amp;TbNombres[Problema],TbNombres[Nombre])</f>
        <v>Advdiff1d</v>
      </c>
      <c r="Q9" s="2">
        <v>3</v>
      </c>
      <c r="R9" s="2">
        <v>3</v>
      </c>
      <c r="S9" s="2">
        <v>256</v>
      </c>
      <c r="T9" s="2">
        <v>200</v>
      </c>
      <c r="U9" s="2">
        <v>200</v>
      </c>
      <c r="V9" s="2">
        <v>7.4048800000000004</v>
      </c>
      <c r="X9" s="6" t="str">
        <f>_xlfn.XLOOKUP(Bash3[[#This Row],[Metodo]],TbSolver[Metodo],TbSolver[Solver])</f>
        <v>AdamsBashford</v>
      </c>
      <c r="Y9" s="6" t="str">
        <f>_xlfn.XLOOKUP(Bash3[[#This Row],[Hebras]],TbTecnologia[Hebras],TbTecnologia[Tecnología])</f>
        <v>CUDA</v>
      </c>
      <c r="Z9" s="2" t="str" cm="1">
        <f t="array" ref="Z9">_xlfn.XLOOKUP(Bash3[[#This Row],[Tecnología]]&amp;Bash3[[#This Row],[Metodo]],TbTipos[Tecnología]&amp;TbTipos[Metodo],TbTipos[Tipo])</f>
        <v>CUDA sin graph</v>
      </c>
      <c r="AA9" s="2" t="str" cm="1">
        <f t="array" ref="AA9">_xlfn.XLOOKUP(Bash3[[#This Row],[Tecnología]]&amp;Bash3[[#This Row],[Problema]],TbNombres[Tecnología]&amp;TbNombres[Problema],TbNombres[Nombre])</f>
        <v>Brusselator1d</v>
      </c>
      <c r="AB9" s="2">
        <v>3</v>
      </c>
      <c r="AC9" s="2">
        <v>5</v>
      </c>
      <c r="AD9" s="2">
        <v>256</v>
      </c>
      <c r="AE9" s="2">
        <v>200</v>
      </c>
      <c r="AF9" s="2">
        <v>400</v>
      </c>
      <c r="AG9" s="2">
        <v>4.3825000000000003</v>
      </c>
      <c r="AI9" s="6" t="str">
        <f>_xlfn.XLOOKUP(Bash4[[#This Row],[Metodo]],TbSolver[Metodo],TbSolver[Solver])</f>
        <v>AdamsBashford</v>
      </c>
      <c r="AJ9" s="6" t="str">
        <f>_xlfn.XLOOKUP(Bash4[[#This Row],[Hebras]],TbTecnologia[Hebras],TbTecnologia[Tecnología])</f>
        <v>CUDA</v>
      </c>
      <c r="AK9" s="2" t="str" cm="1">
        <f t="array" ref="AK9">_xlfn.XLOOKUP(Bash4[[#This Row],[Tecnología]]&amp;Bash4[[#This Row],[Metodo]],TbTipos[Tecnología]&amp;TbTipos[Metodo],TbTipos[Tipo])</f>
        <v>CUDA con graph</v>
      </c>
      <c r="AL9" s="2" t="str" cm="1">
        <f t="array" ref="AL9">_xlfn.XLOOKUP(Bash4[[#This Row],[Tecnología]]&amp;Bash4[[#This Row],[Problema]],TbNombres[Tecnología]&amp;TbNombres[Problema],TbNombres[Nombre])</f>
        <v>Brusselator2d</v>
      </c>
      <c r="AM9" s="2">
        <v>4</v>
      </c>
      <c r="AN9" s="2">
        <v>8</v>
      </c>
      <c r="AO9" s="2">
        <v>256</v>
      </c>
      <c r="AP9" s="2">
        <v>50</v>
      </c>
      <c r="AQ9" s="2">
        <v>5000</v>
      </c>
      <c r="AR9" s="2">
        <v>6.9137899999999997</v>
      </c>
    </row>
    <row r="10" spans="2:44" x14ac:dyDescent="0.2">
      <c r="B10" s="1" t="str">
        <f>_xlfn.XLOOKUP(Bash1[[#This Row],[Metodo]],TbSolver[Metodo],TbSolver[Solver])</f>
        <v>AdamsBashford</v>
      </c>
      <c r="C10" s="1" t="str">
        <f>_xlfn.XLOOKUP(Bash1[[#This Row],[Hebras]],TbTecnologia[Hebras],TbTecnologia[Tecnología])</f>
        <v>CUDA</v>
      </c>
      <c r="D10" s="1" t="str" cm="1">
        <f t="array" ref="D10">_xlfn.XLOOKUP(Bash1[[#This Row],[Tecnología]]&amp;Bash1[[#This Row],[Metodo]],TbTipos[Tecnología]&amp;TbTipos[Metodo],TbTipos[Tipo])</f>
        <v>CUDA sin graph</v>
      </c>
      <c r="E10" s="1" t="str" cm="1">
        <f t="array" ref="E10">_xlfn.XLOOKUP(Bash1[[#This Row],[Tecnología]]&amp;Bash1[[#This Row],[Problema]],TbNombres[Tecnología]&amp;TbNombres[Problema],TbNombres[Nombre])</f>
        <v>Simple Advdiff</v>
      </c>
      <c r="F10" s="1">
        <v>3</v>
      </c>
      <c r="G10" s="1">
        <v>1</v>
      </c>
      <c r="H10" s="1">
        <v>256</v>
      </c>
      <c r="I10" s="1">
        <v>1000</v>
      </c>
      <c r="J10" s="1">
        <v>1000</v>
      </c>
      <c r="K10" s="1">
        <v>4.1874200000000004</v>
      </c>
      <c r="M10" s="6" t="str">
        <f>_xlfn.XLOOKUP(Bash2[[#This Row],[Metodo]],TbSolver[Metodo],TbSolver[Solver])</f>
        <v>AdamsBashford</v>
      </c>
      <c r="N10" s="6" t="str">
        <f>_xlfn.XLOOKUP(Bash2[[#This Row],[Hebras]],TbTecnologia[Hebras],TbTecnologia[Tecnología])</f>
        <v>CUDA</v>
      </c>
      <c r="O10" s="2" t="str" cm="1">
        <f t="array" ref="O10">_xlfn.XLOOKUP(Bash2[[#This Row],[Tecnología]]&amp;Bash2[[#This Row],[Metodo]],TbTipos[Tecnología]&amp;TbTipos[Metodo],TbTipos[Tipo])</f>
        <v>CUDA sin graph</v>
      </c>
      <c r="P10" s="2" t="str" cm="1">
        <f t="array" ref="P10">_xlfn.XLOOKUP(Bash2[[#This Row],[Tecnología]]&amp;Bash2[[#This Row],[Problema]],TbNombres[Tecnología]&amp;TbNombres[Problema],TbNombres[Nombre])</f>
        <v>Advdiff1d</v>
      </c>
      <c r="Q10" s="2">
        <v>3</v>
      </c>
      <c r="R10" s="2">
        <v>4</v>
      </c>
      <c r="S10" s="2">
        <v>256</v>
      </c>
      <c r="T10" s="2">
        <v>200</v>
      </c>
      <c r="U10" s="2">
        <v>200</v>
      </c>
      <c r="V10" s="2">
        <v>7.5563900000000004</v>
      </c>
      <c r="X10" s="6" t="str">
        <f>_xlfn.XLOOKUP(Bash3[[#This Row],[Metodo]],TbSolver[Metodo],TbSolver[Solver])</f>
        <v>AdamsBashford</v>
      </c>
      <c r="Y10" s="6" t="str">
        <f>_xlfn.XLOOKUP(Bash3[[#This Row],[Hebras]],TbTecnologia[Hebras],TbTecnologia[Tecnología])</f>
        <v>CUDA</v>
      </c>
      <c r="Z10" s="2" t="str" cm="1">
        <f t="array" ref="Z10">_xlfn.XLOOKUP(Bash3[[#This Row],[Tecnología]]&amp;Bash3[[#This Row],[Metodo]],TbTipos[Tecnología]&amp;TbTipos[Metodo],TbTipos[Tipo])</f>
        <v>CUDA sin graph</v>
      </c>
      <c r="AA10" s="2" t="str" cm="1">
        <f t="array" ref="AA10">_xlfn.XLOOKUP(Bash3[[#This Row],[Tecnología]]&amp;Bash3[[#This Row],[Problema]],TbNombres[Tecnología]&amp;TbNombres[Problema],TbNombres[Nombre])</f>
        <v>Brusselator1d</v>
      </c>
      <c r="AB10" s="2">
        <v>3</v>
      </c>
      <c r="AC10" s="2">
        <v>7</v>
      </c>
      <c r="AD10" s="2">
        <v>256</v>
      </c>
      <c r="AE10" s="2">
        <v>100</v>
      </c>
      <c r="AF10" s="2">
        <v>200</v>
      </c>
      <c r="AG10" s="2">
        <v>4.4091699999999996</v>
      </c>
      <c r="AI10" s="6" t="str">
        <f>_xlfn.XLOOKUP(Bash4[[#This Row],[Metodo]],TbSolver[Metodo],TbSolver[Solver])</f>
        <v>AdamsBashford</v>
      </c>
      <c r="AJ10" s="6" t="str">
        <f>_xlfn.XLOOKUP(Bash4[[#This Row],[Hebras]],TbTecnologia[Hebras],TbTecnologia[Tecnología])</f>
        <v>CUDA</v>
      </c>
      <c r="AK10" s="2" t="str" cm="1">
        <f t="array" ref="AK10">_xlfn.XLOOKUP(Bash4[[#This Row],[Tecnología]]&amp;Bash4[[#This Row],[Metodo]],TbTipos[Tecnología]&amp;TbTipos[Metodo],TbTipos[Tipo])</f>
        <v>CUDA con graph</v>
      </c>
      <c r="AL10" s="2" t="str" cm="1">
        <f t="array" ref="AL10">_xlfn.XLOOKUP(Bash4[[#This Row],[Tecnología]]&amp;Bash4[[#This Row],[Problema]],TbNombres[Tecnología]&amp;TbNombres[Problema],TbNombres[Nombre])</f>
        <v>Brusselator2d</v>
      </c>
      <c r="AM10" s="2">
        <v>4</v>
      </c>
      <c r="AN10" s="2">
        <v>9</v>
      </c>
      <c r="AO10" s="2">
        <v>256</v>
      </c>
      <c r="AP10" s="2">
        <v>50</v>
      </c>
      <c r="AQ10" s="2">
        <v>5000</v>
      </c>
      <c r="AR10" s="2">
        <v>6.9316700000000004</v>
      </c>
    </row>
    <row r="11" spans="2:44" x14ac:dyDescent="0.2">
      <c r="B11" s="1" t="str">
        <f>_xlfn.XLOOKUP(Bash1[[#This Row],[Metodo]],TbSolver[Metodo],TbSolver[Solver])</f>
        <v>AdamsBashford</v>
      </c>
      <c r="C11" s="1" t="str">
        <f>_xlfn.XLOOKUP(Bash1[[#This Row],[Hebras]],TbTecnologia[Hebras],TbTecnologia[Tecnología])</f>
        <v>CUDA</v>
      </c>
      <c r="D11" s="1" t="str" cm="1">
        <f t="array" ref="D11">_xlfn.XLOOKUP(Bash1[[#This Row],[Tecnología]]&amp;Bash1[[#This Row],[Metodo]],TbTipos[Tecnología]&amp;TbTipos[Metodo],TbTipos[Tipo])</f>
        <v>CUDA sin graph</v>
      </c>
      <c r="E11" s="1" t="str" cm="1">
        <f t="array" ref="E11">_xlfn.XLOOKUP(Bash1[[#This Row],[Tecnología]]&amp;Bash1[[#This Row],[Problema]],TbNombres[Tecnología]&amp;TbNombres[Problema],TbNombres[Nombre])</f>
        <v>Simple Advdiff</v>
      </c>
      <c r="F11" s="1">
        <v>3</v>
      </c>
      <c r="G11" s="1">
        <v>1</v>
      </c>
      <c r="H11" s="1">
        <v>256</v>
      </c>
      <c r="I11" s="1">
        <v>500</v>
      </c>
      <c r="J11" s="1">
        <v>500</v>
      </c>
      <c r="K11" s="1">
        <v>4.1970599999999996</v>
      </c>
      <c r="M11" s="6" t="str">
        <f>_xlfn.XLOOKUP(Bash2[[#This Row],[Metodo]],TbSolver[Metodo],TbSolver[Solver])</f>
        <v>AdamsBashford</v>
      </c>
      <c r="N11" s="6" t="str">
        <f>_xlfn.XLOOKUP(Bash2[[#This Row],[Hebras]],TbTecnologia[Hebras],TbTecnologia[Tecnología])</f>
        <v>CUDA</v>
      </c>
      <c r="O11" s="2" t="str" cm="1">
        <f t="array" ref="O11">_xlfn.XLOOKUP(Bash2[[#This Row],[Tecnología]]&amp;Bash2[[#This Row],[Metodo]],TbTipos[Tecnología]&amp;TbTipos[Metodo],TbTipos[Tipo])</f>
        <v>CUDA sin graph</v>
      </c>
      <c r="P11" s="2" t="str" cm="1">
        <f t="array" ref="P11">_xlfn.XLOOKUP(Bash2[[#This Row],[Tecnología]]&amp;Bash2[[#This Row],[Problema]],TbNombres[Tecnología]&amp;TbNombres[Problema],TbNombres[Nombre])</f>
        <v>Advdiff1d</v>
      </c>
      <c r="Q11" s="2">
        <v>3</v>
      </c>
      <c r="R11" s="2">
        <v>3</v>
      </c>
      <c r="S11" s="2">
        <v>256</v>
      </c>
      <c r="T11" s="2">
        <v>500</v>
      </c>
      <c r="U11" s="2">
        <v>500</v>
      </c>
      <c r="V11" s="2">
        <v>7.9539900000000001</v>
      </c>
      <c r="X11" s="6" t="str">
        <f>_xlfn.XLOOKUP(Bash3[[#This Row],[Metodo]],TbSolver[Metodo],TbSolver[Solver])</f>
        <v>AdamsBashford</v>
      </c>
      <c r="Y11" s="6" t="str">
        <f>_xlfn.XLOOKUP(Bash3[[#This Row],[Hebras]],TbTecnologia[Hebras],TbTecnologia[Tecnología])</f>
        <v>CUDA</v>
      </c>
      <c r="Z11" s="2" t="str" cm="1">
        <f t="array" ref="Z11">_xlfn.XLOOKUP(Bash3[[#This Row],[Tecnología]]&amp;Bash3[[#This Row],[Metodo]],TbTipos[Tecnología]&amp;TbTipos[Metodo],TbTipos[Tipo])</f>
        <v>CUDA sin graph</v>
      </c>
      <c r="AA11" s="2" t="str" cm="1">
        <f t="array" ref="AA11">_xlfn.XLOOKUP(Bash3[[#This Row],[Tecnología]]&amp;Bash3[[#This Row],[Problema]],TbNombres[Tecnología]&amp;TbNombres[Problema],TbNombres[Nombre])</f>
        <v>Brusselator1d</v>
      </c>
      <c r="AB11" s="2">
        <v>3</v>
      </c>
      <c r="AC11" s="2">
        <v>5</v>
      </c>
      <c r="AD11" s="2">
        <v>256</v>
      </c>
      <c r="AE11" s="2">
        <v>500</v>
      </c>
      <c r="AF11" s="2">
        <v>1000</v>
      </c>
      <c r="AG11" s="2">
        <v>4.4242800000000004</v>
      </c>
      <c r="AI11" s="6" t="str">
        <f>_xlfn.XLOOKUP(Bash4[[#This Row],[Metodo]],TbSolver[Metodo],TbSolver[Solver])</f>
        <v>AdamsBashford</v>
      </c>
      <c r="AJ11" s="6" t="str">
        <f>_xlfn.XLOOKUP(Bash4[[#This Row],[Hebras]],TbTecnologia[Hebras],TbTecnologia[Tecnología])</f>
        <v>CUDA</v>
      </c>
      <c r="AK11" s="2" t="str" cm="1">
        <f t="array" ref="AK11">_xlfn.XLOOKUP(Bash4[[#This Row],[Tecnología]]&amp;Bash4[[#This Row],[Metodo]],TbTipos[Tecnología]&amp;TbTipos[Metodo],TbTipos[Tipo])</f>
        <v>CUDA sin graph</v>
      </c>
      <c r="AL11" s="2" t="str" cm="1">
        <f t="array" ref="AL11">_xlfn.XLOOKUP(Bash4[[#This Row],[Tecnología]]&amp;Bash4[[#This Row],[Problema]],TbNombres[Tecnología]&amp;TbNombres[Problema],TbNombres[Nombre])</f>
        <v>Brusselator2d</v>
      </c>
      <c r="AM11" s="2">
        <v>3</v>
      </c>
      <c r="AN11" s="2">
        <v>9</v>
      </c>
      <c r="AO11" s="2">
        <v>256</v>
      </c>
      <c r="AP11" s="2">
        <v>100</v>
      </c>
      <c r="AQ11" s="2">
        <v>20000</v>
      </c>
      <c r="AR11" s="2">
        <v>7.3433200000000003</v>
      </c>
    </row>
    <row r="12" spans="2:44" x14ac:dyDescent="0.2">
      <c r="B12" s="1" t="str">
        <f>_xlfn.XLOOKUP(Bash1[[#This Row],[Metodo]],TbSolver[Metodo],TbSolver[Solver])</f>
        <v>AdamsBashford</v>
      </c>
      <c r="C12" s="1" t="str">
        <f>_xlfn.XLOOKUP(Bash1[[#This Row],[Hebras]],TbTecnologia[Hebras],TbTecnologia[Tecnología])</f>
        <v>CUDA</v>
      </c>
      <c r="D12" s="1" t="str" cm="1">
        <f t="array" ref="D12">_xlfn.XLOOKUP(Bash1[[#This Row],[Tecnología]]&amp;Bash1[[#This Row],[Metodo]],TbTipos[Tecnología]&amp;TbTipos[Metodo],TbTipos[Tipo])</f>
        <v>CUDA sin graph</v>
      </c>
      <c r="E12" s="1" t="str" cm="1">
        <f t="array" ref="E12">_xlfn.XLOOKUP(Bash1[[#This Row],[Tecnología]]&amp;Bash1[[#This Row],[Problema]],TbNombres[Tecnología]&amp;TbNombres[Problema],TbNombres[Nombre])</f>
        <v>Simple Advdiff</v>
      </c>
      <c r="F12" s="1">
        <v>3</v>
      </c>
      <c r="G12" s="1">
        <v>1</v>
      </c>
      <c r="H12" s="1">
        <v>256</v>
      </c>
      <c r="I12" s="1">
        <v>2000</v>
      </c>
      <c r="J12" s="1">
        <v>2000</v>
      </c>
      <c r="K12" s="1">
        <v>4.21807</v>
      </c>
      <c r="M12" s="6" t="str">
        <f>_xlfn.XLOOKUP(Bash2[[#This Row],[Metodo]],TbSolver[Metodo],TbSolver[Solver])</f>
        <v>AdamsBashford</v>
      </c>
      <c r="N12" s="6" t="str">
        <f>_xlfn.XLOOKUP(Bash2[[#This Row],[Hebras]],TbTecnologia[Hebras],TbTecnologia[Tecnología])</f>
        <v>CUDA</v>
      </c>
      <c r="O12" s="2" t="str" cm="1">
        <f t="array" ref="O12">_xlfn.XLOOKUP(Bash2[[#This Row],[Tecnología]]&amp;Bash2[[#This Row],[Metodo]],TbTipos[Tecnología]&amp;TbTipos[Metodo],TbTipos[Tipo])</f>
        <v>CUDA sin graph</v>
      </c>
      <c r="P12" s="2" t="str" cm="1">
        <f t="array" ref="P12">_xlfn.XLOOKUP(Bash2[[#This Row],[Tecnología]]&amp;Bash2[[#This Row],[Problema]],TbNombres[Tecnología]&amp;TbNombres[Problema],TbNombres[Nombre])</f>
        <v>Advdiff1d</v>
      </c>
      <c r="Q12" s="2">
        <v>3</v>
      </c>
      <c r="R12" s="2">
        <v>4</v>
      </c>
      <c r="S12" s="2">
        <v>256</v>
      </c>
      <c r="T12" s="2">
        <v>500</v>
      </c>
      <c r="U12" s="2">
        <v>500</v>
      </c>
      <c r="V12" s="2">
        <v>8.2047600000000003</v>
      </c>
      <c r="X12" s="6" t="str">
        <f>_xlfn.XLOOKUP(Bash3[[#This Row],[Metodo]],TbSolver[Metodo],TbSolver[Solver])</f>
        <v>AdamsBashford</v>
      </c>
      <c r="Y12" s="6" t="str">
        <f>_xlfn.XLOOKUP(Bash3[[#This Row],[Hebras]],TbTecnologia[Hebras],TbTecnologia[Tecnología])</f>
        <v>CUDA</v>
      </c>
      <c r="Z12" s="2" t="str" cm="1">
        <f t="array" ref="Z12">_xlfn.XLOOKUP(Bash3[[#This Row],[Tecnología]]&amp;Bash3[[#This Row],[Metodo]],TbTipos[Tecnología]&amp;TbTipos[Metodo],TbTipos[Tipo])</f>
        <v>CUDA sin graph</v>
      </c>
      <c r="AA12" s="2" t="str" cm="1">
        <f t="array" ref="AA12">_xlfn.XLOOKUP(Bash3[[#This Row],[Tecnología]]&amp;Bash3[[#This Row],[Problema]],TbNombres[Tecnología]&amp;TbNombres[Problema],TbNombres[Nombre])</f>
        <v>Brusselator1d</v>
      </c>
      <c r="AB12" s="2">
        <v>3</v>
      </c>
      <c r="AC12" s="2">
        <v>7</v>
      </c>
      <c r="AD12" s="2">
        <v>256</v>
      </c>
      <c r="AE12" s="2">
        <v>200</v>
      </c>
      <c r="AF12" s="2">
        <v>400</v>
      </c>
      <c r="AG12" s="2">
        <v>4.4284499999999998</v>
      </c>
      <c r="AI12" s="6" t="str">
        <f>_xlfn.XLOOKUP(Bash4[[#This Row],[Metodo]],TbSolver[Metodo],TbSolver[Solver])</f>
        <v>AdamsBashford</v>
      </c>
      <c r="AJ12" s="6" t="str">
        <f>_xlfn.XLOOKUP(Bash4[[#This Row],[Hebras]],TbTecnologia[Hebras],TbTecnologia[Tecnología])</f>
        <v>CUDA</v>
      </c>
      <c r="AK12" s="2" t="str" cm="1">
        <f t="array" ref="AK12">_xlfn.XLOOKUP(Bash4[[#This Row],[Tecnología]]&amp;Bash4[[#This Row],[Metodo]],TbTipos[Tecnología]&amp;TbTipos[Metodo],TbTipos[Tipo])</f>
        <v>CUDA sin graph</v>
      </c>
      <c r="AL12" s="2" t="str" cm="1">
        <f t="array" ref="AL12">_xlfn.XLOOKUP(Bash4[[#This Row],[Tecnología]]&amp;Bash4[[#This Row],[Problema]],TbNombres[Tecnología]&amp;TbNombres[Problema],TbNombres[Nombre])</f>
        <v>Brusselator2d</v>
      </c>
      <c r="AM12" s="2">
        <v>3</v>
      </c>
      <c r="AN12" s="2">
        <v>8</v>
      </c>
      <c r="AO12" s="2">
        <v>256</v>
      </c>
      <c r="AP12" s="2">
        <v>100</v>
      </c>
      <c r="AQ12" s="2">
        <v>20000</v>
      </c>
      <c r="AR12" s="2">
        <v>7.3652899999999999</v>
      </c>
    </row>
    <row r="13" spans="2:44" x14ac:dyDescent="0.2">
      <c r="B13" s="1" t="str">
        <f>_xlfn.XLOOKUP(Bash1[[#This Row],[Metodo]],TbSolver[Metodo],TbSolver[Solver])</f>
        <v>AdamsBashford</v>
      </c>
      <c r="C13" s="1" t="str">
        <f>_xlfn.XLOOKUP(Bash1[[#This Row],[Hebras]],TbTecnologia[Hebras],TbTecnologia[Tecnología])</f>
        <v>CUDA</v>
      </c>
      <c r="D13" s="1" t="str" cm="1">
        <f t="array" ref="D13">_xlfn.XLOOKUP(Bash1[[#This Row],[Tecnología]]&amp;Bash1[[#This Row],[Metodo]],TbTipos[Tecnología]&amp;TbTipos[Metodo],TbTipos[Tipo])</f>
        <v>CUDA sin graph</v>
      </c>
      <c r="E13" s="1" t="str" cm="1">
        <f t="array" ref="E13">_xlfn.XLOOKUP(Bash1[[#This Row],[Tecnología]]&amp;Bash1[[#This Row],[Problema]],TbNombres[Tecnología]&amp;TbNombres[Problema],TbNombres[Nombre])</f>
        <v>Simple Advdiff</v>
      </c>
      <c r="F13" s="1">
        <v>3</v>
      </c>
      <c r="G13" s="1">
        <v>2</v>
      </c>
      <c r="H13" s="1">
        <v>256</v>
      </c>
      <c r="I13" s="1">
        <v>500</v>
      </c>
      <c r="J13" s="1">
        <v>500</v>
      </c>
      <c r="K13" s="1">
        <v>4.22342</v>
      </c>
      <c r="M13" s="6" t="str">
        <f>_xlfn.XLOOKUP(Bash2[[#This Row],[Metodo]],TbSolver[Metodo],TbSolver[Solver])</f>
        <v>AdamsBashford</v>
      </c>
      <c r="N13" s="6" t="str">
        <f>_xlfn.XLOOKUP(Bash2[[#This Row],[Hebras]],TbTecnologia[Hebras],TbTecnologia[Tecnología])</f>
        <v>CUDA</v>
      </c>
      <c r="O13" s="2" t="str" cm="1">
        <f t="array" ref="O13">_xlfn.XLOOKUP(Bash2[[#This Row],[Tecnología]]&amp;Bash2[[#This Row],[Metodo]],TbTipos[Tecnología]&amp;TbTipos[Metodo],TbTipos[Tipo])</f>
        <v>CUDA sin graph</v>
      </c>
      <c r="P13" s="2" t="str" cm="1">
        <f t="array" ref="P13">_xlfn.XLOOKUP(Bash2[[#This Row],[Tecnología]]&amp;Bash2[[#This Row],[Problema]],TbNombres[Tecnología]&amp;TbNombres[Problema],TbNombres[Nombre])</f>
        <v>Advdiff1d</v>
      </c>
      <c r="Q13" s="2">
        <v>3</v>
      </c>
      <c r="R13" s="2">
        <v>3</v>
      </c>
      <c r="S13" s="2">
        <v>256</v>
      </c>
      <c r="T13" s="2">
        <v>1000</v>
      </c>
      <c r="U13" s="2">
        <v>1000</v>
      </c>
      <c r="V13" s="2">
        <v>7.9650100000000004</v>
      </c>
      <c r="X13" s="6" t="str">
        <f>_xlfn.XLOOKUP(Bash3[[#This Row],[Metodo]],TbSolver[Metodo],TbSolver[Solver])</f>
        <v>AdamsBashford</v>
      </c>
      <c r="Y13" s="6" t="str">
        <f>_xlfn.XLOOKUP(Bash3[[#This Row],[Hebras]],TbTecnologia[Hebras],TbTecnologia[Tecnología])</f>
        <v>CUDA</v>
      </c>
      <c r="Z13" s="2" t="str" cm="1">
        <f t="array" ref="Z13">_xlfn.XLOOKUP(Bash3[[#This Row],[Tecnología]]&amp;Bash3[[#This Row],[Metodo]],TbTipos[Tecnología]&amp;TbTipos[Metodo],TbTipos[Tipo])</f>
        <v>CUDA sin graph</v>
      </c>
      <c r="AA13" s="2" t="str" cm="1">
        <f t="array" ref="AA13">_xlfn.XLOOKUP(Bash3[[#This Row],[Tecnología]]&amp;Bash3[[#This Row],[Problema]],TbNombres[Tecnología]&amp;TbNombres[Problema],TbNombres[Nombre])</f>
        <v>Brusselator1d</v>
      </c>
      <c r="AB13" s="2">
        <v>3</v>
      </c>
      <c r="AC13" s="2">
        <v>7</v>
      </c>
      <c r="AD13" s="2">
        <v>256</v>
      </c>
      <c r="AE13" s="2">
        <v>500</v>
      </c>
      <c r="AF13" s="2">
        <v>1000</v>
      </c>
      <c r="AG13" s="2">
        <v>4.4563800000000002</v>
      </c>
      <c r="AI13" s="6" t="str">
        <f>_xlfn.XLOOKUP(Bash4[[#This Row],[Metodo]],TbSolver[Metodo],TbSolver[Solver])</f>
        <v>AdamsBashford</v>
      </c>
      <c r="AJ13" s="6" t="str">
        <f>_xlfn.XLOOKUP(Bash4[[#This Row],[Hebras]],TbTecnologia[Hebras],TbTecnologia[Tecnología])</f>
        <v>CUDA</v>
      </c>
      <c r="AK13" s="2" t="str" cm="1">
        <f t="array" ref="AK13">_xlfn.XLOOKUP(Bash4[[#This Row],[Tecnología]]&amp;Bash4[[#This Row],[Metodo]],TbTipos[Tecnología]&amp;TbTipos[Metodo],TbTipos[Tipo])</f>
        <v>CUDA con graph</v>
      </c>
      <c r="AL13" s="2" t="str" cm="1">
        <f t="array" ref="AL13">_xlfn.XLOOKUP(Bash4[[#This Row],[Tecnología]]&amp;Bash4[[#This Row],[Problema]],TbNombres[Tecnología]&amp;TbNombres[Problema],TbNombres[Nombre])</f>
        <v>Brusselator2d</v>
      </c>
      <c r="AM13" s="2">
        <v>4</v>
      </c>
      <c r="AN13" s="2">
        <v>8</v>
      </c>
      <c r="AO13" s="2">
        <v>256</v>
      </c>
      <c r="AP13" s="2">
        <v>100</v>
      </c>
      <c r="AQ13" s="2">
        <v>20000</v>
      </c>
      <c r="AR13" s="2">
        <v>9.3744099999999992</v>
      </c>
    </row>
    <row r="14" spans="2:44" x14ac:dyDescent="0.2">
      <c r="B14" s="1" t="str">
        <f>_xlfn.XLOOKUP(Bash1[[#This Row],[Metodo]],TbSolver[Metodo],TbSolver[Solver])</f>
        <v>AdamsBashford</v>
      </c>
      <c r="C14" s="1" t="str">
        <f>_xlfn.XLOOKUP(Bash1[[#This Row],[Hebras]],TbTecnologia[Hebras],TbTecnologia[Tecnología])</f>
        <v>CUDA</v>
      </c>
      <c r="D14" s="1" t="str" cm="1">
        <f t="array" ref="D14">_xlfn.XLOOKUP(Bash1[[#This Row],[Tecnología]]&amp;Bash1[[#This Row],[Metodo]],TbTipos[Tecnología]&amp;TbTipos[Metodo],TbTipos[Tipo])</f>
        <v>CUDA sin graph</v>
      </c>
      <c r="E14" s="1" t="str" cm="1">
        <f t="array" ref="E14">_xlfn.XLOOKUP(Bash1[[#This Row],[Tecnología]]&amp;Bash1[[#This Row],[Problema]],TbNombres[Tecnología]&amp;TbNombres[Problema],TbNombres[Nombre])</f>
        <v>Simple Advdiff</v>
      </c>
      <c r="F14" s="1">
        <v>3</v>
      </c>
      <c r="G14" s="1">
        <v>2</v>
      </c>
      <c r="H14" s="1">
        <v>256</v>
      </c>
      <c r="I14" s="1">
        <v>2000</v>
      </c>
      <c r="J14" s="1">
        <v>2000</v>
      </c>
      <c r="K14" s="1">
        <v>4.2354700000000003</v>
      </c>
      <c r="M14" s="6" t="str">
        <f>_xlfn.XLOOKUP(Bash2[[#This Row],[Metodo]],TbSolver[Metodo],TbSolver[Solver])</f>
        <v>AdamsBashford</v>
      </c>
      <c r="N14" s="6" t="str">
        <f>_xlfn.XLOOKUP(Bash2[[#This Row],[Hebras]],TbTecnologia[Hebras],TbTecnologia[Tecnología])</f>
        <v>CUDA</v>
      </c>
      <c r="O14" s="2" t="str" cm="1">
        <f t="array" ref="O14">_xlfn.XLOOKUP(Bash2[[#This Row],[Tecnología]]&amp;Bash2[[#This Row],[Metodo]],TbTipos[Tecnología]&amp;TbTipos[Metodo],TbTipos[Tipo])</f>
        <v>CUDA sin graph</v>
      </c>
      <c r="P14" s="2" t="str" cm="1">
        <f t="array" ref="P14">_xlfn.XLOOKUP(Bash2[[#This Row],[Tecnología]]&amp;Bash2[[#This Row],[Problema]],TbNombres[Tecnología]&amp;TbNombres[Problema],TbNombres[Nombre])</f>
        <v>Advdiff1d</v>
      </c>
      <c r="Q14" s="2">
        <v>3</v>
      </c>
      <c r="R14" s="2">
        <v>4</v>
      </c>
      <c r="S14" s="2">
        <v>256</v>
      </c>
      <c r="T14" s="2">
        <v>1000</v>
      </c>
      <c r="U14" s="2">
        <v>1000</v>
      </c>
      <c r="V14" s="2">
        <v>8.2463099999999994</v>
      </c>
      <c r="X14" s="6" t="str">
        <f>_xlfn.XLOOKUP(Bash3[[#This Row],[Metodo]],TbSolver[Metodo],TbSolver[Solver])</f>
        <v>AdamsBashford</v>
      </c>
      <c r="Y14" s="6" t="str">
        <f>_xlfn.XLOOKUP(Bash3[[#This Row],[Hebras]],TbTecnologia[Hebras],TbTecnologia[Tecnología])</f>
        <v>CUDA</v>
      </c>
      <c r="Z14" s="2" t="str" cm="1">
        <f t="array" ref="Z14">_xlfn.XLOOKUP(Bash3[[#This Row],[Tecnología]]&amp;Bash3[[#This Row],[Metodo]],TbTipos[Tecnología]&amp;TbTipos[Metodo],TbTipos[Tipo])</f>
        <v>CUDA sin graph</v>
      </c>
      <c r="AA14" s="2" t="str" cm="1">
        <f t="array" ref="AA14">_xlfn.XLOOKUP(Bash3[[#This Row],[Tecnología]]&amp;Bash3[[#This Row],[Problema]],TbNombres[Tecnología]&amp;TbNombres[Problema],TbNombres[Nombre])</f>
        <v>Brusselator1d</v>
      </c>
      <c r="AB14" s="2">
        <v>3</v>
      </c>
      <c r="AC14" s="2">
        <v>5</v>
      </c>
      <c r="AD14" s="2">
        <v>256</v>
      </c>
      <c r="AE14" s="2">
        <v>1000</v>
      </c>
      <c r="AF14" s="2">
        <v>2000</v>
      </c>
      <c r="AG14" s="2">
        <v>4.4725599999999996</v>
      </c>
      <c r="AI14" s="6" t="str">
        <f>_xlfn.XLOOKUP(Bash4[[#This Row],[Metodo]],TbSolver[Metodo],TbSolver[Solver])</f>
        <v>AdamsBashford</v>
      </c>
      <c r="AJ14" s="6" t="str">
        <f>_xlfn.XLOOKUP(Bash4[[#This Row],[Hebras]],TbTecnologia[Hebras],TbTecnologia[Tecnología])</f>
        <v>CUDA</v>
      </c>
      <c r="AK14" s="2" t="str" cm="1">
        <f t="array" ref="AK14">_xlfn.XLOOKUP(Bash4[[#This Row],[Tecnología]]&amp;Bash4[[#This Row],[Metodo]],TbTipos[Tecnología]&amp;TbTipos[Metodo],TbTipos[Tipo])</f>
        <v>CUDA con graph</v>
      </c>
      <c r="AL14" s="2" t="str" cm="1">
        <f t="array" ref="AL14">_xlfn.XLOOKUP(Bash4[[#This Row],[Tecnología]]&amp;Bash4[[#This Row],[Problema]],TbNombres[Tecnología]&amp;TbNombres[Problema],TbNombres[Nombre])</f>
        <v>Brusselator2d</v>
      </c>
      <c r="AM14" s="2">
        <v>4</v>
      </c>
      <c r="AN14" s="2">
        <v>9</v>
      </c>
      <c r="AO14" s="2">
        <v>256</v>
      </c>
      <c r="AP14" s="2">
        <v>100</v>
      </c>
      <c r="AQ14" s="2">
        <v>20000</v>
      </c>
      <c r="AR14" s="2">
        <v>9.4117700000000006</v>
      </c>
    </row>
    <row r="15" spans="2:44" x14ac:dyDescent="0.2">
      <c r="B15" s="1" t="str">
        <f>_xlfn.XLOOKUP(Bash1[[#This Row],[Metodo]],TbSolver[Metodo],TbSolver[Solver])</f>
        <v>AdamsBashford</v>
      </c>
      <c r="C15" s="1" t="str">
        <f>_xlfn.XLOOKUP(Bash1[[#This Row],[Hebras]],TbTecnologia[Hebras],TbTecnologia[Tecnología])</f>
        <v>CUDA</v>
      </c>
      <c r="D15" s="1" t="str" cm="1">
        <f t="array" ref="D15">_xlfn.XLOOKUP(Bash1[[#This Row],[Tecnología]]&amp;Bash1[[#This Row],[Metodo]],TbTipos[Tecnología]&amp;TbTipos[Metodo],TbTipos[Tipo])</f>
        <v>CUDA sin graph</v>
      </c>
      <c r="E15" s="1" t="str" cm="1">
        <f t="array" ref="E15">_xlfn.XLOOKUP(Bash1[[#This Row],[Tecnología]]&amp;Bash1[[#This Row],[Problema]],TbNombres[Tecnología]&amp;TbNombres[Problema],TbNombres[Nombre])</f>
        <v>Simple Advdiff</v>
      </c>
      <c r="F15" s="1">
        <v>3</v>
      </c>
      <c r="G15" s="1">
        <v>2</v>
      </c>
      <c r="H15" s="1">
        <v>256</v>
      </c>
      <c r="I15" s="1">
        <v>1000</v>
      </c>
      <c r="J15" s="1">
        <v>1000</v>
      </c>
      <c r="K15" s="1">
        <v>4.2945399999999996</v>
      </c>
      <c r="M15" s="6" t="str">
        <f>_xlfn.XLOOKUP(Bash2[[#This Row],[Metodo]],TbSolver[Metodo],TbSolver[Solver])</f>
        <v>AdamsBashford</v>
      </c>
      <c r="N15" s="6" t="str">
        <f>_xlfn.XLOOKUP(Bash2[[#This Row],[Hebras]],TbTecnologia[Hebras],TbTecnologia[Tecnología])</f>
        <v>CUDA</v>
      </c>
      <c r="O15" s="2" t="str" cm="1">
        <f t="array" ref="O15">_xlfn.XLOOKUP(Bash2[[#This Row],[Tecnología]]&amp;Bash2[[#This Row],[Metodo]],TbTipos[Tecnología]&amp;TbTipos[Metodo],TbTipos[Tipo])</f>
        <v>CUDA sin graph</v>
      </c>
      <c r="P15" s="2" t="str" cm="1">
        <f t="array" ref="P15">_xlfn.XLOOKUP(Bash2[[#This Row],[Tecnología]]&amp;Bash2[[#This Row],[Problema]],TbNombres[Tecnología]&amp;TbNombres[Problema],TbNombres[Nombre])</f>
        <v>Advdiff1d</v>
      </c>
      <c r="Q15" s="2">
        <v>3</v>
      </c>
      <c r="R15" s="2">
        <v>3</v>
      </c>
      <c r="S15" s="2">
        <v>256</v>
      </c>
      <c r="T15" s="2">
        <v>2000</v>
      </c>
      <c r="U15" s="2">
        <v>2000</v>
      </c>
      <c r="V15" s="2">
        <v>7.9771400000000003</v>
      </c>
      <c r="X15" s="6" t="str">
        <f>_xlfn.XLOOKUP(Bash3[[#This Row],[Metodo]],TbSolver[Metodo],TbSolver[Solver])</f>
        <v>AdamsBashford</v>
      </c>
      <c r="Y15" s="6" t="str">
        <f>_xlfn.XLOOKUP(Bash3[[#This Row],[Hebras]],TbTecnologia[Hebras],TbTecnologia[Tecnología])</f>
        <v>CUDA</v>
      </c>
      <c r="Z15" s="2" t="str" cm="1">
        <f t="array" ref="Z15">_xlfn.XLOOKUP(Bash3[[#This Row],[Tecnología]]&amp;Bash3[[#This Row],[Metodo]],TbTipos[Tecnología]&amp;TbTipos[Metodo],TbTipos[Tipo])</f>
        <v>CUDA sin graph</v>
      </c>
      <c r="AA15" s="2" t="str" cm="1">
        <f t="array" ref="AA15">_xlfn.XLOOKUP(Bash3[[#This Row],[Tecnología]]&amp;Bash3[[#This Row],[Problema]],TbNombres[Tecnología]&amp;TbNombres[Problema],TbNombres[Nombre])</f>
        <v>Brusselator1d</v>
      </c>
      <c r="AB15" s="2">
        <v>3</v>
      </c>
      <c r="AC15" s="2">
        <v>6</v>
      </c>
      <c r="AD15" s="2">
        <v>256</v>
      </c>
      <c r="AE15" s="2">
        <v>200</v>
      </c>
      <c r="AF15" s="2">
        <v>400</v>
      </c>
      <c r="AG15" s="2">
        <v>4.4763099999999998</v>
      </c>
      <c r="AI15" s="6" t="str">
        <f>_xlfn.XLOOKUP(Bash4[[#This Row],[Metodo]],TbSolver[Metodo],TbSolver[Solver])</f>
        <v>AdamsBashford</v>
      </c>
      <c r="AJ15" s="6" t="str">
        <f>_xlfn.XLOOKUP(Bash4[[#This Row],[Hebras]],TbTecnologia[Hebras],TbTecnologia[Tecnología])</f>
        <v>CUDA</v>
      </c>
      <c r="AK15" s="2" t="str" cm="1">
        <f t="array" ref="AK15">_xlfn.XLOOKUP(Bash4[[#This Row],[Tecnología]]&amp;Bash4[[#This Row],[Metodo]],TbTipos[Tecnología]&amp;TbTipos[Metodo],TbTipos[Tipo])</f>
        <v>CUDA sin graph</v>
      </c>
      <c r="AL15" s="2" t="str" cm="1">
        <f t="array" ref="AL15">_xlfn.XLOOKUP(Bash4[[#This Row],[Tecnología]]&amp;Bash4[[#This Row],[Problema]],TbNombres[Tecnología]&amp;TbNombres[Problema],TbNombres[Nombre])</f>
        <v>Brusselator2d</v>
      </c>
      <c r="AM15" s="2">
        <v>3</v>
      </c>
      <c r="AN15" s="2">
        <v>9</v>
      </c>
      <c r="AO15" s="2">
        <v>256</v>
      </c>
      <c r="AP15" s="2">
        <v>200</v>
      </c>
      <c r="AQ15" s="2">
        <v>80000</v>
      </c>
      <c r="AR15" s="2">
        <v>13.7272</v>
      </c>
    </row>
    <row r="16" spans="2:44" x14ac:dyDescent="0.2">
      <c r="B16" s="1" t="str">
        <f>_xlfn.XLOOKUP(Bash1[[#This Row],[Metodo]],TbSolver[Metodo],TbSolver[Solver])</f>
        <v>AdamsBashford</v>
      </c>
      <c r="C16" s="1" t="str">
        <f>_xlfn.XLOOKUP(Bash1[[#This Row],[Hebras]],TbTecnologia[Hebras],TbTecnologia[Tecnología])</f>
        <v>CUDA</v>
      </c>
      <c r="D16" s="1" t="str" cm="1">
        <f t="array" ref="D16">_xlfn.XLOOKUP(Bash1[[#This Row],[Tecnología]]&amp;Bash1[[#This Row],[Metodo]],TbTipos[Tecnología]&amp;TbTipos[Metodo],TbTipos[Tipo])</f>
        <v>CUDA sin graph</v>
      </c>
      <c r="E16" s="1" t="str" cm="1">
        <f t="array" ref="E16">_xlfn.XLOOKUP(Bash1[[#This Row],[Tecnología]]&amp;Bash1[[#This Row],[Problema]],TbNombres[Tecnología]&amp;TbNombres[Problema],TbNombres[Nombre])</f>
        <v>Simple Advdiff</v>
      </c>
      <c r="F16" s="1">
        <v>3</v>
      </c>
      <c r="G16" s="1">
        <v>1</v>
      </c>
      <c r="H16" s="1">
        <v>256</v>
      </c>
      <c r="I16" s="1">
        <v>200</v>
      </c>
      <c r="J16" s="1">
        <v>200</v>
      </c>
      <c r="K16" s="1">
        <v>4.3080800000000004</v>
      </c>
      <c r="M16" s="6" t="str">
        <f>_xlfn.XLOOKUP(Bash2[[#This Row],[Metodo]],TbSolver[Metodo],TbSolver[Solver])</f>
        <v>AdamsBashford</v>
      </c>
      <c r="N16" s="6" t="str">
        <f>_xlfn.XLOOKUP(Bash2[[#This Row],[Hebras]],TbTecnologia[Hebras],TbTecnologia[Tecnología])</f>
        <v>CUDA</v>
      </c>
      <c r="O16" s="2" t="str" cm="1">
        <f t="array" ref="O16">_xlfn.XLOOKUP(Bash2[[#This Row],[Tecnología]]&amp;Bash2[[#This Row],[Metodo]],TbTipos[Tecnología]&amp;TbTipos[Metodo],TbTipos[Tipo])</f>
        <v>CUDA sin graph</v>
      </c>
      <c r="P16" s="2" t="str" cm="1">
        <f t="array" ref="P16">_xlfn.XLOOKUP(Bash2[[#This Row],[Tecnología]]&amp;Bash2[[#This Row],[Problema]],TbNombres[Tecnología]&amp;TbNombres[Problema],TbNombres[Nombre])</f>
        <v>Advdiff1d</v>
      </c>
      <c r="Q16" s="2">
        <v>3</v>
      </c>
      <c r="R16" s="2">
        <v>4</v>
      </c>
      <c r="S16" s="2">
        <v>256</v>
      </c>
      <c r="T16" s="2">
        <v>2000</v>
      </c>
      <c r="U16" s="2">
        <v>2000</v>
      </c>
      <c r="V16" s="2">
        <v>8.2349999999999994</v>
      </c>
      <c r="X16" s="6" t="str">
        <f>_xlfn.XLOOKUP(Bash3[[#This Row],[Metodo]],TbSolver[Metodo],TbSolver[Solver])</f>
        <v>AdamsBashford</v>
      </c>
      <c r="Y16" s="6" t="str">
        <f>_xlfn.XLOOKUP(Bash3[[#This Row],[Hebras]],TbTecnologia[Hebras],TbTecnologia[Tecnología])</f>
        <v>CUDA</v>
      </c>
      <c r="Z16" s="2" t="str" cm="1">
        <f t="array" ref="Z16">_xlfn.XLOOKUP(Bash3[[#This Row],[Tecnología]]&amp;Bash3[[#This Row],[Metodo]],TbTipos[Tecnología]&amp;TbTipos[Metodo],TbTipos[Tipo])</f>
        <v>CUDA sin graph</v>
      </c>
      <c r="AA16" s="2" t="str" cm="1">
        <f t="array" ref="AA16">_xlfn.XLOOKUP(Bash3[[#This Row],[Tecnología]]&amp;Bash3[[#This Row],[Problema]],TbNombres[Tecnología]&amp;TbNombres[Problema],TbNombres[Nombre])</f>
        <v>Brusselator1d</v>
      </c>
      <c r="AB16" s="2">
        <v>3</v>
      </c>
      <c r="AC16" s="2">
        <v>6</v>
      </c>
      <c r="AD16" s="2">
        <v>256</v>
      </c>
      <c r="AE16" s="2">
        <v>500</v>
      </c>
      <c r="AF16" s="2">
        <v>1000</v>
      </c>
      <c r="AG16" s="2">
        <v>4.4807300000000003</v>
      </c>
      <c r="AI16" s="6" t="str">
        <f>_xlfn.XLOOKUP(Bash4[[#This Row],[Metodo]],TbSolver[Metodo],TbSolver[Solver])</f>
        <v>AdamsBashford</v>
      </c>
      <c r="AJ16" s="6" t="str">
        <f>_xlfn.XLOOKUP(Bash4[[#This Row],[Hebras]],TbTecnologia[Hebras],TbTecnologia[Tecnología])</f>
        <v>CUDA</v>
      </c>
      <c r="AK16" s="2" t="str" cm="1">
        <f t="array" ref="AK16">_xlfn.XLOOKUP(Bash4[[#This Row],[Tecnología]]&amp;Bash4[[#This Row],[Metodo]],TbTipos[Tecnología]&amp;TbTipos[Metodo],TbTipos[Tipo])</f>
        <v>CUDA sin graph</v>
      </c>
      <c r="AL16" s="2" t="str" cm="1">
        <f t="array" ref="AL16">_xlfn.XLOOKUP(Bash4[[#This Row],[Tecnología]]&amp;Bash4[[#This Row],[Problema]],TbNombres[Tecnología]&amp;TbNombres[Problema],TbNombres[Nombre])</f>
        <v>Brusselator2d</v>
      </c>
      <c r="AM16" s="2">
        <v>3</v>
      </c>
      <c r="AN16" s="2">
        <v>8</v>
      </c>
      <c r="AO16" s="2">
        <v>256</v>
      </c>
      <c r="AP16" s="2">
        <v>200</v>
      </c>
      <c r="AQ16" s="2">
        <v>80000</v>
      </c>
      <c r="AR16" s="2">
        <v>13.9071</v>
      </c>
    </row>
    <row r="17" spans="2:44" x14ac:dyDescent="0.2">
      <c r="B17" s="1" t="str">
        <f>_xlfn.XLOOKUP(Bash1[[#This Row],[Metodo]],TbSolver[Metodo],TbSolver[Solver])</f>
        <v>AdamsBashford</v>
      </c>
      <c r="C17" s="1" t="str">
        <f>_xlfn.XLOOKUP(Bash1[[#This Row],[Hebras]],TbTecnologia[Hebras],TbTecnologia[Tecnología])</f>
        <v>CUDA</v>
      </c>
      <c r="D17" s="1" t="str" cm="1">
        <f t="array" ref="D17">_xlfn.XLOOKUP(Bash1[[#This Row],[Tecnología]]&amp;Bash1[[#This Row],[Metodo]],TbTipos[Tecnología]&amp;TbTipos[Metodo],TbTipos[Tipo])</f>
        <v>CUDA sin graph</v>
      </c>
      <c r="E17" s="1" t="str" cm="1">
        <f t="array" ref="E17">_xlfn.XLOOKUP(Bash1[[#This Row],[Tecnología]]&amp;Bash1[[#This Row],[Problema]],TbNombres[Tecnología]&amp;TbNombres[Problema],TbNombres[Nombre])</f>
        <v>Simple Advdiff</v>
      </c>
      <c r="F17" s="1">
        <v>3</v>
      </c>
      <c r="G17" s="1">
        <v>2</v>
      </c>
      <c r="H17" s="1">
        <v>256</v>
      </c>
      <c r="I17" s="1">
        <v>5000</v>
      </c>
      <c r="J17" s="1">
        <v>5000</v>
      </c>
      <c r="K17" s="1">
        <v>4.3283699999999996</v>
      </c>
      <c r="M17" s="6" t="str">
        <f>_xlfn.XLOOKUP(Bash2[[#This Row],[Metodo]],TbSolver[Metodo],TbSolver[Solver])</f>
        <v>AdamsBashford</v>
      </c>
      <c r="N17" s="6" t="str">
        <f>_xlfn.XLOOKUP(Bash2[[#This Row],[Hebras]],TbTecnologia[Hebras],TbTecnologia[Tecnología])</f>
        <v>CUDA</v>
      </c>
      <c r="O17" s="2" t="str" cm="1">
        <f t="array" ref="O17">_xlfn.XLOOKUP(Bash2[[#This Row],[Tecnología]]&amp;Bash2[[#This Row],[Metodo]],TbTipos[Tecnología]&amp;TbTipos[Metodo],TbTipos[Tipo])</f>
        <v>CUDA sin graph</v>
      </c>
      <c r="P17" s="2" t="str" cm="1">
        <f t="array" ref="P17">_xlfn.XLOOKUP(Bash2[[#This Row],[Tecnología]]&amp;Bash2[[#This Row],[Problema]],TbNombres[Tecnología]&amp;TbNombres[Problema],TbNombres[Nombre])</f>
        <v>Advdiff1d</v>
      </c>
      <c r="Q17" s="2">
        <v>3</v>
      </c>
      <c r="R17" s="2">
        <v>3</v>
      </c>
      <c r="S17" s="2">
        <v>256</v>
      </c>
      <c r="T17" s="2">
        <v>5000</v>
      </c>
      <c r="U17" s="2">
        <v>5000</v>
      </c>
      <c r="V17" s="2">
        <v>8.0784800000000008</v>
      </c>
      <c r="X17" s="6" t="str">
        <f>_xlfn.XLOOKUP(Bash3[[#This Row],[Metodo]],TbSolver[Metodo],TbSolver[Solver])</f>
        <v>AdamsBashford</v>
      </c>
      <c r="Y17" s="6" t="str">
        <f>_xlfn.XLOOKUP(Bash3[[#This Row],[Hebras]],TbTecnologia[Hebras],TbTecnologia[Tecnología])</f>
        <v>CUDA</v>
      </c>
      <c r="Z17" s="2" t="str" cm="1">
        <f t="array" ref="Z17">_xlfn.XLOOKUP(Bash3[[#This Row],[Tecnología]]&amp;Bash3[[#This Row],[Metodo]],TbTipos[Tecnología]&amp;TbTipos[Metodo],TbTipos[Tipo])</f>
        <v>CUDA sin graph</v>
      </c>
      <c r="AA17" s="2" t="str" cm="1">
        <f t="array" ref="AA17">_xlfn.XLOOKUP(Bash3[[#This Row],[Tecnología]]&amp;Bash3[[#This Row],[Problema]],TbNombres[Tecnología]&amp;TbNombres[Problema],TbNombres[Nombre])</f>
        <v>Brusselator1d</v>
      </c>
      <c r="AB17" s="2">
        <v>3</v>
      </c>
      <c r="AC17" s="2">
        <v>6</v>
      </c>
      <c r="AD17" s="2">
        <v>256</v>
      </c>
      <c r="AE17" s="2">
        <v>1000</v>
      </c>
      <c r="AF17" s="2">
        <v>2000</v>
      </c>
      <c r="AG17" s="2">
        <v>4.4973900000000002</v>
      </c>
      <c r="AI17" s="6" t="str">
        <f>_xlfn.XLOOKUP(Bash4[[#This Row],[Metodo]],TbSolver[Metodo],TbSolver[Solver])</f>
        <v>AdamsBashford</v>
      </c>
      <c r="AJ17" s="6" t="str">
        <f>_xlfn.XLOOKUP(Bash4[[#This Row],[Hebras]],TbTecnologia[Hebras],TbTecnologia[Tecnología])</f>
        <v>CUDA</v>
      </c>
      <c r="AK17" s="2" t="str" cm="1">
        <f t="array" ref="AK17">_xlfn.XLOOKUP(Bash4[[#This Row],[Tecnología]]&amp;Bash4[[#This Row],[Metodo]],TbTipos[Tecnología]&amp;TbTipos[Metodo],TbTipos[Tipo])</f>
        <v>CUDA con graph</v>
      </c>
      <c r="AL17" s="2" t="str" cm="1">
        <f t="array" ref="AL17">_xlfn.XLOOKUP(Bash4[[#This Row],[Tecnología]]&amp;Bash4[[#This Row],[Problema]],TbNombres[Tecnología]&amp;TbNombres[Problema],TbNombres[Nombre])</f>
        <v>Brusselator2d</v>
      </c>
      <c r="AM17" s="2">
        <v>4</v>
      </c>
      <c r="AN17" s="2">
        <v>8</v>
      </c>
      <c r="AO17" s="2">
        <v>256</v>
      </c>
      <c r="AP17" s="2">
        <v>200</v>
      </c>
      <c r="AQ17" s="2">
        <v>80000</v>
      </c>
      <c r="AR17" s="2">
        <v>18.820699999999999</v>
      </c>
    </row>
    <row r="18" spans="2:44" x14ac:dyDescent="0.2">
      <c r="B18" s="1" t="str">
        <f>_xlfn.XLOOKUP(Bash1[[#This Row],[Metodo]],TbSolver[Metodo],TbSolver[Solver])</f>
        <v>AdamsBashford</v>
      </c>
      <c r="C18" s="1" t="str">
        <f>_xlfn.XLOOKUP(Bash1[[#This Row],[Hebras]],TbTecnologia[Hebras],TbTecnologia[Tecnología])</f>
        <v>CUDA</v>
      </c>
      <c r="D18" s="1" t="str" cm="1">
        <f t="array" ref="D18">_xlfn.XLOOKUP(Bash1[[#This Row],[Tecnología]]&amp;Bash1[[#This Row],[Metodo]],TbTipos[Tecnología]&amp;TbTipos[Metodo],TbTipos[Tipo])</f>
        <v>CUDA sin graph</v>
      </c>
      <c r="E18" s="1" t="str" cm="1">
        <f t="array" ref="E18">_xlfn.XLOOKUP(Bash1[[#This Row],[Tecnología]]&amp;Bash1[[#This Row],[Problema]],TbNombres[Tecnología]&amp;TbNombres[Problema],TbNombres[Nombre])</f>
        <v>Simple Advdiff</v>
      </c>
      <c r="F18" s="1">
        <v>3</v>
      </c>
      <c r="G18" s="1">
        <v>1</v>
      </c>
      <c r="H18" s="1">
        <v>256</v>
      </c>
      <c r="I18" s="1">
        <v>5000</v>
      </c>
      <c r="J18" s="1">
        <v>5000</v>
      </c>
      <c r="K18" s="1">
        <v>4.3452799999999998</v>
      </c>
      <c r="M18" s="6" t="str">
        <f>_xlfn.XLOOKUP(Bash2[[#This Row],[Metodo]],TbSolver[Metodo],TbSolver[Solver])</f>
        <v>AdamsBashford</v>
      </c>
      <c r="N18" s="6" t="str">
        <f>_xlfn.XLOOKUP(Bash2[[#This Row],[Hebras]],TbTecnologia[Hebras],TbTecnologia[Tecnología])</f>
        <v>CUDA</v>
      </c>
      <c r="O18" s="2" t="str" cm="1">
        <f t="array" ref="O18">_xlfn.XLOOKUP(Bash2[[#This Row],[Tecnología]]&amp;Bash2[[#This Row],[Metodo]],TbTipos[Tecnología]&amp;TbTipos[Metodo],TbTipos[Tipo])</f>
        <v>CUDA sin graph</v>
      </c>
      <c r="P18" s="2" t="str" cm="1">
        <f t="array" ref="P18">_xlfn.XLOOKUP(Bash2[[#This Row],[Tecnología]]&amp;Bash2[[#This Row],[Problema]],TbNombres[Tecnología]&amp;TbNombres[Problema],TbNombres[Nombre])</f>
        <v>Advdiff1d</v>
      </c>
      <c r="Q18" s="2">
        <v>3</v>
      </c>
      <c r="R18" s="2">
        <v>4</v>
      </c>
      <c r="S18" s="2">
        <v>256</v>
      </c>
      <c r="T18" s="2">
        <v>5000</v>
      </c>
      <c r="U18" s="2">
        <v>5000</v>
      </c>
      <c r="V18" s="2">
        <v>8.4013799999999996</v>
      </c>
      <c r="X18" s="6" t="str">
        <f>_xlfn.XLOOKUP(Bash3[[#This Row],[Metodo]],TbSolver[Metodo],TbSolver[Solver])</f>
        <v>AdamsBashford</v>
      </c>
      <c r="Y18" s="6" t="str">
        <f>_xlfn.XLOOKUP(Bash3[[#This Row],[Hebras]],TbTecnologia[Hebras],TbTecnologia[Tecnología])</f>
        <v>CUDA</v>
      </c>
      <c r="Z18" s="2" t="str" cm="1">
        <f t="array" ref="Z18">_xlfn.XLOOKUP(Bash3[[#This Row],[Tecnología]]&amp;Bash3[[#This Row],[Metodo]],TbTipos[Tecnología]&amp;TbTipos[Metodo],TbTipos[Tipo])</f>
        <v>CUDA sin graph</v>
      </c>
      <c r="AA18" s="2" t="str" cm="1">
        <f t="array" ref="AA18">_xlfn.XLOOKUP(Bash3[[#This Row],[Tecnología]]&amp;Bash3[[#This Row],[Problema]],TbNombres[Tecnología]&amp;TbNombres[Problema],TbNombres[Nombre])</f>
        <v>Brusselator1d</v>
      </c>
      <c r="AB18" s="2">
        <v>3</v>
      </c>
      <c r="AC18" s="2">
        <v>5</v>
      </c>
      <c r="AD18" s="2">
        <v>256</v>
      </c>
      <c r="AE18" s="2">
        <v>2000</v>
      </c>
      <c r="AF18" s="2">
        <v>4000</v>
      </c>
      <c r="AG18" s="2">
        <v>4.5078199999999997</v>
      </c>
      <c r="AI18" s="6" t="str">
        <f>_xlfn.XLOOKUP(Bash4[[#This Row],[Metodo]],TbSolver[Metodo],TbSolver[Solver])</f>
        <v>AdamsBashford</v>
      </c>
      <c r="AJ18" s="6" t="str">
        <f>_xlfn.XLOOKUP(Bash4[[#This Row],[Hebras]],TbTecnologia[Hebras],TbTecnologia[Tecnología])</f>
        <v>CUDA</v>
      </c>
      <c r="AK18" s="2" t="str" cm="1">
        <f t="array" ref="AK18">_xlfn.XLOOKUP(Bash4[[#This Row],[Tecnología]]&amp;Bash4[[#This Row],[Metodo]],TbTipos[Tecnología]&amp;TbTipos[Metodo],TbTipos[Tipo])</f>
        <v>CUDA con graph</v>
      </c>
      <c r="AL18" s="2" t="str" cm="1">
        <f t="array" ref="AL18">_xlfn.XLOOKUP(Bash4[[#This Row],[Tecnología]]&amp;Bash4[[#This Row],[Problema]],TbNombres[Tecnología]&amp;TbNombres[Problema],TbNombres[Nombre])</f>
        <v>Brusselator2d</v>
      </c>
      <c r="AM18" s="2">
        <v>4</v>
      </c>
      <c r="AN18" s="2">
        <v>9</v>
      </c>
      <c r="AO18" s="2">
        <v>256</v>
      </c>
      <c r="AP18" s="2">
        <v>200</v>
      </c>
      <c r="AQ18" s="2">
        <v>80000</v>
      </c>
      <c r="AR18" s="2">
        <v>19.009899999999998</v>
      </c>
    </row>
    <row r="19" spans="2:44" x14ac:dyDescent="0.2">
      <c r="B19" s="1" t="str">
        <f>_xlfn.XLOOKUP(Bash1[[#This Row],[Metodo]],TbSolver[Metodo],TbSolver[Solver])</f>
        <v>AdamsBashford</v>
      </c>
      <c r="C19" s="1" t="str">
        <f>_xlfn.XLOOKUP(Bash1[[#This Row],[Hebras]],TbTecnologia[Hebras],TbTecnologia[Tecnología])</f>
        <v>CUDA</v>
      </c>
      <c r="D19" s="1" t="str" cm="1">
        <f t="array" ref="D19">_xlfn.XLOOKUP(Bash1[[#This Row],[Tecnología]]&amp;Bash1[[#This Row],[Metodo]],TbTipos[Tecnología]&amp;TbTipos[Metodo],TbTipos[Tipo])</f>
        <v>CUDA sin graph</v>
      </c>
      <c r="E19" s="1" t="str" cm="1">
        <f t="array" ref="E19">_xlfn.XLOOKUP(Bash1[[#This Row],[Tecnología]]&amp;Bash1[[#This Row],[Problema]],TbNombres[Tecnología]&amp;TbNombres[Problema],TbNombres[Nombre])</f>
        <v>Simple Advdiff</v>
      </c>
      <c r="F19" s="1">
        <v>3</v>
      </c>
      <c r="G19" s="1">
        <v>2</v>
      </c>
      <c r="H19" s="1">
        <v>256</v>
      </c>
      <c r="I19" s="1">
        <v>10000</v>
      </c>
      <c r="J19" s="1">
        <v>10000</v>
      </c>
      <c r="K19" s="1">
        <v>4.3619700000000003</v>
      </c>
      <c r="M19" s="6" t="str">
        <f>_xlfn.XLOOKUP(Bash2[[#This Row],[Metodo]],TbSolver[Metodo],TbSolver[Solver])</f>
        <v>AdamsBashford</v>
      </c>
      <c r="N19" s="6" t="str">
        <f>_xlfn.XLOOKUP(Bash2[[#This Row],[Hebras]],TbTecnologia[Hebras],TbTecnologia[Tecnología])</f>
        <v>CUDA</v>
      </c>
      <c r="O19" s="2" t="str" cm="1">
        <f t="array" ref="O19">_xlfn.XLOOKUP(Bash2[[#This Row],[Tecnología]]&amp;Bash2[[#This Row],[Metodo]],TbTipos[Tecnología]&amp;TbTipos[Metodo],TbTipos[Tipo])</f>
        <v>CUDA sin graph</v>
      </c>
      <c r="P19" s="2" t="str" cm="1">
        <f t="array" ref="P19">_xlfn.XLOOKUP(Bash2[[#This Row],[Tecnología]]&amp;Bash2[[#This Row],[Problema]],TbNombres[Tecnología]&amp;TbNombres[Problema],TbNombres[Nombre])</f>
        <v>Advdiff1d</v>
      </c>
      <c r="Q19" s="2">
        <v>3</v>
      </c>
      <c r="R19" s="2">
        <v>3</v>
      </c>
      <c r="S19" s="2">
        <v>256</v>
      </c>
      <c r="T19" s="2">
        <v>10000</v>
      </c>
      <c r="U19" s="2">
        <v>10000</v>
      </c>
      <c r="V19" s="2">
        <v>8.1387099999999997</v>
      </c>
      <c r="X19" s="6" t="str">
        <f>_xlfn.XLOOKUP(Bash3[[#This Row],[Metodo]],TbSolver[Metodo],TbSolver[Solver])</f>
        <v>AdamsBashford</v>
      </c>
      <c r="Y19" s="6" t="str">
        <f>_xlfn.XLOOKUP(Bash3[[#This Row],[Hebras]],TbTecnologia[Hebras],TbTecnologia[Tecnología])</f>
        <v>CUDA</v>
      </c>
      <c r="Z19" s="2" t="str" cm="1">
        <f t="array" ref="Z19">_xlfn.XLOOKUP(Bash3[[#This Row],[Tecnología]]&amp;Bash3[[#This Row],[Metodo]],TbTipos[Tecnología]&amp;TbTipos[Metodo],TbTipos[Tipo])</f>
        <v>CUDA sin graph</v>
      </c>
      <c r="AA19" s="2" t="str" cm="1">
        <f t="array" ref="AA19">_xlfn.XLOOKUP(Bash3[[#This Row],[Tecnología]]&amp;Bash3[[#This Row],[Problema]],TbNombres[Tecnología]&amp;TbNombres[Problema],TbNombres[Nombre])</f>
        <v>Brusselator1d</v>
      </c>
      <c r="AB19" s="2">
        <v>3</v>
      </c>
      <c r="AC19" s="2">
        <v>7</v>
      </c>
      <c r="AD19" s="2">
        <v>256</v>
      </c>
      <c r="AE19" s="2">
        <v>2000</v>
      </c>
      <c r="AF19" s="2">
        <v>4000</v>
      </c>
      <c r="AG19" s="2">
        <v>4.5202</v>
      </c>
      <c r="AI19" s="9" t="str">
        <f>_xlfn.XLOOKUP(Bash4[[#This Row],[Metodo]],TbSolver[Metodo],TbSolver[Solver])</f>
        <v>AdamsBashford</v>
      </c>
      <c r="AJ19" s="9" t="str">
        <f>_xlfn.XLOOKUP(Bash4[[#This Row],[Hebras]],TbTecnologia[Hebras],TbTecnologia[Tecnología])</f>
        <v>OMP</v>
      </c>
      <c r="AK19" s="10" t="str" cm="1">
        <f t="array" ref="AK19">_xlfn.XLOOKUP(Bash4[[#This Row],[Tecnología]]&amp;Bash4[[#This Row],[Metodo]],TbTipos[Tecnología]&amp;TbTipos[Metodo],TbTipos[Tipo])</f>
        <v>OMP Elementos</v>
      </c>
      <c r="AL19" s="9" t="str" cm="1">
        <f t="array" ref="AL19">_xlfn.XLOOKUP(Bash4[[#This Row],[Tecnología]]&amp;Bash4[[#This Row],[Problema]],TbNombres[Tecnología]&amp;TbNombres[Problema],TbNombres[Nombre])</f>
        <v>Brusselator2d</v>
      </c>
      <c r="AM19" s="9">
        <v>4</v>
      </c>
      <c r="AN19" s="9">
        <v>4</v>
      </c>
      <c r="AO19" s="9">
        <v>16</v>
      </c>
      <c r="AP19" s="9">
        <v>50</v>
      </c>
      <c r="AQ19" s="9">
        <v>5000</v>
      </c>
      <c r="AR19" s="9">
        <v>20.823799999999999</v>
      </c>
    </row>
    <row r="20" spans="2:44" x14ac:dyDescent="0.2">
      <c r="B20" s="1" t="str">
        <f>_xlfn.XLOOKUP(Bash1[[#This Row],[Metodo]],TbSolver[Metodo],TbSolver[Solver])</f>
        <v>AdamsBashford</v>
      </c>
      <c r="C20" s="1" t="str">
        <f>_xlfn.XLOOKUP(Bash1[[#This Row],[Hebras]],TbTecnologia[Hebras],TbTecnologia[Tecnología])</f>
        <v>CUDA</v>
      </c>
      <c r="D20" s="1" t="str" cm="1">
        <f t="array" ref="D20">_xlfn.XLOOKUP(Bash1[[#This Row],[Tecnología]]&amp;Bash1[[#This Row],[Metodo]],TbTipos[Tecnología]&amp;TbTipos[Metodo],TbTipos[Tipo])</f>
        <v>CUDA sin graph</v>
      </c>
      <c r="E20" s="1" t="str" cm="1">
        <f t="array" ref="E20">_xlfn.XLOOKUP(Bash1[[#This Row],[Tecnología]]&amp;Bash1[[#This Row],[Problema]],TbNombres[Tecnología]&amp;TbNombres[Problema],TbNombres[Nombre])</f>
        <v>Simple Advdiff</v>
      </c>
      <c r="F20" s="1">
        <v>3</v>
      </c>
      <c r="G20" s="1">
        <v>1</v>
      </c>
      <c r="H20" s="1">
        <v>256</v>
      </c>
      <c r="I20" s="1">
        <v>10000</v>
      </c>
      <c r="J20" s="1">
        <v>10000</v>
      </c>
      <c r="K20" s="1">
        <v>4.3674200000000001</v>
      </c>
      <c r="M20" s="6" t="str">
        <f>_xlfn.XLOOKUP(Bash2[[#This Row],[Metodo]],TbSolver[Metodo],TbSolver[Solver])</f>
        <v>AdamsBashford</v>
      </c>
      <c r="N20" s="6" t="str">
        <f>_xlfn.XLOOKUP(Bash2[[#This Row],[Hebras]],TbTecnologia[Hebras],TbTecnologia[Tecnología])</f>
        <v>CUDA</v>
      </c>
      <c r="O20" s="2" t="str" cm="1">
        <f t="array" ref="O20">_xlfn.XLOOKUP(Bash2[[#This Row],[Tecnología]]&amp;Bash2[[#This Row],[Metodo]],TbTipos[Tecnología]&amp;TbTipos[Metodo],TbTipos[Tipo])</f>
        <v>CUDA sin graph</v>
      </c>
      <c r="P20" s="2" t="str" cm="1">
        <f t="array" ref="P20">_xlfn.XLOOKUP(Bash2[[#This Row],[Tecnología]]&amp;Bash2[[#This Row],[Problema]],TbNombres[Tecnología]&amp;TbNombres[Problema],TbNombres[Nombre])</f>
        <v>Advdiff1d</v>
      </c>
      <c r="Q20" s="2">
        <v>3</v>
      </c>
      <c r="R20" s="2">
        <v>3</v>
      </c>
      <c r="S20" s="2">
        <v>256</v>
      </c>
      <c r="T20" s="2">
        <v>10000</v>
      </c>
      <c r="U20" s="2">
        <v>10000</v>
      </c>
      <c r="V20" s="2">
        <v>8.2031299999999998</v>
      </c>
      <c r="X20" s="6" t="str">
        <f>_xlfn.XLOOKUP(Bash3[[#This Row],[Metodo]],TbSolver[Metodo],TbSolver[Solver])</f>
        <v>AdamsBashford</v>
      </c>
      <c r="Y20" s="6" t="str">
        <f>_xlfn.XLOOKUP(Bash3[[#This Row],[Hebras]],TbTecnologia[Hebras],TbTecnologia[Tecnología])</f>
        <v>CUDA</v>
      </c>
      <c r="Z20" s="2" t="str" cm="1">
        <f t="array" ref="Z20">_xlfn.XLOOKUP(Bash3[[#This Row],[Tecnología]]&amp;Bash3[[#This Row],[Metodo]],TbTipos[Tecnología]&amp;TbTipos[Metodo],TbTipos[Tipo])</f>
        <v>CUDA sin graph</v>
      </c>
      <c r="AA20" s="2" t="str" cm="1">
        <f t="array" ref="AA20">_xlfn.XLOOKUP(Bash3[[#This Row],[Tecnología]]&amp;Bash3[[#This Row],[Problema]],TbNombres[Tecnología]&amp;TbNombres[Problema],TbNombres[Nombre])</f>
        <v>Brusselator1d</v>
      </c>
      <c r="AB20" s="2">
        <v>3</v>
      </c>
      <c r="AC20" s="2">
        <v>6</v>
      </c>
      <c r="AD20" s="2">
        <v>256</v>
      </c>
      <c r="AE20" s="2">
        <v>2000</v>
      </c>
      <c r="AF20" s="2">
        <v>4000</v>
      </c>
      <c r="AG20" s="2">
        <v>4.5514799999999997</v>
      </c>
      <c r="AI20" s="9" t="str">
        <f>_xlfn.XLOOKUP(Bash4[[#This Row],[Metodo]],TbSolver[Metodo],TbSolver[Solver])</f>
        <v>AdamsBashford</v>
      </c>
      <c r="AJ20" s="9" t="str">
        <f>_xlfn.XLOOKUP(Bash4[[#This Row],[Hebras]],TbTecnologia[Hebras],TbTecnologia[Tecnología])</f>
        <v>OMP</v>
      </c>
      <c r="AK20" s="10" t="str" cm="1">
        <f t="array" ref="AK20">_xlfn.XLOOKUP(Bash4[[#This Row],[Tecnología]]&amp;Bash4[[#This Row],[Metodo]],TbTipos[Tecnología]&amp;TbTipos[Metodo],TbTipos[Tipo])</f>
        <v>OMP Operaciones</v>
      </c>
      <c r="AL20" s="9" t="str" cm="1">
        <f t="array" ref="AL20">_xlfn.XLOOKUP(Bash4[[#This Row],[Tecnología]]&amp;Bash4[[#This Row],[Problema]],TbNombres[Tecnología]&amp;TbNombres[Problema],TbNombres[Nombre])</f>
        <v>Brusselator2d</v>
      </c>
      <c r="AM20" s="9">
        <v>3</v>
      </c>
      <c r="AN20" s="9">
        <v>4</v>
      </c>
      <c r="AO20" s="9">
        <v>4</v>
      </c>
      <c r="AP20" s="9">
        <v>50</v>
      </c>
      <c r="AQ20" s="9">
        <v>5000</v>
      </c>
      <c r="AR20" s="9">
        <v>20.840399999999999</v>
      </c>
    </row>
    <row r="21" spans="2:44" x14ac:dyDescent="0.2">
      <c r="B21" s="1" t="str">
        <f>_xlfn.XLOOKUP(Bash1[[#This Row],[Metodo]],TbSolver[Metodo],TbSolver[Solver])</f>
        <v>AdamsBashford</v>
      </c>
      <c r="C21" s="1" t="str">
        <f>_xlfn.XLOOKUP(Bash1[[#This Row],[Hebras]],TbTecnologia[Hebras],TbTecnologia[Tecnología])</f>
        <v>CUDA</v>
      </c>
      <c r="D21" s="1" t="str" cm="1">
        <f t="array" ref="D21">_xlfn.XLOOKUP(Bash1[[#This Row],[Tecnología]]&amp;Bash1[[#This Row],[Metodo]],TbTipos[Tecnología]&amp;TbTipos[Metodo],TbTipos[Tipo])</f>
        <v>CUDA sin graph</v>
      </c>
      <c r="E21" s="1" t="str" cm="1">
        <f t="array" ref="E21">_xlfn.XLOOKUP(Bash1[[#This Row],[Tecnología]]&amp;Bash1[[#This Row],[Problema]],TbNombres[Tecnología]&amp;TbNombres[Problema],TbNombres[Nombre])</f>
        <v>Simple Advdiff</v>
      </c>
      <c r="F21" s="1">
        <v>3</v>
      </c>
      <c r="G21" s="1">
        <v>1</v>
      </c>
      <c r="H21" s="1">
        <v>256</v>
      </c>
      <c r="I21" s="1">
        <v>10000</v>
      </c>
      <c r="J21" s="1">
        <v>10000</v>
      </c>
      <c r="K21" s="1">
        <v>4.3695899999999996</v>
      </c>
      <c r="M21" s="6" t="str">
        <f>_xlfn.XLOOKUP(Bash2[[#This Row],[Metodo]],TbSolver[Metodo],TbSolver[Solver])</f>
        <v>AdamsBashford</v>
      </c>
      <c r="N21" s="6" t="str">
        <f>_xlfn.XLOOKUP(Bash2[[#This Row],[Hebras]],TbTecnologia[Hebras],TbTecnologia[Tecnología])</f>
        <v>CUDA</v>
      </c>
      <c r="O21" s="2" t="str" cm="1">
        <f t="array" ref="O21">_xlfn.XLOOKUP(Bash2[[#This Row],[Tecnología]]&amp;Bash2[[#This Row],[Metodo]],TbTipos[Tecnología]&amp;TbTipos[Metodo],TbTipos[Tipo])</f>
        <v>CUDA sin graph</v>
      </c>
      <c r="P21" s="2" t="str" cm="1">
        <f t="array" ref="P21">_xlfn.XLOOKUP(Bash2[[#This Row],[Tecnología]]&amp;Bash2[[#This Row],[Problema]],TbNombres[Tecnología]&amp;TbNombres[Problema],TbNombres[Nombre])</f>
        <v>Advdiff1d</v>
      </c>
      <c r="Q21" s="2">
        <v>3</v>
      </c>
      <c r="R21" s="2">
        <v>4</v>
      </c>
      <c r="S21" s="2">
        <v>256</v>
      </c>
      <c r="T21" s="2">
        <v>10000</v>
      </c>
      <c r="U21" s="2">
        <v>10000</v>
      </c>
      <c r="V21" s="2">
        <v>8.5543399999999998</v>
      </c>
      <c r="X21" s="6" t="str">
        <f>_xlfn.XLOOKUP(Bash3[[#This Row],[Metodo]],TbSolver[Metodo],TbSolver[Solver])</f>
        <v>AdamsBashford</v>
      </c>
      <c r="Y21" s="6" t="str">
        <f>_xlfn.XLOOKUP(Bash3[[#This Row],[Hebras]],TbTecnologia[Hebras],TbTecnologia[Tecnología])</f>
        <v>CUDA</v>
      </c>
      <c r="Z21" s="2" t="str" cm="1">
        <f t="array" ref="Z21">_xlfn.XLOOKUP(Bash3[[#This Row],[Tecnología]]&amp;Bash3[[#This Row],[Metodo]],TbTipos[Tecnología]&amp;TbTipos[Metodo],TbTipos[Tipo])</f>
        <v>CUDA sin graph</v>
      </c>
      <c r="AA21" s="2" t="str" cm="1">
        <f t="array" ref="AA21">_xlfn.XLOOKUP(Bash3[[#This Row],[Tecnología]]&amp;Bash3[[#This Row],[Problema]],TbNombres[Tecnología]&amp;TbNombres[Problema],TbNombres[Nombre])</f>
        <v>Brusselator1d</v>
      </c>
      <c r="AB21" s="2">
        <v>3</v>
      </c>
      <c r="AC21" s="2">
        <v>7</v>
      </c>
      <c r="AD21" s="2">
        <v>256</v>
      </c>
      <c r="AE21" s="2">
        <v>1000</v>
      </c>
      <c r="AF21" s="2">
        <v>2000</v>
      </c>
      <c r="AG21" s="2">
        <v>4.5598000000000001</v>
      </c>
      <c r="AI21" s="9" t="str">
        <f>_xlfn.XLOOKUP(Bash4[[#This Row],[Metodo]],TbSolver[Metodo],TbSolver[Solver])</f>
        <v>AdamsBashford</v>
      </c>
      <c r="AJ21" s="9" t="str">
        <f>_xlfn.XLOOKUP(Bash4[[#This Row],[Hebras]],TbTecnologia[Hebras],TbTecnologia[Tecnología])</f>
        <v>OMP</v>
      </c>
      <c r="AK21" s="10" t="str" cm="1">
        <f t="array" ref="AK21">_xlfn.XLOOKUP(Bash4[[#This Row],[Tecnología]]&amp;Bash4[[#This Row],[Metodo]],TbTipos[Tecnología]&amp;TbTipos[Metodo],TbTipos[Tipo])</f>
        <v>OMP Elementos</v>
      </c>
      <c r="AL21" s="9" t="str" cm="1">
        <f t="array" ref="AL21">_xlfn.XLOOKUP(Bash4[[#This Row],[Tecnología]]&amp;Bash4[[#This Row],[Problema]],TbNombres[Tecnología]&amp;TbNombres[Problema],TbNombres[Nombre])</f>
        <v>Brusselator2d</v>
      </c>
      <c r="AM21" s="9">
        <v>4</v>
      </c>
      <c r="AN21" s="9">
        <v>4</v>
      </c>
      <c r="AO21" s="9">
        <v>4</v>
      </c>
      <c r="AP21" s="9">
        <v>50</v>
      </c>
      <c r="AQ21" s="9">
        <v>5000</v>
      </c>
      <c r="AR21" s="9">
        <v>21.574999999999999</v>
      </c>
    </row>
    <row r="22" spans="2:44" x14ac:dyDescent="0.2">
      <c r="B22" s="1" t="str">
        <f>_xlfn.XLOOKUP(Bash1[[#This Row],[Metodo]],TbSolver[Metodo],TbSolver[Solver])</f>
        <v>AdamsBashford</v>
      </c>
      <c r="C22" s="1" t="str">
        <f>_xlfn.XLOOKUP(Bash1[[#This Row],[Hebras]],TbTecnologia[Hebras],TbTecnologia[Tecnología])</f>
        <v>CUDA</v>
      </c>
      <c r="D22" s="1" t="str" cm="1">
        <f t="array" ref="D22">_xlfn.XLOOKUP(Bash1[[#This Row],[Tecnología]]&amp;Bash1[[#This Row],[Metodo]],TbTipos[Tecnología]&amp;TbTipos[Metodo],TbTipos[Tipo])</f>
        <v>CUDA con graph</v>
      </c>
      <c r="E22" s="1" t="str" cm="1">
        <f t="array" ref="E22">_xlfn.XLOOKUP(Bash1[[#This Row],[Tecnología]]&amp;Bash1[[#This Row],[Problema]],TbNombres[Tecnología]&amp;TbNombres[Problema],TbNombres[Nombre])</f>
        <v>Simple Advdiff</v>
      </c>
      <c r="F22" s="1">
        <v>4</v>
      </c>
      <c r="G22" s="1">
        <v>1</v>
      </c>
      <c r="H22" s="1">
        <v>256</v>
      </c>
      <c r="I22" s="1">
        <v>100</v>
      </c>
      <c r="J22" s="1">
        <v>100</v>
      </c>
      <c r="K22" s="1">
        <v>5.2505199999999999</v>
      </c>
      <c r="M22" s="6" t="str">
        <f>_xlfn.XLOOKUP(Bash2[[#This Row],[Metodo]],TbSolver[Metodo],TbSolver[Solver])</f>
        <v>AdamsBashford</v>
      </c>
      <c r="N22" s="6" t="str">
        <f>_xlfn.XLOOKUP(Bash2[[#This Row],[Hebras]],TbTecnologia[Hebras],TbTecnologia[Tecnología])</f>
        <v>CUDA</v>
      </c>
      <c r="O22" s="2" t="str" cm="1">
        <f t="array" ref="O22">_xlfn.XLOOKUP(Bash2[[#This Row],[Tecnología]]&amp;Bash2[[#This Row],[Metodo]],TbTipos[Tecnología]&amp;TbTipos[Metodo],TbTipos[Tipo])</f>
        <v>CUDA sin graph</v>
      </c>
      <c r="P22" s="2" t="str" cm="1">
        <f t="array" ref="P22">_xlfn.XLOOKUP(Bash2[[#This Row],[Tecnología]]&amp;Bash2[[#This Row],[Problema]],TbNombres[Tecnología]&amp;TbNombres[Problema],TbNombres[Nombre])</f>
        <v>Advdiff1d</v>
      </c>
      <c r="Q22" s="2">
        <v>3</v>
      </c>
      <c r="R22" s="2">
        <v>3</v>
      </c>
      <c r="S22" s="2">
        <v>256</v>
      </c>
      <c r="T22" s="2">
        <v>20000</v>
      </c>
      <c r="U22" s="2">
        <v>20000</v>
      </c>
      <c r="V22" s="2">
        <v>13.3919</v>
      </c>
      <c r="X22" s="6" t="str">
        <f>_xlfn.XLOOKUP(Bash3[[#This Row],[Metodo]],TbSolver[Metodo],TbSolver[Solver])</f>
        <v>AdamsBashford</v>
      </c>
      <c r="Y22" s="6" t="str">
        <f>_xlfn.XLOOKUP(Bash3[[#This Row],[Hebras]],TbTecnologia[Hebras],TbTecnologia[Tecnología])</f>
        <v>CUDA</v>
      </c>
      <c r="Z22" s="2" t="str" cm="1">
        <f t="array" ref="Z22">_xlfn.XLOOKUP(Bash3[[#This Row],[Tecnología]]&amp;Bash3[[#This Row],[Metodo]],TbTipos[Tecnología]&amp;TbTipos[Metodo],TbTipos[Tipo])</f>
        <v>CUDA sin graph</v>
      </c>
      <c r="AA22" s="2" t="str" cm="1">
        <f t="array" ref="AA22">_xlfn.XLOOKUP(Bash3[[#This Row],[Tecnología]]&amp;Bash3[[#This Row],[Problema]],TbNombres[Tecnología]&amp;TbNombres[Problema],TbNombres[Nombre])</f>
        <v>Brusselator1d</v>
      </c>
      <c r="AB22" s="2">
        <v>3</v>
      </c>
      <c r="AC22" s="2">
        <v>5</v>
      </c>
      <c r="AD22" s="2">
        <v>256</v>
      </c>
      <c r="AE22" s="2">
        <v>5000</v>
      </c>
      <c r="AF22" s="2">
        <v>10000</v>
      </c>
      <c r="AG22" s="2">
        <v>4.64262</v>
      </c>
      <c r="AI22" s="9" t="str">
        <f>_xlfn.XLOOKUP(Bash4[[#This Row],[Metodo]],TbSolver[Metodo],TbSolver[Solver])</f>
        <v>AdamsBashford</v>
      </c>
      <c r="AJ22" s="9" t="str">
        <f>_xlfn.XLOOKUP(Bash4[[#This Row],[Hebras]],TbTecnologia[Hebras],TbTecnologia[Tecnología])</f>
        <v>OMP</v>
      </c>
      <c r="AK22" s="10" t="str" cm="1">
        <f t="array" ref="AK22">_xlfn.XLOOKUP(Bash4[[#This Row],[Tecnología]]&amp;Bash4[[#This Row],[Metodo]],TbTipos[Tecnología]&amp;TbTipos[Metodo],TbTipos[Tipo])</f>
        <v>OMP Operaciones</v>
      </c>
      <c r="AL22" s="9" t="str" cm="1">
        <f t="array" ref="AL22">_xlfn.XLOOKUP(Bash4[[#This Row],[Tecnología]]&amp;Bash4[[#This Row],[Problema]],TbNombres[Tecnología]&amp;TbNombres[Problema],TbNombres[Nombre])</f>
        <v>Brusselator2d</v>
      </c>
      <c r="AM22" s="9">
        <v>3</v>
      </c>
      <c r="AN22" s="9">
        <v>4</v>
      </c>
      <c r="AO22" s="9">
        <v>1</v>
      </c>
      <c r="AP22" s="9">
        <v>50</v>
      </c>
      <c r="AQ22" s="9">
        <v>5000</v>
      </c>
      <c r="AR22" s="9">
        <v>29.783799999999999</v>
      </c>
    </row>
    <row r="23" spans="2:44" x14ac:dyDescent="0.2">
      <c r="B23" s="1" t="str">
        <f>_xlfn.XLOOKUP(Bash1[[#This Row],[Metodo]],TbSolver[Metodo],TbSolver[Solver])</f>
        <v>AdamsBashford</v>
      </c>
      <c r="C23" s="1" t="str">
        <f>_xlfn.XLOOKUP(Bash1[[#This Row],[Hebras]],TbTecnologia[Hebras],TbTecnologia[Tecnología])</f>
        <v>CUDA</v>
      </c>
      <c r="D23" s="1" t="str" cm="1">
        <f t="array" ref="D23">_xlfn.XLOOKUP(Bash1[[#This Row],[Tecnología]]&amp;Bash1[[#This Row],[Metodo]],TbTipos[Tecnología]&amp;TbTipos[Metodo],TbTipos[Tipo])</f>
        <v>CUDA con graph</v>
      </c>
      <c r="E23" s="1" t="str" cm="1">
        <f t="array" ref="E23">_xlfn.XLOOKUP(Bash1[[#This Row],[Tecnología]]&amp;Bash1[[#This Row],[Problema]],TbNombres[Tecnología]&amp;TbNombres[Problema],TbNombres[Nombre])</f>
        <v>Simple Advdiff</v>
      </c>
      <c r="F23" s="1">
        <v>4</v>
      </c>
      <c r="G23" s="1">
        <v>2</v>
      </c>
      <c r="H23" s="1">
        <v>256</v>
      </c>
      <c r="I23" s="1">
        <v>100</v>
      </c>
      <c r="J23" s="1">
        <v>100</v>
      </c>
      <c r="K23" s="1">
        <v>5.3073199999999998</v>
      </c>
      <c r="M23" s="6" t="str">
        <f>_xlfn.XLOOKUP(Bash2[[#This Row],[Metodo]],TbSolver[Metodo],TbSolver[Solver])</f>
        <v>AdamsBashford</v>
      </c>
      <c r="N23" s="6" t="str">
        <f>_xlfn.XLOOKUP(Bash2[[#This Row],[Hebras]],TbTecnologia[Hebras],TbTecnologia[Tecnología])</f>
        <v>CUDA</v>
      </c>
      <c r="O23" s="2" t="str" cm="1">
        <f t="array" ref="O23">_xlfn.XLOOKUP(Bash2[[#This Row],[Tecnología]]&amp;Bash2[[#This Row],[Metodo]],TbTipos[Tecnología]&amp;TbTipos[Metodo],TbTipos[Tipo])</f>
        <v>CUDA sin graph</v>
      </c>
      <c r="P23" s="2" t="str" cm="1">
        <f t="array" ref="P23">_xlfn.XLOOKUP(Bash2[[#This Row],[Tecnología]]&amp;Bash2[[#This Row],[Problema]],TbNombres[Tecnología]&amp;TbNombres[Problema],TbNombres[Nombre])</f>
        <v>Advdiff1d</v>
      </c>
      <c r="Q23" s="2">
        <v>3</v>
      </c>
      <c r="R23" s="2">
        <v>3</v>
      </c>
      <c r="S23" s="2">
        <v>256</v>
      </c>
      <c r="T23" s="2">
        <v>20000</v>
      </c>
      <c r="U23" s="2">
        <v>20000</v>
      </c>
      <c r="V23" s="2">
        <v>13.4343</v>
      </c>
      <c r="X23" s="6" t="str">
        <f>_xlfn.XLOOKUP(Bash3[[#This Row],[Metodo]],TbSolver[Metodo],TbSolver[Solver])</f>
        <v>AdamsBashford</v>
      </c>
      <c r="Y23" s="6" t="str">
        <f>_xlfn.XLOOKUP(Bash3[[#This Row],[Hebras]],TbTecnologia[Hebras],TbTecnologia[Tecnología])</f>
        <v>CUDA</v>
      </c>
      <c r="Z23" s="2" t="str" cm="1">
        <f t="array" ref="Z23">_xlfn.XLOOKUP(Bash3[[#This Row],[Tecnología]]&amp;Bash3[[#This Row],[Metodo]],TbTipos[Tecnología]&amp;TbTipos[Metodo],TbTipos[Tipo])</f>
        <v>CUDA sin graph</v>
      </c>
      <c r="AA23" s="2" t="str" cm="1">
        <f t="array" ref="AA23">_xlfn.XLOOKUP(Bash3[[#This Row],[Tecnología]]&amp;Bash3[[#This Row],[Problema]],TbNombres[Tecnología]&amp;TbNombres[Problema],TbNombres[Nombre])</f>
        <v>Brusselator1d</v>
      </c>
      <c r="AB23" s="2">
        <v>3</v>
      </c>
      <c r="AC23" s="2">
        <v>7</v>
      </c>
      <c r="AD23" s="2">
        <v>256</v>
      </c>
      <c r="AE23" s="2">
        <v>5000</v>
      </c>
      <c r="AF23" s="2">
        <v>10000</v>
      </c>
      <c r="AG23" s="2">
        <v>4.6811100000000003</v>
      </c>
      <c r="AI23" s="9" t="str">
        <f>_xlfn.XLOOKUP(Bash4[[#This Row],[Metodo]],TbSolver[Metodo],TbSolver[Solver])</f>
        <v>AdamsBashford</v>
      </c>
      <c r="AJ23" s="9" t="str">
        <f>_xlfn.XLOOKUP(Bash4[[#This Row],[Hebras]],TbTecnologia[Hebras],TbTecnologia[Tecnología])</f>
        <v>OMP</v>
      </c>
      <c r="AK23" s="10" t="str" cm="1">
        <f t="array" ref="AK23">_xlfn.XLOOKUP(Bash4[[#This Row],[Tecnología]]&amp;Bash4[[#This Row],[Metodo]],TbTipos[Tecnología]&amp;TbTipos[Metodo],TbTipos[Tipo])</f>
        <v>OMP Operaciones</v>
      </c>
      <c r="AL23" s="9" t="str" cm="1">
        <f t="array" ref="AL23">_xlfn.XLOOKUP(Bash4[[#This Row],[Tecnología]]&amp;Bash4[[#This Row],[Problema]],TbNombres[Tecnología]&amp;TbNombres[Problema],TbNombres[Nombre])</f>
        <v>Brusselator2d</v>
      </c>
      <c r="AM23" s="9">
        <v>3</v>
      </c>
      <c r="AN23" s="9">
        <v>4</v>
      </c>
      <c r="AO23" s="9">
        <v>16</v>
      </c>
      <c r="AP23" s="9">
        <v>50</v>
      </c>
      <c r="AQ23" s="9">
        <v>5000</v>
      </c>
      <c r="AR23" s="9">
        <v>31.9894</v>
      </c>
    </row>
    <row r="24" spans="2:44" x14ac:dyDescent="0.2">
      <c r="B24" s="1" t="str">
        <f>_xlfn.XLOOKUP(Bash1[[#This Row],[Metodo]],TbSolver[Metodo],TbSolver[Solver])</f>
        <v>AdamsBashford</v>
      </c>
      <c r="C24" s="1" t="str">
        <f>_xlfn.XLOOKUP(Bash1[[#This Row],[Hebras]],TbTecnologia[Hebras],TbTecnologia[Tecnología])</f>
        <v>CUDA</v>
      </c>
      <c r="D24" s="1" t="str" cm="1">
        <f t="array" ref="D24">_xlfn.XLOOKUP(Bash1[[#This Row],[Tecnología]]&amp;Bash1[[#This Row],[Metodo]],TbTipos[Tecnología]&amp;TbTipos[Metodo],TbTipos[Tipo])</f>
        <v>CUDA sin graph</v>
      </c>
      <c r="E24" s="1" t="str" cm="1">
        <f t="array" ref="E24">_xlfn.XLOOKUP(Bash1[[#This Row],[Tecnología]]&amp;Bash1[[#This Row],[Problema]],TbNombres[Tecnología]&amp;TbNombres[Problema],TbNombres[Nombre])</f>
        <v>Simple Advdiff</v>
      </c>
      <c r="F24" s="1">
        <v>3</v>
      </c>
      <c r="G24" s="1">
        <v>1</v>
      </c>
      <c r="H24" s="1">
        <v>256</v>
      </c>
      <c r="I24" s="1">
        <v>20000</v>
      </c>
      <c r="J24" s="1">
        <v>20000</v>
      </c>
      <c r="K24" s="1">
        <v>5.4144300000000003</v>
      </c>
      <c r="M24" s="6" t="str">
        <f>_xlfn.XLOOKUP(Bash2[[#This Row],[Metodo]],TbSolver[Metodo],TbSolver[Solver])</f>
        <v>AdamsBashford</v>
      </c>
      <c r="N24" s="6" t="str">
        <f>_xlfn.XLOOKUP(Bash2[[#This Row],[Hebras]],TbTecnologia[Hebras],TbTecnologia[Tecnología])</f>
        <v>CUDA</v>
      </c>
      <c r="O24" s="2" t="str" cm="1">
        <f t="array" ref="O24">_xlfn.XLOOKUP(Bash2[[#This Row],[Tecnología]]&amp;Bash2[[#This Row],[Metodo]],TbTipos[Tecnología]&amp;TbTipos[Metodo],TbTipos[Tipo])</f>
        <v>CUDA sin graph</v>
      </c>
      <c r="P24" s="2" t="str" cm="1">
        <f t="array" ref="P24">_xlfn.XLOOKUP(Bash2[[#This Row],[Tecnología]]&amp;Bash2[[#This Row],[Problema]],TbNombres[Tecnología]&amp;TbNombres[Problema],TbNombres[Nombre])</f>
        <v>Advdiff1d</v>
      </c>
      <c r="Q24" s="2">
        <v>3</v>
      </c>
      <c r="R24" s="2">
        <v>4</v>
      </c>
      <c r="S24" s="2">
        <v>256</v>
      </c>
      <c r="T24" s="2">
        <v>20000</v>
      </c>
      <c r="U24" s="2">
        <v>20000</v>
      </c>
      <c r="V24" s="2">
        <v>13.844200000000001</v>
      </c>
      <c r="X24" s="6" t="str">
        <f>_xlfn.XLOOKUP(Bash3[[#This Row],[Metodo]],TbSolver[Metodo],TbSolver[Solver])</f>
        <v>AdamsBashford</v>
      </c>
      <c r="Y24" s="6" t="str">
        <f>_xlfn.XLOOKUP(Bash3[[#This Row],[Hebras]],TbTecnologia[Hebras],TbTecnologia[Tecnología])</f>
        <v>CUDA</v>
      </c>
      <c r="Z24" s="2" t="str" cm="1">
        <f t="array" ref="Z24">_xlfn.XLOOKUP(Bash3[[#This Row],[Tecnología]]&amp;Bash3[[#This Row],[Metodo]],TbTipos[Tecnología]&amp;TbTipos[Metodo],TbTipos[Tipo])</f>
        <v>CUDA sin graph</v>
      </c>
      <c r="AA24" s="2" t="str" cm="1">
        <f t="array" ref="AA24">_xlfn.XLOOKUP(Bash3[[#This Row],[Tecnología]]&amp;Bash3[[#This Row],[Problema]],TbNombres[Tecnología]&amp;TbNombres[Problema],TbNombres[Nombre])</f>
        <v>Brusselator1d</v>
      </c>
      <c r="AB24" s="2">
        <v>3</v>
      </c>
      <c r="AC24" s="2">
        <v>6</v>
      </c>
      <c r="AD24" s="2">
        <v>256</v>
      </c>
      <c r="AE24" s="2">
        <v>5000</v>
      </c>
      <c r="AF24" s="2">
        <v>10000</v>
      </c>
      <c r="AG24" s="2">
        <v>4.7199299999999997</v>
      </c>
      <c r="AI24" s="9" t="str">
        <f>_xlfn.XLOOKUP(Bash4[[#This Row],[Metodo]],TbSolver[Metodo],TbSolver[Solver])</f>
        <v>AdamsBashford</v>
      </c>
      <c r="AJ24" s="9" t="str">
        <f>_xlfn.XLOOKUP(Bash4[[#This Row],[Hebras]],TbTecnologia[Hebras],TbTecnologia[Tecnología])</f>
        <v>OMP</v>
      </c>
      <c r="AK24" s="10" t="str" cm="1">
        <f t="array" ref="AK24">_xlfn.XLOOKUP(Bash4[[#This Row],[Tecnología]]&amp;Bash4[[#This Row],[Metodo]],TbTipos[Tecnología]&amp;TbTipos[Metodo],TbTipos[Tipo])</f>
        <v>OMP Operaciones</v>
      </c>
      <c r="AL24" s="9" t="str" cm="1">
        <f t="array" ref="AL24">_xlfn.XLOOKUP(Bash4[[#This Row],[Tecnología]]&amp;Bash4[[#This Row],[Problema]],TbNombres[Tecnología]&amp;TbNombres[Problema],TbNombres[Nombre])</f>
        <v>Brusselator2d</v>
      </c>
      <c r="AM24" s="9">
        <v>3</v>
      </c>
      <c r="AN24" s="9">
        <v>4</v>
      </c>
      <c r="AO24" s="9">
        <v>16</v>
      </c>
      <c r="AP24" s="9">
        <v>100</v>
      </c>
      <c r="AQ24" s="9">
        <v>20000</v>
      </c>
      <c r="AR24" s="9">
        <v>42.384900000000002</v>
      </c>
    </row>
    <row r="25" spans="2:44" x14ac:dyDescent="0.2">
      <c r="B25" s="1" t="str">
        <f>_xlfn.XLOOKUP(Bash1[[#This Row],[Metodo]],TbSolver[Metodo],TbSolver[Solver])</f>
        <v>AdamsBashford</v>
      </c>
      <c r="C25" s="1" t="str">
        <f>_xlfn.XLOOKUP(Bash1[[#This Row],[Hebras]],TbTecnologia[Hebras],TbTecnologia[Tecnología])</f>
        <v>CUDA</v>
      </c>
      <c r="D25" s="1" t="str" cm="1">
        <f t="array" ref="D25">_xlfn.XLOOKUP(Bash1[[#This Row],[Tecnología]]&amp;Bash1[[#This Row],[Metodo]],TbTipos[Tecnología]&amp;TbTipos[Metodo],TbTipos[Tipo])</f>
        <v>CUDA sin graph</v>
      </c>
      <c r="E25" s="1" t="str" cm="1">
        <f t="array" ref="E25">_xlfn.XLOOKUP(Bash1[[#This Row],[Tecnología]]&amp;Bash1[[#This Row],[Problema]],TbNombres[Tecnología]&amp;TbNombres[Problema],TbNombres[Nombre])</f>
        <v>Simple Advdiff</v>
      </c>
      <c r="F25" s="1">
        <v>3</v>
      </c>
      <c r="G25" s="1">
        <v>2</v>
      </c>
      <c r="H25" s="1">
        <v>256</v>
      </c>
      <c r="I25" s="1">
        <v>20000</v>
      </c>
      <c r="J25" s="1">
        <v>20000</v>
      </c>
      <c r="K25" s="1">
        <v>5.5060500000000001</v>
      </c>
      <c r="M25" s="6" t="str">
        <f>_xlfn.XLOOKUP(Bash2[[#This Row],[Metodo]],TbSolver[Metodo],TbSolver[Solver])</f>
        <v>AdamsBashford</v>
      </c>
      <c r="N25" s="6" t="str">
        <f>_xlfn.XLOOKUP(Bash2[[#This Row],[Hebras]],TbTecnologia[Hebras],TbTecnologia[Tecnología])</f>
        <v>CUDA</v>
      </c>
      <c r="O25" s="2" t="str" cm="1">
        <f t="array" ref="O25">_xlfn.XLOOKUP(Bash2[[#This Row],[Tecnología]]&amp;Bash2[[#This Row],[Metodo]],TbTipos[Tecnología]&amp;TbTipos[Metodo],TbTipos[Tipo])</f>
        <v>CUDA sin graph</v>
      </c>
      <c r="P25" s="2" t="str" cm="1">
        <f t="array" ref="P25">_xlfn.XLOOKUP(Bash2[[#This Row],[Tecnología]]&amp;Bash2[[#This Row],[Problema]],TbNombres[Tecnología]&amp;TbNombres[Problema],TbNombres[Nombre])</f>
        <v>Advdiff1d</v>
      </c>
      <c r="Q25" s="2">
        <v>3</v>
      </c>
      <c r="R25" s="2">
        <v>3</v>
      </c>
      <c r="S25" s="2">
        <v>256</v>
      </c>
      <c r="T25" s="2">
        <v>50000</v>
      </c>
      <c r="U25" s="2">
        <v>50000</v>
      </c>
      <c r="V25" s="2">
        <v>18.884899999999998</v>
      </c>
      <c r="X25" s="6" t="str">
        <f>_xlfn.XLOOKUP(Bash3[[#This Row],[Metodo]],TbSolver[Metodo],TbSolver[Solver])</f>
        <v>AdamsBashford</v>
      </c>
      <c r="Y25" s="6" t="str">
        <f>_xlfn.XLOOKUP(Bash3[[#This Row],[Hebras]],TbTecnologia[Hebras],TbTecnologia[Tecnología])</f>
        <v>CUDA</v>
      </c>
      <c r="Z25" s="2" t="str" cm="1">
        <f t="array" ref="Z25">_xlfn.XLOOKUP(Bash3[[#This Row],[Tecnología]]&amp;Bash3[[#This Row],[Metodo]],TbTipos[Tecnología]&amp;TbTipos[Metodo],TbTipos[Tipo])</f>
        <v>CUDA con graph</v>
      </c>
      <c r="AA25" s="2" t="str" cm="1">
        <f t="array" ref="AA25">_xlfn.XLOOKUP(Bash3[[#This Row],[Tecnología]]&amp;Bash3[[#This Row],[Problema]],TbNombres[Tecnología]&amp;TbNombres[Problema],TbNombres[Nombre])</f>
        <v>Brusselator1d</v>
      </c>
      <c r="AB25" s="2">
        <v>4</v>
      </c>
      <c r="AC25" s="2">
        <v>5</v>
      </c>
      <c r="AD25" s="2">
        <v>256</v>
      </c>
      <c r="AE25" s="2">
        <v>100</v>
      </c>
      <c r="AF25" s="2">
        <v>200</v>
      </c>
      <c r="AG25" s="2">
        <v>5.79298</v>
      </c>
      <c r="AI25" s="9" t="str">
        <f>_xlfn.XLOOKUP(Bash4[[#This Row],[Metodo]],TbSolver[Metodo],TbSolver[Solver])</f>
        <v>AdamsBashford</v>
      </c>
      <c r="AJ25" s="9" t="str">
        <f>_xlfn.XLOOKUP(Bash4[[#This Row],[Hebras]],TbTecnologia[Hebras],TbTecnologia[Tecnología])</f>
        <v>OMP</v>
      </c>
      <c r="AK25" s="10" t="str" cm="1">
        <f t="array" ref="AK25">_xlfn.XLOOKUP(Bash4[[#This Row],[Tecnología]]&amp;Bash4[[#This Row],[Metodo]],TbTipos[Tecnología]&amp;TbTipos[Metodo],TbTipos[Tipo])</f>
        <v>OMP Operaciones</v>
      </c>
      <c r="AL25" s="9" t="str" cm="1">
        <f t="array" ref="AL25">_xlfn.XLOOKUP(Bash4[[#This Row],[Tecnología]]&amp;Bash4[[#This Row],[Problema]],TbNombres[Tecnología]&amp;TbNombres[Problema],TbNombres[Nombre])</f>
        <v>Brusselator2d</v>
      </c>
      <c r="AM25" s="9">
        <v>3</v>
      </c>
      <c r="AN25" s="9">
        <v>4</v>
      </c>
      <c r="AO25" s="9">
        <v>4</v>
      </c>
      <c r="AP25" s="9">
        <v>100</v>
      </c>
      <c r="AQ25" s="9">
        <v>20000</v>
      </c>
      <c r="AR25" s="9">
        <v>43.1858</v>
      </c>
    </row>
    <row r="26" spans="2:44" x14ac:dyDescent="0.2">
      <c r="B26" s="1" t="str">
        <f>_xlfn.XLOOKUP(Bash1[[#This Row],[Metodo]],TbSolver[Metodo],TbSolver[Solver])</f>
        <v>AdamsBashford</v>
      </c>
      <c r="C26" s="1" t="str">
        <f>_xlfn.XLOOKUP(Bash1[[#This Row],[Hebras]],TbTecnologia[Hebras],TbTecnologia[Tecnología])</f>
        <v>CUDA</v>
      </c>
      <c r="D26" s="5" t="str" cm="1">
        <f t="array" ref="D26">_xlfn.XLOOKUP(Bash1[[#This Row],[Tecnología]]&amp;Bash1[[#This Row],[Metodo]],TbTipos[Tecnología]&amp;TbTipos[Metodo],TbTipos[Tipo])</f>
        <v>CUDA con graph</v>
      </c>
      <c r="E26" s="1" t="str" cm="1">
        <f t="array" ref="E26">_xlfn.XLOOKUP(Bash1[[#This Row],[Tecnología]]&amp;Bash1[[#This Row],[Problema]],TbNombres[Tecnología]&amp;TbNombres[Problema],TbNombres[Nombre])</f>
        <v>Simple Advdiff</v>
      </c>
      <c r="F26" s="1">
        <v>4</v>
      </c>
      <c r="G26" s="1">
        <v>1</v>
      </c>
      <c r="H26" s="1">
        <v>256</v>
      </c>
      <c r="I26" s="1">
        <v>200</v>
      </c>
      <c r="J26" s="1">
        <v>200</v>
      </c>
      <c r="K26" s="1">
        <v>5.5767499999999997</v>
      </c>
      <c r="M26" s="6" t="str">
        <f>_xlfn.XLOOKUP(Bash2[[#This Row],[Metodo]],TbSolver[Metodo],TbSolver[Solver])</f>
        <v>AdamsBashford</v>
      </c>
      <c r="N26" s="6" t="str">
        <f>_xlfn.XLOOKUP(Bash2[[#This Row],[Hebras]],TbTecnologia[Hebras],TbTecnologia[Tecnología])</f>
        <v>CUDA</v>
      </c>
      <c r="O26" s="2" t="str" cm="1">
        <f t="array" ref="O26">_xlfn.XLOOKUP(Bash2[[#This Row],[Tecnología]]&amp;Bash2[[#This Row],[Metodo]],TbTipos[Tecnología]&amp;TbTipos[Metodo],TbTipos[Tipo])</f>
        <v>CUDA sin graph</v>
      </c>
      <c r="P26" s="2" t="str" cm="1">
        <f t="array" ref="P26">_xlfn.XLOOKUP(Bash2[[#This Row],[Tecnología]]&amp;Bash2[[#This Row],[Problema]],TbNombres[Tecnología]&amp;TbNombres[Problema],TbNombres[Nombre])</f>
        <v>Advdiff1d</v>
      </c>
      <c r="Q26" s="2">
        <v>3</v>
      </c>
      <c r="R26" s="2">
        <v>3</v>
      </c>
      <c r="S26" s="2">
        <v>256</v>
      </c>
      <c r="T26" s="2">
        <v>50000</v>
      </c>
      <c r="U26" s="2">
        <v>50000</v>
      </c>
      <c r="V26" s="2">
        <v>19.1632</v>
      </c>
      <c r="X26" s="6" t="str">
        <f>_xlfn.XLOOKUP(Bash3[[#This Row],[Metodo]],TbSolver[Metodo],TbSolver[Solver])</f>
        <v>AdamsBashford</v>
      </c>
      <c r="Y26" s="6" t="str">
        <f>_xlfn.XLOOKUP(Bash3[[#This Row],[Hebras]],TbTecnologia[Hebras],TbTecnologia[Tecnología])</f>
        <v>CUDA</v>
      </c>
      <c r="Z26" s="2" t="str" cm="1">
        <f t="array" ref="Z26">_xlfn.XLOOKUP(Bash3[[#This Row],[Tecnología]]&amp;Bash3[[#This Row],[Metodo]],TbTipos[Tecnología]&amp;TbTipos[Metodo],TbTipos[Tipo])</f>
        <v>CUDA con graph</v>
      </c>
      <c r="AA26" s="2" t="str" cm="1">
        <f t="array" ref="AA26">_xlfn.XLOOKUP(Bash3[[#This Row],[Tecnología]]&amp;Bash3[[#This Row],[Problema]],TbNombres[Tecnología]&amp;TbNombres[Problema],TbNombres[Nombre])</f>
        <v>Brusselator1d</v>
      </c>
      <c r="AB26" s="2">
        <v>4</v>
      </c>
      <c r="AC26" s="2">
        <v>6</v>
      </c>
      <c r="AD26" s="2">
        <v>256</v>
      </c>
      <c r="AE26" s="2">
        <v>100</v>
      </c>
      <c r="AF26" s="2">
        <v>200</v>
      </c>
      <c r="AG26" s="2">
        <v>5.8353200000000003</v>
      </c>
      <c r="AI26" s="9" t="str">
        <f>_xlfn.XLOOKUP(Bash4[[#This Row],[Metodo]],TbSolver[Metodo],TbSolver[Solver])</f>
        <v>AdamsBashford</v>
      </c>
      <c r="AJ26" s="9" t="str">
        <f>_xlfn.XLOOKUP(Bash4[[#This Row],[Hebras]],TbTecnologia[Hebras],TbTecnologia[Tecnología])</f>
        <v>OMP</v>
      </c>
      <c r="AK26" s="10" t="str" cm="1">
        <f t="array" ref="AK26">_xlfn.XLOOKUP(Bash4[[#This Row],[Tecnología]]&amp;Bash4[[#This Row],[Metodo]],TbTipos[Tecnología]&amp;TbTipos[Metodo],TbTipos[Tipo])</f>
        <v>OMP Operaciones</v>
      </c>
      <c r="AL26" s="9" t="str" cm="1">
        <f t="array" ref="AL26">_xlfn.XLOOKUP(Bash4[[#This Row],[Tecnología]]&amp;Bash4[[#This Row],[Problema]],TbNombres[Tecnología]&amp;TbNombres[Problema],TbNombres[Nombre])</f>
        <v>Brusselator2d</v>
      </c>
      <c r="AM26" s="9">
        <v>3</v>
      </c>
      <c r="AN26" s="9">
        <v>4</v>
      </c>
      <c r="AO26" s="9">
        <v>16</v>
      </c>
      <c r="AP26" s="9">
        <v>150</v>
      </c>
      <c r="AQ26" s="9">
        <v>45000</v>
      </c>
      <c r="AR26" s="9">
        <v>47.894500000000001</v>
      </c>
    </row>
    <row r="27" spans="2:44" x14ac:dyDescent="0.2">
      <c r="B27" s="1" t="str">
        <f>_xlfn.XLOOKUP(Bash1[[#This Row],[Metodo]],TbSolver[Metodo],TbSolver[Solver])</f>
        <v>AdamsBashford</v>
      </c>
      <c r="C27" s="1" t="str">
        <f>_xlfn.XLOOKUP(Bash1[[#This Row],[Hebras]],TbTecnologia[Hebras],TbTecnologia[Tecnología])</f>
        <v>CUDA</v>
      </c>
      <c r="D27" s="5" t="str" cm="1">
        <f t="array" ref="D27">_xlfn.XLOOKUP(Bash1[[#This Row],[Tecnología]]&amp;Bash1[[#This Row],[Metodo]],TbTipos[Tecnología]&amp;TbTipos[Metodo],TbTipos[Tipo])</f>
        <v>CUDA con graph</v>
      </c>
      <c r="E27" s="1" t="str" cm="1">
        <f t="array" ref="E27">_xlfn.XLOOKUP(Bash1[[#This Row],[Tecnología]]&amp;Bash1[[#This Row],[Problema]],TbNombres[Tecnología]&amp;TbNombres[Problema],TbNombres[Nombre])</f>
        <v>Simple Advdiff</v>
      </c>
      <c r="F27" s="1">
        <v>4</v>
      </c>
      <c r="G27" s="1">
        <v>2</v>
      </c>
      <c r="H27" s="1">
        <v>256</v>
      </c>
      <c r="I27" s="1">
        <v>200</v>
      </c>
      <c r="J27" s="1">
        <v>200</v>
      </c>
      <c r="K27" s="1">
        <v>5.5995400000000002</v>
      </c>
      <c r="M27" s="6" t="str">
        <f>_xlfn.XLOOKUP(Bash2[[#This Row],[Metodo]],TbSolver[Metodo],TbSolver[Solver])</f>
        <v>AdamsBashford</v>
      </c>
      <c r="N27" s="6" t="str">
        <f>_xlfn.XLOOKUP(Bash2[[#This Row],[Hebras]],TbTecnologia[Hebras],TbTecnologia[Tecnología])</f>
        <v>CUDA</v>
      </c>
      <c r="O27" s="2" t="str" cm="1">
        <f t="array" ref="O27">_xlfn.XLOOKUP(Bash2[[#This Row],[Tecnología]]&amp;Bash2[[#This Row],[Metodo]],TbTipos[Tecnología]&amp;TbTipos[Metodo],TbTipos[Tipo])</f>
        <v>CUDA sin graph</v>
      </c>
      <c r="P27" s="2" t="str" cm="1">
        <f t="array" ref="P27">_xlfn.XLOOKUP(Bash2[[#This Row],[Tecnología]]&amp;Bash2[[#This Row],[Problema]],TbNombres[Tecnología]&amp;TbNombres[Problema],TbNombres[Nombre])</f>
        <v>Advdiff1d</v>
      </c>
      <c r="Q27" s="2">
        <v>3</v>
      </c>
      <c r="R27" s="2">
        <v>4</v>
      </c>
      <c r="S27" s="2">
        <v>256</v>
      </c>
      <c r="T27" s="2">
        <v>50000</v>
      </c>
      <c r="U27" s="2">
        <v>50000</v>
      </c>
      <c r="V27" s="2">
        <v>19.390899999999998</v>
      </c>
      <c r="X27" s="6" t="str">
        <f>_xlfn.XLOOKUP(Bash3[[#This Row],[Metodo]],TbSolver[Metodo],TbSolver[Solver])</f>
        <v>AdamsBashford</v>
      </c>
      <c r="Y27" s="6" t="str">
        <f>_xlfn.XLOOKUP(Bash3[[#This Row],[Hebras]],TbTecnologia[Hebras],TbTecnologia[Tecnología])</f>
        <v>CUDA</v>
      </c>
      <c r="Z27" s="2" t="str" cm="1">
        <f t="array" ref="Z27">_xlfn.XLOOKUP(Bash3[[#This Row],[Tecnología]]&amp;Bash3[[#This Row],[Metodo]],TbTipos[Tecnología]&amp;TbTipos[Metodo],TbTipos[Tipo])</f>
        <v>CUDA con graph</v>
      </c>
      <c r="AA27" s="2" t="str" cm="1">
        <f t="array" ref="AA27">_xlfn.XLOOKUP(Bash3[[#This Row],[Tecnología]]&amp;Bash3[[#This Row],[Problema]],TbNombres[Tecnología]&amp;TbNombres[Problema],TbNombres[Nombre])</f>
        <v>Brusselator1d</v>
      </c>
      <c r="AB27" s="2">
        <v>4</v>
      </c>
      <c r="AC27" s="2">
        <v>7</v>
      </c>
      <c r="AD27" s="2">
        <v>256</v>
      </c>
      <c r="AE27" s="2">
        <v>100</v>
      </c>
      <c r="AF27" s="2">
        <v>200</v>
      </c>
      <c r="AG27" s="2">
        <v>5.9540899999999999</v>
      </c>
      <c r="AI27" s="9" t="str">
        <f>_xlfn.XLOOKUP(Bash4[[#This Row],[Metodo]],TbSolver[Metodo],TbSolver[Solver])</f>
        <v>AdamsBashford</v>
      </c>
      <c r="AJ27" s="9" t="str">
        <f>_xlfn.XLOOKUP(Bash4[[#This Row],[Hebras]],TbTecnologia[Hebras],TbTecnologia[Tecnología])</f>
        <v>OMP</v>
      </c>
      <c r="AK27" s="10" t="str" cm="1">
        <f t="array" ref="AK27">_xlfn.XLOOKUP(Bash4[[#This Row],[Tecnología]]&amp;Bash4[[#This Row],[Metodo]],TbTipos[Tecnología]&amp;TbTipos[Metodo],TbTipos[Tipo])</f>
        <v>OMP Elementos</v>
      </c>
      <c r="AL27" s="9" t="str" cm="1">
        <f t="array" ref="AL27">_xlfn.XLOOKUP(Bash4[[#This Row],[Tecnología]]&amp;Bash4[[#This Row],[Problema]],TbNombres[Tecnología]&amp;TbNombres[Problema],TbNombres[Nombre])</f>
        <v>Brusselator2d</v>
      </c>
      <c r="AM27" s="9">
        <v>4</v>
      </c>
      <c r="AN27" s="9">
        <v>4</v>
      </c>
      <c r="AO27" s="9">
        <v>16</v>
      </c>
      <c r="AP27" s="9">
        <v>150</v>
      </c>
      <c r="AQ27" s="9">
        <v>45000</v>
      </c>
      <c r="AR27" s="9">
        <v>56.496699999999997</v>
      </c>
    </row>
    <row r="28" spans="2:44" x14ac:dyDescent="0.2">
      <c r="B28" s="1" t="str">
        <f>_xlfn.XLOOKUP(Bash1[[#This Row],[Metodo]],TbSolver[Metodo],TbSolver[Solver])</f>
        <v>AdamsBashford</v>
      </c>
      <c r="C28" s="1" t="str">
        <f>_xlfn.XLOOKUP(Bash1[[#This Row],[Hebras]],TbTecnologia[Hebras],TbTecnologia[Tecnología])</f>
        <v>CUDA</v>
      </c>
      <c r="D28" s="5" t="str" cm="1">
        <f t="array" ref="D28">_xlfn.XLOOKUP(Bash1[[#This Row],[Tecnología]]&amp;Bash1[[#This Row],[Metodo]],TbTipos[Tecnología]&amp;TbTipos[Metodo],TbTipos[Tipo])</f>
        <v>CUDA sin graph</v>
      </c>
      <c r="E28" s="1" t="str" cm="1">
        <f t="array" ref="E28">_xlfn.XLOOKUP(Bash1[[#This Row],[Tecnología]]&amp;Bash1[[#This Row],[Problema]],TbNombres[Tecnología]&amp;TbNombres[Problema],TbNombres[Nombre])</f>
        <v>Simple Advdiff</v>
      </c>
      <c r="F28" s="1">
        <v>3</v>
      </c>
      <c r="G28" s="1">
        <v>1</v>
      </c>
      <c r="H28" s="1">
        <v>256</v>
      </c>
      <c r="I28" s="1">
        <v>20000</v>
      </c>
      <c r="J28" s="1">
        <v>20000</v>
      </c>
      <c r="K28" s="1">
        <v>5.6368299999999998</v>
      </c>
      <c r="M28" s="6" t="str">
        <f>_xlfn.XLOOKUP(Bash2[[#This Row],[Metodo]],TbSolver[Metodo],TbSolver[Solver])</f>
        <v>AdamsBashford</v>
      </c>
      <c r="N28" s="6" t="str">
        <f>_xlfn.XLOOKUP(Bash2[[#This Row],[Hebras]],TbTecnologia[Hebras],TbTecnologia[Tecnología])</f>
        <v>CUDA</v>
      </c>
      <c r="O28" s="2" t="str" cm="1">
        <f t="array" ref="O28">_xlfn.XLOOKUP(Bash2[[#This Row],[Tecnología]]&amp;Bash2[[#This Row],[Metodo]],TbTipos[Tecnología]&amp;TbTipos[Metodo],TbTipos[Tipo])</f>
        <v>CUDA sin graph</v>
      </c>
      <c r="P28" s="2" t="str" cm="1">
        <f t="array" ref="P28">_xlfn.XLOOKUP(Bash2[[#This Row],[Tecnología]]&amp;Bash2[[#This Row],[Problema]],TbNombres[Tecnología]&amp;TbNombres[Problema],TbNombres[Nombre])</f>
        <v>Advdiff1d</v>
      </c>
      <c r="Q28" s="2">
        <v>3</v>
      </c>
      <c r="R28" s="2">
        <v>3</v>
      </c>
      <c r="S28" s="2">
        <v>256</v>
      </c>
      <c r="T28" s="2">
        <v>100000</v>
      </c>
      <c r="U28" s="2">
        <v>100000</v>
      </c>
      <c r="V28" s="2">
        <v>34.9452</v>
      </c>
      <c r="X28" s="6" t="str">
        <f>_xlfn.XLOOKUP(Bash3[[#This Row],[Metodo]],TbSolver[Metodo],TbSolver[Solver])</f>
        <v>AdamsBashford</v>
      </c>
      <c r="Y28" s="6" t="str">
        <f>_xlfn.XLOOKUP(Bash3[[#This Row],[Hebras]],TbTecnologia[Hebras],TbTecnologia[Tecnología])</f>
        <v>CUDA</v>
      </c>
      <c r="Z28" s="2" t="str" cm="1">
        <f t="array" ref="Z28">_xlfn.XLOOKUP(Bash3[[#This Row],[Tecnología]]&amp;Bash3[[#This Row],[Metodo]],TbTipos[Tecnología]&amp;TbTipos[Metodo],TbTipos[Tipo])</f>
        <v>CUDA con graph</v>
      </c>
      <c r="AA28" s="2" t="str" cm="1">
        <f t="array" ref="AA28">_xlfn.XLOOKUP(Bash3[[#This Row],[Tecnología]]&amp;Bash3[[#This Row],[Problema]],TbNombres[Tecnología]&amp;TbNombres[Problema],TbNombres[Nombre])</f>
        <v>Brusselator1d</v>
      </c>
      <c r="AB28" s="2">
        <v>4</v>
      </c>
      <c r="AC28" s="2">
        <v>5</v>
      </c>
      <c r="AD28" s="2">
        <v>256</v>
      </c>
      <c r="AE28" s="2">
        <v>200</v>
      </c>
      <c r="AF28" s="2">
        <v>400</v>
      </c>
      <c r="AG28" s="2">
        <v>6.0020499999999997</v>
      </c>
      <c r="AI28" s="9" t="str">
        <f>_xlfn.XLOOKUP(Bash4[[#This Row],[Metodo]],TbSolver[Metodo],TbSolver[Solver])</f>
        <v>AdamsBashford</v>
      </c>
      <c r="AJ28" s="9" t="str">
        <f>_xlfn.XLOOKUP(Bash4[[#This Row],[Hebras]],TbTecnologia[Hebras],TbTecnologia[Tecnología])</f>
        <v>OMP</v>
      </c>
      <c r="AK28" s="10" t="str" cm="1">
        <f t="array" ref="AK28">_xlfn.XLOOKUP(Bash4[[#This Row],[Tecnología]]&amp;Bash4[[#This Row],[Metodo]],TbTipos[Tecnología]&amp;TbTipos[Metodo],TbTipos[Tipo])</f>
        <v>OMP Elementos</v>
      </c>
      <c r="AL28" s="9" t="str" cm="1">
        <f t="array" ref="AL28">_xlfn.XLOOKUP(Bash4[[#This Row],[Tecnología]]&amp;Bash4[[#This Row],[Problema]],TbNombres[Tecnología]&amp;TbNombres[Problema],TbNombres[Nombre])</f>
        <v>Brusselator2d</v>
      </c>
      <c r="AM28" s="9">
        <v>4</v>
      </c>
      <c r="AN28" s="9">
        <v>4</v>
      </c>
      <c r="AO28" s="9">
        <v>1</v>
      </c>
      <c r="AP28" s="9">
        <v>50</v>
      </c>
      <c r="AQ28" s="9">
        <v>5000</v>
      </c>
      <c r="AR28" s="9">
        <v>65.056100000000001</v>
      </c>
    </row>
    <row r="29" spans="2:44" x14ac:dyDescent="0.2">
      <c r="B29" s="1" t="str">
        <f>_xlfn.XLOOKUP(Bash1[[#This Row],[Metodo]],TbSolver[Metodo],TbSolver[Solver])</f>
        <v>AdamsBashford</v>
      </c>
      <c r="C29" s="1" t="str">
        <f>_xlfn.XLOOKUP(Bash1[[#This Row],[Hebras]],TbTecnologia[Hebras],TbTecnologia[Tecnología])</f>
        <v>CUDA</v>
      </c>
      <c r="D29" s="5" t="str" cm="1">
        <f t="array" ref="D29">_xlfn.XLOOKUP(Bash1[[#This Row],[Tecnología]]&amp;Bash1[[#This Row],[Metodo]],TbTipos[Tecnología]&amp;TbTipos[Metodo],TbTipos[Tipo])</f>
        <v>CUDA con graph</v>
      </c>
      <c r="E29" s="1" t="str" cm="1">
        <f t="array" ref="E29">_xlfn.XLOOKUP(Bash1[[#This Row],[Tecnología]]&amp;Bash1[[#This Row],[Problema]],TbNombres[Tecnología]&amp;TbNombres[Problema],TbNombres[Nombre])</f>
        <v>Simple Advdiff</v>
      </c>
      <c r="F29" s="1">
        <v>4</v>
      </c>
      <c r="G29" s="1">
        <v>1</v>
      </c>
      <c r="H29" s="1">
        <v>256</v>
      </c>
      <c r="I29" s="1">
        <v>500</v>
      </c>
      <c r="J29" s="1">
        <v>500</v>
      </c>
      <c r="K29" s="1">
        <v>5.7712399999999997</v>
      </c>
      <c r="M29" s="6" t="str">
        <f>_xlfn.XLOOKUP(Bash2[[#This Row],[Metodo]],TbSolver[Metodo],TbSolver[Solver])</f>
        <v>AdamsBashford</v>
      </c>
      <c r="N29" s="6" t="str">
        <f>_xlfn.XLOOKUP(Bash2[[#This Row],[Hebras]],TbTecnologia[Hebras],TbTecnologia[Tecnología])</f>
        <v>CUDA</v>
      </c>
      <c r="O29" s="2" t="str" cm="1">
        <f t="array" ref="O29">_xlfn.XLOOKUP(Bash2[[#This Row],[Tecnología]]&amp;Bash2[[#This Row],[Metodo]],TbTipos[Tecnología]&amp;TbTipos[Metodo],TbTipos[Tipo])</f>
        <v>CUDA sin graph</v>
      </c>
      <c r="P29" s="2" t="str" cm="1">
        <f t="array" ref="P29">_xlfn.XLOOKUP(Bash2[[#This Row],[Tecnología]]&amp;Bash2[[#This Row],[Problema]],TbNombres[Tecnología]&amp;TbNombres[Problema],TbNombres[Nombre])</f>
        <v>Advdiff1d</v>
      </c>
      <c r="Q29" s="2">
        <v>3</v>
      </c>
      <c r="R29" s="2">
        <v>4</v>
      </c>
      <c r="S29" s="2">
        <v>256</v>
      </c>
      <c r="T29" s="2">
        <v>100000</v>
      </c>
      <c r="U29" s="2">
        <v>100000</v>
      </c>
      <c r="V29" s="2">
        <v>35.499600000000001</v>
      </c>
      <c r="X29" s="6" t="str">
        <f>_xlfn.XLOOKUP(Bash3[[#This Row],[Metodo]],TbSolver[Metodo],TbSolver[Solver])</f>
        <v>AdamsBashford</v>
      </c>
      <c r="Y29" s="6" t="str">
        <f>_xlfn.XLOOKUP(Bash3[[#This Row],[Hebras]],TbTecnologia[Hebras],TbTecnologia[Tecnología])</f>
        <v>CUDA</v>
      </c>
      <c r="Z29" s="2" t="str" cm="1">
        <f t="array" ref="Z29">_xlfn.XLOOKUP(Bash3[[#This Row],[Tecnología]]&amp;Bash3[[#This Row],[Metodo]],TbTipos[Tecnología]&amp;TbTipos[Metodo],TbTipos[Tipo])</f>
        <v>CUDA con graph</v>
      </c>
      <c r="AA29" s="2" t="str" cm="1">
        <f t="array" ref="AA29">_xlfn.XLOOKUP(Bash3[[#This Row],[Tecnología]]&amp;Bash3[[#This Row],[Problema]],TbNombres[Tecnología]&amp;TbNombres[Problema],TbNombres[Nombre])</f>
        <v>Brusselator1d</v>
      </c>
      <c r="AB29" s="2">
        <v>4</v>
      </c>
      <c r="AC29" s="2">
        <v>7</v>
      </c>
      <c r="AD29" s="2">
        <v>256</v>
      </c>
      <c r="AE29" s="2">
        <v>200</v>
      </c>
      <c r="AF29" s="2">
        <v>400</v>
      </c>
      <c r="AG29" s="2">
        <v>6.0254700000000003</v>
      </c>
      <c r="AI29" s="9" t="str">
        <f>_xlfn.XLOOKUP(Bash4[[#This Row],[Metodo]],TbSolver[Metodo],TbSolver[Solver])</f>
        <v>AdamsBashford</v>
      </c>
      <c r="AJ29" s="9" t="str">
        <f>_xlfn.XLOOKUP(Bash4[[#This Row],[Hebras]],TbTecnologia[Hebras],TbTecnologia[Tecnología])</f>
        <v>OMP</v>
      </c>
      <c r="AK29" s="10" t="str" cm="1">
        <f t="array" ref="AK29">_xlfn.XLOOKUP(Bash4[[#This Row],[Tecnología]]&amp;Bash4[[#This Row],[Metodo]],TbTipos[Tecnología]&amp;TbTipos[Metodo],TbTipos[Tipo])</f>
        <v>OMP Operaciones</v>
      </c>
      <c r="AL29" s="9" t="str" cm="1">
        <f t="array" ref="AL29">_xlfn.XLOOKUP(Bash4[[#This Row],[Tecnología]]&amp;Bash4[[#This Row],[Problema]],TbNombres[Tecnología]&amp;TbNombres[Problema],TbNombres[Nombre])</f>
        <v>Brusselator2d</v>
      </c>
      <c r="AM29" s="9">
        <v>3</v>
      </c>
      <c r="AN29" s="9">
        <v>4</v>
      </c>
      <c r="AO29" s="9">
        <v>16</v>
      </c>
      <c r="AP29" s="9">
        <v>200</v>
      </c>
      <c r="AQ29" s="9">
        <v>80000</v>
      </c>
      <c r="AR29" s="9">
        <v>66.903000000000006</v>
      </c>
    </row>
    <row r="30" spans="2:44" x14ac:dyDescent="0.2">
      <c r="B30" s="1" t="str">
        <f>_xlfn.XLOOKUP(Bash1[[#This Row],[Metodo]],TbSolver[Metodo],TbSolver[Solver])</f>
        <v>AdamsBashford</v>
      </c>
      <c r="C30" s="1" t="str">
        <f>_xlfn.XLOOKUP(Bash1[[#This Row],[Hebras]],TbTecnologia[Hebras],TbTecnologia[Tecnología])</f>
        <v>CUDA</v>
      </c>
      <c r="D30" s="5" t="str" cm="1">
        <f t="array" ref="D30">_xlfn.XLOOKUP(Bash1[[#This Row],[Tecnología]]&amp;Bash1[[#This Row],[Metodo]],TbTipos[Tecnología]&amp;TbTipos[Metodo],TbTipos[Tipo])</f>
        <v>CUDA con graph</v>
      </c>
      <c r="E30" s="1" t="str" cm="1">
        <f t="array" ref="E30">_xlfn.XLOOKUP(Bash1[[#This Row],[Tecnología]]&amp;Bash1[[#This Row],[Problema]],TbNombres[Tecnología]&amp;TbNombres[Problema],TbNombres[Nombre])</f>
        <v>Simple Advdiff</v>
      </c>
      <c r="F30" s="1">
        <v>4</v>
      </c>
      <c r="G30" s="1">
        <v>2</v>
      </c>
      <c r="H30" s="1">
        <v>256</v>
      </c>
      <c r="I30" s="1">
        <v>1000</v>
      </c>
      <c r="J30" s="1">
        <v>1000</v>
      </c>
      <c r="K30" s="1">
        <v>5.7783199999999999</v>
      </c>
      <c r="M30" s="6" t="str">
        <f>_xlfn.XLOOKUP(Bash2[[#This Row],[Metodo]],TbSolver[Metodo],TbSolver[Solver])</f>
        <v>AdamsBashford</v>
      </c>
      <c r="N30" s="6" t="str">
        <f>_xlfn.XLOOKUP(Bash2[[#This Row],[Hebras]],TbTecnologia[Hebras],TbTecnologia[Tecnología])</f>
        <v>CUDA</v>
      </c>
      <c r="O30" s="2" t="str" cm="1">
        <f t="array" ref="O30">_xlfn.XLOOKUP(Bash2[[#This Row],[Tecnología]]&amp;Bash2[[#This Row],[Metodo]],TbTipos[Tecnología]&amp;TbTipos[Metodo],TbTipos[Tipo])</f>
        <v>CUDA sin graph</v>
      </c>
      <c r="P30" s="2" t="str" cm="1">
        <f t="array" ref="P30">_xlfn.XLOOKUP(Bash2[[#This Row],[Tecnología]]&amp;Bash2[[#This Row],[Problema]],TbNombres[Tecnología]&amp;TbNombres[Problema],TbNombres[Nombre])</f>
        <v>Advdiff1d</v>
      </c>
      <c r="Q30" s="2">
        <v>3</v>
      </c>
      <c r="R30" s="2">
        <v>3</v>
      </c>
      <c r="S30" s="2">
        <v>256</v>
      </c>
      <c r="T30" s="2">
        <v>100000</v>
      </c>
      <c r="U30" s="2">
        <v>100000</v>
      </c>
      <c r="V30" s="2">
        <v>35.513500000000001</v>
      </c>
      <c r="X30" s="6" t="str">
        <f>_xlfn.XLOOKUP(Bash3[[#This Row],[Metodo]],TbSolver[Metodo],TbSolver[Solver])</f>
        <v>AdamsBashford</v>
      </c>
      <c r="Y30" s="6" t="str">
        <f>_xlfn.XLOOKUP(Bash3[[#This Row],[Hebras]],TbTecnologia[Hebras],TbTecnologia[Tecnología])</f>
        <v>CUDA</v>
      </c>
      <c r="Z30" s="2" t="str" cm="1">
        <f t="array" ref="Z30">_xlfn.XLOOKUP(Bash3[[#This Row],[Tecnología]]&amp;Bash3[[#This Row],[Metodo]],TbTipos[Tecnología]&amp;TbTipos[Metodo],TbTipos[Tipo])</f>
        <v>CUDA con graph</v>
      </c>
      <c r="AA30" s="2" t="str" cm="1">
        <f t="array" ref="AA30">_xlfn.XLOOKUP(Bash3[[#This Row],[Tecnología]]&amp;Bash3[[#This Row],[Problema]],TbNombres[Tecnología]&amp;TbNombres[Problema],TbNombres[Nombre])</f>
        <v>Brusselator1d</v>
      </c>
      <c r="AB30" s="2">
        <v>4</v>
      </c>
      <c r="AC30" s="2">
        <v>6</v>
      </c>
      <c r="AD30" s="2">
        <v>256</v>
      </c>
      <c r="AE30" s="2">
        <v>200</v>
      </c>
      <c r="AF30" s="2">
        <v>400</v>
      </c>
      <c r="AG30" s="2">
        <v>6.0285399999999996</v>
      </c>
      <c r="AI30" s="9" t="str">
        <f>_xlfn.XLOOKUP(Bash4[[#This Row],[Metodo]],TbSolver[Metodo],TbSolver[Solver])</f>
        <v>AdamsBashford</v>
      </c>
      <c r="AJ30" s="9" t="str">
        <f>_xlfn.XLOOKUP(Bash4[[#This Row],[Hebras]],TbTecnologia[Hebras],TbTecnologia[Tecnología])</f>
        <v>OMP</v>
      </c>
      <c r="AK30" s="10" t="str" cm="1">
        <f t="array" ref="AK30">_xlfn.XLOOKUP(Bash4[[#This Row],[Tecnología]]&amp;Bash4[[#This Row],[Metodo]],TbTipos[Tecnología]&amp;TbTipos[Metodo],TbTipos[Tipo])</f>
        <v>OMP Elementos</v>
      </c>
      <c r="AL30" s="9" t="str" cm="1">
        <f t="array" ref="AL30">_xlfn.XLOOKUP(Bash4[[#This Row],[Tecnología]]&amp;Bash4[[#This Row],[Problema]],TbNombres[Tecnología]&amp;TbNombres[Problema],TbNombres[Nombre])</f>
        <v>Brusselator2d</v>
      </c>
      <c r="AM30" s="9">
        <v>4</v>
      </c>
      <c r="AN30" s="9">
        <v>4</v>
      </c>
      <c r="AO30" s="9">
        <v>4</v>
      </c>
      <c r="AP30" s="9">
        <v>100</v>
      </c>
      <c r="AQ30" s="9">
        <v>20000</v>
      </c>
      <c r="AR30" s="9">
        <v>73.046400000000006</v>
      </c>
    </row>
    <row r="31" spans="2:44" x14ac:dyDescent="0.2">
      <c r="B31" s="1" t="str">
        <f>_xlfn.XLOOKUP(Bash1[[#This Row],[Metodo]],TbSolver[Metodo],TbSolver[Solver])</f>
        <v>AdamsBashford</v>
      </c>
      <c r="C31" s="1" t="str">
        <f>_xlfn.XLOOKUP(Bash1[[#This Row],[Hebras]],TbTecnologia[Hebras],TbTecnologia[Tecnología])</f>
        <v>CUDA</v>
      </c>
      <c r="D31" s="5" t="str" cm="1">
        <f t="array" ref="D31">_xlfn.XLOOKUP(Bash1[[#This Row],[Tecnología]]&amp;Bash1[[#This Row],[Metodo]],TbTipos[Tecnología]&amp;TbTipos[Metodo],TbTipos[Tipo])</f>
        <v>CUDA con graph</v>
      </c>
      <c r="E31" s="1" t="str" cm="1">
        <f t="array" ref="E31">_xlfn.XLOOKUP(Bash1[[#This Row],[Tecnología]]&amp;Bash1[[#This Row],[Problema]],TbNombres[Tecnología]&amp;TbNombres[Problema],TbNombres[Nombre])</f>
        <v>Simple Advdiff</v>
      </c>
      <c r="F31" s="1">
        <v>4</v>
      </c>
      <c r="G31" s="1">
        <v>2</v>
      </c>
      <c r="H31" s="1">
        <v>256</v>
      </c>
      <c r="I31" s="1">
        <v>500</v>
      </c>
      <c r="J31" s="1">
        <v>500</v>
      </c>
      <c r="K31" s="1">
        <v>5.7799899999999997</v>
      </c>
      <c r="M31" s="6" t="str">
        <f>_xlfn.XLOOKUP(Bash2[[#This Row],[Metodo]],TbSolver[Metodo],TbSolver[Solver])</f>
        <v>AdamsBashford</v>
      </c>
      <c r="N31" s="6" t="str">
        <f>_xlfn.XLOOKUP(Bash2[[#This Row],[Hebras]],TbTecnologia[Hebras],TbTecnologia[Tecnología])</f>
        <v>CUDA</v>
      </c>
      <c r="O31" s="2" t="str" cm="1">
        <f t="array" ref="O31">_xlfn.XLOOKUP(Bash2[[#This Row],[Tecnología]]&amp;Bash2[[#This Row],[Metodo]],TbTipos[Tecnología]&amp;TbTipos[Metodo],TbTipos[Tipo])</f>
        <v>CUDA sin graph</v>
      </c>
      <c r="P31" s="2" t="str" cm="1">
        <f t="array" ref="P31">_xlfn.XLOOKUP(Bash2[[#This Row],[Tecnología]]&amp;Bash2[[#This Row],[Problema]],TbNombres[Tecnología]&amp;TbNombres[Problema],TbNombres[Nombre])</f>
        <v>Advdiff1d</v>
      </c>
      <c r="Q31" s="2">
        <v>3</v>
      </c>
      <c r="R31" s="2">
        <v>3</v>
      </c>
      <c r="S31" s="2">
        <v>256</v>
      </c>
      <c r="T31" s="2">
        <v>200000</v>
      </c>
      <c r="U31" s="2">
        <v>200000</v>
      </c>
      <c r="V31" s="2">
        <v>75.826099999999997</v>
      </c>
      <c r="X31" s="6" t="str">
        <f>_xlfn.XLOOKUP(Bash3[[#This Row],[Metodo]],TbSolver[Metodo],TbSolver[Solver])</f>
        <v>AdamsBashford</v>
      </c>
      <c r="Y31" s="6" t="str">
        <f>_xlfn.XLOOKUP(Bash3[[#This Row],[Hebras]],TbTecnologia[Hebras],TbTecnologia[Tecnología])</f>
        <v>CUDA</v>
      </c>
      <c r="Z31" s="2" t="str" cm="1">
        <f t="array" ref="Z31">_xlfn.XLOOKUP(Bash3[[#This Row],[Tecnología]]&amp;Bash3[[#This Row],[Metodo]],TbTipos[Tecnología]&amp;TbTipos[Metodo],TbTipos[Tipo])</f>
        <v>CUDA con graph</v>
      </c>
      <c r="AA31" s="2" t="str" cm="1">
        <f t="array" ref="AA31">_xlfn.XLOOKUP(Bash3[[#This Row],[Tecnología]]&amp;Bash3[[#This Row],[Problema]],TbNombres[Tecnología]&amp;TbNombres[Problema],TbNombres[Nombre])</f>
        <v>Brusselator1d</v>
      </c>
      <c r="AB31" s="2">
        <v>4</v>
      </c>
      <c r="AC31" s="2">
        <v>5</v>
      </c>
      <c r="AD31" s="2">
        <v>256</v>
      </c>
      <c r="AE31" s="2">
        <v>500</v>
      </c>
      <c r="AF31" s="2">
        <v>1000</v>
      </c>
      <c r="AG31" s="2">
        <v>6.0388000000000002</v>
      </c>
      <c r="AI31" s="9" t="str">
        <f>_xlfn.XLOOKUP(Bash4[[#This Row],[Metodo]],TbSolver[Metodo],TbSolver[Solver])</f>
        <v>AdamsBashford</v>
      </c>
      <c r="AJ31" s="9" t="str">
        <f>_xlfn.XLOOKUP(Bash4[[#This Row],[Hebras]],TbTecnologia[Hebras],TbTecnologia[Tecnología])</f>
        <v>OMP</v>
      </c>
      <c r="AK31" s="10" t="str" cm="1">
        <f t="array" ref="AK31">_xlfn.XLOOKUP(Bash4[[#This Row],[Tecnología]]&amp;Bash4[[#This Row],[Metodo]],TbTipos[Tecnología]&amp;TbTipos[Metodo],TbTipos[Tipo])</f>
        <v>OMP Operaciones</v>
      </c>
      <c r="AL31" s="9" t="str" cm="1">
        <f t="array" ref="AL31">_xlfn.XLOOKUP(Bash4[[#This Row],[Tecnología]]&amp;Bash4[[#This Row],[Problema]],TbNombres[Tecnología]&amp;TbNombres[Problema],TbNombres[Nombre])</f>
        <v>Brusselator2d</v>
      </c>
      <c r="AM31" s="9">
        <v>3</v>
      </c>
      <c r="AN31" s="9">
        <v>4</v>
      </c>
      <c r="AO31" s="9">
        <v>4</v>
      </c>
      <c r="AP31" s="9">
        <v>150</v>
      </c>
      <c r="AQ31" s="9">
        <v>45000</v>
      </c>
      <c r="AR31" s="9">
        <v>83.186300000000003</v>
      </c>
    </row>
    <row r="32" spans="2:44" x14ac:dyDescent="0.2">
      <c r="B32" s="1" t="str">
        <f>_xlfn.XLOOKUP(Bash1[[#This Row],[Metodo]],TbSolver[Metodo],TbSolver[Solver])</f>
        <v>AdamsBashford</v>
      </c>
      <c r="C32" s="1" t="str">
        <f>_xlfn.XLOOKUP(Bash1[[#This Row],[Hebras]],TbTecnologia[Hebras],TbTecnologia[Tecnología])</f>
        <v>CUDA</v>
      </c>
      <c r="D32" s="5" t="str" cm="1">
        <f t="array" ref="D32">_xlfn.XLOOKUP(Bash1[[#This Row],[Tecnología]]&amp;Bash1[[#This Row],[Metodo]],TbTipos[Tecnología]&amp;TbTipos[Metodo],TbTipos[Tipo])</f>
        <v>CUDA con graph</v>
      </c>
      <c r="E32" s="1" t="str" cm="1">
        <f t="array" ref="E32">_xlfn.XLOOKUP(Bash1[[#This Row],[Tecnología]]&amp;Bash1[[#This Row],[Problema]],TbNombres[Tecnología]&amp;TbNombres[Problema],TbNombres[Nombre])</f>
        <v>Simple Advdiff</v>
      </c>
      <c r="F32" s="1">
        <v>4</v>
      </c>
      <c r="G32" s="1">
        <v>1</v>
      </c>
      <c r="H32" s="1">
        <v>256</v>
      </c>
      <c r="I32" s="1">
        <v>1000</v>
      </c>
      <c r="J32" s="1">
        <v>1000</v>
      </c>
      <c r="K32" s="1">
        <v>5.78383</v>
      </c>
      <c r="M32" s="6" t="str">
        <f>_xlfn.XLOOKUP(Bash2[[#This Row],[Metodo]],TbSolver[Metodo],TbSolver[Solver])</f>
        <v>AdamsBashford</v>
      </c>
      <c r="N32" s="6" t="str">
        <f>_xlfn.XLOOKUP(Bash2[[#This Row],[Hebras]],TbTecnologia[Hebras],TbTecnologia[Tecnología])</f>
        <v>CUDA</v>
      </c>
      <c r="O32" s="2" t="str" cm="1">
        <f t="array" ref="O32">_xlfn.XLOOKUP(Bash2[[#This Row],[Tecnología]]&amp;Bash2[[#This Row],[Metodo]],TbTipos[Tecnología]&amp;TbTipos[Metodo],TbTipos[Tipo])</f>
        <v>CUDA sin graph</v>
      </c>
      <c r="P32" s="2" t="str" cm="1">
        <f t="array" ref="P32">_xlfn.XLOOKUP(Bash2[[#This Row],[Tecnología]]&amp;Bash2[[#This Row],[Problema]],TbNombres[Tecnología]&amp;TbNombres[Problema],TbNombres[Nombre])</f>
        <v>Advdiff1d</v>
      </c>
      <c r="Q32" s="2">
        <v>3</v>
      </c>
      <c r="R32" s="2">
        <v>4</v>
      </c>
      <c r="S32" s="2">
        <v>256</v>
      </c>
      <c r="T32" s="2">
        <v>200000</v>
      </c>
      <c r="U32" s="2">
        <v>200000</v>
      </c>
      <c r="V32" s="2">
        <v>76.363900000000001</v>
      </c>
      <c r="X32" s="6" t="str">
        <f>_xlfn.XLOOKUP(Bash3[[#This Row],[Metodo]],TbSolver[Metodo],TbSolver[Solver])</f>
        <v>AdamsBashford</v>
      </c>
      <c r="Y32" s="6" t="str">
        <f>_xlfn.XLOOKUP(Bash3[[#This Row],[Hebras]],TbTecnologia[Hebras],TbTecnologia[Tecnología])</f>
        <v>CUDA</v>
      </c>
      <c r="Z32" s="2" t="str" cm="1">
        <f t="array" ref="Z32">_xlfn.XLOOKUP(Bash3[[#This Row],[Tecnología]]&amp;Bash3[[#This Row],[Metodo]],TbTipos[Tecnología]&amp;TbTipos[Metodo],TbTipos[Tipo])</f>
        <v>CUDA con graph</v>
      </c>
      <c r="AA32" s="2" t="str" cm="1">
        <f t="array" ref="AA32">_xlfn.XLOOKUP(Bash3[[#This Row],[Tecnología]]&amp;Bash3[[#This Row],[Problema]],TbNombres[Tecnología]&amp;TbNombres[Problema],TbNombres[Nombre])</f>
        <v>Brusselator1d</v>
      </c>
      <c r="AB32" s="2">
        <v>4</v>
      </c>
      <c r="AC32" s="2">
        <v>7</v>
      </c>
      <c r="AD32" s="2">
        <v>256</v>
      </c>
      <c r="AE32" s="2">
        <v>500</v>
      </c>
      <c r="AF32" s="2">
        <v>1000</v>
      </c>
      <c r="AG32" s="2">
        <v>6.0445500000000001</v>
      </c>
      <c r="AI32" s="9" t="str">
        <f>_xlfn.XLOOKUP(Bash4[[#This Row],[Metodo]],TbSolver[Metodo],TbSolver[Solver])</f>
        <v>AdamsBashford</v>
      </c>
      <c r="AJ32" s="9" t="str">
        <f>_xlfn.XLOOKUP(Bash4[[#This Row],[Hebras]],TbTecnologia[Hebras],TbTecnologia[Tecnología])</f>
        <v>OMP</v>
      </c>
      <c r="AK32" s="10" t="str" cm="1">
        <f t="array" ref="AK32">_xlfn.XLOOKUP(Bash4[[#This Row],[Tecnología]]&amp;Bash4[[#This Row],[Metodo]],TbTipos[Tecnología]&amp;TbTipos[Metodo],TbTipos[Tipo])</f>
        <v>OMP Elementos</v>
      </c>
      <c r="AL32" s="9" t="str" cm="1">
        <f t="array" ref="AL32">_xlfn.XLOOKUP(Bash4[[#This Row],[Tecnología]]&amp;Bash4[[#This Row],[Problema]],TbNombres[Tecnología]&amp;TbNombres[Problema],TbNombres[Nombre])</f>
        <v>Brusselator2d</v>
      </c>
      <c r="AM32" s="9">
        <v>4</v>
      </c>
      <c r="AN32" s="9">
        <v>4</v>
      </c>
      <c r="AO32" s="9">
        <v>16</v>
      </c>
      <c r="AP32" s="9">
        <v>200</v>
      </c>
      <c r="AQ32" s="9">
        <v>80000</v>
      </c>
      <c r="AR32" s="9">
        <v>90.070800000000006</v>
      </c>
    </row>
    <row r="33" spans="2:44" x14ac:dyDescent="0.2">
      <c r="B33" s="1" t="str">
        <f>_xlfn.XLOOKUP(Bash1[[#This Row],[Metodo]],TbSolver[Metodo],TbSolver[Solver])</f>
        <v>AdamsBashford</v>
      </c>
      <c r="C33" s="1" t="str">
        <f>_xlfn.XLOOKUP(Bash1[[#This Row],[Hebras]],TbTecnologia[Hebras],TbTecnologia[Tecnología])</f>
        <v>CUDA</v>
      </c>
      <c r="D33" s="5" t="str" cm="1">
        <f t="array" ref="D33">_xlfn.XLOOKUP(Bash1[[#This Row],[Tecnología]]&amp;Bash1[[#This Row],[Metodo]],TbTipos[Tecnología]&amp;TbTipos[Metodo],TbTipos[Tipo])</f>
        <v>CUDA con graph</v>
      </c>
      <c r="E33" s="1" t="str" cm="1">
        <f t="array" ref="E33">_xlfn.XLOOKUP(Bash1[[#This Row],[Tecnología]]&amp;Bash1[[#This Row],[Problema]],TbNombres[Tecnología]&amp;TbNombres[Problema],TbNombres[Nombre])</f>
        <v>Simple Advdiff</v>
      </c>
      <c r="F33" s="1">
        <v>4</v>
      </c>
      <c r="G33" s="1">
        <v>1</v>
      </c>
      <c r="H33" s="1">
        <v>256</v>
      </c>
      <c r="I33" s="1">
        <v>2000</v>
      </c>
      <c r="J33" s="1">
        <v>2000</v>
      </c>
      <c r="K33" s="1">
        <v>5.8491999999999997</v>
      </c>
      <c r="M33" s="6" t="str">
        <f>_xlfn.XLOOKUP(Bash2[[#This Row],[Metodo]],TbSolver[Metodo],TbSolver[Solver])</f>
        <v>AdamsBashford</v>
      </c>
      <c r="N33" s="6" t="str">
        <f>_xlfn.XLOOKUP(Bash2[[#This Row],[Hebras]],TbTecnologia[Hebras],TbTecnologia[Tecnología])</f>
        <v>CUDA</v>
      </c>
      <c r="O33" s="2" t="str" cm="1">
        <f t="array" ref="O33">_xlfn.XLOOKUP(Bash2[[#This Row],[Tecnología]]&amp;Bash2[[#This Row],[Metodo]],TbTipos[Tecnología]&amp;TbTipos[Metodo],TbTipos[Tipo])</f>
        <v>CUDA sin graph</v>
      </c>
      <c r="P33" s="2" t="str" cm="1">
        <f t="array" ref="P33">_xlfn.XLOOKUP(Bash2[[#This Row],[Tecnología]]&amp;Bash2[[#This Row],[Problema]],TbNombres[Tecnología]&amp;TbNombres[Problema],TbNombres[Nombre])</f>
        <v>Advdiff1d</v>
      </c>
      <c r="Q33" s="2">
        <v>3</v>
      </c>
      <c r="R33" s="2">
        <v>3</v>
      </c>
      <c r="S33" s="2">
        <v>256</v>
      </c>
      <c r="T33" s="2">
        <v>200000</v>
      </c>
      <c r="U33" s="2">
        <v>200000</v>
      </c>
      <c r="V33" s="2">
        <v>76.447900000000004</v>
      </c>
      <c r="X33" s="6" t="str">
        <f>_xlfn.XLOOKUP(Bash3[[#This Row],[Metodo]],TbSolver[Metodo],TbSolver[Solver])</f>
        <v>AdamsBashford</v>
      </c>
      <c r="Y33" s="6" t="str">
        <f>_xlfn.XLOOKUP(Bash3[[#This Row],[Hebras]],TbTecnologia[Hebras],TbTecnologia[Tecnología])</f>
        <v>CUDA</v>
      </c>
      <c r="Z33" s="2" t="str" cm="1">
        <f t="array" ref="Z33">_xlfn.XLOOKUP(Bash3[[#This Row],[Tecnología]]&amp;Bash3[[#This Row],[Metodo]],TbTipos[Tecnología]&amp;TbTipos[Metodo],TbTipos[Tipo])</f>
        <v>CUDA con graph</v>
      </c>
      <c r="AA33" s="2" t="str" cm="1">
        <f t="array" ref="AA33">_xlfn.XLOOKUP(Bash3[[#This Row],[Tecnología]]&amp;Bash3[[#This Row],[Problema]],TbNombres[Tecnología]&amp;TbNombres[Problema],TbNombres[Nombre])</f>
        <v>Brusselator1d</v>
      </c>
      <c r="AB33" s="2">
        <v>4</v>
      </c>
      <c r="AC33" s="2">
        <v>5</v>
      </c>
      <c r="AD33" s="2">
        <v>256</v>
      </c>
      <c r="AE33" s="2">
        <v>1000</v>
      </c>
      <c r="AF33" s="2">
        <v>2000</v>
      </c>
      <c r="AG33" s="2">
        <v>6.0667</v>
      </c>
      <c r="AI33" s="6" t="str">
        <f>_xlfn.XLOOKUP(Bash4[[#This Row],[Metodo]],TbSolver[Metodo],TbSolver[Solver])</f>
        <v>AdamsBashford</v>
      </c>
      <c r="AJ33" s="6" t="str">
        <f>_xlfn.XLOOKUP(Bash4[[#This Row],[Hebras]],TbTecnologia[Hebras],TbTecnologia[Tecnología])</f>
        <v>CUDA</v>
      </c>
      <c r="AK33" s="2" t="str" cm="1">
        <f t="array" ref="AK33">_xlfn.XLOOKUP(Bash4[[#This Row],[Tecnología]]&amp;Bash4[[#This Row],[Metodo]],TbTipos[Tecnología]&amp;TbTipos[Metodo],TbTipos[Tipo])</f>
        <v>CUDA sin graph</v>
      </c>
      <c r="AL33" s="2" t="str" cm="1">
        <f t="array" ref="AL33">_xlfn.XLOOKUP(Bash4[[#This Row],[Tecnología]]&amp;Bash4[[#This Row],[Problema]],TbNombres[Tecnología]&amp;TbNombres[Problema],TbNombres[Nombre])</f>
        <v>Brusselator2d</v>
      </c>
      <c r="AM33" s="2">
        <v>3</v>
      </c>
      <c r="AN33" s="2">
        <v>9</v>
      </c>
      <c r="AO33" s="2">
        <v>256</v>
      </c>
      <c r="AP33" s="2">
        <v>500</v>
      </c>
      <c r="AQ33" s="2">
        <v>500000</v>
      </c>
      <c r="AR33" s="2">
        <v>98.018500000000003</v>
      </c>
    </row>
    <row r="34" spans="2:44" x14ac:dyDescent="0.2">
      <c r="B34" s="1" t="str">
        <f>_xlfn.XLOOKUP(Bash1[[#This Row],[Metodo]],TbSolver[Metodo],TbSolver[Solver])</f>
        <v>AdamsBashford</v>
      </c>
      <c r="C34" s="1" t="str">
        <f>_xlfn.XLOOKUP(Bash1[[#This Row],[Hebras]],TbTecnologia[Hebras],TbTecnologia[Tecnología])</f>
        <v>CUDA</v>
      </c>
      <c r="D34" s="5" t="str" cm="1">
        <f t="array" ref="D34">_xlfn.XLOOKUP(Bash1[[#This Row],[Tecnología]]&amp;Bash1[[#This Row],[Metodo]],TbTipos[Tecnología]&amp;TbTipos[Metodo],TbTipos[Tipo])</f>
        <v>CUDA con graph</v>
      </c>
      <c r="E34" s="1" t="str" cm="1">
        <f t="array" ref="E34">_xlfn.XLOOKUP(Bash1[[#This Row],[Tecnología]]&amp;Bash1[[#This Row],[Problema]],TbNombres[Tecnología]&amp;TbNombres[Problema],TbNombres[Nombre])</f>
        <v>Simple Advdiff</v>
      </c>
      <c r="F34" s="1">
        <v>4</v>
      </c>
      <c r="G34" s="1">
        <v>2</v>
      </c>
      <c r="H34" s="1">
        <v>256</v>
      </c>
      <c r="I34" s="1">
        <v>2000</v>
      </c>
      <c r="J34" s="1">
        <v>2000</v>
      </c>
      <c r="K34" s="1">
        <v>5.8526600000000002</v>
      </c>
      <c r="M34" s="6" t="str">
        <f>_xlfn.XLOOKUP(Bash2[[#This Row],[Metodo]],TbSolver[Metodo],TbSolver[Solver])</f>
        <v>AdamsBashford</v>
      </c>
      <c r="N34" s="6" t="str">
        <f>_xlfn.XLOOKUP(Bash2[[#This Row],[Hebras]],TbTecnologia[Hebras],TbTecnologia[Tecnología])</f>
        <v>CUDA</v>
      </c>
      <c r="O34" s="2" t="str" cm="1">
        <f t="array" ref="O34">_xlfn.XLOOKUP(Bash2[[#This Row],[Tecnología]]&amp;Bash2[[#This Row],[Metodo]],TbTipos[Tecnología]&amp;TbTipos[Metodo],TbTipos[Tipo])</f>
        <v>CUDA con graph</v>
      </c>
      <c r="P34" s="2" t="str" cm="1">
        <f t="array" ref="P34">_xlfn.XLOOKUP(Bash2[[#This Row],[Tecnología]]&amp;Bash2[[#This Row],[Problema]],TbNombres[Tecnología]&amp;TbNombres[Problema],TbNombres[Nombre])</f>
        <v>Advdiff1d</v>
      </c>
      <c r="Q34" s="2">
        <v>4</v>
      </c>
      <c r="R34" s="2">
        <v>3</v>
      </c>
      <c r="S34" s="2">
        <v>256</v>
      </c>
      <c r="T34" s="2">
        <v>100</v>
      </c>
      <c r="U34" s="2">
        <v>100</v>
      </c>
      <c r="V34" s="2">
        <v>7.1238299999999999</v>
      </c>
      <c r="X34" s="6" t="str">
        <f>_xlfn.XLOOKUP(Bash3[[#This Row],[Metodo]],TbSolver[Metodo],TbSolver[Solver])</f>
        <v>AdamsBashford</v>
      </c>
      <c r="Y34" s="6" t="str">
        <f>_xlfn.XLOOKUP(Bash3[[#This Row],[Hebras]],TbTecnologia[Hebras],TbTecnologia[Tecnología])</f>
        <v>CUDA</v>
      </c>
      <c r="Z34" s="2" t="str" cm="1">
        <f t="array" ref="Z34">_xlfn.XLOOKUP(Bash3[[#This Row],[Tecnología]]&amp;Bash3[[#This Row],[Metodo]],TbTipos[Tecnología]&amp;TbTipos[Metodo],TbTipos[Tipo])</f>
        <v>CUDA con graph</v>
      </c>
      <c r="AA34" s="2" t="str" cm="1">
        <f t="array" ref="AA34">_xlfn.XLOOKUP(Bash3[[#This Row],[Tecnología]]&amp;Bash3[[#This Row],[Problema]],TbNombres[Tecnología]&amp;TbNombres[Problema],TbNombres[Nombre])</f>
        <v>Brusselator1d</v>
      </c>
      <c r="AB34" s="2">
        <v>4</v>
      </c>
      <c r="AC34" s="2">
        <v>6</v>
      </c>
      <c r="AD34" s="2">
        <v>256</v>
      </c>
      <c r="AE34" s="2">
        <v>500</v>
      </c>
      <c r="AF34" s="2">
        <v>1000</v>
      </c>
      <c r="AG34" s="2">
        <v>6.0677099999999999</v>
      </c>
      <c r="AI34" s="6" t="str">
        <f>_xlfn.XLOOKUP(Bash4[[#This Row],[Metodo]],TbSolver[Metodo],TbSolver[Solver])</f>
        <v>AdamsBashford</v>
      </c>
      <c r="AJ34" s="6" t="str">
        <f>_xlfn.XLOOKUP(Bash4[[#This Row],[Hebras]],TbTecnologia[Hebras],TbTecnologia[Tecnología])</f>
        <v>CUDA</v>
      </c>
      <c r="AK34" s="2" t="str" cm="1">
        <f t="array" ref="AK34">_xlfn.XLOOKUP(Bash4[[#This Row],[Tecnología]]&amp;Bash4[[#This Row],[Metodo]],TbTipos[Tecnología]&amp;TbTipos[Metodo],TbTipos[Tipo])</f>
        <v>CUDA sin graph</v>
      </c>
      <c r="AL34" s="2" t="str" cm="1">
        <f t="array" ref="AL34">_xlfn.XLOOKUP(Bash4[[#This Row],[Tecnología]]&amp;Bash4[[#This Row],[Problema]],TbNombres[Tecnología]&amp;TbNombres[Problema],TbNombres[Nombre])</f>
        <v>Brusselator2d</v>
      </c>
      <c r="AM34" s="2">
        <v>3</v>
      </c>
      <c r="AN34" s="2">
        <v>8</v>
      </c>
      <c r="AO34" s="2">
        <v>256</v>
      </c>
      <c r="AP34" s="2">
        <v>500</v>
      </c>
      <c r="AQ34" s="2">
        <v>500000</v>
      </c>
      <c r="AR34" s="2">
        <v>98.777100000000004</v>
      </c>
    </row>
    <row r="35" spans="2:44" x14ac:dyDescent="0.2">
      <c r="B35" s="1" t="str">
        <f>_xlfn.XLOOKUP(Bash1[[#This Row],[Metodo]],TbSolver[Metodo],TbSolver[Solver])</f>
        <v>AdamsBashford</v>
      </c>
      <c r="C35" s="1" t="str">
        <f>_xlfn.XLOOKUP(Bash1[[#This Row],[Hebras]],TbTecnologia[Hebras],TbTecnologia[Tecnología])</f>
        <v>CUDA</v>
      </c>
      <c r="D35" s="5" t="str" cm="1">
        <f t="array" ref="D35">_xlfn.XLOOKUP(Bash1[[#This Row],[Tecnología]]&amp;Bash1[[#This Row],[Metodo]],TbTipos[Tecnología]&amp;TbTipos[Metodo],TbTipos[Tipo])</f>
        <v>CUDA con graph</v>
      </c>
      <c r="E35" s="1" t="str" cm="1">
        <f t="array" ref="E35">_xlfn.XLOOKUP(Bash1[[#This Row],[Tecnología]]&amp;Bash1[[#This Row],[Problema]],TbNombres[Tecnología]&amp;TbNombres[Problema],TbNombres[Nombre])</f>
        <v>Simple Advdiff</v>
      </c>
      <c r="F35" s="1">
        <v>4</v>
      </c>
      <c r="G35" s="1">
        <v>1</v>
      </c>
      <c r="H35" s="1">
        <v>256</v>
      </c>
      <c r="I35" s="1">
        <v>5000</v>
      </c>
      <c r="J35" s="1">
        <v>5000</v>
      </c>
      <c r="K35" s="1">
        <v>5.8786300000000002</v>
      </c>
      <c r="M35" s="6" t="str">
        <f>_xlfn.XLOOKUP(Bash2[[#This Row],[Metodo]],TbSolver[Metodo],TbSolver[Solver])</f>
        <v>AdamsBashford</v>
      </c>
      <c r="N35" s="6" t="str">
        <f>_xlfn.XLOOKUP(Bash2[[#This Row],[Hebras]],TbTecnologia[Hebras],TbTecnologia[Tecnología])</f>
        <v>CUDA</v>
      </c>
      <c r="O35" s="2" t="str" cm="1">
        <f t="array" ref="O35">_xlfn.XLOOKUP(Bash2[[#This Row],[Tecnología]]&amp;Bash2[[#This Row],[Metodo]],TbTipos[Tecnología]&amp;TbTipos[Metodo],TbTipos[Tipo])</f>
        <v>CUDA con graph</v>
      </c>
      <c r="P35" s="2" t="str" cm="1">
        <f t="array" ref="P35">_xlfn.XLOOKUP(Bash2[[#This Row],[Tecnología]]&amp;Bash2[[#This Row],[Problema]],TbNombres[Tecnología]&amp;TbNombres[Problema],TbNombres[Nombre])</f>
        <v>Advdiff1d</v>
      </c>
      <c r="Q35" s="2">
        <v>4</v>
      </c>
      <c r="R35" s="2">
        <v>4</v>
      </c>
      <c r="S35" s="2">
        <v>256</v>
      </c>
      <c r="T35" s="2">
        <v>100</v>
      </c>
      <c r="U35" s="2">
        <v>100</v>
      </c>
      <c r="V35" s="2">
        <v>7.2684499999999996</v>
      </c>
      <c r="X35" s="6" t="str">
        <f>_xlfn.XLOOKUP(Bash3[[#This Row],[Metodo]],TbSolver[Metodo],TbSolver[Solver])</f>
        <v>AdamsBashford</v>
      </c>
      <c r="Y35" s="6" t="str">
        <f>_xlfn.XLOOKUP(Bash3[[#This Row],[Hebras]],TbTecnologia[Hebras],TbTecnologia[Tecnología])</f>
        <v>CUDA</v>
      </c>
      <c r="Z35" s="2" t="str" cm="1">
        <f t="array" ref="Z35">_xlfn.XLOOKUP(Bash3[[#This Row],[Tecnología]]&amp;Bash3[[#This Row],[Metodo]],TbTipos[Tecnología]&amp;TbTipos[Metodo],TbTipos[Tipo])</f>
        <v>CUDA sin graph</v>
      </c>
      <c r="AA35" s="2" t="str" cm="1">
        <f t="array" ref="AA35">_xlfn.XLOOKUP(Bash3[[#This Row],[Tecnología]]&amp;Bash3[[#This Row],[Problema]],TbNombres[Tecnología]&amp;TbNombres[Problema],TbNombres[Nombre])</f>
        <v>Brusselator1d</v>
      </c>
      <c r="AB35" s="2">
        <v>3</v>
      </c>
      <c r="AC35" s="2">
        <v>5</v>
      </c>
      <c r="AD35" s="2">
        <v>256</v>
      </c>
      <c r="AE35" s="2">
        <v>10000</v>
      </c>
      <c r="AF35" s="2">
        <v>20000</v>
      </c>
      <c r="AG35" s="2">
        <v>6.0775300000000003</v>
      </c>
      <c r="AI35" s="9" t="str">
        <f>_xlfn.XLOOKUP(Bash4[[#This Row],[Metodo]],TbSolver[Metodo],TbSolver[Solver])</f>
        <v>AdamsBashford</v>
      </c>
      <c r="AJ35" s="9" t="str">
        <f>_xlfn.XLOOKUP(Bash4[[#This Row],[Hebras]],TbTecnologia[Hebras],TbTecnologia[Tecnología])</f>
        <v>OMP</v>
      </c>
      <c r="AK35" s="10" t="str" cm="1">
        <f t="array" ref="AK35">_xlfn.XLOOKUP(Bash4[[#This Row],[Tecnología]]&amp;Bash4[[#This Row],[Metodo]],TbTipos[Tecnología]&amp;TbTipos[Metodo],TbTipos[Tipo])</f>
        <v>OMP Elementos</v>
      </c>
      <c r="AL35" s="9" t="str" cm="1">
        <f t="array" ref="AL35">_xlfn.XLOOKUP(Bash4[[#This Row],[Tecnología]]&amp;Bash4[[#This Row],[Problema]],TbNombres[Tecnología]&amp;TbNombres[Problema],TbNombres[Nombre])</f>
        <v>Brusselator2d</v>
      </c>
      <c r="AM35" s="9">
        <v>4</v>
      </c>
      <c r="AN35" s="9">
        <v>4</v>
      </c>
      <c r="AO35" s="9">
        <v>16</v>
      </c>
      <c r="AP35" s="9">
        <v>100</v>
      </c>
      <c r="AQ35" s="9">
        <v>20000</v>
      </c>
      <c r="AR35" s="9">
        <v>108.842</v>
      </c>
    </row>
    <row r="36" spans="2:44" x14ac:dyDescent="0.2">
      <c r="B36" s="1" t="str">
        <f>_xlfn.XLOOKUP(Bash1[[#This Row],[Metodo]],TbSolver[Metodo],TbSolver[Solver])</f>
        <v>AdamsBashford</v>
      </c>
      <c r="C36" s="1" t="str">
        <f>_xlfn.XLOOKUP(Bash1[[#This Row],[Hebras]],TbTecnologia[Hebras],TbTecnologia[Tecnología])</f>
        <v>CUDA</v>
      </c>
      <c r="D36" s="5" t="str" cm="1">
        <f t="array" ref="D36">_xlfn.XLOOKUP(Bash1[[#This Row],[Tecnología]]&amp;Bash1[[#This Row],[Metodo]],TbTipos[Tecnología]&amp;TbTipos[Metodo],TbTipos[Tipo])</f>
        <v>CUDA con graph</v>
      </c>
      <c r="E36" s="1" t="str" cm="1">
        <f t="array" ref="E36">_xlfn.XLOOKUP(Bash1[[#This Row],[Tecnología]]&amp;Bash1[[#This Row],[Problema]],TbNombres[Tecnología]&amp;TbNombres[Problema],TbNombres[Nombre])</f>
        <v>Simple Advdiff</v>
      </c>
      <c r="F36" s="1">
        <v>4</v>
      </c>
      <c r="G36" s="1">
        <v>2</v>
      </c>
      <c r="H36" s="1">
        <v>256</v>
      </c>
      <c r="I36" s="1">
        <v>5000</v>
      </c>
      <c r="J36" s="1">
        <v>5000</v>
      </c>
      <c r="K36" s="1">
        <v>5.9353400000000001</v>
      </c>
      <c r="M36" s="6" t="str">
        <f>_xlfn.XLOOKUP(Bash2[[#This Row],[Metodo]],TbSolver[Metodo],TbSolver[Solver])</f>
        <v>AdamsBashford</v>
      </c>
      <c r="N36" s="6" t="str">
        <f>_xlfn.XLOOKUP(Bash2[[#This Row],[Hebras]],TbTecnologia[Hebras],TbTecnologia[Tecnología])</f>
        <v>CUDA</v>
      </c>
      <c r="O36" s="2" t="str" cm="1">
        <f t="array" ref="O36">_xlfn.XLOOKUP(Bash2[[#This Row],[Tecnología]]&amp;Bash2[[#This Row],[Metodo]],TbTipos[Tecnología]&amp;TbTipos[Metodo],TbTipos[Tipo])</f>
        <v>CUDA con graph</v>
      </c>
      <c r="P36" s="2" t="str" cm="1">
        <f t="array" ref="P36">_xlfn.XLOOKUP(Bash2[[#This Row],[Tecnología]]&amp;Bash2[[#This Row],[Problema]],TbNombres[Tecnología]&amp;TbNombres[Problema],TbNombres[Nombre])</f>
        <v>Advdiff1d</v>
      </c>
      <c r="Q36" s="2">
        <v>4</v>
      </c>
      <c r="R36" s="2">
        <v>3</v>
      </c>
      <c r="S36" s="2">
        <v>256</v>
      </c>
      <c r="T36" s="2">
        <v>200</v>
      </c>
      <c r="U36" s="2">
        <v>200</v>
      </c>
      <c r="V36" s="2">
        <v>9.0020399999999992</v>
      </c>
      <c r="X36" s="6" t="str">
        <f>_xlfn.XLOOKUP(Bash3[[#This Row],[Metodo]],TbSolver[Metodo],TbSolver[Solver])</f>
        <v>AdamsBashford</v>
      </c>
      <c r="Y36" s="6" t="str">
        <f>_xlfn.XLOOKUP(Bash3[[#This Row],[Hebras]],TbTecnologia[Hebras],TbTecnologia[Tecnología])</f>
        <v>CUDA</v>
      </c>
      <c r="Z36" s="2" t="str" cm="1">
        <f t="array" ref="Z36">_xlfn.XLOOKUP(Bash3[[#This Row],[Tecnología]]&amp;Bash3[[#This Row],[Metodo]],TbTipos[Tecnología]&amp;TbTipos[Metodo],TbTipos[Tipo])</f>
        <v>CUDA con graph</v>
      </c>
      <c r="AA36" s="2" t="str" cm="1">
        <f t="array" ref="AA36">_xlfn.XLOOKUP(Bash3[[#This Row],[Tecnología]]&amp;Bash3[[#This Row],[Problema]],TbNombres[Tecnología]&amp;TbNombres[Problema],TbNombres[Nombre])</f>
        <v>Brusselator1d</v>
      </c>
      <c r="AB36" s="2">
        <v>4</v>
      </c>
      <c r="AC36" s="2">
        <v>6</v>
      </c>
      <c r="AD36" s="2">
        <v>256</v>
      </c>
      <c r="AE36" s="2">
        <v>1000</v>
      </c>
      <c r="AF36" s="2">
        <v>2000</v>
      </c>
      <c r="AG36" s="2">
        <v>6.0970599999999999</v>
      </c>
      <c r="AI36" s="9" t="str">
        <f>_xlfn.XLOOKUP(Bash4[[#This Row],[Metodo]],TbSolver[Metodo],TbSolver[Solver])</f>
        <v>AdamsBashford</v>
      </c>
      <c r="AJ36" s="9" t="str">
        <f>_xlfn.XLOOKUP(Bash4[[#This Row],[Hebras]],TbTecnologia[Hebras],TbTecnologia[Tecnología])</f>
        <v>OMP</v>
      </c>
      <c r="AK36" s="10" t="str" cm="1">
        <f t="array" ref="AK36">_xlfn.XLOOKUP(Bash4[[#This Row],[Tecnología]]&amp;Bash4[[#This Row],[Metodo]],TbTipos[Tecnología]&amp;TbTipos[Metodo],TbTipos[Tipo])</f>
        <v>OMP Operaciones</v>
      </c>
      <c r="AL36" s="9" t="str" cm="1">
        <f t="array" ref="AL36">_xlfn.XLOOKUP(Bash4[[#This Row],[Tecnología]]&amp;Bash4[[#This Row],[Problema]],TbNombres[Tecnología]&amp;TbNombres[Problema],TbNombres[Nombre])</f>
        <v>Brusselator2d</v>
      </c>
      <c r="AM36" s="9">
        <v>3</v>
      </c>
      <c r="AN36" s="9">
        <v>4</v>
      </c>
      <c r="AO36" s="9">
        <v>1</v>
      </c>
      <c r="AP36" s="9">
        <v>100</v>
      </c>
      <c r="AQ36" s="9">
        <v>20000</v>
      </c>
      <c r="AR36" s="9">
        <v>122.321</v>
      </c>
    </row>
    <row r="37" spans="2:44" x14ac:dyDescent="0.2">
      <c r="B37" s="1" t="str">
        <f>_xlfn.XLOOKUP(Bash1[[#This Row],[Metodo]],TbSolver[Metodo],TbSolver[Solver])</f>
        <v>AdamsBashford</v>
      </c>
      <c r="C37" s="1" t="str">
        <f>_xlfn.XLOOKUP(Bash1[[#This Row],[Hebras]],TbTecnologia[Hebras],TbTecnologia[Tecnología])</f>
        <v>CUDA</v>
      </c>
      <c r="D37" s="5" t="str" cm="1">
        <f t="array" ref="D37">_xlfn.XLOOKUP(Bash1[[#This Row],[Tecnología]]&amp;Bash1[[#This Row],[Metodo]],TbTipos[Tecnología]&amp;TbTipos[Metodo],TbTipos[Tipo])</f>
        <v>CUDA sin graph</v>
      </c>
      <c r="E37" s="1" t="str" cm="1">
        <f t="array" ref="E37">_xlfn.XLOOKUP(Bash1[[#This Row],[Tecnología]]&amp;Bash1[[#This Row],[Problema]],TbNombres[Tecnología]&amp;TbNombres[Problema],TbNombres[Nombre])</f>
        <v>Simple Advdiff</v>
      </c>
      <c r="F37" s="1">
        <v>3</v>
      </c>
      <c r="G37" s="1">
        <v>1</v>
      </c>
      <c r="H37" s="1">
        <v>256</v>
      </c>
      <c r="I37" s="1">
        <v>50000</v>
      </c>
      <c r="J37" s="1">
        <v>50000</v>
      </c>
      <c r="K37" s="1">
        <v>6.7912499999999998</v>
      </c>
      <c r="M37" s="6" t="str">
        <f>_xlfn.XLOOKUP(Bash2[[#This Row],[Metodo]],TbSolver[Metodo],TbSolver[Solver])</f>
        <v>AdamsBashford</v>
      </c>
      <c r="N37" s="6" t="str">
        <f>_xlfn.XLOOKUP(Bash2[[#This Row],[Hebras]],TbTecnologia[Hebras],TbTecnologia[Tecnología])</f>
        <v>CUDA</v>
      </c>
      <c r="O37" s="2" t="str" cm="1">
        <f t="array" ref="O37">_xlfn.XLOOKUP(Bash2[[#This Row],[Tecnología]]&amp;Bash2[[#This Row],[Metodo]],TbTipos[Tecnología]&amp;TbTipos[Metodo],TbTipos[Tipo])</f>
        <v>CUDA con graph</v>
      </c>
      <c r="P37" s="2" t="str" cm="1">
        <f t="array" ref="P37">_xlfn.XLOOKUP(Bash2[[#This Row],[Tecnología]]&amp;Bash2[[#This Row],[Problema]],TbNombres[Tecnología]&amp;TbNombres[Problema],TbNombres[Nombre])</f>
        <v>Advdiff1d</v>
      </c>
      <c r="Q37" s="2">
        <v>4</v>
      </c>
      <c r="R37" s="2">
        <v>4</v>
      </c>
      <c r="S37" s="2">
        <v>256</v>
      </c>
      <c r="T37" s="2">
        <v>200</v>
      </c>
      <c r="U37" s="2">
        <v>200</v>
      </c>
      <c r="V37" s="2">
        <v>9.1861899999999999</v>
      </c>
      <c r="X37" s="6" t="str">
        <f>_xlfn.XLOOKUP(Bash3[[#This Row],[Metodo]],TbSolver[Metodo],TbSolver[Solver])</f>
        <v>AdamsBashford</v>
      </c>
      <c r="Y37" s="6" t="str">
        <f>_xlfn.XLOOKUP(Bash3[[#This Row],[Hebras]],TbTecnologia[Hebras],TbTecnologia[Tecnología])</f>
        <v>CUDA</v>
      </c>
      <c r="Z37" s="2" t="str" cm="1">
        <f t="array" ref="Z37">_xlfn.XLOOKUP(Bash3[[#This Row],[Tecnología]]&amp;Bash3[[#This Row],[Metodo]],TbTipos[Tecnología]&amp;TbTipos[Metodo],TbTipos[Tipo])</f>
        <v>CUDA con graph</v>
      </c>
      <c r="AA37" s="2" t="str" cm="1">
        <f t="array" ref="AA37">_xlfn.XLOOKUP(Bash3[[#This Row],[Tecnología]]&amp;Bash3[[#This Row],[Problema]],TbNombres[Tecnología]&amp;TbNombres[Problema],TbNombres[Nombre])</f>
        <v>Brusselator1d</v>
      </c>
      <c r="AB37" s="2">
        <v>4</v>
      </c>
      <c r="AC37" s="2">
        <v>5</v>
      </c>
      <c r="AD37" s="2">
        <v>256</v>
      </c>
      <c r="AE37" s="2">
        <v>2000</v>
      </c>
      <c r="AF37" s="2">
        <v>4000</v>
      </c>
      <c r="AG37" s="2">
        <v>6.1092500000000003</v>
      </c>
      <c r="AI37" s="9" t="str">
        <f>_xlfn.XLOOKUP(Bash4[[#This Row],[Metodo]],TbSolver[Metodo],TbSolver[Solver])</f>
        <v>AdamsBashford</v>
      </c>
      <c r="AJ37" s="9" t="str">
        <f>_xlfn.XLOOKUP(Bash4[[#This Row],[Hebras]],TbTecnologia[Hebras],TbTecnologia[Tecnología])</f>
        <v>OMP</v>
      </c>
      <c r="AK37" s="10" t="str" cm="1">
        <f t="array" ref="AK37">_xlfn.XLOOKUP(Bash4[[#This Row],[Tecnología]]&amp;Bash4[[#This Row],[Metodo]],TbTipos[Tecnología]&amp;TbTipos[Metodo],TbTipos[Tipo])</f>
        <v>OMP Operaciones</v>
      </c>
      <c r="AL37" s="9" t="str" cm="1">
        <f t="array" ref="AL37">_xlfn.XLOOKUP(Bash4[[#This Row],[Tecnología]]&amp;Bash4[[#This Row],[Problema]],TbNombres[Tecnología]&amp;TbNombres[Problema],TbNombres[Nombre])</f>
        <v>Brusselator2d</v>
      </c>
      <c r="AM37" s="9">
        <v>3</v>
      </c>
      <c r="AN37" s="9">
        <v>4</v>
      </c>
      <c r="AO37" s="9">
        <v>4</v>
      </c>
      <c r="AP37" s="9">
        <v>200</v>
      </c>
      <c r="AQ37" s="9">
        <v>80000</v>
      </c>
      <c r="AR37" s="9">
        <v>143.374</v>
      </c>
    </row>
    <row r="38" spans="2:44" x14ac:dyDescent="0.2">
      <c r="B38" s="1" t="str">
        <f>_xlfn.XLOOKUP(Bash1[[#This Row],[Metodo]],TbSolver[Metodo],TbSolver[Solver])</f>
        <v>AdamsBashford</v>
      </c>
      <c r="C38" s="1" t="str">
        <f>_xlfn.XLOOKUP(Bash1[[#This Row],[Hebras]],TbTecnologia[Hebras],TbTecnologia[Tecnología])</f>
        <v>CUDA</v>
      </c>
      <c r="D38" s="5" t="str" cm="1">
        <f t="array" ref="D38">_xlfn.XLOOKUP(Bash1[[#This Row],[Tecnología]]&amp;Bash1[[#This Row],[Metodo]],TbTipos[Tecnología]&amp;TbTipos[Metodo],TbTipos[Tipo])</f>
        <v>CUDA sin graph</v>
      </c>
      <c r="E38" s="1" t="str" cm="1">
        <f t="array" ref="E38">_xlfn.XLOOKUP(Bash1[[#This Row],[Tecnología]]&amp;Bash1[[#This Row],[Problema]],TbNombres[Tecnología]&amp;TbNombres[Problema],TbNombres[Nombre])</f>
        <v>Simple Advdiff</v>
      </c>
      <c r="F38" s="1">
        <v>3</v>
      </c>
      <c r="G38" s="1">
        <v>2</v>
      </c>
      <c r="H38" s="1">
        <v>256</v>
      </c>
      <c r="I38" s="1">
        <v>50000</v>
      </c>
      <c r="J38" s="1">
        <v>50000</v>
      </c>
      <c r="K38" s="1">
        <v>6.9092000000000002</v>
      </c>
      <c r="M38" s="6" t="str">
        <f>_xlfn.XLOOKUP(Bash2[[#This Row],[Metodo]],TbSolver[Metodo],TbSolver[Solver])</f>
        <v>AdamsBashford</v>
      </c>
      <c r="N38" s="6" t="str">
        <f>_xlfn.XLOOKUP(Bash2[[#This Row],[Hebras]],TbTecnologia[Hebras],TbTecnologia[Tecnología])</f>
        <v>CUDA</v>
      </c>
      <c r="O38" s="2" t="str" cm="1">
        <f t="array" ref="O38">_xlfn.XLOOKUP(Bash2[[#This Row],[Tecnología]]&amp;Bash2[[#This Row],[Metodo]],TbTipos[Tecnología]&amp;TbTipos[Metodo],TbTipos[Tipo])</f>
        <v>CUDA con graph</v>
      </c>
      <c r="P38" s="2" t="str" cm="1">
        <f t="array" ref="P38">_xlfn.XLOOKUP(Bash2[[#This Row],[Tecnología]]&amp;Bash2[[#This Row],[Problema]],TbNombres[Tecnología]&amp;TbNombres[Problema],TbNombres[Nombre])</f>
        <v>Advdiff1d</v>
      </c>
      <c r="Q38" s="2">
        <v>4</v>
      </c>
      <c r="R38" s="2">
        <v>3</v>
      </c>
      <c r="S38" s="2">
        <v>256</v>
      </c>
      <c r="T38" s="2">
        <v>500</v>
      </c>
      <c r="U38" s="2">
        <v>500</v>
      </c>
      <c r="V38" s="2">
        <v>9.6298200000000005</v>
      </c>
      <c r="X38" s="6" t="str">
        <f>_xlfn.XLOOKUP(Bash3[[#This Row],[Metodo]],TbSolver[Metodo],TbSolver[Solver])</f>
        <v>AdamsBashford</v>
      </c>
      <c r="Y38" s="6" t="str">
        <f>_xlfn.XLOOKUP(Bash3[[#This Row],[Hebras]],TbTecnologia[Hebras],TbTecnologia[Tecnología])</f>
        <v>CUDA</v>
      </c>
      <c r="Z38" s="2" t="str" cm="1">
        <f t="array" ref="Z38">_xlfn.XLOOKUP(Bash3[[#This Row],[Tecnología]]&amp;Bash3[[#This Row],[Metodo]],TbTipos[Tecnología]&amp;TbTipos[Metodo],TbTipos[Tipo])</f>
        <v>CUDA con graph</v>
      </c>
      <c r="AA38" s="2" t="str" cm="1">
        <f t="array" ref="AA38">_xlfn.XLOOKUP(Bash3[[#This Row],[Tecnología]]&amp;Bash3[[#This Row],[Problema]],TbNombres[Tecnología]&amp;TbNombres[Problema],TbNombres[Nombre])</f>
        <v>Brusselator1d</v>
      </c>
      <c r="AB38" s="2">
        <v>4</v>
      </c>
      <c r="AC38" s="2">
        <v>7</v>
      </c>
      <c r="AD38" s="2">
        <v>256</v>
      </c>
      <c r="AE38" s="2">
        <v>1000</v>
      </c>
      <c r="AF38" s="2">
        <v>2000</v>
      </c>
      <c r="AG38" s="2">
        <v>6.1217899999999998</v>
      </c>
      <c r="AI38" s="9" t="str">
        <f>_xlfn.XLOOKUP(Bash4[[#This Row],[Metodo]],TbSolver[Metodo],TbSolver[Solver])</f>
        <v>AdamsBashford</v>
      </c>
      <c r="AJ38" s="9" t="str">
        <f>_xlfn.XLOOKUP(Bash4[[#This Row],[Hebras]],TbTecnologia[Hebras],TbTecnologia[Tecnología])</f>
        <v>OMP</v>
      </c>
      <c r="AK38" s="10" t="str" cm="1">
        <f t="array" ref="AK38">_xlfn.XLOOKUP(Bash4[[#This Row],[Tecnología]]&amp;Bash4[[#This Row],[Metodo]],TbTipos[Tecnología]&amp;TbTipos[Metodo],TbTipos[Tipo])</f>
        <v>OMP Elementos</v>
      </c>
      <c r="AL38" s="9" t="str" cm="1">
        <f t="array" ref="AL38">_xlfn.XLOOKUP(Bash4[[#This Row],[Tecnología]]&amp;Bash4[[#This Row],[Problema]],TbNombres[Tecnología]&amp;TbNombres[Problema],TbNombres[Nombre])</f>
        <v>Brusselator2d</v>
      </c>
      <c r="AM38" s="9">
        <v>4</v>
      </c>
      <c r="AN38" s="9">
        <v>4</v>
      </c>
      <c r="AO38" s="9">
        <v>4</v>
      </c>
      <c r="AP38" s="9">
        <v>150</v>
      </c>
      <c r="AQ38" s="9">
        <v>45000</v>
      </c>
      <c r="AR38" s="9">
        <v>158.96299999999999</v>
      </c>
    </row>
    <row r="39" spans="2:44" x14ac:dyDescent="0.2">
      <c r="B39" s="1" t="str">
        <f>_xlfn.XLOOKUP(Bash1[[#This Row],[Metodo]],TbSolver[Metodo],TbSolver[Solver])</f>
        <v>AdamsBashford</v>
      </c>
      <c r="C39" s="1" t="str">
        <f>_xlfn.XLOOKUP(Bash1[[#This Row],[Hebras]],TbTecnologia[Hebras],TbTecnologia[Tecnología])</f>
        <v>CUDA</v>
      </c>
      <c r="D39" s="5" t="str" cm="1">
        <f t="array" ref="D39">_xlfn.XLOOKUP(Bash1[[#This Row],[Tecnología]]&amp;Bash1[[#This Row],[Metodo]],TbTipos[Tecnología]&amp;TbTipos[Metodo],TbTipos[Tipo])</f>
        <v>CUDA sin graph</v>
      </c>
      <c r="E39" s="1" t="str" cm="1">
        <f t="array" ref="E39">_xlfn.XLOOKUP(Bash1[[#This Row],[Tecnología]]&amp;Bash1[[#This Row],[Problema]],TbNombres[Tecnología]&amp;TbNombres[Problema],TbNombres[Nombre])</f>
        <v>Simple Advdiff</v>
      </c>
      <c r="F39" s="1">
        <v>3</v>
      </c>
      <c r="G39" s="1">
        <v>1</v>
      </c>
      <c r="H39" s="1">
        <v>256</v>
      </c>
      <c r="I39" s="1">
        <v>50000</v>
      </c>
      <c r="J39" s="1">
        <v>50000</v>
      </c>
      <c r="K39" s="1">
        <v>7.1332199999999997</v>
      </c>
      <c r="M39" s="6" t="str">
        <f>_xlfn.XLOOKUP(Bash2[[#This Row],[Metodo]],TbSolver[Metodo],TbSolver[Solver])</f>
        <v>AdamsBashford</v>
      </c>
      <c r="N39" s="6" t="str">
        <f>_xlfn.XLOOKUP(Bash2[[#This Row],[Hebras]],TbTecnologia[Hebras],TbTecnologia[Tecnología])</f>
        <v>CUDA</v>
      </c>
      <c r="O39" s="2" t="str" cm="1">
        <f t="array" ref="O39">_xlfn.XLOOKUP(Bash2[[#This Row],[Tecnología]]&amp;Bash2[[#This Row],[Metodo]],TbTipos[Tecnología]&amp;TbTipos[Metodo],TbTipos[Tipo])</f>
        <v>CUDA con graph</v>
      </c>
      <c r="P39" s="2" t="str" cm="1">
        <f t="array" ref="P39">_xlfn.XLOOKUP(Bash2[[#This Row],[Tecnología]]&amp;Bash2[[#This Row],[Problema]],TbNombres[Tecnología]&amp;TbNombres[Problema],TbNombres[Nombre])</f>
        <v>Advdiff1d</v>
      </c>
      <c r="Q39" s="2">
        <v>4</v>
      </c>
      <c r="R39" s="2">
        <v>4</v>
      </c>
      <c r="S39" s="2">
        <v>256</v>
      </c>
      <c r="T39" s="2">
        <v>500</v>
      </c>
      <c r="U39" s="2">
        <v>500</v>
      </c>
      <c r="V39" s="2">
        <v>9.8934200000000008</v>
      </c>
      <c r="X39" s="6" t="str">
        <f>_xlfn.XLOOKUP(Bash3[[#This Row],[Metodo]],TbSolver[Metodo],TbSolver[Solver])</f>
        <v>AdamsBashford</v>
      </c>
      <c r="Y39" s="6" t="str">
        <f>_xlfn.XLOOKUP(Bash3[[#This Row],[Hebras]],TbTecnologia[Hebras],TbTecnologia[Tecnología])</f>
        <v>CUDA</v>
      </c>
      <c r="Z39" s="2" t="str" cm="1">
        <f t="array" ref="Z39">_xlfn.XLOOKUP(Bash3[[#This Row],[Tecnología]]&amp;Bash3[[#This Row],[Metodo]],TbTipos[Tecnología]&amp;TbTipos[Metodo],TbTipos[Tipo])</f>
        <v>CUDA con graph</v>
      </c>
      <c r="AA39" s="2" t="str" cm="1">
        <f t="array" ref="AA39">_xlfn.XLOOKUP(Bash3[[#This Row],[Tecnología]]&amp;Bash3[[#This Row],[Problema]],TbNombres[Tecnología]&amp;TbNombres[Problema],TbNombres[Nombre])</f>
        <v>Brusselator1d</v>
      </c>
      <c r="AB39" s="2">
        <v>4</v>
      </c>
      <c r="AC39" s="2">
        <v>7</v>
      </c>
      <c r="AD39" s="2">
        <v>256</v>
      </c>
      <c r="AE39" s="2">
        <v>2000</v>
      </c>
      <c r="AF39" s="2">
        <v>4000</v>
      </c>
      <c r="AG39" s="2">
        <v>6.1276999999999999</v>
      </c>
      <c r="AI39" s="6" t="str">
        <f>_xlfn.XLOOKUP(Bash4[[#This Row],[Metodo]],TbSolver[Metodo],TbSolver[Solver])</f>
        <v>AdamsBashford</v>
      </c>
      <c r="AJ39" s="6" t="str">
        <f>_xlfn.XLOOKUP(Bash4[[#This Row],[Hebras]],TbTecnologia[Hebras],TbTecnologia[Tecnología])</f>
        <v>CUDA</v>
      </c>
      <c r="AK39" s="2" t="str" cm="1">
        <f t="array" ref="AK39">_xlfn.XLOOKUP(Bash4[[#This Row],[Tecnología]]&amp;Bash4[[#This Row],[Metodo]],TbTipos[Tecnología]&amp;TbTipos[Metodo],TbTipos[Tipo])</f>
        <v>CUDA con graph</v>
      </c>
      <c r="AL39" s="2" t="str" cm="1">
        <f t="array" ref="AL39">_xlfn.XLOOKUP(Bash4[[#This Row],[Tecnología]]&amp;Bash4[[#This Row],[Problema]],TbNombres[Tecnología]&amp;TbNombres[Problema],TbNombres[Nombre])</f>
        <v>Brusselator2d</v>
      </c>
      <c r="AM39" s="2">
        <v>4</v>
      </c>
      <c r="AN39" s="2">
        <v>9</v>
      </c>
      <c r="AO39" s="2">
        <v>256</v>
      </c>
      <c r="AP39" s="2">
        <v>500</v>
      </c>
      <c r="AQ39" s="2">
        <v>500000</v>
      </c>
      <c r="AR39" s="2">
        <v>176.041</v>
      </c>
    </row>
    <row r="40" spans="2:44" x14ac:dyDescent="0.2">
      <c r="B40" s="1" t="str">
        <f>_xlfn.XLOOKUP(Bash1[[#This Row],[Metodo]],TbSolver[Metodo],TbSolver[Solver])</f>
        <v>AdamsBashford</v>
      </c>
      <c r="C40" s="1" t="str">
        <f>_xlfn.XLOOKUP(Bash1[[#This Row],[Hebras]],TbTecnologia[Hebras],TbTecnologia[Tecnología])</f>
        <v>CUDA</v>
      </c>
      <c r="D40" s="5" t="str" cm="1">
        <f t="array" ref="D40">_xlfn.XLOOKUP(Bash1[[#This Row],[Tecnología]]&amp;Bash1[[#This Row],[Metodo]],TbTipos[Tecnología]&amp;TbTipos[Metodo],TbTipos[Tipo])</f>
        <v>CUDA sin graph</v>
      </c>
      <c r="E40" s="1" t="str" cm="1">
        <f t="array" ref="E40">_xlfn.XLOOKUP(Bash1[[#This Row],[Tecnología]]&amp;Bash1[[#This Row],[Problema]],TbNombres[Tecnología]&amp;TbNombres[Problema],TbNombres[Nombre])</f>
        <v>Simple Advdiff</v>
      </c>
      <c r="F40" s="1">
        <v>3</v>
      </c>
      <c r="G40" s="1">
        <v>1</v>
      </c>
      <c r="H40" s="1">
        <v>256</v>
      </c>
      <c r="I40" s="1">
        <v>100000</v>
      </c>
      <c r="J40" s="1">
        <v>100000</v>
      </c>
      <c r="K40" s="1">
        <v>10.328099999999999</v>
      </c>
      <c r="M40" s="6" t="str">
        <f>_xlfn.XLOOKUP(Bash2[[#This Row],[Metodo]],TbSolver[Metodo],TbSolver[Solver])</f>
        <v>AdamsBashford</v>
      </c>
      <c r="N40" s="6" t="str">
        <f>_xlfn.XLOOKUP(Bash2[[#This Row],[Hebras]],TbTecnologia[Hebras],TbTecnologia[Tecnología])</f>
        <v>CUDA</v>
      </c>
      <c r="O40" s="2" t="str" cm="1">
        <f t="array" ref="O40">_xlfn.XLOOKUP(Bash2[[#This Row],[Tecnología]]&amp;Bash2[[#This Row],[Metodo]],TbTipos[Tecnología]&amp;TbTipos[Metodo],TbTipos[Tipo])</f>
        <v>CUDA con graph</v>
      </c>
      <c r="P40" s="2" t="str" cm="1">
        <f t="array" ref="P40">_xlfn.XLOOKUP(Bash2[[#This Row],[Tecnología]]&amp;Bash2[[#This Row],[Problema]],TbNombres[Tecnología]&amp;TbNombres[Problema],TbNombres[Nombre])</f>
        <v>Advdiff1d</v>
      </c>
      <c r="Q40" s="2">
        <v>4</v>
      </c>
      <c r="R40" s="2">
        <v>3</v>
      </c>
      <c r="S40" s="2">
        <v>256</v>
      </c>
      <c r="T40" s="2">
        <v>1000</v>
      </c>
      <c r="U40" s="2">
        <v>1000</v>
      </c>
      <c r="V40" s="2">
        <v>9.6440099999999997</v>
      </c>
      <c r="X40" s="6" t="str">
        <f>_xlfn.XLOOKUP(Bash3[[#This Row],[Metodo]],TbSolver[Metodo],TbSolver[Solver])</f>
        <v>AdamsBashford</v>
      </c>
      <c r="Y40" s="6" t="str">
        <f>_xlfn.XLOOKUP(Bash3[[#This Row],[Hebras]],TbTecnologia[Hebras],TbTecnologia[Tecnología])</f>
        <v>CUDA</v>
      </c>
      <c r="Z40" s="2" t="str" cm="1">
        <f t="array" ref="Z40">_xlfn.XLOOKUP(Bash3[[#This Row],[Tecnología]]&amp;Bash3[[#This Row],[Metodo]],TbTipos[Tecnología]&amp;TbTipos[Metodo],TbTipos[Tipo])</f>
        <v>CUDA con graph</v>
      </c>
      <c r="AA40" s="2" t="str" cm="1">
        <f t="array" ref="AA40">_xlfn.XLOOKUP(Bash3[[#This Row],[Tecnología]]&amp;Bash3[[#This Row],[Problema]],TbNombres[Tecnología]&amp;TbNombres[Problema],TbNombres[Nombre])</f>
        <v>Brusselator1d</v>
      </c>
      <c r="AB40" s="2">
        <v>4</v>
      </c>
      <c r="AC40" s="2">
        <v>6</v>
      </c>
      <c r="AD40" s="2">
        <v>256</v>
      </c>
      <c r="AE40" s="2">
        <v>2000</v>
      </c>
      <c r="AF40" s="2">
        <v>4000</v>
      </c>
      <c r="AG40" s="2">
        <v>6.1341099999999997</v>
      </c>
      <c r="AI40" s="6" t="str">
        <f>_xlfn.XLOOKUP(Bash4[[#This Row],[Metodo]],TbSolver[Metodo],TbSolver[Solver])</f>
        <v>AdamsBashford</v>
      </c>
      <c r="AJ40" s="6" t="str">
        <f>_xlfn.XLOOKUP(Bash4[[#This Row],[Hebras]],TbTecnologia[Hebras],TbTecnologia[Tecnología])</f>
        <v>CUDA</v>
      </c>
      <c r="AK40" s="2" t="str" cm="1">
        <f t="array" ref="AK40">_xlfn.XLOOKUP(Bash4[[#This Row],[Tecnología]]&amp;Bash4[[#This Row],[Metodo]],TbTipos[Tecnología]&amp;TbTipos[Metodo],TbTipos[Tipo])</f>
        <v>CUDA con graph</v>
      </c>
      <c r="AL40" s="2" t="str" cm="1">
        <f t="array" ref="AL40">_xlfn.XLOOKUP(Bash4[[#This Row],[Tecnología]]&amp;Bash4[[#This Row],[Problema]],TbNombres[Tecnología]&amp;TbNombres[Problema],TbNombres[Nombre])</f>
        <v>Brusselator2d</v>
      </c>
      <c r="AM40" s="2">
        <v>4</v>
      </c>
      <c r="AN40" s="2">
        <v>8</v>
      </c>
      <c r="AO40" s="2">
        <v>256</v>
      </c>
      <c r="AP40" s="2">
        <v>500</v>
      </c>
      <c r="AQ40" s="2">
        <v>500000</v>
      </c>
      <c r="AR40" s="2">
        <v>176.75299999999999</v>
      </c>
    </row>
    <row r="41" spans="2:44" x14ac:dyDescent="0.2">
      <c r="B41" s="1" t="str">
        <f>_xlfn.XLOOKUP(Bash1[[#This Row],[Metodo]],TbSolver[Metodo],TbSolver[Solver])</f>
        <v>AdamsBashford</v>
      </c>
      <c r="C41" s="1" t="str">
        <f>_xlfn.XLOOKUP(Bash1[[#This Row],[Hebras]],TbTecnologia[Hebras],TbTecnologia[Tecnología])</f>
        <v>CUDA</v>
      </c>
      <c r="D41" s="5" t="str" cm="1">
        <f t="array" ref="D41">_xlfn.XLOOKUP(Bash1[[#This Row],[Tecnología]]&amp;Bash1[[#This Row],[Metodo]],TbTipos[Tecnología]&amp;TbTipos[Metodo],TbTipos[Tipo])</f>
        <v>CUDA sin graph</v>
      </c>
      <c r="E41" s="1" t="str" cm="1">
        <f t="array" ref="E41">_xlfn.XLOOKUP(Bash1[[#This Row],[Tecnología]]&amp;Bash1[[#This Row],[Problema]],TbNombres[Tecnología]&amp;TbNombres[Problema],TbNombres[Nombre])</f>
        <v>Simple Advdiff</v>
      </c>
      <c r="F41" s="1">
        <v>3</v>
      </c>
      <c r="G41" s="1">
        <v>2</v>
      </c>
      <c r="H41" s="1">
        <v>256</v>
      </c>
      <c r="I41" s="1">
        <v>100000</v>
      </c>
      <c r="J41" s="1">
        <v>100000</v>
      </c>
      <c r="K41" s="1">
        <v>10.511699999999999</v>
      </c>
      <c r="M41" s="6" t="str">
        <f>_xlfn.XLOOKUP(Bash2[[#This Row],[Metodo]],TbSolver[Metodo],TbSolver[Solver])</f>
        <v>AdamsBashford</v>
      </c>
      <c r="N41" s="6" t="str">
        <f>_xlfn.XLOOKUP(Bash2[[#This Row],[Hebras]],TbTecnologia[Hebras],TbTecnologia[Tecnología])</f>
        <v>CUDA</v>
      </c>
      <c r="O41" s="2" t="str" cm="1">
        <f t="array" ref="O41">_xlfn.XLOOKUP(Bash2[[#This Row],[Tecnología]]&amp;Bash2[[#This Row],[Metodo]],TbTipos[Tecnología]&amp;TbTipos[Metodo],TbTipos[Tipo])</f>
        <v>CUDA con graph</v>
      </c>
      <c r="P41" s="2" t="str" cm="1">
        <f t="array" ref="P41">_xlfn.XLOOKUP(Bash2[[#This Row],[Tecnología]]&amp;Bash2[[#This Row],[Problema]],TbNombres[Tecnología]&amp;TbNombres[Problema],TbNombres[Nombre])</f>
        <v>Advdiff1d</v>
      </c>
      <c r="Q41" s="2">
        <v>4</v>
      </c>
      <c r="R41" s="2">
        <v>4</v>
      </c>
      <c r="S41" s="2">
        <v>256</v>
      </c>
      <c r="T41" s="2">
        <v>1000</v>
      </c>
      <c r="U41" s="2">
        <v>1000</v>
      </c>
      <c r="V41" s="2">
        <v>9.8551800000000007</v>
      </c>
      <c r="X41" s="6" t="str">
        <f>_xlfn.XLOOKUP(Bash3[[#This Row],[Metodo]],TbSolver[Metodo],TbSolver[Solver])</f>
        <v>AdamsBashford</v>
      </c>
      <c r="Y41" s="6" t="str">
        <f>_xlfn.XLOOKUP(Bash3[[#This Row],[Hebras]],TbTecnologia[Hebras],TbTecnologia[Tecnología])</f>
        <v>CUDA</v>
      </c>
      <c r="Z41" s="2" t="str" cm="1">
        <f t="array" ref="Z41">_xlfn.XLOOKUP(Bash3[[#This Row],[Tecnología]]&amp;Bash3[[#This Row],[Metodo]],TbTipos[Tecnología]&amp;TbTipos[Metodo],TbTipos[Tipo])</f>
        <v>CUDA sin graph</v>
      </c>
      <c r="AA41" s="2" t="str" cm="1">
        <f t="array" ref="AA41">_xlfn.XLOOKUP(Bash3[[#This Row],[Tecnología]]&amp;Bash3[[#This Row],[Problema]],TbNombres[Tecnología]&amp;TbNombres[Problema],TbNombres[Nombre])</f>
        <v>Brusselator1d</v>
      </c>
      <c r="AB41" s="2">
        <v>3</v>
      </c>
      <c r="AC41" s="2">
        <v>6</v>
      </c>
      <c r="AD41" s="2">
        <v>256</v>
      </c>
      <c r="AE41" s="2">
        <v>10000</v>
      </c>
      <c r="AF41" s="2">
        <v>20000</v>
      </c>
      <c r="AG41" s="2">
        <v>6.194</v>
      </c>
      <c r="AI41" s="9" t="str">
        <f>_xlfn.XLOOKUP(Bash4[[#This Row],[Metodo]],TbSolver[Metodo],TbSolver[Solver])</f>
        <v>AdamsBashford</v>
      </c>
      <c r="AJ41" s="9" t="str">
        <f>_xlfn.XLOOKUP(Bash4[[#This Row],[Hebras]],TbTecnologia[Hebras],TbTecnologia[Tecnología])</f>
        <v>OMP</v>
      </c>
      <c r="AK41" s="10" t="str" cm="1">
        <f t="array" ref="AK41">_xlfn.XLOOKUP(Bash4[[#This Row],[Tecnología]]&amp;Bash4[[#This Row],[Metodo]],TbTipos[Tecnología]&amp;TbTipos[Metodo],TbTipos[Tipo])</f>
        <v>OMP Elementos</v>
      </c>
      <c r="AL41" s="9" t="str" cm="1">
        <f t="array" ref="AL41">_xlfn.XLOOKUP(Bash4[[#This Row],[Tecnología]]&amp;Bash4[[#This Row],[Problema]],TbNombres[Tecnología]&amp;TbNombres[Problema],TbNombres[Nombre])</f>
        <v>Brusselator2d</v>
      </c>
      <c r="AM41" s="9">
        <v>4</v>
      </c>
      <c r="AN41" s="9">
        <v>4</v>
      </c>
      <c r="AO41" s="9">
        <v>1</v>
      </c>
      <c r="AP41" s="9">
        <v>100</v>
      </c>
      <c r="AQ41" s="9">
        <v>20000</v>
      </c>
      <c r="AR41" s="9">
        <v>261.65199999999999</v>
      </c>
    </row>
    <row r="42" spans="2:44" x14ac:dyDescent="0.2">
      <c r="B42" s="1" t="str">
        <f>_xlfn.XLOOKUP(Bash1[[#This Row],[Metodo]],TbSolver[Metodo],TbSolver[Solver])</f>
        <v>AdamsBashford</v>
      </c>
      <c r="C42" s="1" t="str">
        <f>_xlfn.XLOOKUP(Bash1[[#This Row],[Hebras]],TbTecnologia[Hebras],TbTecnologia[Tecnología])</f>
        <v>CUDA</v>
      </c>
      <c r="D42" s="5" t="str" cm="1">
        <f t="array" ref="D42">_xlfn.XLOOKUP(Bash1[[#This Row],[Tecnología]]&amp;Bash1[[#This Row],[Metodo]],TbTipos[Tecnología]&amp;TbTipos[Metodo],TbTipos[Tipo])</f>
        <v>CUDA sin graph</v>
      </c>
      <c r="E42" s="1" t="str" cm="1">
        <f t="array" ref="E42">_xlfn.XLOOKUP(Bash1[[#This Row],[Tecnología]]&amp;Bash1[[#This Row],[Problema]],TbNombres[Tecnología]&amp;TbNombres[Problema],TbNombres[Nombre])</f>
        <v>Simple Advdiff</v>
      </c>
      <c r="F42" s="1">
        <v>3</v>
      </c>
      <c r="G42" s="1">
        <v>1</v>
      </c>
      <c r="H42" s="1">
        <v>256</v>
      </c>
      <c r="I42" s="1">
        <v>100000</v>
      </c>
      <c r="J42" s="1">
        <v>100000</v>
      </c>
      <c r="K42" s="1">
        <v>10.8613</v>
      </c>
      <c r="M42" s="6" t="str">
        <f>_xlfn.XLOOKUP(Bash2[[#This Row],[Metodo]],TbSolver[Metodo],TbSolver[Solver])</f>
        <v>AdamsBashford</v>
      </c>
      <c r="N42" s="6" t="str">
        <f>_xlfn.XLOOKUP(Bash2[[#This Row],[Hebras]],TbTecnologia[Hebras],TbTecnologia[Tecnología])</f>
        <v>CUDA</v>
      </c>
      <c r="O42" s="2" t="str" cm="1">
        <f t="array" ref="O42">_xlfn.XLOOKUP(Bash2[[#This Row],[Tecnología]]&amp;Bash2[[#This Row],[Metodo]],TbTipos[Tecnología]&amp;TbTipos[Metodo],TbTipos[Tipo])</f>
        <v>CUDA con graph</v>
      </c>
      <c r="P42" s="2" t="str" cm="1">
        <f t="array" ref="P42">_xlfn.XLOOKUP(Bash2[[#This Row],[Tecnología]]&amp;Bash2[[#This Row],[Problema]],TbNombres[Tecnología]&amp;TbNombres[Problema],TbNombres[Nombre])</f>
        <v>Advdiff1d</v>
      </c>
      <c r="Q42" s="2">
        <v>4</v>
      </c>
      <c r="R42" s="2">
        <v>3</v>
      </c>
      <c r="S42" s="2">
        <v>256</v>
      </c>
      <c r="T42" s="2">
        <v>2000</v>
      </c>
      <c r="U42" s="2">
        <v>2000</v>
      </c>
      <c r="V42" s="2">
        <v>9.6757600000000004</v>
      </c>
      <c r="X42" s="6" t="str">
        <f>_xlfn.XLOOKUP(Bash3[[#This Row],[Metodo]],TbSolver[Metodo],TbSolver[Solver])</f>
        <v>AdamsBashford</v>
      </c>
      <c r="Y42" s="6" t="str">
        <f>_xlfn.XLOOKUP(Bash3[[#This Row],[Hebras]],TbTecnologia[Hebras],TbTecnologia[Tecnología])</f>
        <v>CUDA</v>
      </c>
      <c r="Z42" s="2" t="str" cm="1">
        <f t="array" ref="Z42">_xlfn.XLOOKUP(Bash3[[#This Row],[Tecnología]]&amp;Bash3[[#This Row],[Metodo]],TbTipos[Tecnología]&amp;TbTipos[Metodo],TbTipos[Tipo])</f>
        <v>CUDA sin graph</v>
      </c>
      <c r="AA42" s="2" t="str" cm="1">
        <f t="array" ref="AA42">_xlfn.XLOOKUP(Bash3[[#This Row],[Tecnología]]&amp;Bash3[[#This Row],[Problema]],TbNombres[Tecnología]&amp;TbNombres[Problema],TbNombres[Nombre])</f>
        <v>Brusselator1d</v>
      </c>
      <c r="AB42" s="2">
        <v>3</v>
      </c>
      <c r="AC42" s="2">
        <v>5</v>
      </c>
      <c r="AD42" s="2">
        <v>256</v>
      </c>
      <c r="AE42" s="2">
        <v>10000</v>
      </c>
      <c r="AF42" s="2">
        <v>20000</v>
      </c>
      <c r="AG42" s="2">
        <v>6.1955400000000003</v>
      </c>
      <c r="AI42" s="9" t="str">
        <f>_xlfn.XLOOKUP(Bash4[[#This Row],[Metodo]],TbSolver[Metodo],TbSolver[Solver])</f>
        <v>AdamsBashford</v>
      </c>
      <c r="AJ42" s="9" t="str">
        <f>_xlfn.XLOOKUP(Bash4[[#This Row],[Hebras]],TbTecnologia[Hebras],TbTecnologia[Tecnología])</f>
        <v>OMP</v>
      </c>
      <c r="AK42" s="10" t="str" cm="1">
        <f t="array" ref="AK42">_xlfn.XLOOKUP(Bash4[[#This Row],[Tecnología]]&amp;Bash4[[#This Row],[Metodo]],TbTipos[Tecnología]&amp;TbTipos[Metodo],TbTipos[Tipo])</f>
        <v>OMP Elementos</v>
      </c>
      <c r="AL42" s="9" t="str" cm="1">
        <f t="array" ref="AL42">_xlfn.XLOOKUP(Bash4[[#This Row],[Tecnología]]&amp;Bash4[[#This Row],[Problema]],TbNombres[Tecnología]&amp;TbNombres[Problema],TbNombres[Nombre])</f>
        <v>Brusselator2d</v>
      </c>
      <c r="AM42" s="9">
        <v>4</v>
      </c>
      <c r="AN42" s="9">
        <v>4</v>
      </c>
      <c r="AO42" s="9">
        <v>4</v>
      </c>
      <c r="AP42" s="9">
        <v>200</v>
      </c>
      <c r="AQ42" s="9">
        <v>80000</v>
      </c>
      <c r="AR42" s="9">
        <v>281.49200000000002</v>
      </c>
    </row>
    <row r="43" spans="2:44" x14ac:dyDescent="0.2">
      <c r="B43" s="1" t="str">
        <f>_xlfn.XLOOKUP(Bash1[[#This Row],[Metodo]],TbSolver[Metodo],TbSolver[Solver])</f>
        <v>AdamsBashford</v>
      </c>
      <c r="C43" s="1" t="str">
        <f>_xlfn.XLOOKUP(Bash1[[#This Row],[Hebras]],TbTecnologia[Hebras],TbTecnologia[Tecnología])</f>
        <v>CUDA</v>
      </c>
      <c r="D43" s="5" t="str" cm="1">
        <f t="array" ref="D43">_xlfn.XLOOKUP(Bash1[[#This Row],[Tecnología]]&amp;Bash1[[#This Row],[Metodo]],TbTipos[Tecnología]&amp;TbTipos[Metodo],TbTipos[Tipo])</f>
        <v>CUDA sin graph</v>
      </c>
      <c r="E43" s="1" t="str" cm="1">
        <f t="array" ref="E43">_xlfn.XLOOKUP(Bash1[[#This Row],[Tecnología]]&amp;Bash1[[#This Row],[Problema]],TbNombres[Tecnología]&amp;TbNombres[Problema],TbNombres[Nombre])</f>
        <v>Simple Advdiff</v>
      </c>
      <c r="F43" s="1">
        <v>3</v>
      </c>
      <c r="G43" s="1">
        <v>1</v>
      </c>
      <c r="H43" s="1">
        <v>256</v>
      </c>
      <c r="I43" s="1">
        <v>200000</v>
      </c>
      <c r="J43" s="1">
        <v>200000</v>
      </c>
      <c r="K43" s="1">
        <v>26.289300000000001</v>
      </c>
      <c r="M43" s="6" t="str">
        <f>_xlfn.XLOOKUP(Bash2[[#This Row],[Metodo]],TbSolver[Metodo],TbSolver[Solver])</f>
        <v>AdamsBashford</v>
      </c>
      <c r="N43" s="6" t="str">
        <f>_xlfn.XLOOKUP(Bash2[[#This Row],[Hebras]],TbTecnologia[Hebras],TbTecnologia[Tecnología])</f>
        <v>CUDA</v>
      </c>
      <c r="O43" s="2" t="str" cm="1">
        <f t="array" ref="O43">_xlfn.XLOOKUP(Bash2[[#This Row],[Tecnología]]&amp;Bash2[[#This Row],[Metodo]],TbTipos[Tecnología]&amp;TbTipos[Metodo],TbTipos[Tipo])</f>
        <v>CUDA con graph</v>
      </c>
      <c r="P43" s="2" t="str" cm="1">
        <f t="array" ref="P43">_xlfn.XLOOKUP(Bash2[[#This Row],[Tecnología]]&amp;Bash2[[#This Row],[Problema]],TbNombres[Tecnología]&amp;TbNombres[Problema],TbNombres[Nombre])</f>
        <v>Advdiff1d</v>
      </c>
      <c r="Q43" s="2">
        <v>4</v>
      </c>
      <c r="R43" s="2">
        <v>4</v>
      </c>
      <c r="S43" s="2">
        <v>256</v>
      </c>
      <c r="T43" s="2">
        <v>2000</v>
      </c>
      <c r="U43" s="2">
        <v>2000</v>
      </c>
      <c r="V43" s="2">
        <v>9.9296900000000008</v>
      </c>
      <c r="X43" s="6" t="str">
        <f>_xlfn.XLOOKUP(Bash3[[#This Row],[Metodo]],TbSolver[Metodo],TbSolver[Solver])</f>
        <v>AdamsBashford</v>
      </c>
      <c r="Y43" s="6" t="str">
        <f>_xlfn.XLOOKUP(Bash3[[#This Row],[Hebras]],TbTecnologia[Hebras],TbTecnologia[Tecnología])</f>
        <v>CUDA</v>
      </c>
      <c r="Z43" s="2" t="str" cm="1">
        <f t="array" ref="Z43">_xlfn.XLOOKUP(Bash3[[#This Row],[Tecnología]]&amp;Bash3[[#This Row],[Metodo]],TbTipos[Tecnología]&amp;TbTipos[Metodo],TbTipos[Tipo])</f>
        <v>CUDA sin graph</v>
      </c>
      <c r="AA43" s="2" t="str" cm="1">
        <f t="array" ref="AA43">_xlfn.XLOOKUP(Bash3[[#This Row],[Tecnología]]&amp;Bash3[[#This Row],[Problema]],TbNombres[Tecnología]&amp;TbNombres[Problema],TbNombres[Nombre])</f>
        <v>Brusselator1d</v>
      </c>
      <c r="AB43" s="2">
        <v>3</v>
      </c>
      <c r="AC43" s="2">
        <v>7</v>
      </c>
      <c r="AD43" s="2">
        <v>256</v>
      </c>
      <c r="AE43" s="2">
        <v>10000</v>
      </c>
      <c r="AF43" s="2">
        <v>20000</v>
      </c>
      <c r="AG43" s="2">
        <v>6.2668900000000001</v>
      </c>
      <c r="AI43" s="9" t="str">
        <f>_xlfn.XLOOKUP(Bash4[[#This Row],[Metodo]],TbSolver[Metodo],TbSolver[Solver])</f>
        <v>AdamsBashford</v>
      </c>
      <c r="AJ43" s="9" t="str">
        <f>_xlfn.XLOOKUP(Bash4[[#This Row],[Hebras]],TbTecnologia[Hebras],TbTecnologia[Tecnología])</f>
        <v>OMP</v>
      </c>
      <c r="AK43" s="10" t="str" cm="1">
        <f t="array" ref="AK43">_xlfn.XLOOKUP(Bash4[[#This Row],[Tecnología]]&amp;Bash4[[#This Row],[Metodo]],TbTipos[Tecnología]&amp;TbTipos[Metodo],TbTipos[Tipo])</f>
        <v>OMP Operaciones</v>
      </c>
      <c r="AL43" s="9" t="str" cm="1">
        <f t="array" ref="AL43">_xlfn.XLOOKUP(Bash4[[#This Row],[Tecnología]]&amp;Bash4[[#This Row],[Problema]],TbNombres[Tecnología]&amp;TbNombres[Problema],TbNombres[Nombre])</f>
        <v>Brusselator2d</v>
      </c>
      <c r="AM43" s="9">
        <v>3</v>
      </c>
      <c r="AN43" s="9">
        <v>4</v>
      </c>
      <c r="AO43" s="9">
        <v>1</v>
      </c>
      <c r="AP43" s="9">
        <v>150</v>
      </c>
      <c r="AQ43" s="9">
        <v>45000</v>
      </c>
      <c r="AR43" s="9">
        <v>315.30200000000002</v>
      </c>
    </row>
    <row r="44" spans="2:44" x14ac:dyDescent="0.2">
      <c r="B44" s="1" t="str">
        <f>_xlfn.XLOOKUP(Bash1[[#This Row],[Metodo]],TbSolver[Metodo],TbSolver[Solver])</f>
        <v>AdamsBashford</v>
      </c>
      <c r="C44" s="1" t="str">
        <f>_xlfn.XLOOKUP(Bash1[[#This Row],[Hebras]],TbTecnologia[Hebras],TbTecnologia[Tecnología])</f>
        <v>CUDA</v>
      </c>
      <c r="D44" s="5" t="str" cm="1">
        <f t="array" ref="D44">_xlfn.XLOOKUP(Bash1[[#This Row],[Tecnología]]&amp;Bash1[[#This Row],[Metodo]],TbTipos[Tecnología]&amp;TbTipos[Metodo],TbTipos[Tipo])</f>
        <v>CUDA sin graph</v>
      </c>
      <c r="E44" s="1" t="str" cm="1">
        <f t="array" ref="E44">_xlfn.XLOOKUP(Bash1[[#This Row],[Tecnología]]&amp;Bash1[[#This Row],[Problema]],TbNombres[Tecnología]&amp;TbNombres[Problema],TbNombres[Nombre])</f>
        <v>Simple Advdiff</v>
      </c>
      <c r="F44" s="1">
        <v>3</v>
      </c>
      <c r="G44" s="1">
        <v>2</v>
      </c>
      <c r="H44" s="1">
        <v>256</v>
      </c>
      <c r="I44" s="1">
        <v>200000</v>
      </c>
      <c r="J44" s="1">
        <v>200000</v>
      </c>
      <c r="K44" s="1">
        <v>26.349699999999999</v>
      </c>
      <c r="M44" s="6" t="str">
        <f>_xlfn.XLOOKUP(Bash2[[#This Row],[Metodo]],TbSolver[Metodo],TbSolver[Solver])</f>
        <v>AdamsBashford</v>
      </c>
      <c r="N44" s="6" t="str">
        <f>_xlfn.XLOOKUP(Bash2[[#This Row],[Hebras]],TbTecnologia[Hebras],TbTecnologia[Tecnología])</f>
        <v>CUDA</v>
      </c>
      <c r="O44" s="2" t="str" cm="1">
        <f t="array" ref="O44">_xlfn.XLOOKUP(Bash2[[#This Row],[Tecnología]]&amp;Bash2[[#This Row],[Metodo]],TbTipos[Tecnología]&amp;TbTipos[Metodo],TbTipos[Tipo])</f>
        <v>CUDA con graph</v>
      </c>
      <c r="P44" s="2" t="str" cm="1">
        <f t="array" ref="P44">_xlfn.XLOOKUP(Bash2[[#This Row],[Tecnología]]&amp;Bash2[[#This Row],[Problema]],TbNombres[Tecnología]&amp;TbNombres[Problema],TbNombres[Nombre])</f>
        <v>Advdiff1d</v>
      </c>
      <c r="Q44" s="2">
        <v>4</v>
      </c>
      <c r="R44" s="2">
        <v>3</v>
      </c>
      <c r="S44" s="2">
        <v>256</v>
      </c>
      <c r="T44" s="2">
        <v>5000</v>
      </c>
      <c r="U44" s="2">
        <v>5000</v>
      </c>
      <c r="V44" s="2">
        <v>9.8192599999999999</v>
      </c>
      <c r="X44" s="6" t="str">
        <f>_xlfn.XLOOKUP(Bash3[[#This Row],[Metodo]],TbSolver[Metodo],TbSolver[Solver])</f>
        <v>AdamsBashford</v>
      </c>
      <c r="Y44" s="6" t="str">
        <f>_xlfn.XLOOKUP(Bash3[[#This Row],[Hebras]],TbTecnologia[Hebras],TbTecnologia[Tecnología])</f>
        <v>CUDA</v>
      </c>
      <c r="Z44" s="2" t="str" cm="1">
        <f t="array" ref="Z44">_xlfn.XLOOKUP(Bash3[[#This Row],[Tecnología]]&amp;Bash3[[#This Row],[Metodo]],TbTipos[Tecnología]&amp;TbTipos[Metodo],TbTipos[Tipo])</f>
        <v>CUDA con graph</v>
      </c>
      <c r="AA44" s="2" t="str" cm="1">
        <f t="array" ref="AA44">_xlfn.XLOOKUP(Bash3[[#This Row],[Tecnología]]&amp;Bash3[[#This Row],[Problema]],TbNombres[Tecnología]&amp;TbNombres[Problema],TbNombres[Nombre])</f>
        <v>Brusselator1d</v>
      </c>
      <c r="AB44" s="2">
        <v>4</v>
      </c>
      <c r="AC44" s="2">
        <v>5</v>
      </c>
      <c r="AD44" s="2">
        <v>256</v>
      </c>
      <c r="AE44" s="2">
        <v>5000</v>
      </c>
      <c r="AF44" s="2">
        <v>10000</v>
      </c>
      <c r="AG44" s="2">
        <v>6.3339499999999997</v>
      </c>
      <c r="AI44" s="9" t="str">
        <f>_xlfn.XLOOKUP(Bash4[[#This Row],[Metodo]],TbSolver[Metodo],TbSolver[Solver])</f>
        <v>AdamsBashford</v>
      </c>
      <c r="AJ44" s="9" t="str">
        <f>_xlfn.XLOOKUP(Bash4[[#This Row],[Hebras]],TbTecnologia[Hebras],TbTecnologia[Tecnología])</f>
        <v>OMP</v>
      </c>
      <c r="AK44" s="10" t="str" cm="1">
        <f t="array" ref="AK44">_xlfn.XLOOKUP(Bash4[[#This Row],[Tecnología]]&amp;Bash4[[#This Row],[Metodo]],TbTipos[Tecnología]&amp;TbTipos[Metodo],TbTipos[Tipo])</f>
        <v>OMP Operaciones</v>
      </c>
      <c r="AL44" s="9" t="str" cm="1">
        <f t="array" ref="AL44">_xlfn.XLOOKUP(Bash4[[#This Row],[Tecnología]]&amp;Bash4[[#This Row],[Problema]],TbNombres[Tecnología]&amp;TbNombres[Problema],TbNombres[Nombre])</f>
        <v>Brusselator2d</v>
      </c>
      <c r="AM44" s="9">
        <v>3</v>
      </c>
      <c r="AN44" s="9">
        <v>4</v>
      </c>
      <c r="AO44" s="9">
        <v>1</v>
      </c>
      <c r="AP44" s="9">
        <v>200</v>
      </c>
      <c r="AQ44" s="9">
        <v>80000</v>
      </c>
      <c r="AR44" s="9">
        <v>578.274</v>
      </c>
    </row>
    <row r="45" spans="2:44" x14ac:dyDescent="0.2">
      <c r="B45" s="1" t="str">
        <f>_xlfn.XLOOKUP(Bash1[[#This Row],[Metodo]],TbSolver[Metodo],TbSolver[Solver])</f>
        <v>AdamsBashford</v>
      </c>
      <c r="C45" s="1" t="str">
        <f>_xlfn.XLOOKUP(Bash1[[#This Row],[Hebras]],TbTecnologia[Hebras],TbTecnologia[Tecnología])</f>
        <v>CUDA</v>
      </c>
      <c r="D45" s="5" t="str" cm="1">
        <f t="array" ref="D45">_xlfn.XLOOKUP(Bash1[[#This Row],[Tecnología]]&amp;Bash1[[#This Row],[Metodo]],TbTipos[Tecnología]&amp;TbTipos[Metodo],TbTipos[Tipo])</f>
        <v>CUDA sin graph</v>
      </c>
      <c r="E45" s="1" t="str" cm="1">
        <f t="array" ref="E45">_xlfn.XLOOKUP(Bash1[[#This Row],[Tecnología]]&amp;Bash1[[#This Row],[Problema]],TbNombres[Tecnología]&amp;TbNombres[Problema],TbNombres[Nombre])</f>
        <v>Simple Advdiff</v>
      </c>
      <c r="F45" s="1">
        <v>3</v>
      </c>
      <c r="G45" s="1">
        <v>1</v>
      </c>
      <c r="H45" s="1">
        <v>256</v>
      </c>
      <c r="I45" s="1">
        <v>200000</v>
      </c>
      <c r="J45" s="1">
        <v>200000</v>
      </c>
      <c r="K45" s="1">
        <v>26.668099999999999</v>
      </c>
      <c r="M45" s="6" t="str">
        <f>_xlfn.XLOOKUP(Bash2[[#This Row],[Metodo]],TbSolver[Metodo],TbSolver[Solver])</f>
        <v>AdamsBashford</v>
      </c>
      <c r="N45" s="6" t="str">
        <f>_xlfn.XLOOKUP(Bash2[[#This Row],[Hebras]],TbTecnologia[Hebras],TbTecnologia[Tecnología])</f>
        <v>CUDA</v>
      </c>
      <c r="O45" s="2" t="str" cm="1">
        <f t="array" ref="O45">_xlfn.XLOOKUP(Bash2[[#This Row],[Tecnología]]&amp;Bash2[[#This Row],[Metodo]],TbTipos[Tecnología]&amp;TbTipos[Metodo],TbTipos[Tipo])</f>
        <v>CUDA con graph</v>
      </c>
      <c r="P45" s="2" t="str" cm="1">
        <f t="array" ref="P45">_xlfn.XLOOKUP(Bash2[[#This Row],[Tecnología]]&amp;Bash2[[#This Row],[Problema]],TbNombres[Tecnología]&amp;TbNombres[Problema],TbNombres[Nombre])</f>
        <v>Advdiff1d</v>
      </c>
      <c r="Q45" s="2">
        <v>4</v>
      </c>
      <c r="R45" s="2">
        <v>4</v>
      </c>
      <c r="S45" s="2">
        <v>256</v>
      </c>
      <c r="T45" s="2">
        <v>5000</v>
      </c>
      <c r="U45" s="2">
        <v>5000</v>
      </c>
      <c r="V45" s="2">
        <v>10.040900000000001</v>
      </c>
      <c r="X45" s="6" t="str">
        <f>_xlfn.XLOOKUP(Bash3[[#This Row],[Metodo]],TbSolver[Metodo],TbSolver[Solver])</f>
        <v>AdamsBashford</v>
      </c>
      <c r="Y45" s="6" t="str">
        <f>_xlfn.XLOOKUP(Bash3[[#This Row],[Hebras]],TbTecnologia[Hebras],TbTecnologia[Tecnología])</f>
        <v>CUDA</v>
      </c>
      <c r="Z45" s="2" t="str" cm="1">
        <f t="array" ref="Z45">_xlfn.XLOOKUP(Bash3[[#This Row],[Tecnología]]&amp;Bash3[[#This Row],[Metodo]],TbTipos[Tecnología]&amp;TbTipos[Metodo],TbTipos[Tipo])</f>
        <v>CUDA con graph</v>
      </c>
      <c r="AA45" s="2" t="str" cm="1">
        <f t="array" ref="AA45">_xlfn.XLOOKUP(Bash3[[#This Row],[Tecnología]]&amp;Bash3[[#This Row],[Problema]],TbNombres[Tecnología]&amp;TbNombres[Problema],TbNombres[Nombre])</f>
        <v>Brusselator1d</v>
      </c>
      <c r="AB45" s="2">
        <v>4</v>
      </c>
      <c r="AC45" s="2">
        <v>6</v>
      </c>
      <c r="AD45" s="2">
        <v>256</v>
      </c>
      <c r="AE45" s="2">
        <v>5000</v>
      </c>
      <c r="AF45" s="2">
        <v>10000</v>
      </c>
      <c r="AG45" s="2">
        <v>6.35222</v>
      </c>
      <c r="AI45" s="9" t="str">
        <f>_xlfn.XLOOKUP(Bash4[[#This Row],[Metodo]],TbSolver[Metodo],TbSolver[Solver])</f>
        <v>AdamsBashford</v>
      </c>
      <c r="AJ45" s="9" t="str">
        <f>_xlfn.XLOOKUP(Bash4[[#This Row],[Hebras]],TbTecnologia[Hebras],TbTecnologia[Tecnología])</f>
        <v>OMP</v>
      </c>
      <c r="AK45" s="10" t="str" cm="1">
        <f t="array" ref="AK45">_xlfn.XLOOKUP(Bash4[[#This Row],[Tecnología]]&amp;Bash4[[#This Row],[Metodo]],TbTipos[Tecnología]&amp;TbTipos[Metodo],TbTipos[Tipo])</f>
        <v>OMP Elementos</v>
      </c>
      <c r="AL45" s="9" t="str" cm="1">
        <f t="array" ref="AL45">_xlfn.XLOOKUP(Bash4[[#This Row],[Tecnología]]&amp;Bash4[[#This Row],[Problema]],TbNombres[Tecnología]&amp;TbNombres[Problema],TbNombres[Nombre])</f>
        <v>Brusselator2d</v>
      </c>
      <c r="AM45" s="9">
        <v>4</v>
      </c>
      <c r="AN45" s="9">
        <v>4</v>
      </c>
      <c r="AO45" s="9">
        <v>1</v>
      </c>
      <c r="AP45" s="9">
        <v>150</v>
      </c>
      <c r="AQ45" s="9">
        <v>45000</v>
      </c>
      <c r="AR45" s="9">
        <v>616.67200000000003</v>
      </c>
    </row>
    <row r="46" spans="2:44" x14ac:dyDescent="0.2">
      <c r="B46" s="1" t="str">
        <f>_xlfn.XLOOKUP(Bash1[[#This Row],[Metodo]],TbSolver[Metodo],TbSolver[Solver])</f>
        <v>AdamsBashford</v>
      </c>
      <c r="C46" s="1" t="str">
        <f>_xlfn.XLOOKUP(Bash1[[#This Row],[Hebras]],TbTecnologia[Hebras],TbTecnologia[Tecnología])</f>
        <v>OMP</v>
      </c>
      <c r="D46" s="5" t="str" cm="1">
        <f t="array" ref="D46">_xlfn.XLOOKUP(Bash1[[#This Row],[Tecnología]]&amp;Bash1[[#This Row],[Metodo]],TbTipos[Tecnología]&amp;TbTipos[Metodo],TbTipos[Tipo])</f>
        <v>OMP Operaciones</v>
      </c>
      <c r="E46" s="1" t="str" cm="1">
        <f t="array" ref="E46">_xlfn.XLOOKUP(Bash1[[#This Row],[Tecnología]]&amp;Bash1[[#This Row],[Problema]],TbNombres[Tecnología]&amp;TbNombres[Problema],TbNombres[Nombre])</f>
        <v>Simple Advdiff</v>
      </c>
      <c r="F46" s="1">
        <v>3</v>
      </c>
      <c r="G46" s="1">
        <v>1</v>
      </c>
      <c r="H46" s="1">
        <v>1</v>
      </c>
      <c r="I46" s="1">
        <v>100</v>
      </c>
      <c r="J46" s="1">
        <v>100</v>
      </c>
      <c r="K46" s="1">
        <v>1.3585700000000001</v>
      </c>
      <c r="M46" s="21" t="str">
        <f>_xlfn.XLOOKUP(Bash2[[#This Row],[Metodo]],TbSolver[Metodo],TbSolver[Solver])</f>
        <v>AdamsBashford</v>
      </c>
      <c r="N46" s="21" t="str">
        <f>_xlfn.XLOOKUP(Bash2[[#This Row],[Hebras]],TbTecnologia[Hebras],TbTecnologia[Tecnología])</f>
        <v>OMP</v>
      </c>
      <c r="O46" s="15" t="str" cm="1">
        <f t="array" ref="O46">_xlfn.XLOOKUP(Bash2[[#This Row],[Tecnología]]&amp;Bash2[[#This Row],[Metodo]],TbTipos[Tecnología]&amp;TbTipos[Metodo],TbTipos[Tipo])</f>
        <v>OMP Operaciones</v>
      </c>
      <c r="P46" s="16" t="str" cm="1">
        <f t="array" ref="P46">_xlfn.XLOOKUP(Bash2[[#This Row],[Tecnología]]&amp;Bash2[[#This Row],[Problema]],TbNombres[Tecnología]&amp;TbNombres[Problema],TbNombres[Nombre])</f>
        <v>Advdiff1d</v>
      </c>
      <c r="Q46" s="21">
        <v>3</v>
      </c>
      <c r="R46" s="16">
        <v>2</v>
      </c>
      <c r="S46" s="16">
        <v>1</v>
      </c>
      <c r="T46" s="16">
        <v>100</v>
      </c>
      <c r="U46" s="16">
        <v>100</v>
      </c>
      <c r="V46" s="17">
        <v>3.7526199999999998</v>
      </c>
      <c r="X46" s="6" t="str">
        <f>_xlfn.XLOOKUP(Bash3[[#This Row],[Metodo]],TbSolver[Metodo],TbSolver[Solver])</f>
        <v>AdamsBashford</v>
      </c>
      <c r="Y46" s="6" t="str">
        <f>_xlfn.XLOOKUP(Bash3[[#This Row],[Hebras]],TbTecnologia[Hebras],TbTecnologia[Tecnología])</f>
        <v>CUDA</v>
      </c>
      <c r="Z46" s="2" t="str" cm="1">
        <f t="array" ref="Z46">_xlfn.XLOOKUP(Bash3[[#This Row],[Tecnología]]&amp;Bash3[[#This Row],[Metodo]],TbTipos[Tecnología]&amp;TbTipos[Metodo],TbTipos[Tipo])</f>
        <v>CUDA con graph</v>
      </c>
      <c r="AA46" s="2" t="str" cm="1">
        <f t="array" ref="AA46">_xlfn.XLOOKUP(Bash3[[#This Row],[Tecnología]]&amp;Bash3[[#This Row],[Problema]],TbNombres[Tecnología]&amp;TbNombres[Problema],TbNombres[Nombre])</f>
        <v>Brusselator1d</v>
      </c>
      <c r="AB46" s="2">
        <v>4</v>
      </c>
      <c r="AC46" s="2">
        <v>7</v>
      </c>
      <c r="AD46" s="2">
        <v>256</v>
      </c>
      <c r="AE46" s="2">
        <v>5000</v>
      </c>
      <c r="AF46" s="2">
        <v>10000</v>
      </c>
      <c r="AG46" s="2">
        <v>6.3566900000000004</v>
      </c>
      <c r="AI46" s="9" t="str">
        <f>_xlfn.XLOOKUP(Bash4[[#This Row],[Metodo]],TbSolver[Metodo],TbSolver[Solver])</f>
        <v>AdamsBashford</v>
      </c>
      <c r="AJ46" s="9" t="str">
        <f>_xlfn.XLOOKUP(Bash4[[#This Row],[Hebras]],TbTecnologia[Hebras],TbTecnologia[Tecnología])</f>
        <v>OMP</v>
      </c>
      <c r="AK46" s="10" t="str" cm="1">
        <f t="array" ref="AK46">_xlfn.XLOOKUP(Bash4[[#This Row],[Tecnología]]&amp;Bash4[[#This Row],[Metodo]],TbTipos[Tecnología]&amp;TbTipos[Metodo],TbTipos[Tipo])</f>
        <v>OMP Elementos</v>
      </c>
      <c r="AL46" s="9" t="str" cm="1">
        <f t="array" ref="AL46">_xlfn.XLOOKUP(Bash4[[#This Row],[Tecnología]]&amp;Bash4[[#This Row],[Problema]],TbNombres[Tecnología]&amp;TbNombres[Problema],TbNombres[Nombre])</f>
        <v>Brusselator2d</v>
      </c>
      <c r="AM46" s="9">
        <v>4</v>
      </c>
      <c r="AN46" s="9">
        <v>4</v>
      </c>
      <c r="AO46" s="9">
        <v>1</v>
      </c>
      <c r="AP46" s="9">
        <v>200</v>
      </c>
      <c r="AQ46" s="9">
        <v>80000</v>
      </c>
      <c r="AR46" s="9">
        <v>1104.52</v>
      </c>
    </row>
    <row r="47" spans="2:44" x14ac:dyDescent="0.2">
      <c r="B47" s="1" t="str">
        <f>_xlfn.XLOOKUP(Bash1[[#This Row],[Metodo]],TbSolver[Metodo],TbSolver[Solver])</f>
        <v>AdamsBashford</v>
      </c>
      <c r="C47" s="1" t="str">
        <f>_xlfn.XLOOKUP(Bash1[[#This Row],[Hebras]],TbTecnologia[Hebras],TbTecnologia[Tecnología])</f>
        <v>OMP</v>
      </c>
      <c r="D47" s="5" t="str" cm="1">
        <f t="array" ref="D47">_xlfn.XLOOKUP(Bash1[[#This Row],[Tecnología]]&amp;Bash1[[#This Row],[Metodo]],TbTipos[Tecnología]&amp;TbTipos[Metodo],TbTipos[Tipo])</f>
        <v>OMP Operaciones</v>
      </c>
      <c r="E47" s="1" t="str" cm="1">
        <f t="array" ref="E47">_xlfn.XLOOKUP(Bash1[[#This Row],[Tecnología]]&amp;Bash1[[#This Row],[Problema]],TbNombres[Tecnología]&amp;TbNombres[Problema],TbNombres[Nombre])</f>
        <v>Simple Advdiff</v>
      </c>
      <c r="F47" s="1">
        <v>3</v>
      </c>
      <c r="G47" s="1">
        <v>1</v>
      </c>
      <c r="H47" s="1">
        <v>4</v>
      </c>
      <c r="I47" s="1">
        <v>100</v>
      </c>
      <c r="J47" s="1">
        <v>100</v>
      </c>
      <c r="K47" s="1">
        <v>13.014099999999999</v>
      </c>
      <c r="M47" s="21" t="str">
        <f>_xlfn.XLOOKUP(Bash2[[#This Row],[Metodo]],TbSolver[Metodo],TbSolver[Solver])</f>
        <v>AdamsBashford</v>
      </c>
      <c r="N47" s="21" t="str">
        <f>_xlfn.XLOOKUP(Bash2[[#This Row],[Hebras]],TbTecnologia[Hebras],TbTecnologia[Tecnología])</f>
        <v>OMP</v>
      </c>
      <c r="O47" s="15" t="str" cm="1">
        <f t="array" ref="O47">_xlfn.XLOOKUP(Bash2[[#This Row],[Tecnología]]&amp;Bash2[[#This Row],[Metodo]],TbTipos[Tecnología]&amp;TbTipos[Metodo],TbTipos[Tipo])</f>
        <v>OMP Operaciones</v>
      </c>
      <c r="P47" s="16" t="str" cm="1">
        <f t="array" ref="P47">_xlfn.XLOOKUP(Bash2[[#This Row],[Tecnología]]&amp;Bash2[[#This Row],[Problema]],TbNombres[Tecnología]&amp;TbNombres[Problema],TbNombres[Nombre])</f>
        <v>Advdiff1d</v>
      </c>
      <c r="Q47" s="21">
        <v>3</v>
      </c>
      <c r="R47" s="16">
        <v>2</v>
      </c>
      <c r="S47" s="16">
        <v>4</v>
      </c>
      <c r="T47" s="16">
        <v>100</v>
      </c>
      <c r="U47" s="16">
        <v>100</v>
      </c>
      <c r="V47" s="17">
        <v>16.279699999999998</v>
      </c>
      <c r="X47" s="6" t="str">
        <f>_xlfn.XLOOKUP(Bash3[[#This Row],[Metodo]],TbSolver[Metodo],TbSolver[Solver])</f>
        <v>AdamsBashford</v>
      </c>
      <c r="Y47" s="6" t="str">
        <f>_xlfn.XLOOKUP(Bash3[[#This Row],[Hebras]],TbTecnologia[Hebras],TbTecnologia[Tecnología])</f>
        <v>CUDA</v>
      </c>
      <c r="Z47" s="2" t="str" cm="1">
        <f t="array" ref="Z47">_xlfn.XLOOKUP(Bash3[[#This Row],[Tecnología]]&amp;Bash3[[#This Row],[Metodo]],TbTipos[Tecnología]&amp;TbTipos[Metodo],TbTipos[Tipo])</f>
        <v>CUDA sin graph</v>
      </c>
      <c r="AA47" s="2" t="str" cm="1">
        <f t="array" ref="AA47">_xlfn.XLOOKUP(Bash3[[#This Row],[Tecnología]]&amp;Bash3[[#This Row],[Problema]],TbNombres[Tecnología]&amp;TbNombres[Problema],TbNombres[Nombre])</f>
        <v>Brusselator1d</v>
      </c>
      <c r="AB47" s="2">
        <v>3</v>
      </c>
      <c r="AC47" s="2">
        <v>5</v>
      </c>
      <c r="AD47" s="2">
        <v>256</v>
      </c>
      <c r="AE47" s="2">
        <v>20000</v>
      </c>
      <c r="AF47" s="2">
        <v>40000</v>
      </c>
      <c r="AG47" s="2">
        <v>7.6532600000000004</v>
      </c>
    </row>
    <row r="48" spans="2:44" x14ac:dyDescent="0.2">
      <c r="B48" s="1" t="str">
        <f>_xlfn.XLOOKUP(Bash1[[#This Row],[Metodo]],TbSolver[Metodo],TbSolver[Solver])</f>
        <v>AdamsBashford</v>
      </c>
      <c r="C48" s="1" t="str">
        <f>_xlfn.XLOOKUP(Bash1[[#This Row],[Hebras]],TbTecnologia[Hebras],TbTecnologia[Tecnología])</f>
        <v>OMP</v>
      </c>
      <c r="D48" s="5" t="str" cm="1">
        <f t="array" ref="D48">_xlfn.XLOOKUP(Bash1[[#This Row],[Tecnología]]&amp;Bash1[[#This Row],[Metodo]],TbTipos[Tecnología]&amp;TbTipos[Metodo],TbTipos[Tipo])</f>
        <v>OMP Operaciones</v>
      </c>
      <c r="E48" s="1" t="str" cm="1">
        <f t="array" ref="E48">_xlfn.XLOOKUP(Bash1[[#This Row],[Tecnología]]&amp;Bash1[[#This Row],[Problema]],TbNombres[Tecnología]&amp;TbNombres[Problema],TbNombres[Nombre])</f>
        <v>Simple Advdiff</v>
      </c>
      <c r="F48" s="1">
        <v>3</v>
      </c>
      <c r="G48" s="1">
        <v>1</v>
      </c>
      <c r="H48" s="1">
        <v>16</v>
      </c>
      <c r="I48" s="1">
        <v>100</v>
      </c>
      <c r="J48" s="1">
        <v>100</v>
      </c>
      <c r="K48" s="1">
        <v>28.328299999999999</v>
      </c>
      <c r="M48" s="21" t="str">
        <f>_xlfn.XLOOKUP(Bash2[[#This Row],[Metodo]],TbSolver[Metodo],TbSolver[Solver])</f>
        <v>AdamsBashford</v>
      </c>
      <c r="N48" s="21" t="str">
        <f>_xlfn.XLOOKUP(Bash2[[#This Row],[Hebras]],TbTecnologia[Hebras],TbTecnologia[Tecnología])</f>
        <v>OMP</v>
      </c>
      <c r="O48" s="15" t="str" cm="1">
        <f t="array" ref="O48">_xlfn.XLOOKUP(Bash2[[#This Row],[Tecnología]]&amp;Bash2[[#This Row],[Metodo]],TbTipos[Tecnología]&amp;TbTipos[Metodo],TbTipos[Tipo])</f>
        <v>OMP Operaciones</v>
      </c>
      <c r="P48" s="16" t="str" cm="1">
        <f t="array" ref="P48">_xlfn.XLOOKUP(Bash2[[#This Row],[Tecnología]]&amp;Bash2[[#This Row],[Problema]],TbNombres[Tecnología]&amp;TbNombres[Problema],TbNombres[Nombre])</f>
        <v>Advdiff1d</v>
      </c>
      <c r="Q48" s="21">
        <v>3</v>
      </c>
      <c r="R48" s="16">
        <v>2</v>
      </c>
      <c r="S48" s="16">
        <v>16</v>
      </c>
      <c r="T48" s="16">
        <v>100</v>
      </c>
      <c r="U48" s="16">
        <v>100</v>
      </c>
      <c r="V48" s="17">
        <v>34.238399999999999</v>
      </c>
      <c r="X48" s="6" t="str">
        <f>_xlfn.XLOOKUP(Bash3[[#This Row],[Metodo]],TbSolver[Metodo],TbSolver[Solver])</f>
        <v>AdamsBashford</v>
      </c>
      <c r="Y48" s="6" t="str">
        <f>_xlfn.XLOOKUP(Bash3[[#This Row],[Hebras]],TbTecnologia[Hebras],TbTecnologia[Tecnología])</f>
        <v>CUDA</v>
      </c>
      <c r="Z48" s="2" t="str" cm="1">
        <f t="array" ref="Z48">_xlfn.XLOOKUP(Bash3[[#This Row],[Tecnología]]&amp;Bash3[[#This Row],[Metodo]],TbTipos[Tecnología]&amp;TbTipos[Metodo],TbTipos[Tipo])</f>
        <v>CUDA sin graph</v>
      </c>
      <c r="AA48" s="2" t="str" cm="1">
        <f t="array" ref="AA48">_xlfn.XLOOKUP(Bash3[[#This Row],[Tecnología]]&amp;Bash3[[#This Row],[Problema]],TbNombres[Tecnología]&amp;TbNombres[Problema],TbNombres[Nombre])</f>
        <v>Brusselator1d</v>
      </c>
      <c r="AB48" s="2">
        <v>3</v>
      </c>
      <c r="AC48" s="2">
        <v>6</v>
      </c>
      <c r="AD48" s="2">
        <v>256</v>
      </c>
      <c r="AE48" s="2">
        <v>20000</v>
      </c>
      <c r="AF48" s="2">
        <v>40000</v>
      </c>
      <c r="AG48" s="2">
        <v>7.7135699999999998</v>
      </c>
    </row>
    <row r="49" spans="2:33" x14ac:dyDescent="0.2">
      <c r="B49" s="1" t="str">
        <f>_xlfn.XLOOKUP(Bash1[[#This Row],[Metodo]],TbSolver[Metodo],TbSolver[Solver])</f>
        <v>AdamsBashford</v>
      </c>
      <c r="C49" s="1" t="str">
        <f>_xlfn.XLOOKUP(Bash1[[#This Row],[Hebras]],TbTecnologia[Hebras],TbTecnologia[Tecnología])</f>
        <v>OMP</v>
      </c>
      <c r="D49" s="5" t="str" cm="1">
        <f t="array" ref="D49">_xlfn.XLOOKUP(Bash1[[#This Row],[Tecnología]]&amp;Bash1[[#This Row],[Metodo]],TbTipos[Tecnología]&amp;TbTipos[Metodo],TbTipos[Tipo])</f>
        <v>OMP Operaciones</v>
      </c>
      <c r="E49" s="1" t="str" cm="1">
        <f t="array" ref="E49">_xlfn.XLOOKUP(Bash1[[#This Row],[Tecnología]]&amp;Bash1[[#This Row],[Problema]],TbNombres[Tecnología]&amp;TbNombres[Problema],TbNombres[Nombre])</f>
        <v>Simple Advdiff</v>
      </c>
      <c r="F49" s="1">
        <v>3</v>
      </c>
      <c r="G49" s="1">
        <v>1</v>
      </c>
      <c r="H49" s="1">
        <v>1</v>
      </c>
      <c r="I49" s="1">
        <v>200</v>
      </c>
      <c r="J49" s="1">
        <v>200</v>
      </c>
      <c r="K49" s="1">
        <v>1.5078100000000001</v>
      </c>
      <c r="M49" s="21" t="str">
        <f>_xlfn.XLOOKUP(Bash2[[#This Row],[Metodo]],TbSolver[Metodo],TbSolver[Solver])</f>
        <v>AdamsBashford</v>
      </c>
      <c r="N49" s="21" t="str">
        <f>_xlfn.XLOOKUP(Bash2[[#This Row],[Hebras]],TbTecnologia[Hebras],TbTecnologia[Tecnología])</f>
        <v>OMP</v>
      </c>
      <c r="O49" s="15" t="str" cm="1">
        <f t="array" ref="O49">_xlfn.XLOOKUP(Bash2[[#This Row],[Tecnología]]&amp;Bash2[[#This Row],[Metodo]],TbTipos[Tecnología]&amp;TbTipos[Metodo],TbTipos[Tipo])</f>
        <v>OMP Operaciones</v>
      </c>
      <c r="P49" s="16" t="str" cm="1">
        <f t="array" ref="P49">_xlfn.XLOOKUP(Bash2[[#This Row],[Tecnología]]&amp;Bash2[[#This Row],[Problema]],TbNombres[Tecnología]&amp;TbNombres[Problema],TbNombres[Nombre])</f>
        <v>Advdiff1d</v>
      </c>
      <c r="Q49" s="21">
        <v>3</v>
      </c>
      <c r="R49" s="16">
        <v>2</v>
      </c>
      <c r="S49" s="16">
        <v>1</v>
      </c>
      <c r="T49" s="16">
        <v>200</v>
      </c>
      <c r="U49" s="16">
        <v>200</v>
      </c>
      <c r="V49" s="17">
        <v>6.0966699999999996</v>
      </c>
      <c r="X49" s="6" t="str">
        <f>_xlfn.XLOOKUP(Bash3[[#This Row],[Metodo]],TbSolver[Metodo],TbSolver[Solver])</f>
        <v>AdamsBashford</v>
      </c>
      <c r="Y49" s="6" t="str">
        <f>_xlfn.XLOOKUP(Bash3[[#This Row],[Hebras]],TbTecnologia[Hebras],TbTecnologia[Tecnología])</f>
        <v>CUDA</v>
      </c>
      <c r="Z49" s="2" t="str" cm="1">
        <f t="array" ref="Z49">_xlfn.XLOOKUP(Bash3[[#This Row],[Tecnología]]&amp;Bash3[[#This Row],[Metodo]],TbTipos[Tecnología]&amp;TbTipos[Metodo],TbTipos[Tipo])</f>
        <v>CUDA sin graph</v>
      </c>
      <c r="AA49" s="2" t="str" cm="1">
        <f t="array" ref="AA49">_xlfn.XLOOKUP(Bash3[[#This Row],[Tecnología]]&amp;Bash3[[#This Row],[Problema]],TbNombres[Tecnología]&amp;TbNombres[Problema],TbNombres[Nombre])</f>
        <v>Brusselator1d</v>
      </c>
      <c r="AB49" s="2">
        <v>3</v>
      </c>
      <c r="AC49" s="2">
        <v>5</v>
      </c>
      <c r="AD49" s="2">
        <v>256</v>
      </c>
      <c r="AE49" s="2">
        <v>20000</v>
      </c>
      <c r="AF49" s="2">
        <v>40000</v>
      </c>
      <c r="AG49" s="2">
        <v>7.7762599999999997</v>
      </c>
    </row>
    <row r="50" spans="2:33" x14ac:dyDescent="0.2">
      <c r="B50" s="1" t="str">
        <f>_xlfn.XLOOKUP(Bash1[[#This Row],[Metodo]],TbSolver[Metodo],TbSolver[Solver])</f>
        <v>AdamsBashford</v>
      </c>
      <c r="C50" s="1" t="str">
        <f>_xlfn.XLOOKUP(Bash1[[#This Row],[Hebras]],TbTecnologia[Hebras],TbTecnologia[Tecnología])</f>
        <v>OMP</v>
      </c>
      <c r="D50" s="5" t="str" cm="1">
        <f t="array" ref="D50">_xlfn.XLOOKUP(Bash1[[#This Row],[Tecnología]]&amp;Bash1[[#This Row],[Metodo]],TbTipos[Tecnología]&amp;TbTipos[Metodo],TbTipos[Tipo])</f>
        <v>OMP Operaciones</v>
      </c>
      <c r="E50" s="1" t="str" cm="1">
        <f t="array" ref="E50">_xlfn.XLOOKUP(Bash1[[#This Row],[Tecnología]]&amp;Bash1[[#This Row],[Problema]],TbNombres[Tecnología]&amp;TbNombres[Problema],TbNombres[Nombre])</f>
        <v>Simple Advdiff</v>
      </c>
      <c r="F50" s="1">
        <v>3</v>
      </c>
      <c r="G50" s="1">
        <v>1</v>
      </c>
      <c r="H50" s="1">
        <v>4</v>
      </c>
      <c r="I50" s="1">
        <v>200</v>
      </c>
      <c r="J50" s="1">
        <v>200</v>
      </c>
      <c r="K50" s="1">
        <v>12.255599999999999</v>
      </c>
      <c r="M50" s="21" t="str">
        <f>_xlfn.XLOOKUP(Bash2[[#This Row],[Metodo]],TbSolver[Metodo],TbSolver[Solver])</f>
        <v>AdamsBashford</v>
      </c>
      <c r="N50" s="21" t="str">
        <f>_xlfn.XLOOKUP(Bash2[[#This Row],[Hebras]],TbTecnologia[Hebras],TbTecnologia[Tecnología])</f>
        <v>OMP</v>
      </c>
      <c r="O50" s="15" t="str" cm="1">
        <f t="array" ref="O50">_xlfn.XLOOKUP(Bash2[[#This Row],[Tecnología]]&amp;Bash2[[#This Row],[Metodo]],TbTipos[Tecnología]&amp;TbTipos[Metodo],TbTipos[Tipo])</f>
        <v>OMP Operaciones</v>
      </c>
      <c r="P50" s="16" t="str" cm="1">
        <f t="array" ref="P50">_xlfn.XLOOKUP(Bash2[[#This Row],[Tecnología]]&amp;Bash2[[#This Row],[Problema]],TbNombres[Tecnología]&amp;TbNombres[Problema],TbNombres[Nombre])</f>
        <v>Advdiff1d</v>
      </c>
      <c r="Q50" s="21">
        <v>3</v>
      </c>
      <c r="R50" s="16">
        <v>2</v>
      </c>
      <c r="S50" s="16">
        <v>4</v>
      </c>
      <c r="T50" s="16">
        <v>200</v>
      </c>
      <c r="U50" s="16">
        <v>200</v>
      </c>
      <c r="V50" s="17">
        <v>16.056000000000001</v>
      </c>
      <c r="X50" s="6" t="str">
        <f>_xlfn.XLOOKUP(Bash3[[#This Row],[Metodo]],TbSolver[Metodo],TbSolver[Solver])</f>
        <v>AdamsBashford</v>
      </c>
      <c r="Y50" s="6" t="str">
        <f>_xlfn.XLOOKUP(Bash3[[#This Row],[Hebras]],TbTecnologia[Hebras],TbTecnologia[Tecnología])</f>
        <v>CUDA</v>
      </c>
      <c r="Z50" s="2" t="str" cm="1">
        <f t="array" ref="Z50">_xlfn.XLOOKUP(Bash3[[#This Row],[Tecnología]]&amp;Bash3[[#This Row],[Metodo]],TbTipos[Tecnología]&amp;TbTipos[Metodo],TbTipos[Tipo])</f>
        <v>CUDA sin graph</v>
      </c>
      <c r="AA50" s="2" t="str" cm="1">
        <f t="array" ref="AA50">_xlfn.XLOOKUP(Bash3[[#This Row],[Tecnología]]&amp;Bash3[[#This Row],[Problema]],TbNombres[Tecnología]&amp;TbNombres[Problema],TbNombres[Nombre])</f>
        <v>Brusselator1d</v>
      </c>
      <c r="AB50" s="2">
        <v>3</v>
      </c>
      <c r="AC50" s="2">
        <v>7</v>
      </c>
      <c r="AD50" s="2">
        <v>256</v>
      </c>
      <c r="AE50" s="2">
        <v>20000</v>
      </c>
      <c r="AF50" s="2">
        <v>40000</v>
      </c>
      <c r="AG50" s="2">
        <v>7.8226500000000003</v>
      </c>
    </row>
    <row r="51" spans="2:33" x14ac:dyDescent="0.2">
      <c r="B51" s="1" t="str">
        <f>_xlfn.XLOOKUP(Bash1[[#This Row],[Metodo]],TbSolver[Metodo],TbSolver[Solver])</f>
        <v>AdamsBashford</v>
      </c>
      <c r="C51" s="1" t="str">
        <f>_xlfn.XLOOKUP(Bash1[[#This Row],[Hebras]],TbTecnologia[Hebras],TbTecnologia[Tecnología])</f>
        <v>OMP</v>
      </c>
      <c r="D51" s="5" t="str" cm="1">
        <f t="array" ref="D51">_xlfn.XLOOKUP(Bash1[[#This Row],[Tecnología]]&amp;Bash1[[#This Row],[Metodo]],TbTipos[Tecnología]&amp;TbTipos[Metodo],TbTipos[Tipo])</f>
        <v>OMP Operaciones</v>
      </c>
      <c r="E51" s="1" t="str" cm="1">
        <f t="array" ref="E51">_xlfn.XLOOKUP(Bash1[[#This Row],[Tecnología]]&amp;Bash1[[#This Row],[Problema]],TbNombres[Tecnología]&amp;TbNombres[Problema],TbNombres[Nombre])</f>
        <v>Simple Advdiff</v>
      </c>
      <c r="F51" s="1">
        <v>3</v>
      </c>
      <c r="G51" s="1">
        <v>1</v>
      </c>
      <c r="H51" s="1">
        <v>16</v>
      </c>
      <c r="I51" s="1">
        <v>200</v>
      </c>
      <c r="J51" s="1">
        <v>200</v>
      </c>
      <c r="K51" s="1">
        <v>30.1144</v>
      </c>
      <c r="M51" s="21" t="str">
        <f>_xlfn.XLOOKUP(Bash2[[#This Row],[Metodo]],TbSolver[Metodo],TbSolver[Solver])</f>
        <v>AdamsBashford</v>
      </c>
      <c r="N51" s="21" t="str">
        <f>_xlfn.XLOOKUP(Bash2[[#This Row],[Hebras]],TbTecnologia[Hebras],TbTecnologia[Tecnología])</f>
        <v>OMP</v>
      </c>
      <c r="O51" s="15" t="str" cm="1">
        <f t="array" ref="O51">_xlfn.XLOOKUP(Bash2[[#This Row],[Tecnología]]&amp;Bash2[[#This Row],[Metodo]],TbTipos[Tecnología]&amp;TbTipos[Metodo],TbTipos[Tipo])</f>
        <v>OMP Operaciones</v>
      </c>
      <c r="P51" s="16" t="str" cm="1">
        <f t="array" ref="P51">_xlfn.XLOOKUP(Bash2[[#This Row],[Tecnología]]&amp;Bash2[[#This Row],[Problema]],TbNombres[Tecnología]&amp;TbNombres[Problema],TbNombres[Nombre])</f>
        <v>Advdiff1d</v>
      </c>
      <c r="Q51" s="21">
        <v>3</v>
      </c>
      <c r="R51" s="16">
        <v>2</v>
      </c>
      <c r="S51" s="16">
        <v>16</v>
      </c>
      <c r="T51" s="16">
        <v>200</v>
      </c>
      <c r="U51" s="16">
        <v>200</v>
      </c>
      <c r="V51" s="17">
        <v>37.792000000000002</v>
      </c>
      <c r="X51" s="6" t="str">
        <f>_xlfn.XLOOKUP(Bash3[[#This Row],[Metodo]],TbSolver[Metodo],TbSolver[Solver])</f>
        <v>AdamsBashford</v>
      </c>
      <c r="Y51" s="6" t="str">
        <f>_xlfn.XLOOKUP(Bash3[[#This Row],[Hebras]],TbTecnologia[Hebras],TbTecnologia[Tecnología])</f>
        <v>CUDA</v>
      </c>
      <c r="Z51" s="2" t="str" cm="1">
        <f t="array" ref="Z51">_xlfn.XLOOKUP(Bash3[[#This Row],[Tecnología]]&amp;Bash3[[#This Row],[Metodo]],TbTipos[Tecnología]&amp;TbTipos[Metodo],TbTipos[Tipo])</f>
        <v>CUDA sin graph</v>
      </c>
      <c r="AA51" s="2" t="str" cm="1">
        <f t="array" ref="AA51">_xlfn.XLOOKUP(Bash3[[#This Row],[Tecnología]]&amp;Bash3[[#This Row],[Problema]],TbNombres[Tecnología]&amp;TbNombres[Problema],TbNombres[Nombre])</f>
        <v>Brusselator1d</v>
      </c>
      <c r="AB51" s="2">
        <v>3</v>
      </c>
      <c r="AC51" s="2">
        <v>6</v>
      </c>
      <c r="AD51" s="2">
        <v>256</v>
      </c>
      <c r="AE51" s="2">
        <v>50000</v>
      </c>
      <c r="AF51" s="2">
        <v>100000</v>
      </c>
      <c r="AG51" s="2">
        <v>12.061299999999999</v>
      </c>
    </row>
    <row r="52" spans="2:33" x14ac:dyDescent="0.2">
      <c r="B52" s="1" t="str">
        <f>_xlfn.XLOOKUP(Bash1[[#This Row],[Metodo]],TbSolver[Metodo],TbSolver[Solver])</f>
        <v>AdamsBashford</v>
      </c>
      <c r="C52" s="1" t="str">
        <f>_xlfn.XLOOKUP(Bash1[[#This Row],[Hebras]],TbTecnologia[Hebras],TbTecnologia[Tecnología])</f>
        <v>OMP</v>
      </c>
      <c r="D52" s="5" t="str" cm="1">
        <f t="array" ref="D52">_xlfn.XLOOKUP(Bash1[[#This Row],[Tecnología]]&amp;Bash1[[#This Row],[Metodo]],TbTipos[Tecnología]&amp;TbTipos[Metodo],TbTipos[Tipo])</f>
        <v>OMP Operaciones</v>
      </c>
      <c r="E52" s="1" t="str" cm="1">
        <f t="array" ref="E52">_xlfn.XLOOKUP(Bash1[[#This Row],[Tecnología]]&amp;Bash1[[#This Row],[Problema]],TbNombres[Tecnología]&amp;TbNombres[Problema],TbNombres[Nombre])</f>
        <v>Simple Advdiff</v>
      </c>
      <c r="F52" s="1">
        <v>3</v>
      </c>
      <c r="G52" s="1">
        <v>1</v>
      </c>
      <c r="H52" s="1">
        <v>1</v>
      </c>
      <c r="I52" s="1">
        <v>500</v>
      </c>
      <c r="J52" s="1">
        <v>500</v>
      </c>
      <c r="K52" s="1">
        <v>2.0038</v>
      </c>
      <c r="M52" s="21" t="str">
        <f>_xlfn.XLOOKUP(Bash2[[#This Row],[Metodo]],TbSolver[Metodo],TbSolver[Solver])</f>
        <v>AdamsBashford</v>
      </c>
      <c r="N52" s="21" t="str">
        <f>_xlfn.XLOOKUP(Bash2[[#This Row],[Hebras]],TbTecnologia[Hebras],TbTecnologia[Tecnología])</f>
        <v>OMP</v>
      </c>
      <c r="O52" s="15" t="str" cm="1">
        <f t="array" ref="O52">_xlfn.XLOOKUP(Bash2[[#This Row],[Tecnología]]&amp;Bash2[[#This Row],[Metodo]],TbTipos[Tecnología]&amp;TbTipos[Metodo],TbTipos[Tipo])</f>
        <v>OMP Operaciones</v>
      </c>
      <c r="P52" s="16" t="str" cm="1">
        <f t="array" ref="P52">_xlfn.XLOOKUP(Bash2[[#This Row],[Tecnología]]&amp;Bash2[[#This Row],[Problema]],TbNombres[Tecnología]&amp;TbNombres[Problema],TbNombres[Nombre])</f>
        <v>Advdiff1d</v>
      </c>
      <c r="Q52" s="21">
        <v>3</v>
      </c>
      <c r="R52" s="16">
        <v>2</v>
      </c>
      <c r="S52" s="16">
        <v>1</v>
      </c>
      <c r="T52" s="16">
        <v>500</v>
      </c>
      <c r="U52" s="16">
        <v>500</v>
      </c>
      <c r="V52" s="17">
        <v>12.735300000000001</v>
      </c>
      <c r="X52" s="6" t="str">
        <f>_xlfn.XLOOKUP(Bash3[[#This Row],[Metodo]],TbSolver[Metodo],TbSolver[Solver])</f>
        <v>AdamsBashford</v>
      </c>
      <c r="Y52" s="6" t="str">
        <f>_xlfn.XLOOKUP(Bash3[[#This Row],[Hebras]],TbTecnologia[Hebras],TbTecnologia[Tecnología])</f>
        <v>CUDA</v>
      </c>
      <c r="Z52" s="2" t="str" cm="1">
        <f t="array" ref="Z52">_xlfn.XLOOKUP(Bash3[[#This Row],[Tecnología]]&amp;Bash3[[#This Row],[Metodo]],TbTipos[Tecnología]&amp;TbTipos[Metodo],TbTipos[Tipo])</f>
        <v>CUDA sin graph</v>
      </c>
      <c r="AA52" s="2" t="str" cm="1">
        <f t="array" ref="AA52">_xlfn.XLOOKUP(Bash3[[#This Row],[Tecnología]]&amp;Bash3[[#This Row],[Problema]],TbNombres[Tecnología]&amp;TbNombres[Problema],TbNombres[Nombre])</f>
        <v>Brusselator1d</v>
      </c>
      <c r="AB52" s="2">
        <v>3</v>
      </c>
      <c r="AC52" s="2">
        <v>7</v>
      </c>
      <c r="AD52" s="2">
        <v>256</v>
      </c>
      <c r="AE52" s="2">
        <v>50000</v>
      </c>
      <c r="AF52" s="2">
        <v>100000</v>
      </c>
      <c r="AG52" s="2">
        <v>12.233599999999999</v>
      </c>
    </row>
    <row r="53" spans="2:33" x14ac:dyDescent="0.2">
      <c r="B53" s="1" t="str">
        <f>_xlfn.XLOOKUP(Bash1[[#This Row],[Metodo]],TbSolver[Metodo],TbSolver[Solver])</f>
        <v>AdamsBashford</v>
      </c>
      <c r="C53" s="1" t="str">
        <f>_xlfn.XLOOKUP(Bash1[[#This Row],[Hebras]],TbTecnologia[Hebras],TbTecnologia[Tecnología])</f>
        <v>OMP</v>
      </c>
      <c r="D53" s="5" t="str" cm="1">
        <f t="array" ref="D53">_xlfn.XLOOKUP(Bash1[[#This Row],[Tecnología]]&amp;Bash1[[#This Row],[Metodo]],TbTipos[Tecnología]&amp;TbTipos[Metodo],TbTipos[Tipo])</f>
        <v>OMP Operaciones</v>
      </c>
      <c r="E53" s="1" t="str" cm="1">
        <f t="array" ref="E53">_xlfn.XLOOKUP(Bash1[[#This Row],[Tecnología]]&amp;Bash1[[#This Row],[Problema]],TbNombres[Tecnología]&amp;TbNombres[Problema],TbNombres[Nombre])</f>
        <v>Simple Advdiff</v>
      </c>
      <c r="F53" s="1">
        <v>3</v>
      </c>
      <c r="G53" s="1">
        <v>1</v>
      </c>
      <c r="H53" s="1">
        <v>4</v>
      </c>
      <c r="I53" s="1">
        <v>500</v>
      </c>
      <c r="J53" s="1">
        <v>500</v>
      </c>
      <c r="K53" s="1">
        <v>14.3193</v>
      </c>
      <c r="M53" s="21" t="str">
        <f>_xlfn.XLOOKUP(Bash2[[#This Row],[Metodo]],TbSolver[Metodo],TbSolver[Solver])</f>
        <v>AdamsBashford</v>
      </c>
      <c r="N53" s="21" t="str">
        <f>_xlfn.XLOOKUP(Bash2[[#This Row],[Hebras]],TbTecnologia[Hebras],TbTecnologia[Tecnología])</f>
        <v>OMP</v>
      </c>
      <c r="O53" s="15" t="str" cm="1">
        <f t="array" ref="O53">_xlfn.XLOOKUP(Bash2[[#This Row],[Tecnología]]&amp;Bash2[[#This Row],[Metodo]],TbTipos[Tecnología]&amp;TbTipos[Metodo],TbTipos[Tipo])</f>
        <v>OMP Operaciones</v>
      </c>
      <c r="P53" s="16" t="str" cm="1">
        <f t="array" ref="P53">_xlfn.XLOOKUP(Bash2[[#This Row],[Tecnología]]&amp;Bash2[[#This Row],[Problema]],TbNombres[Tecnología]&amp;TbNombres[Problema],TbNombres[Nombre])</f>
        <v>Advdiff1d</v>
      </c>
      <c r="Q53" s="21">
        <v>3</v>
      </c>
      <c r="R53" s="16">
        <v>2</v>
      </c>
      <c r="S53" s="16">
        <v>4</v>
      </c>
      <c r="T53" s="16">
        <v>500</v>
      </c>
      <c r="U53" s="16">
        <v>500</v>
      </c>
      <c r="V53" s="17">
        <v>19.7759</v>
      </c>
      <c r="X53" s="6" t="str">
        <f>_xlfn.XLOOKUP(Bash3[[#This Row],[Metodo]],TbSolver[Metodo],TbSolver[Solver])</f>
        <v>AdamsBashford</v>
      </c>
      <c r="Y53" s="6" t="str">
        <f>_xlfn.XLOOKUP(Bash3[[#This Row],[Hebras]],TbTecnologia[Hebras],TbTecnologia[Tecnología])</f>
        <v>CUDA</v>
      </c>
      <c r="Z53" s="2" t="str" cm="1">
        <f t="array" ref="Z53">_xlfn.XLOOKUP(Bash3[[#This Row],[Tecnología]]&amp;Bash3[[#This Row],[Metodo]],TbTipos[Tecnología]&amp;TbTipos[Metodo],TbTipos[Tipo])</f>
        <v>CUDA sin graph</v>
      </c>
      <c r="AA53" s="2" t="str" cm="1">
        <f t="array" ref="AA53">_xlfn.XLOOKUP(Bash3[[#This Row],[Tecnología]]&amp;Bash3[[#This Row],[Problema]],TbNombres[Tecnología]&amp;TbNombres[Problema],TbNombres[Nombre])</f>
        <v>Brusselator1d</v>
      </c>
      <c r="AB53" s="2">
        <v>3</v>
      </c>
      <c r="AC53" s="2">
        <v>5</v>
      </c>
      <c r="AD53" s="2">
        <v>256</v>
      </c>
      <c r="AE53" s="2">
        <v>50000</v>
      </c>
      <c r="AF53" s="2">
        <v>100000</v>
      </c>
      <c r="AG53" s="2">
        <v>13.191000000000001</v>
      </c>
    </row>
    <row r="54" spans="2:33" x14ac:dyDescent="0.2">
      <c r="B54" s="1" t="str">
        <f>_xlfn.XLOOKUP(Bash1[[#This Row],[Metodo]],TbSolver[Metodo],TbSolver[Solver])</f>
        <v>AdamsBashford</v>
      </c>
      <c r="C54" s="1" t="str">
        <f>_xlfn.XLOOKUP(Bash1[[#This Row],[Hebras]],TbTecnologia[Hebras],TbTecnologia[Tecnología])</f>
        <v>OMP</v>
      </c>
      <c r="D54" s="5" t="str" cm="1">
        <f t="array" ref="D54">_xlfn.XLOOKUP(Bash1[[#This Row],[Tecnología]]&amp;Bash1[[#This Row],[Metodo]],TbTipos[Tecnología]&amp;TbTipos[Metodo],TbTipos[Tipo])</f>
        <v>OMP Operaciones</v>
      </c>
      <c r="E54" s="1" t="str" cm="1">
        <f t="array" ref="E54">_xlfn.XLOOKUP(Bash1[[#This Row],[Tecnología]]&amp;Bash1[[#This Row],[Problema]],TbNombres[Tecnología]&amp;TbNombres[Problema],TbNombres[Nombre])</f>
        <v>Simple Advdiff</v>
      </c>
      <c r="F54" s="1">
        <v>3</v>
      </c>
      <c r="G54" s="1">
        <v>1</v>
      </c>
      <c r="H54" s="1">
        <v>16</v>
      </c>
      <c r="I54" s="1">
        <v>500</v>
      </c>
      <c r="J54" s="1">
        <v>500</v>
      </c>
      <c r="K54" s="1">
        <v>28.5822</v>
      </c>
      <c r="M54" s="21" t="str">
        <f>_xlfn.XLOOKUP(Bash2[[#This Row],[Metodo]],TbSolver[Metodo],TbSolver[Solver])</f>
        <v>AdamsBashford</v>
      </c>
      <c r="N54" s="21" t="str">
        <f>_xlfn.XLOOKUP(Bash2[[#This Row],[Hebras]],TbTecnologia[Hebras],TbTecnologia[Tecnología])</f>
        <v>OMP</v>
      </c>
      <c r="O54" s="15" t="str" cm="1">
        <f t="array" ref="O54">_xlfn.XLOOKUP(Bash2[[#This Row],[Tecnología]]&amp;Bash2[[#This Row],[Metodo]],TbTipos[Tecnología]&amp;TbTipos[Metodo],TbTipos[Tipo])</f>
        <v>OMP Operaciones</v>
      </c>
      <c r="P54" s="16" t="str" cm="1">
        <f t="array" ref="P54">_xlfn.XLOOKUP(Bash2[[#This Row],[Tecnología]]&amp;Bash2[[#This Row],[Problema]],TbNombres[Tecnología]&amp;TbNombres[Problema],TbNombres[Nombre])</f>
        <v>Advdiff1d</v>
      </c>
      <c r="Q54" s="21">
        <v>3</v>
      </c>
      <c r="R54" s="16">
        <v>2</v>
      </c>
      <c r="S54" s="16">
        <v>16</v>
      </c>
      <c r="T54" s="16">
        <v>500</v>
      </c>
      <c r="U54" s="16">
        <v>500</v>
      </c>
      <c r="V54" s="17">
        <v>36.402299999999997</v>
      </c>
      <c r="X54" s="6" t="str">
        <f>_xlfn.XLOOKUP(Bash3[[#This Row],[Metodo]],TbSolver[Metodo],TbSolver[Solver])</f>
        <v>AdamsBashford</v>
      </c>
      <c r="Y54" s="6" t="str">
        <f>_xlfn.XLOOKUP(Bash3[[#This Row],[Hebras]],TbTecnologia[Hebras],TbTecnologia[Tecnología])</f>
        <v>CUDA</v>
      </c>
      <c r="Z54" s="2" t="str" cm="1">
        <f t="array" ref="Z54">_xlfn.XLOOKUP(Bash3[[#This Row],[Tecnología]]&amp;Bash3[[#This Row],[Metodo]],TbTipos[Tecnología]&amp;TbTipos[Metodo],TbTipos[Tipo])</f>
        <v>CUDA sin graph</v>
      </c>
      <c r="AA54" s="2" t="str" cm="1">
        <f t="array" ref="AA54">_xlfn.XLOOKUP(Bash3[[#This Row],[Tecnología]]&amp;Bash3[[#This Row],[Problema]],TbNombres[Tecnología]&amp;TbNombres[Problema],TbNombres[Nombre])</f>
        <v>Brusselator1d</v>
      </c>
      <c r="AB54" s="2">
        <v>3</v>
      </c>
      <c r="AC54" s="2">
        <v>5</v>
      </c>
      <c r="AD54" s="2">
        <v>256</v>
      </c>
      <c r="AE54" s="2">
        <v>50000</v>
      </c>
      <c r="AF54" s="2">
        <v>100000</v>
      </c>
      <c r="AG54" s="2">
        <v>13.288</v>
      </c>
    </row>
    <row r="55" spans="2:33" x14ac:dyDescent="0.2">
      <c r="B55" s="1" t="str">
        <f>_xlfn.XLOOKUP(Bash1[[#This Row],[Metodo]],TbSolver[Metodo],TbSolver[Solver])</f>
        <v>AdamsBashford</v>
      </c>
      <c r="C55" s="1" t="str">
        <f>_xlfn.XLOOKUP(Bash1[[#This Row],[Hebras]],TbTecnologia[Hebras],TbTecnologia[Tecnología])</f>
        <v>OMP</v>
      </c>
      <c r="D55" s="5" t="str" cm="1">
        <f t="array" ref="D55">_xlfn.XLOOKUP(Bash1[[#This Row],[Tecnología]]&amp;Bash1[[#This Row],[Metodo]],TbTipos[Tecnología]&amp;TbTipos[Metodo],TbTipos[Tipo])</f>
        <v>OMP Operaciones</v>
      </c>
      <c r="E55" s="1" t="str" cm="1">
        <f t="array" ref="E55">_xlfn.XLOOKUP(Bash1[[#This Row],[Tecnología]]&amp;Bash1[[#This Row],[Problema]],TbNombres[Tecnología]&amp;TbNombres[Problema],TbNombres[Nombre])</f>
        <v>Simple Advdiff</v>
      </c>
      <c r="F55" s="1">
        <v>3</v>
      </c>
      <c r="G55" s="1">
        <v>1</v>
      </c>
      <c r="H55" s="1">
        <v>1</v>
      </c>
      <c r="I55" s="1">
        <v>1000</v>
      </c>
      <c r="J55" s="1">
        <v>1000</v>
      </c>
      <c r="K55" s="1">
        <v>3.1231499999999999</v>
      </c>
      <c r="M55" s="21" t="str">
        <f>_xlfn.XLOOKUP(Bash2[[#This Row],[Metodo]],TbSolver[Metodo],TbSolver[Solver])</f>
        <v>AdamsBashford</v>
      </c>
      <c r="N55" s="21" t="str">
        <f>_xlfn.XLOOKUP(Bash2[[#This Row],[Hebras]],TbTecnologia[Hebras],TbTecnologia[Tecnología])</f>
        <v>OMP</v>
      </c>
      <c r="O55" s="15" t="str" cm="1">
        <f t="array" ref="O55">_xlfn.XLOOKUP(Bash2[[#This Row],[Tecnología]]&amp;Bash2[[#This Row],[Metodo]],TbTipos[Tecnología]&amp;TbTipos[Metodo],TbTipos[Tipo])</f>
        <v>OMP Operaciones</v>
      </c>
      <c r="P55" s="16" t="str" cm="1">
        <f t="array" ref="P55">_xlfn.XLOOKUP(Bash2[[#This Row],[Tecnología]]&amp;Bash2[[#This Row],[Problema]],TbNombres[Tecnología]&amp;TbNombres[Problema],TbNombres[Nombre])</f>
        <v>Advdiff1d</v>
      </c>
      <c r="Q55" s="21">
        <v>3</v>
      </c>
      <c r="R55" s="16">
        <v>2</v>
      </c>
      <c r="S55" s="16">
        <v>1</v>
      </c>
      <c r="T55" s="16">
        <v>1000</v>
      </c>
      <c r="U55" s="16">
        <v>1000</v>
      </c>
      <c r="V55" s="17">
        <v>24.2303</v>
      </c>
      <c r="X55" s="6" t="str">
        <f>_xlfn.XLOOKUP(Bash3[[#This Row],[Metodo]],TbSolver[Metodo],TbSolver[Solver])</f>
        <v>AdamsBashford</v>
      </c>
      <c r="Y55" s="6" t="str">
        <f>_xlfn.XLOOKUP(Bash3[[#This Row],[Hebras]],TbTecnologia[Hebras],TbTecnologia[Tecnología])</f>
        <v>CUDA</v>
      </c>
      <c r="Z55" s="2" t="str" cm="1">
        <f t="array" ref="Z55">_xlfn.XLOOKUP(Bash3[[#This Row],[Tecnología]]&amp;Bash3[[#This Row],[Metodo]],TbTipos[Tecnología]&amp;TbTipos[Metodo],TbTipos[Tipo])</f>
        <v>CUDA sin graph</v>
      </c>
      <c r="AA55" s="2" t="str" cm="1">
        <f t="array" ref="AA55">_xlfn.XLOOKUP(Bash3[[#This Row],[Tecnología]]&amp;Bash3[[#This Row],[Problema]],TbNombres[Tecnología]&amp;TbNombres[Problema],TbNombres[Nombre])</f>
        <v>Brusselator1d</v>
      </c>
      <c r="AB55" s="2">
        <v>3</v>
      </c>
      <c r="AC55" s="2">
        <v>6</v>
      </c>
      <c r="AD55" s="2">
        <v>256</v>
      </c>
      <c r="AE55" s="2">
        <v>100000</v>
      </c>
      <c r="AF55" s="2">
        <v>200000</v>
      </c>
      <c r="AG55" s="2">
        <v>29.034800000000001</v>
      </c>
    </row>
    <row r="56" spans="2:33" x14ac:dyDescent="0.2">
      <c r="B56" s="1" t="str">
        <f>_xlfn.XLOOKUP(Bash1[[#This Row],[Metodo]],TbSolver[Metodo],TbSolver[Solver])</f>
        <v>AdamsBashford</v>
      </c>
      <c r="C56" s="1" t="str">
        <f>_xlfn.XLOOKUP(Bash1[[#This Row],[Hebras]],TbTecnologia[Hebras],TbTecnologia[Tecnología])</f>
        <v>OMP</v>
      </c>
      <c r="D56" s="5" t="str" cm="1">
        <f t="array" ref="D56">_xlfn.XLOOKUP(Bash1[[#This Row],[Tecnología]]&amp;Bash1[[#This Row],[Metodo]],TbTipos[Tecnología]&amp;TbTipos[Metodo],TbTipos[Tipo])</f>
        <v>OMP Operaciones</v>
      </c>
      <c r="E56" s="1" t="str" cm="1">
        <f t="array" ref="E56">_xlfn.XLOOKUP(Bash1[[#This Row],[Tecnología]]&amp;Bash1[[#This Row],[Problema]],TbNombres[Tecnología]&amp;TbNombres[Problema],TbNombres[Nombre])</f>
        <v>Simple Advdiff</v>
      </c>
      <c r="F56" s="1">
        <v>3</v>
      </c>
      <c r="G56" s="1">
        <v>1</v>
      </c>
      <c r="H56" s="1">
        <v>4</v>
      </c>
      <c r="I56" s="1">
        <v>1000</v>
      </c>
      <c r="J56" s="1">
        <v>1000</v>
      </c>
      <c r="K56" s="1">
        <v>13.0106</v>
      </c>
      <c r="M56" s="21" t="str">
        <f>_xlfn.XLOOKUP(Bash2[[#This Row],[Metodo]],TbSolver[Metodo],TbSolver[Solver])</f>
        <v>AdamsBashford</v>
      </c>
      <c r="N56" s="21" t="str">
        <f>_xlfn.XLOOKUP(Bash2[[#This Row],[Hebras]],TbTecnologia[Hebras],TbTecnologia[Tecnología])</f>
        <v>OMP</v>
      </c>
      <c r="O56" s="15" t="str" cm="1">
        <f t="array" ref="O56">_xlfn.XLOOKUP(Bash2[[#This Row],[Tecnología]]&amp;Bash2[[#This Row],[Metodo]],TbTipos[Tecnología]&amp;TbTipos[Metodo],TbTipos[Tipo])</f>
        <v>OMP Operaciones</v>
      </c>
      <c r="P56" s="16" t="str" cm="1">
        <f t="array" ref="P56">_xlfn.XLOOKUP(Bash2[[#This Row],[Tecnología]]&amp;Bash2[[#This Row],[Problema]],TbNombres[Tecnología]&amp;TbNombres[Problema],TbNombres[Nombre])</f>
        <v>Advdiff1d</v>
      </c>
      <c r="Q56" s="21">
        <v>3</v>
      </c>
      <c r="R56" s="16">
        <v>2</v>
      </c>
      <c r="S56" s="16">
        <v>4</v>
      </c>
      <c r="T56" s="16">
        <v>1000</v>
      </c>
      <c r="U56" s="16">
        <v>1000</v>
      </c>
      <c r="V56" s="17">
        <v>21.291699999999999</v>
      </c>
      <c r="X56" s="6" t="str">
        <f>_xlfn.XLOOKUP(Bash3[[#This Row],[Metodo]],TbSolver[Metodo],TbSolver[Solver])</f>
        <v>AdamsBashford</v>
      </c>
      <c r="Y56" s="6" t="str">
        <f>_xlfn.XLOOKUP(Bash3[[#This Row],[Hebras]],TbTecnologia[Hebras],TbTecnologia[Tecnología])</f>
        <v>CUDA</v>
      </c>
      <c r="Z56" s="2" t="str" cm="1">
        <f t="array" ref="Z56">_xlfn.XLOOKUP(Bash3[[#This Row],[Tecnología]]&amp;Bash3[[#This Row],[Metodo]],TbTipos[Tecnología]&amp;TbTipos[Metodo],TbTipos[Tipo])</f>
        <v>CUDA sin graph</v>
      </c>
      <c r="AA56" s="2" t="str" cm="1">
        <f t="array" ref="AA56">_xlfn.XLOOKUP(Bash3[[#This Row],[Tecnología]]&amp;Bash3[[#This Row],[Problema]],TbNombres[Tecnología]&amp;TbNombres[Problema],TbNombres[Nombre])</f>
        <v>Brusselator1d</v>
      </c>
      <c r="AB56" s="2">
        <v>3</v>
      </c>
      <c r="AC56" s="2">
        <v>7</v>
      </c>
      <c r="AD56" s="2">
        <v>256</v>
      </c>
      <c r="AE56" s="2">
        <v>100000</v>
      </c>
      <c r="AF56" s="2">
        <v>200000</v>
      </c>
      <c r="AG56" s="2">
        <v>29.699200000000001</v>
      </c>
    </row>
    <row r="57" spans="2:33" x14ac:dyDescent="0.2">
      <c r="B57" s="1" t="str">
        <f>_xlfn.XLOOKUP(Bash1[[#This Row],[Metodo]],TbSolver[Metodo],TbSolver[Solver])</f>
        <v>AdamsBashford</v>
      </c>
      <c r="C57" s="1" t="str">
        <f>_xlfn.XLOOKUP(Bash1[[#This Row],[Hebras]],TbTecnologia[Hebras],TbTecnologia[Tecnología])</f>
        <v>OMP</v>
      </c>
      <c r="D57" s="5" t="str" cm="1">
        <f t="array" ref="D57">_xlfn.XLOOKUP(Bash1[[#This Row],[Tecnología]]&amp;Bash1[[#This Row],[Metodo]],TbTipos[Tecnología]&amp;TbTipos[Metodo],TbTipos[Tipo])</f>
        <v>OMP Operaciones</v>
      </c>
      <c r="E57" s="1" t="str" cm="1">
        <f t="array" ref="E57">_xlfn.XLOOKUP(Bash1[[#This Row],[Tecnología]]&amp;Bash1[[#This Row],[Problema]],TbNombres[Tecnología]&amp;TbNombres[Problema],TbNombres[Nombre])</f>
        <v>Simple Advdiff</v>
      </c>
      <c r="F57" s="1">
        <v>3</v>
      </c>
      <c r="G57" s="1">
        <v>1</v>
      </c>
      <c r="H57" s="1">
        <v>16</v>
      </c>
      <c r="I57" s="1">
        <v>1000</v>
      </c>
      <c r="J57" s="1">
        <v>1000</v>
      </c>
      <c r="K57" s="1">
        <v>31.720600000000001</v>
      </c>
      <c r="M57" s="21" t="str">
        <f>_xlfn.XLOOKUP(Bash2[[#This Row],[Metodo]],TbSolver[Metodo],TbSolver[Solver])</f>
        <v>AdamsBashford</v>
      </c>
      <c r="N57" s="21" t="str">
        <f>_xlfn.XLOOKUP(Bash2[[#This Row],[Hebras]],TbTecnologia[Hebras],TbTecnologia[Tecnología])</f>
        <v>OMP</v>
      </c>
      <c r="O57" s="15" t="str" cm="1">
        <f t="array" ref="O57">_xlfn.XLOOKUP(Bash2[[#This Row],[Tecnología]]&amp;Bash2[[#This Row],[Metodo]],TbTipos[Tecnología]&amp;TbTipos[Metodo],TbTipos[Tipo])</f>
        <v>OMP Operaciones</v>
      </c>
      <c r="P57" s="16" t="str" cm="1">
        <f t="array" ref="P57">_xlfn.XLOOKUP(Bash2[[#This Row],[Tecnología]]&amp;Bash2[[#This Row],[Problema]],TbNombres[Tecnología]&amp;TbNombres[Problema],TbNombres[Nombre])</f>
        <v>Advdiff1d</v>
      </c>
      <c r="Q57" s="21">
        <v>3</v>
      </c>
      <c r="R57" s="16">
        <v>2</v>
      </c>
      <c r="S57" s="16">
        <v>16</v>
      </c>
      <c r="T57" s="16">
        <v>1000</v>
      </c>
      <c r="U57" s="16">
        <v>1000</v>
      </c>
      <c r="V57" s="17">
        <v>39.200499999999998</v>
      </c>
      <c r="X57" s="6" t="str">
        <f>_xlfn.XLOOKUP(Bash3[[#This Row],[Metodo]],TbSolver[Metodo],TbSolver[Solver])</f>
        <v>AdamsBashford</v>
      </c>
      <c r="Y57" s="6" t="str">
        <f>_xlfn.XLOOKUP(Bash3[[#This Row],[Hebras]],TbTecnologia[Hebras],TbTecnologia[Tecnología])</f>
        <v>CUDA</v>
      </c>
      <c r="Z57" s="2" t="str" cm="1">
        <f t="array" ref="Z57">_xlfn.XLOOKUP(Bash3[[#This Row],[Tecnología]]&amp;Bash3[[#This Row],[Metodo]],TbTipos[Tecnología]&amp;TbTipos[Metodo],TbTipos[Tipo])</f>
        <v>CUDA sin graph</v>
      </c>
      <c r="AA57" s="2" t="str" cm="1">
        <f t="array" ref="AA57">_xlfn.XLOOKUP(Bash3[[#This Row],[Tecnología]]&amp;Bash3[[#This Row],[Problema]],TbNombres[Tecnología]&amp;TbNombres[Problema],TbNombres[Nombre])</f>
        <v>Brusselator1d</v>
      </c>
      <c r="AB57" s="2">
        <v>3</v>
      </c>
      <c r="AC57" s="2">
        <v>5</v>
      </c>
      <c r="AD57" s="2">
        <v>256</v>
      </c>
      <c r="AE57" s="2">
        <v>100000</v>
      </c>
      <c r="AF57" s="2">
        <v>200000</v>
      </c>
      <c r="AG57" s="2">
        <v>30.912700000000001</v>
      </c>
    </row>
    <row r="58" spans="2:33" x14ac:dyDescent="0.2">
      <c r="B58" s="1" t="str">
        <f>_xlfn.XLOOKUP(Bash1[[#This Row],[Metodo]],TbSolver[Metodo],TbSolver[Solver])</f>
        <v>AdamsBashford</v>
      </c>
      <c r="C58" s="1" t="str">
        <f>_xlfn.XLOOKUP(Bash1[[#This Row],[Hebras]],TbTecnologia[Hebras],TbTecnologia[Tecnología])</f>
        <v>OMP</v>
      </c>
      <c r="D58" s="5" t="str" cm="1">
        <f t="array" ref="D58">_xlfn.XLOOKUP(Bash1[[#This Row],[Tecnología]]&amp;Bash1[[#This Row],[Metodo]],TbTipos[Tecnología]&amp;TbTipos[Metodo],TbTipos[Tipo])</f>
        <v>OMP Elementos</v>
      </c>
      <c r="E58" s="1" t="str" cm="1">
        <f t="array" ref="E58">_xlfn.XLOOKUP(Bash1[[#This Row],[Tecnología]]&amp;Bash1[[#This Row],[Problema]],TbNombres[Tecnología]&amp;TbNombres[Problema],TbNombres[Nombre])</f>
        <v>Simple Advdiff</v>
      </c>
      <c r="F58" s="1">
        <v>4</v>
      </c>
      <c r="G58" s="1">
        <v>1</v>
      </c>
      <c r="H58" s="1">
        <v>1</v>
      </c>
      <c r="I58" s="1">
        <v>100</v>
      </c>
      <c r="J58" s="1">
        <v>100</v>
      </c>
      <c r="K58" s="1">
        <v>0.96739799999999998</v>
      </c>
      <c r="M58" s="21" t="str">
        <f>_xlfn.XLOOKUP(Bash2[[#This Row],[Metodo]],TbSolver[Metodo],TbSolver[Solver])</f>
        <v>AdamsBashford</v>
      </c>
      <c r="N58" s="21" t="str">
        <f>_xlfn.XLOOKUP(Bash2[[#This Row],[Hebras]],TbTecnologia[Hebras],TbTecnologia[Tecnología])</f>
        <v>OMP</v>
      </c>
      <c r="O58" s="15" t="str" cm="1">
        <f t="array" ref="O58">_xlfn.XLOOKUP(Bash2[[#This Row],[Tecnología]]&amp;Bash2[[#This Row],[Metodo]],TbTipos[Tecnología]&amp;TbTipos[Metodo],TbTipos[Tipo])</f>
        <v>OMP Elementos</v>
      </c>
      <c r="P58" s="16" t="str" cm="1">
        <f t="array" ref="P58">_xlfn.XLOOKUP(Bash2[[#This Row],[Tecnología]]&amp;Bash2[[#This Row],[Problema]],TbNombres[Tecnología]&amp;TbNombres[Problema],TbNombres[Nombre])</f>
        <v>Advdiff1d</v>
      </c>
      <c r="Q58" s="21">
        <v>4</v>
      </c>
      <c r="R58" s="16">
        <v>2</v>
      </c>
      <c r="S58" s="16">
        <v>1</v>
      </c>
      <c r="T58" s="16">
        <v>100</v>
      </c>
      <c r="U58" s="16">
        <v>100</v>
      </c>
      <c r="V58" s="17">
        <v>3.16689</v>
      </c>
      <c r="X58" s="6" t="str">
        <f>_xlfn.XLOOKUP(Bash3[[#This Row],[Metodo]],TbSolver[Metodo],TbSolver[Solver])</f>
        <v>AdamsBashford</v>
      </c>
      <c r="Y58" s="6" t="str">
        <f>_xlfn.XLOOKUP(Bash3[[#This Row],[Hebras]],TbTecnologia[Hebras],TbTecnologia[Tecnología])</f>
        <v>CUDA</v>
      </c>
      <c r="Z58" s="2" t="str" cm="1">
        <f t="array" ref="Z58">_xlfn.XLOOKUP(Bash3[[#This Row],[Tecnología]]&amp;Bash3[[#This Row],[Metodo]],TbTipos[Tecnología]&amp;TbTipos[Metodo],TbTipos[Tipo])</f>
        <v>CUDA sin graph</v>
      </c>
      <c r="AA58" s="2" t="str" cm="1">
        <f t="array" ref="AA58">_xlfn.XLOOKUP(Bash3[[#This Row],[Tecnología]]&amp;Bash3[[#This Row],[Problema]],TbNombres[Tecnología]&amp;TbNombres[Problema],TbNombres[Nombre])</f>
        <v>Brusselator1d</v>
      </c>
      <c r="AB58" s="2">
        <v>3</v>
      </c>
      <c r="AC58" s="2">
        <v>5</v>
      </c>
      <c r="AD58" s="2">
        <v>256</v>
      </c>
      <c r="AE58" s="2">
        <v>100000</v>
      </c>
      <c r="AF58" s="2">
        <v>200000</v>
      </c>
      <c r="AG58" s="2">
        <v>31.215399999999999</v>
      </c>
    </row>
    <row r="59" spans="2:33" x14ac:dyDescent="0.2">
      <c r="B59" s="1" t="str">
        <f>_xlfn.XLOOKUP(Bash1[[#This Row],[Metodo]],TbSolver[Metodo],TbSolver[Solver])</f>
        <v>AdamsBashford</v>
      </c>
      <c r="C59" s="1" t="str">
        <f>_xlfn.XLOOKUP(Bash1[[#This Row],[Hebras]],TbTecnologia[Hebras],TbTecnologia[Tecnología])</f>
        <v>OMP</v>
      </c>
      <c r="D59" s="5" t="str" cm="1">
        <f t="array" ref="D59">_xlfn.XLOOKUP(Bash1[[#This Row],[Tecnología]]&amp;Bash1[[#This Row],[Metodo]],TbTipos[Tecnología]&amp;TbTipos[Metodo],TbTipos[Tipo])</f>
        <v>OMP Elementos</v>
      </c>
      <c r="E59" s="1" t="str" cm="1">
        <f t="array" ref="E59">_xlfn.XLOOKUP(Bash1[[#This Row],[Tecnología]]&amp;Bash1[[#This Row],[Problema]],TbNombres[Tecnología]&amp;TbNombres[Problema],TbNombres[Nombre])</f>
        <v>Simple Advdiff</v>
      </c>
      <c r="F59" s="1">
        <v>4</v>
      </c>
      <c r="G59" s="1">
        <v>1</v>
      </c>
      <c r="H59" s="1">
        <v>4</v>
      </c>
      <c r="I59" s="1">
        <v>100</v>
      </c>
      <c r="J59" s="1">
        <v>100</v>
      </c>
      <c r="K59" s="1">
        <v>4.3358400000000001</v>
      </c>
      <c r="M59" s="21" t="str">
        <f>_xlfn.XLOOKUP(Bash2[[#This Row],[Metodo]],TbSolver[Metodo],TbSolver[Solver])</f>
        <v>AdamsBashford</v>
      </c>
      <c r="N59" s="21" t="str">
        <f>_xlfn.XLOOKUP(Bash2[[#This Row],[Hebras]],TbTecnologia[Hebras],TbTecnologia[Tecnología])</f>
        <v>OMP</v>
      </c>
      <c r="O59" s="15" t="str" cm="1">
        <f t="array" ref="O59">_xlfn.XLOOKUP(Bash2[[#This Row],[Tecnología]]&amp;Bash2[[#This Row],[Metodo]],TbTipos[Tecnología]&amp;TbTipos[Metodo],TbTipos[Tipo])</f>
        <v>OMP Elementos</v>
      </c>
      <c r="P59" s="16" t="str" cm="1">
        <f t="array" ref="P59">_xlfn.XLOOKUP(Bash2[[#This Row],[Tecnología]]&amp;Bash2[[#This Row],[Problema]],TbNombres[Tecnología]&amp;TbNombres[Problema],TbNombres[Nombre])</f>
        <v>Advdiff1d</v>
      </c>
      <c r="Q59" s="21">
        <v>4</v>
      </c>
      <c r="R59" s="16">
        <v>2</v>
      </c>
      <c r="S59" s="16">
        <v>4</v>
      </c>
      <c r="T59" s="16">
        <v>100</v>
      </c>
      <c r="U59" s="16">
        <v>100</v>
      </c>
      <c r="V59" s="17">
        <v>5.38103</v>
      </c>
      <c r="X59" s="6" t="str">
        <f>_xlfn.XLOOKUP(Bash3[[#This Row],[Metodo]],TbSolver[Metodo],TbSolver[Solver])</f>
        <v>AdamsBashford</v>
      </c>
      <c r="Y59" s="6" t="str">
        <f>_xlfn.XLOOKUP(Bash3[[#This Row],[Hebras]],TbTecnologia[Hebras],TbTecnologia[Tecnología])</f>
        <v>CUDA</v>
      </c>
      <c r="Z59" s="2" t="str" cm="1">
        <f t="array" ref="Z59">_xlfn.XLOOKUP(Bash3[[#This Row],[Tecnología]]&amp;Bash3[[#This Row],[Metodo]],TbTipos[Tecnología]&amp;TbTipos[Metodo],TbTipos[Tipo])</f>
        <v>CUDA sin graph</v>
      </c>
      <c r="AA59" s="2" t="str" cm="1">
        <f t="array" ref="AA59">_xlfn.XLOOKUP(Bash3[[#This Row],[Tecnología]]&amp;Bash3[[#This Row],[Problema]],TbNombres[Tecnología]&amp;TbNombres[Problema],TbNombres[Nombre])</f>
        <v>Brusselator1d</v>
      </c>
      <c r="AB59" s="2">
        <v>3</v>
      </c>
      <c r="AC59" s="2">
        <v>7</v>
      </c>
      <c r="AD59" s="2">
        <v>256</v>
      </c>
      <c r="AE59" s="2">
        <v>200000</v>
      </c>
      <c r="AF59" s="2">
        <v>400000</v>
      </c>
      <c r="AG59" s="2">
        <v>62.265799999999999</v>
      </c>
    </row>
    <row r="60" spans="2:33" x14ac:dyDescent="0.2">
      <c r="B60" s="1" t="str">
        <f>_xlfn.XLOOKUP(Bash1[[#This Row],[Metodo]],TbSolver[Metodo],TbSolver[Solver])</f>
        <v>AdamsBashford</v>
      </c>
      <c r="C60" s="1" t="str">
        <f>_xlfn.XLOOKUP(Bash1[[#This Row],[Hebras]],TbTecnologia[Hebras],TbTecnologia[Tecnología])</f>
        <v>OMP</v>
      </c>
      <c r="D60" s="5" t="str" cm="1">
        <f t="array" ref="D60">_xlfn.XLOOKUP(Bash1[[#This Row],[Tecnología]]&amp;Bash1[[#This Row],[Metodo]],TbTipos[Tecnología]&amp;TbTipos[Metodo],TbTipos[Tipo])</f>
        <v>OMP Elementos</v>
      </c>
      <c r="E60" s="1" t="str" cm="1">
        <f t="array" ref="E60">_xlfn.XLOOKUP(Bash1[[#This Row],[Tecnología]]&amp;Bash1[[#This Row],[Problema]],TbNombres[Tecnología]&amp;TbNombres[Problema],TbNombres[Nombre])</f>
        <v>Simple Advdiff</v>
      </c>
      <c r="F60" s="1">
        <v>4</v>
      </c>
      <c r="G60" s="1">
        <v>1</v>
      </c>
      <c r="H60" s="1">
        <v>16</v>
      </c>
      <c r="I60" s="1">
        <v>100</v>
      </c>
      <c r="J60" s="1">
        <v>100</v>
      </c>
      <c r="K60" s="1">
        <v>18.105</v>
      </c>
      <c r="M60" s="21" t="str">
        <f>_xlfn.XLOOKUP(Bash2[[#This Row],[Metodo]],TbSolver[Metodo],TbSolver[Solver])</f>
        <v>AdamsBashford</v>
      </c>
      <c r="N60" s="21" t="str">
        <f>_xlfn.XLOOKUP(Bash2[[#This Row],[Hebras]],TbTecnologia[Hebras],TbTecnologia[Tecnología])</f>
        <v>OMP</v>
      </c>
      <c r="O60" s="15" t="str" cm="1">
        <f t="array" ref="O60">_xlfn.XLOOKUP(Bash2[[#This Row],[Tecnología]]&amp;Bash2[[#This Row],[Metodo]],TbTipos[Tecnología]&amp;TbTipos[Metodo],TbTipos[Tipo])</f>
        <v>OMP Elementos</v>
      </c>
      <c r="P60" s="16" t="str" cm="1">
        <f t="array" ref="P60">_xlfn.XLOOKUP(Bash2[[#This Row],[Tecnología]]&amp;Bash2[[#This Row],[Problema]],TbNombres[Tecnología]&amp;TbNombres[Problema],TbNombres[Nombre])</f>
        <v>Advdiff1d</v>
      </c>
      <c r="Q60" s="21">
        <v>4</v>
      </c>
      <c r="R60" s="16">
        <v>2</v>
      </c>
      <c r="S60" s="16">
        <v>16</v>
      </c>
      <c r="T60" s="16">
        <v>100</v>
      </c>
      <c r="U60" s="16">
        <v>100</v>
      </c>
      <c r="V60" s="17">
        <v>10.819800000000001</v>
      </c>
      <c r="X60" s="6" t="str">
        <f>_xlfn.XLOOKUP(Bash3[[#This Row],[Metodo]],TbSolver[Metodo],TbSolver[Solver])</f>
        <v>AdamsBashford</v>
      </c>
      <c r="Y60" s="6" t="str">
        <f>_xlfn.XLOOKUP(Bash3[[#This Row],[Hebras]],TbTecnologia[Hebras],TbTecnologia[Tecnología])</f>
        <v>CUDA</v>
      </c>
      <c r="Z60" s="2" t="str" cm="1">
        <f t="array" ref="Z60">_xlfn.XLOOKUP(Bash3[[#This Row],[Tecnología]]&amp;Bash3[[#This Row],[Metodo]],TbTipos[Tecnología]&amp;TbTipos[Metodo],TbTipos[Tipo])</f>
        <v>CUDA sin graph</v>
      </c>
      <c r="AA60" s="2" t="str" cm="1">
        <f t="array" ref="AA60">_xlfn.XLOOKUP(Bash3[[#This Row],[Tecnología]]&amp;Bash3[[#This Row],[Problema]],TbNombres[Tecnología]&amp;TbNombres[Problema],TbNombres[Nombre])</f>
        <v>Brusselator1d</v>
      </c>
      <c r="AB60" s="2">
        <v>3</v>
      </c>
      <c r="AC60" s="2">
        <v>6</v>
      </c>
      <c r="AD60" s="2">
        <v>256</v>
      </c>
      <c r="AE60" s="2">
        <v>200000</v>
      </c>
      <c r="AF60" s="2">
        <v>400000</v>
      </c>
      <c r="AG60" s="2">
        <v>64.066100000000006</v>
      </c>
    </row>
    <row r="61" spans="2:33" x14ac:dyDescent="0.2">
      <c r="B61" s="1" t="str">
        <f>_xlfn.XLOOKUP(Bash1[[#This Row],[Metodo]],TbSolver[Metodo],TbSolver[Solver])</f>
        <v>AdamsBashford</v>
      </c>
      <c r="C61" s="1" t="str">
        <f>_xlfn.XLOOKUP(Bash1[[#This Row],[Hebras]],TbTecnologia[Hebras],TbTecnologia[Tecnología])</f>
        <v>OMP</v>
      </c>
      <c r="D61" s="5" t="str" cm="1">
        <f t="array" ref="D61">_xlfn.XLOOKUP(Bash1[[#This Row],[Tecnología]]&amp;Bash1[[#This Row],[Metodo]],TbTipos[Tecnología]&amp;TbTipos[Metodo],TbTipos[Tipo])</f>
        <v>OMP Elementos</v>
      </c>
      <c r="E61" s="1" t="str" cm="1">
        <f t="array" ref="E61">_xlfn.XLOOKUP(Bash1[[#This Row],[Tecnología]]&amp;Bash1[[#This Row],[Problema]],TbNombres[Tecnología]&amp;TbNombres[Problema],TbNombres[Nombre])</f>
        <v>Simple Advdiff</v>
      </c>
      <c r="F61" s="1">
        <v>4</v>
      </c>
      <c r="G61" s="1">
        <v>1</v>
      </c>
      <c r="H61" s="1">
        <v>1</v>
      </c>
      <c r="I61" s="1">
        <v>200</v>
      </c>
      <c r="J61" s="1">
        <v>200</v>
      </c>
      <c r="K61" s="1">
        <v>1.4582599999999999</v>
      </c>
      <c r="M61" s="21" t="str">
        <f>_xlfn.XLOOKUP(Bash2[[#This Row],[Metodo]],TbSolver[Metodo],TbSolver[Solver])</f>
        <v>AdamsBashford</v>
      </c>
      <c r="N61" s="21" t="str">
        <f>_xlfn.XLOOKUP(Bash2[[#This Row],[Hebras]],TbTecnologia[Hebras],TbTecnologia[Tecnología])</f>
        <v>OMP</v>
      </c>
      <c r="O61" s="15" t="str" cm="1">
        <f t="array" ref="O61">_xlfn.XLOOKUP(Bash2[[#This Row],[Tecnología]]&amp;Bash2[[#This Row],[Metodo]],TbTipos[Tecnología]&amp;TbTipos[Metodo],TbTipos[Tipo])</f>
        <v>OMP Elementos</v>
      </c>
      <c r="P61" s="16" t="str" cm="1">
        <f t="array" ref="P61">_xlfn.XLOOKUP(Bash2[[#This Row],[Tecnología]]&amp;Bash2[[#This Row],[Problema]],TbNombres[Tecnología]&amp;TbNombres[Problema],TbNombres[Nombre])</f>
        <v>Advdiff1d</v>
      </c>
      <c r="Q61" s="21">
        <v>4</v>
      </c>
      <c r="R61" s="16">
        <v>2</v>
      </c>
      <c r="S61" s="16">
        <v>1</v>
      </c>
      <c r="T61" s="16">
        <v>200</v>
      </c>
      <c r="U61" s="16">
        <v>200</v>
      </c>
      <c r="V61" s="17">
        <v>5.7238499999999997</v>
      </c>
      <c r="X61" s="6" t="str">
        <f>_xlfn.XLOOKUP(Bash3[[#This Row],[Metodo]],TbSolver[Metodo],TbSolver[Solver])</f>
        <v>AdamsBashford</v>
      </c>
      <c r="Y61" s="6" t="str">
        <f>_xlfn.XLOOKUP(Bash3[[#This Row],[Hebras]],TbTecnologia[Hebras],TbTecnologia[Tecnología])</f>
        <v>CUDA</v>
      </c>
      <c r="Z61" s="2" t="str" cm="1">
        <f t="array" ref="Z61">_xlfn.XLOOKUP(Bash3[[#This Row],[Tecnología]]&amp;Bash3[[#This Row],[Metodo]],TbTipos[Tecnología]&amp;TbTipos[Metodo],TbTipos[Tipo])</f>
        <v>CUDA sin graph</v>
      </c>
      <c r="AA61" s="2" t="str" cm="1">
        <f t="array" ref="AA61">_xlfn.XLOOKUP(Bash3[[#This Row],[Tecnología]]&amp;Bash3[[#This Row],[Problema]],TbNombres[Tecnología]&amp;TbNombres[Problema],TbNombres[Nombre])</f>
        <v>Brusselator1d</v>
      </c>
      <c r="AB61" s="2">
        <v>3</v>
      </c>
      <c r="AC61" s="2">
        <v>5</v>
      </c>
      <c r="AD61" s="2">
        <v>256</v>
      </c>
      <c r="AE61" s="2">
        <v>200000</v>
      </c>
      <c r="AF61" s="2">
        <v>400000</v>
      </c>
      <c r="AG61" s="2">
        <v>64.316400000000002</v>
      </c>
    </row>
    <row r="62" spans="2:33" x14ac:dyDescent="0.2">
      <c r="B62" s="1" t="str">
        <f>_xlfn.XLOOKUP(Bash1[[#This Row],[Metodo]],TbSolver[Metodo],TbSolver[Solver])</f>
        <v>AdamsBashford</v>
      </c>
      <c r="C62" s="1" t="str">
        <f>_xlfn.XLOOKUP(Bash1[[#This Row],[Hebras]],TbTecnologia[Hebras],TbTecnologia[Tecnología])</f>
        <v>OMP</v>
      </c>
      <c r="D62" s="5" t="str" cm="1">
        <f t="array" ref="D62">_xlfn.XLOOKUP(Bash1[[#This Row],[Tecnología]]&amp;Bash1[[#This Row],[Metodo]],TbTipos[Tecnología]&amp;TbTipos[Metodo],TbTipos[Tipo])</f>
        <v>OMP Elementos</v>
      </c>
      <c r="E62" s="1" t="str" cm="1">
        <f t="array" ref="E62">_xlfn.XLOOKUP(Bash1[[#This Row],[Tecnología]]&amp;Bash1[[#This Row],[Problema]],TbNombres[Tecnología]&amp;TbNombres[Problema],TbNombres[Nombre])</f>
        <v>Simple Advdiff</v>
      </c>
      <c r="F62" s="1">
        <v>4</v>
      </c>
      <c r="G62" s="1">
        <v>1</v>
      </c>
      <c r="H62" s="1">
        <v>4</v>
      </c>
      <c r="I62" s="1">
        <v>200</v>
      </c>
      <c r="J62" s="1">
        <v>200</v>
      </c>
      <c r="K62" s="1">
        <v>4.4360600000000003</v>
      </c>
      <c r="M62" s="21" t="str">
        <f>_xlfn.XLOOKUP(Bash2[[#This Row],[Metodo]],TbSolver[Metodo],TbSolver[Solver])</f>
        <v>AdamsBashford</v>
      </c>
      <c r="N62" s="21" t="str">
        <f>_xlfn.XLOOKUP(Bash2[[#This Row],[Hebras]],TbTecnologia[Hebras],TbTecnologia[Tecnología])</f>
        <v>OMP</v>
      </c>
      <c r="O62" s="15" t="str" cm="1">
        <f t="array" ref="O62">_xlfn.XLOOKUP(Bash2[[#This Row],[Tecnología]]&amp;Bash2[[#This Row],[Metodo]],TbTipos[Tecnología]&amp;TbTipos[Metodo],TbTipos[Tipo])</f>
        <v>OMP Elementos</v>
      </c>
      <c r="P62" s="16" t="str" cm="1">
        <f t="array" ref="P62">_xlfn.XLOOKUP(Bash2[[#This Row],[Tecnología]]&amp;Bash2[[#This Row],[Problema]],TbNombres[Tecnología]&amp;TbNombres[Problema],TbNombres[Nombre])</f>
        <v>Advdiff1d</v>
      </c>
      <c r="Q62" s="21">
        <v>4</v>
      </c>
      <c r="R62" s="16">
        <v>2</v>
      </c>
      <c r="S62" s="16">
        <v>4</v>
      </c>
      <c r="T62" s="16">
        <v>200</v>
      </c>
      <c r="U62" s="16">
        <v>200</v>
      </c>
      <c r="V62" s="17">
        <v>6.0631399999999998</v>
      </c>
      <c r="X62" s="6" t="str">
        <f>_xlfn.XLOOKUP(Bash3[[#This Row],[Metodo]],TbSolver[Metodo],TbSolver[Solver])</f>
        <v>AdamsBashford</v>
      </c>
      <c r="Y62" s="6" t="str">
        <f>_xlfn.XLOOKUP(Bash3[[#This Row],[Hebras]],TbTecnologia[Hebras],TbTecnologia[Tecnología])</f>
        <v>CUDA</v>
      </c>
      <c r="Z62" s="2" t="str" cm="1">
        <f t="array" ref="Z62">_xlfn.XLOOKUP(Bash3[[#This Row],[Tecnología]]&amp;Bash3[[#This Row],[Metodo]],TbTipos[Tecnología]&amp;TbTipos[Metodo],TbTipos[Tipo])</f>
        <v>CUDA sin graph</v>
      </c>
      <c r="AA62" s="2" t="str" cm="1">
        <f t="array" ref="AA62">_xlfn.XLOOKUP(Bash3[[#This Row],[Tecnología]]&amp;Bash3[[#This Row],[Problema]],TbNombres[Tecnología]&amp;TbNombres[Problema],TbNombres[Nombre])</f>
        <v>Brusselator1d</v>
      </c>
      <c r="AB62" s="2">
        <v>3</v>
      </c>
      <c r="AC62" s="2">
        <v>5</v>
      </c>
      <c r="AD62" s="2">
        <v>256</v>
      </c>
      <c r="AE62" s="2">
        <v>200000</v>
      </c>
      <c r="AF62" s="2">
        <v>400000</v>
      </c>
      <c r="AG62" s="2">
        <v>64.938500000000005</v>
      </c>
    </row>
    <row r="63" spans="2:33" x14ac:dyDescent="0.2">
      <c r="B63" s="1" t="str">
        <f>_xlfn.XLOOKUP(Bash1[[#This Row],[Metodo]],TbSolver[Metodo],TbSolver[Solver])</f>
        <v>AdamsBashford</v>
      </c>
      <c r="C63" s="1" t="str">
        <f>_xlfn.XLOOKUP(Bash1[[#This Row],[Hebras]],TbTecnologia[Hebras],TbTecnologia[Tecnología])</f>
        <v>OMP</v>
      </c>
      <c r="D63" s="5" t="str" cm="1">
        <f t="array" ref="D63">_xlfn.XLOOKUP(Bash1[[#This Row],[Tecnología]]&amp;Bash1[[#This Row],[Metodo]],TbTipos[Tecnología]&amp;TbTipos[Metodo],TbTipos[Tipo])</f>
        <v>OMP Elementos</v>
      </c>
      <c r="E63" s="1" t="str" cm="1">
        <f t="array" ref="E63">_xlfn.XLOOKUP(Bash1[[#This Row],[Tecnología]]&amp;Bash1[[#This Row],[Problema]],TbNombres[Tecnología]&amp;TbNombres[Problema],TbNombres[Nombre])</f>
        <v>Simple Advdiff</v>
      </c>
      <c r="F63" s="1">
        <v>4</v>
      </c>
      <c r="G63" s="1">
        <v>1</v>
      </c>
      <c r="H63" s="1">
        <v>16</v>
      </c>
      <c r="I63" s="1">
        <v>200</v>
      </c>
      <c r="J63" s="1">
        <v>200</v>
      </c>
      <c r="K63" s="1">
        <v>11.6637</v>
      </c>
      <c r="M63" s="21" t="str">
        <f>_xlfn.XLOOKUP(Bash2[[#This Row],[Metodo]],TbSolver[Metodo],TbSolver[Solver])</f>
        <v>AdamsBashford</v>
      </c>
      <c r="N63" s="21" t="str">
        <f>_xlfn.XLOOKUP(Bash2[[#This Row],[Hebras]],TbTecnologia[Hebras],TbTecnologia[Tecnología])</f>
        <v>OMP</v>
      </c>
      <c r="O63" s="15" t="str" cm="1">
        <f t="array" ref="O63">_xlfn.XLOOKUP(Bash2[[#This Row],[Tecnología]]&amp;Bash2[[#This Row],[Metodo]],TbTipos[Tecnología]&amp;TbTipos[Metodo],TbTipos[Tipo])</f>
        <v>OMP Elementos</v>
      </c>
      <c r="P63" s="16" t="str" cm="1">
        <f t="array" ref="P63">_xlfn.XLOOKUP(Bash2[[#This Row],[Tecnología]]&amp;Bash2[[#This Row],[Problema]],TbNombres[Tecnología]&amp;TbNombres[Problema],TbNombres[Nombre])</f>
        <v>Advdiff1d</v>
      </c>
      <c r="Q63" s="21">
        <v>4</v>
      </c>
      <c r="R63" s="16">
        <v>2</v>
      </c>
      <c r="S63" s="16">
        <v>16</v>
      </c>
      <c r="T63" s="16">
        <v>200</v>
      </c>
      <c r="U63" s="16">
        <v>200</v>
      </c>
      <c r="V63" s="17">
        <v>11.5939</v>
      </c>
      <c r="X63" s="6" t="str">
        <f>_xlfn.XLOOKUP(Bash3[[#This Row],[Metodo]],TbSolver[Metodo],TbSolver[Solver])</f>
        <v>AdamsBashford</v>
      </c>
      <c r="Y63" s="6" t="str">
        <f>_xlfn.XLOOKUP(Bash3[[#This Row],[Hebras]],TbTecnologia[Hebras],TbTecnologia[Tecnología])</f>
        <v>OMP</v>
      </c>
      <c r="Z63" s="7" t="str" cm="1">
        <f t="array" ref="Z63">_xlfn.XLOOKUP(Bash3[[#This Row],[Tecnología]]&amp;Bash3[[#This Row],[Metodo]],TbTipos[Tecnología]&amp;TbTipos[Metodo],TbTipos[Tipo])</f>
        <v>OMP Operaciones</v>
      </c>
      <c r="AA63" s="6" t="str" cm="1">
        <f t="array" ref="AA63">_xlfn.XLOOKUP(Bash3[[#This Row],[Tecnología]]&amp;Bash3[[#This Row],[Problema]],TbNombres[Tecnología]&amp;TbNombres[Problema],TbNombres[Nombre])</f>
        <v>Brusselator1d</v>
      </c>
      <c r="AB63" s="6">
        <v>3</v>
      </c>
      <c r="AC63" s="6">
        <v>3</v>
      </c>
      <c r="AD63" s="6">
        <v>1</v>
      </c>
      <c r="AE63" s="6">
        <v>100</v>
      </c>
      <c r="AF63" s="6">
        <v>200</v>
      </c>
      <c r="AG63" s="6">
        <v>2.05783</v>
      </c>
    </row>
    <row r="64" spans="2:33" x14ac:dyDescent="0.2">
      <c r="B64" s="1" t="str">
        <f>_xlfn.XLOOKUP(Bash1[[#This Row],[Metodo]],TbSolver[Metodo],TbSolver[Solver])</f>
        <v>AdamsBashford</v>
      </c>
      <c r="C64" s="1" t="str">
        <f>_xlfn.XLOOKUP(Bash1[[#This Row],[Hebras]],TbTecnologia[Hebras],TbTecnologia[Tecnología])</f>
        <v>OMP</v>
      </c>
      <c r="D64" s="5" t="str" cm="1">
        <f t="array" ref="D64">_xlfn.XLOOKUP(Bash1[[#This Row],[Tecnología]]&amp;Bash1[[#This Row],[Metodo]],TbTipos[Tecnología]&amp;TbTipos[Metodo],TbTipos[Tipo])</f>
        <v>OMP Elementos</v>
      </c>
      <c r="E64" s="1" t="str" cm="1">
        <f t="array" ref="E64">_xlfn.XLOOKUP(Bash1[[#This Row],[Tecnología]]&amp;Bash1[[#This Row],[Problema]],TbNombres[Tecnología]&amp;TbNombres[Problema],TbNombres[Nombre])</f>
        <v>Simple Advdiff</v>
      </c>
      <c r="F64" s="1">
        <v>4</v>
      </c>
      <c r="G64" s="1">
        <v>1</v>
      </c>
      <c r="H64" s="1">
        <v>1</v>
      </c>
      <c r="I64" s="1">
        <v>500</v>
      </c>
      <c r="J64" s="1">
        <v>500</v>
      </c>
      <c r="K64" s="1">
        <v>2.9785400000000002</v>
      </c>
      <c r="M64" s="21" t="str">
        <f>_xlfn.XLOOKUP(Bash2[[#This Row],[Metodo]],TbSolver[Metodo],TbSolver[Solver])</f>
        <v>AdamsBashford</v>
      </c>
      <c r="N64" s="21" t="str">
        <f>_xlfn.XLOOKUP(Bash2[[#This Row],[Hebras]],TbTecnologia[Hebras],TbTecnologia[Tecnología])</f>
        <v>OMP</v>
      </c>
      <c r="O64" s="15" t="str" cm="1">
        <f t="array" ref="O64">_xlfn.XLOOKUP(Bash2[[#This Row],[Tecnología]]&amp;Bash2[[#This Row],[Metodo]],TbTipos[Tecnología]&amp;TbTipos[Metodo],TbTipos[Tipo])</f>
        <v>OMP Elementos</v>
      </c>
      <c r="P64" s="16" t="str" cm="1">
        <f t="array" ref="P64">_xlfn.XLOOKUP(Bash2[[#This Row],[Tecnología]]&amp;Bash2[[#This Row],[Problema]],TbNombres[Tecnología]&amp;TbNombres[Problema],TbNombres[Nombre])</f>
        <v>Advdiff1d</v>
      </c>
      <c r="Q64" s="21">
        <v>4</v>
      </c>
      <c r="R64" s="16">
        <v>2</v>
      </c>
      <c r="S64" s="16">
        <v>1</v>
      </c>
      <c r="T64" s="16">
        <v>500</v>
      </c>
      <c r="U64" s="16">
        <v>500</v>
      </c>
      <c r="V64" s="17">
        <v>13.8065</v>
      </c>
      <c r="X64" s="6" t="str">
        <f>_xlfn.XLOOKUP(Bash3[[#This Row],[Metodo]],TbSolver[Metodo],TbSolver[Solver])</f>
        <v>AdamsBashford</v>
      </c>
      <c r="Y64" s="6" t="str">
        <f>_xlfn.XLOOKUP(Bash3[[#This Row],[Hebras]],TbTecnologia[Hebras],TbTecnologia[Tecnología])</f>
        <v>OMP</v>
      </c>
      <c r="Z64" s="7" t="str" cm="1">
        <f t="array" ref="Z64">_xlfn.XLOOKUP(Bash3[[#This Row],[Tecnología]]&amp;Bash3[[#This Row],[Metodo]],TbTipos[Tecnología]&amp;TbTipos[Metodo],TbTipos[Tipo])</f>
        <v>OMP Operaciones</v>
      </c>
      <c r="AA64" s="6" t="str" cm="1">
        <f t="array" ref="AA64">_xlfn.XLOOKUP(Bash3[[#This Row],[Tecnología]]&amp;Bash3[[#This Row],[Problema]],TbNombres[Tecnología]&amp;TbNombres[Problema],TbNombres[Nombre])</f>
        <v>Brusselator1d</v>
      </c>
      <c r="AB64" s="6">
        <v>3</v>
      </c>
      <c r="AC64" s="6">
        <v>3</v>
      </c>
      <c r="AD64" s="6">
        <v>4</v>
      </c>
      <c r="AE64" s="6">
        <v>100</v>
      </c>
      <c r="AF64" s="6">
        <v>200</v>
      </c>
      <c r="AG64" s="6">
        <v>14.2804</v>
      </c>
    </row>
    <row r="65" spans="2:33" x14ac:dyDescent="0.2">
      <c r="B65" s="1" t="str">
        <f>_xlfn.XLOOKUP(Bash1[[#This Row],[Metodo]],TbSolver[Metodo],TbSolver[Solver])</f>
        <v>AdamsBashford</v>
      </c>
      <c r="C65" s="1" t="str">
        <f>_xlfn.XLOOKUP(Bash1[[#This Row],[Hebras]],TbTecnologia[Hebras],TbTecnologia[Tecnología])</f>
        <v>OMP</v>
      </c>
      <c r="D65" s="5" t="str" cm="1">
        <f t="array" ref="D65">_xlfn.XLOOKUP(Bash1[[#This Row],[Tecnología]]&amp;Bash1[[#This Row],[Metodo]],TbTipos[Tecnología]&amp;TbTipos[Metodo],TbTipos[Tipo])</f>
        <v>OMP Elementos</v>
      </c>
      <c r="E65" s="1" t="str" cm="1">
        <f t="array" ref="E65">_xlfn.XLOOKUP(Bash1[[#This Row],[Tecnología]]&amp;Bash1[[#This Row],[Problema]],TbNombres[Tecnología]&amp;TbNombres[Problema],TbNombres[Nombre])</f>
        <v>Simple Advdiff</v>
      </c>
      <c r="F65" s="1">
        <v>4</v>
      </c>
      <c r="G65" s="1">
        <v>1</v>
      </c>
      <c r="H65" s="1">
        <v>4</v>
      </c>
      <c r="I65" s="1">
        <v>500</v>
      </c>
      <c r="J65" s="1">
        <v>500</v>
      </c>
      <c r="K65" s="1">
        <v>5.1633300000000002</v>
      </c>
      <c r="M65" s="21" t="str">
        <f>_xlfn.XLOOKUP(Bash2[[#This Row],[Metodo]],TbSolver[Metodo],TbSolver[Solver])</f>
        <v>AdamsBashford</v>
      </c>
      <c r="N65" s="21" t="str">
        <f>_xlfn.XLOOKUP(Bash2[[#This Row],[Hebras]],TbTecnologia[Hebras],TbTecnologia[Tecnología])</f>
        <v>OMP</v>
      </c>
      <c r="O65" s="15" t="str" cm="1">
        <f t="array" ref="O65">_xlfn.XLOOKUP(Bash2[[#This Row],[Tecnología]]&amp;Bash2[[#This Row],[Metodo]],TbTipos[Tecnología]&amp;TbTipos[Metodo],TbTipos[Tipo])</f>
        <v>OMP Elementos</v>
      </c>
      <c r="P65" s="16" t="str" cm="1">
        <f t="array" ref="P65">_xlfn.XLOOKUP(Bash2[[#This Row],[Tecnología]]&amp;Bash2[[#This Row],[Problema]],TbNombres[Tecnología]&amp;TbNombres[Problema],TbNombres[Nombre])</f>
        <v>Advdiff1d</v>
      </c>
      <c r="Q65" s="21">
        <v>4</v>
      </c>
      <c r="R65" s="16">
        <v>2</v>
      </c>
      <c r="S65" s="16">
        <v>4</v>
      </c>
      <c r="T65" s="16">
        <v>500</v>
      </c>
      <c r="U65" s="16">
        <v>500</v>
      </c>
      <c r="V65" s="17">
        <v>7.9635499999999997</v>
      </c>
      <c r="X65" s="6" t="str">
        <f>_xlfn.XLOOKUP(Bash3[[#This Row],[Metodo]],TbSolver[Metodo],TbSolver[Solver])</f>
        <v>AdamsBashford</v>
      </c>
      <c r="Y65" s="6" t="str">
        <f>_xlfn.XLOOKUP(Bash3[[#This Row],[Hebras]],TbTecnologia[Hebras],TbTecnologia[Tecnología])</f>
        <v>OMP</v>
      </c>
      <c r="Z65" s="7" t="str" cm="1">
        <f t="array" ref="Z65">_xlfn.XLOOKUP(Bash3[[#This Row],[Tecnología]]&amp;Bash3[[#This Row],[Metodo]],TbTipos[Tecnología]&amp;TbTipos[Metodo],TbTipos[Tipo])</f>
        <v>OMP Operaciones</v>
      </c>
      <c r="AA65" s="6" t="str" cm="1">
        <f t="array" ref="AA65">_xlfn.XLOOKUP(Bash3[[#This Row],[Tecnología]]&amp;Bash3[[#This Row],[Problema]],TbNombres[Tecnología]&amp;TbNombres[Problema],TbNombres[Nombre])</f>
        <v>Brusselator1d</v>
      </c>
      <c r="AB65" s="6">
        <v>3</v>
      </c>
      <c r="AC65" s="6">
        <v>3</v>
      </c>
      <c r="AD65" s="6">
        <v>16</v>
      </c>
      <c r="AE65" s="6">
        <v>100</v>
      </c>
      <c r="AF65" s="6">
        <v>200</v>
      </c>
      <c r="AG65" s="6">
        <v>38.778199999999998</v>
      </c>
    </row>
    <row r="66" spans="2:33" x14ac:dyDescent="0.2">
      <c r="B66" s="1" t="str">
        <f>_xlfn.XLOOKUP(Bash1[[#This Row],[Metodo]],TbSolver[Metodo],TbSolver[Solver])</f>
        <v>AdamsBashford</v>
      </c>
      <c r="C66" s="1" t="str">
        <f>_xlfn.XLOOKUP(Bash1[[#This Row],[Hebras]],TbTecnologia[Hebras],TbTecnologia[Tecnología])</f>
        <v>OMP</v>
      </c>
      <c r="D66" s="5" t="str" cm="1">
        <f t="array" ref="D66">_xlfn.XLOOKUP(Bash1[[#This Row],[Tecnología]]&amp;Bash1[[#This Row],[Metodo]],TbTipos[Tecnología]&amp;TbTipos[Metodo],TbTipos[Tipo])</f>
        <v>OMP Elementos</v>
      </c>
      <c r="E66" s="1" t="str" cm="1">
        <f t="array" ref="E66">_xlfn.XLOOKUP(Bash1[[#This Row],[Tecnología]]&amp;Bash1[[#This Row],[Problema]],TbNombres[Tecnología]&amp;TbNombres[Problema],TbNombres[Nombre])</f>
        <v>Simple Advdiff</v>
      </c>
      <c r="F66" s="1">
        <v>4</v>
      </c>
      <c r="G66" s="1">
        <v>1</v>
      </c>
      <c r="H66" s="1">
        <v>16</v>
      </c>
      <c r="I66" s="1">
        <v>500</v>
      </c>
      <c r="J66" s="1">
        <v>500</v>
      </c>
      <c r="K66" s="1">
        <v>26.898399999999999</v>
      </c>
      <c r="M66" s="21" t="str">
        <f>_xlfn.XLOOKUP(Bash2[[#This Row],[Metodo]],TbSolver[Metodo],TbSolver[Solver])</f>
        <v>AdamsBashford</v>
      </c>
      <c r="N66" s="21" t="str">
        <f>_xlfn.XLOOKUP(Bash2[[#This Row],[Hebras]],TbTecnologia[Hebras],TbTecnologia[Tecnología])</f>
        <v>OMP</v>
      </c>
      <c r="O66" s="15" t="str" cm="1">
        <f t="array" ref="O66">_xlfn.XLOOKUP(Bash2[[#This Row],[Tecnología]]&amp;Bash2[[#This Row],[Metodo]],TbTipos[Tecnología]&amp;TbTipos[Metodo],TbTipos[Tipo])</f>
        <v>OMP Elementos</v>
      </c>
      <c r="P66" s="16" t="str" cm="1">
        <f t="array" ref="P66">_xlfn.XLOOKUP(Bash2[[#This Row],[Tecnología]]&amp;Bash2[[#This Row],[Problema]],TbNombres[Tecnología]&amp;TbNombres[Problema],TbNombres[Nombre])</f>
        <v>Advdiff1d</v>
      </c>
      <c r="Q66" s="21">
        <v>4</v>
      </c>
      <c r="R66" s="16">
        <v>2</v>
      </c>
      <c r="S66" s="16">
        <v>16</v>
      </c>
      <c r="T66" s="16">
        <v>500</v>
      </c>
      <c r="U66" s="16">
        <v>500</v>
      </c>
      <c r="V66" s="17">
        <v>20.573</v>
      </c>
      <c r="X66" s="6" t="str">
        <f>_xlfn.XLOOKUP(Bash3[[#This Row],[Metodo]],TbSolver[Metodo],TbSolver[Solver])</f>
        <v>AdamsBashford</v>
      </c>
      <c r="Y66" s="6" t="str">
        <f>_xlfn.XLOOKUP(Bash3[[#This Row],[Hebras]],TbTecnologia[Hebras],TbTecnologia[Tecnología])</f>
        <v>OMP</v>
      </c>
      <c r="Z66" s="7" t="str" cm="1">
        <f t="array" ref="Z66">_xlfn.XLOOKUP(Bash3[[#This Row],[Tecnología]]&amp;Bash3[[#This Row],[Metodo]],TbTipos[Tecnología]&amp;TbTipos[Metodo],TbTipos[Tipo])</f>
        <v>OMP Operaciones</v>
      </c>
      <c r="AA66" s="6" t="str" cm="1">
        <f t="array" ref="AA66">_xlfn.XLOOKUP(Bash3[[#This Row],[Tecnología]]&amp;Bash3[[#This Row],[Problema]],TbNombres[Tecnología]&amp;TbNombres[Problema],TbNombres[Nombre])</f>
        <v>Brusselator1d</v>
      </c>
      <c r="AB66" s="6">
        <v>3</v>
      </c>
      <c r="AC66" s="6">
        <v>3</v>
      </c>
      <c r="AD66" s="6">
        <v>1</v>
      </c>
      <c r="AE66" s="6">
        <v>200</v>
      </c>
      <c r="AF66" s="6">
        <v>400</v>
      </c>
      <c r="AG66" s="6">
        <v>2.63</v>
      </c>
    </row>
    <row r="67" spans="2:33" x14ac:dyDescent="0.2">
      <c r="B67" s="1" t="str">
        <f>_xlfn.XLOOKUP(Bash1[[#This Row],[Metodo]],TbSolver[Metodo],TbSolver[Solver])</f>
        <v>AdamsBashford</v>
      </c>
      <c r="C67" s="1" t="str">
        <f>_xlfn.XLOOKUP(Bash1[[#This Row],[Hebras]],TbTecnologia[Hebras],TbTecnologia[Tecnología])</f>
        <v>OMP</v>
      </c>
      <c r="D67" s="5" t="str" cm="1">
        <f t="array" ref="D67">_xlfn.XLOOKUP(Bash1[[#This Row],[Tecnología]]&amp;Bash1[[#This Row],[Metodo]],TbTipos[Tecnología]&amp;TbTipos[Metodo],TbTipos[Tipo])</f>
        <v>OMP Elementos</v>
      </c>
      <c r="E67" s="1" t="str" cm="1">
        <f t="array" ref="E67">_xlfn.XLOOKUP(Bash1[[#This Row],[Tecnología]]&amp;Bash1[[#This Row],[Problema]],TbNombres[Tecnología]&amp;TbNombres[Problema],TbNombres[Nombre])</f>
        <v>Simple Advdiff</v>
      </c>
      <c r="F67" s="1">
        <v>4</v>
      </c>
      <c r="G67" s="1">
        <v>1</v>
      </c>
      <c r="H67" s="1">
        <v>1</v>
      </c>
      <c r="I67" s="1">
        <v>1000</v>
      </c>
      <c r="J67" s="1">
        <v>1000</v>
      </c>
      <c r="K67" s="1">
        <v>5.4117899999999999</v>
      </c>
      <c r="M67" s="21" t="str">
        <f>_xlfn.XLOOKUP(Bash2[[#This Row],[Metodo]],TbSolver[Metodo],TbSolver[Solver])</f>
        <v>AdamsBashford</v>
      </c>
      <c r="N67" s="21" t="str">
        <f>_xlfn.XLOOKUP(Bash2[[#This Row],[Hebras]],TbTecnologia[Hebras],TbTecnologia[Tecnología])</f>
        <v>OMP</v>
      </c>
      <c r="O67" s="15" t="str" cm="1">
        <f t="array" ref="O67">_xlfn.XLOOKUP(Bash2[[#This Row],[Tecnología]]&amp;Bash2[[#This Row],[Metodo]],TbTipos[Tecnología]&amp;TbTipos[Metodo],TbTipos[Tipo])</f>
        <v>OMP Elementos</v>
      </c>
      <c r="P67" s="16" t="str" cm="1">
        <f t="array" ref="P67">_xlfn.XLOOKUP(Bash2[[#This Row],[Tecnología]]&amp;Bash2[[#This Row],[Problema]],TbNombres[Tecnología]&amp;TbNombres[Problema],TbNombres[Nombre])</f>
        <v>Advdiff1d</v>
      </c>
      <c r="Q67" s="21">
        <v>4</v>
      </c>
      <c r="R67" s="16">
        <v>2</v>
      </c>
      <c r="S67" s="16">
        <v>1</v>
      </c>
      <c r="T67" s="16">
        <v>1000</v>
      </c>
      <c r="U67" s="16">
        <v>1000</v>
      </c>
      <c r="V67" s="17">
        <v>26.942</v>
      </c>
      <c r="X67" s="6" t="str">
        <f>_xlfn.XLOOKUP(Bash3[[#This Row],[Metodo]],TbSolver[Metodo],TbSolver[Solver])</f>
        <v>AdamsBashford</v>
      </c>
      <c r="Y67" s="6" t="str">
        <f>_xlfn.XLOOKUP(Bash3[[#This Row],[Hebras]],TbTecnologia[Hebras],TbTecnologia[Tecnología])</f>
        <v>OMP</v>
      </c>
      <c r="Z67" s="7" t="str" cm="1">
        <f t="array" ref="Z67">_xlfn.XLOOKUP(Bash3[[#This Row],[Tecnología]]&amp;Bash3[[#This Row],[Metodo]],TbTipos[Tecnología]&amp;TbTipos[Metodo],TbTipos[Tipo])</f>
        <v>OMP Operaciones</v>
      </c>
      <c r="AA67" s="6" t="str" cm="1">
        <f t="array" ref="AA67">_xlfn.XLOOKUP(Bash3[[#This Row],[Tecnología]]&amp;Bash3[[#This Row],[Problema]],TbNombres[Tecnología]&amp;TbNombres[Problema],TbNombres[Nombre])</f>
        <v>Brusselator1d</v>
      </c>
      <c r="AB67" s="6">
        <v>3</v>
      </c>
      <c r="AC67" s="6">
        <v>3</v>
      </c>
      <c r="AD67" s="6">
        <v>4</v>
      </c>
      <c r="AE67" s="6">
        <v>200</v>
      </c>
      <c r="AF67" s="6">
        <v>400</v>
      </c>
      <c r="AG67" s="6">
        <v>13.9947</v>
      </c>
    </row>
    <row r="68" spans="2:33" x14ac:dyDescent="0.2">
      <c r="B68" s="1" t="str">
        <f>_xlfn.XLOOKUP(Bash1[[#This Row],[Metodo]],TbSolver[Metodo],TbSolver[Solver])</f>
        <v>AdamsBashford</v>
      </c>
      <c r="C68" s="1" t="str">
        <f>_xlfn.XLOOKUP(Bash1[[#This Row],[Hebras]],TbTecnologia[Hebras],TbTecnologia[Tecnología])</f>
        <v>OMP</v>
      </c>
      <c r="D68" s="5" t="str" cm="1">
        <f t="array" ref="D68">_xlfn.XLOOKUP(Bash1[[#This Row],[Tecnología]]&amp;Bash1[[#This Row],[Metodo]],TbTipos[Tecnología]&amp;TbTipos[Metodo],TbTipos[Tipo])</f>
        <v>OMP Elementos</v>
      </c>
      <c r="E68" s="1" t="str" cm="1">
        <f t="array" ref="E68">_xlfn.XLOOKUP(Bash1[[#This Row],[Tecnología]]&amp;Bash1[[#This Row],[Problema]],TbNombres[Tecnología]&amp;TbNombres[Problema],TbNombres[Nombre])</f>
        <v>Simple Advdiff</v>
      </c>
      <c r="F68" s="1">
        <v>4</v>
      </c>
      <c r="G68" s="1">
        <v>1</v>
      </c>
      <c r="H68" s="1">
        <v>4</v>
      </c>
      <c r="I68" s="1">
        <v>1000</v>
      </c>
      <c r="J68" s="1">
        <v>1000</v>
      </c>
      <c r="K68" s="1">
        <v>5.3016199999999998</v>
      </c>
      <c r="M68" s="21" t="str">
        <f>_xlfn.XLOOKUP(Bash2[[#This Row],[Metodo]],TbSolver[Metodo],TbSolver[Solver])</f>
        <v>AdamsBashford</v>
      </c>
      <c r="N68" s="21" t="str">
        <f>_xlfn.XLOOKUP(Bash2[[#This Row],[Hebras]],TbTecnologia[Hebras],TbTecnologia[Tecnología])</f>
        <v>OMP</v>
      </c>
      <c r="O68" s="15" t="str" cm="1">
        <f t="array" ref="O68">_xlfn.XLOOKUP(Bash2[[#This Row],[Tecnología]]&amp;Bash2[[#This Row],[Metodo]],TbTipos[Tecnología]&amp;TbTipos[Metodo],TbTipos[Tipo])</f>
        <v>OMP Elementos</v>
      </c>
      <c r="P68" s="16" t="str" cm="1">
        <f t="array" ref="P68">_xlfn.XLOOKUP(Bash2[[#This Row],[Tecnología]]&amp;Bash2[[#This Row],[Problema]],TbNombres[Tecnología]&amp;TbNombres[Problema],TbNombres[Nombre])</f>
        <v>Advdiff1d</v>
      </c>
      <c r="Q68" s="21">
        <v>4</v>
      </c>
      <c r="R68" s="16">
        <v>2</v>
      </c>
      <c r="S68" s="16">
        <v>4</v>
      </c>
      <c r="T68" s="16">
        <v>1000</v>
      </c>
      <c r="U68" s="16">
        <v>1000</v>
      </c>
      <c r="V68" s="17">
        <v>11.456200000000001</v>
      </c>
      <c r="X68" s="6" t="str">
        <f>_xlfn.XLOOKUP(Bash3[[#This Row],[Metodo]],TbSolver[Metodo],TbSolver[Solver])</f>
        <v>AdamsBashford</v>
      </c>
      <c r="Y68" s="6" t="str">
        <f>_xlfn.XLOOKUP(Bash3[[#This Row],[Hebras]],TbTecnologia[Hebras],TbTecnologia[Tecnología])</f>
        <v>OMP</v>
      </c>
      <c r="Z68" s="7" t="str" cm="1">
        <f t="array" ref="Z68">_xlfn.XLOOKUP(Bash3[[#This Row],[Tecnología]]&amp;Bash3[[#This Row],[Metodo]],TbTipos[Tecnología]&amp;TbTipos[Metodo],TbTipos[Tipo])</f>
        <v>OMP Operaciones</v>
      </c>
      <c r="AA68" s="6" t="str" cm="1">
        <f t="array" ref="AA68">_xlfn.XLOOKUP(Bash3[[#This Row],[Tecnología]]&amp;Bash3[[#This Row],[Problema]],TbNombres[Tecnología]&amp;TbNombres[Problema],TbNombres[Nombre])</f>
        <v>Brusselator1d</v>
      </c>
      <c r="AB68" s="6">
        <v>3</v>
      </c>
      <c r="AC68" s="6">
        <v>3</v>
      </c>
      <c r="AD68" s="6">
        <v>16</v>
      </c>
      <c r="AE68" s="6">
        <v>200</v>
      </c>
      <c r="AF68" s="6">
        <v>400</v>
      </c>
      <c r="AG68" s="6">
        <v>28.839300000000001</v>
      </c>
    </row>
    <row r="69" spans="2:33" x14ac:dyDescent="0.2">
      <c r="B69" s="1" t="str">
        <f>_xlfn.XLOOKUP(Bash1[[#This Row],[Metodo]],TbSolver[Metodo],TbSolver[Solver])</f>
        <v>AdamsBashford</v>
      </c>
      <c r="C69" s="1" t="str">
        <f>_xlfn.XLOOKUP(Bash1[[#This Row],[Hebras]],TbTecnologia[Hebras],TbTecnologia[Tecnología])</f>
        <v>OMP</v>
      </c>
      <c r="D69" s="5" t="str" cm="1">
        <f t="array" ref="D69">_xlfn.XLOOKUP(Bash1[[#This Row],[Tecnología]]&amp;Bash1[[#This Row],[Metodo]],TbTipos[Tecnología]&amp;TbTipos[Metodo],TbTipos[Tipo])</f>
        <v>OMP Elementos</v>
      </c>
      <c r="E69" s="1" t="str" cm="1">
        <f t="array" ref="E69">_xlfn.XLOOKUP(Bash1[[#This Row],[Tecnología]]&amp;Bash1[[#This Row],[Problema]],TbNombres[Tecnología]&amp;TbNombres[Problema],TbNombres[Nombre])</f>
        <v>Simple Advdiff</v>
      </c>
      <c r="F69" s="1">
        <v>4</v>
      </c>
      <c r="G69" s="1">
        <v>1</v>
      </c>
      <c r="H69" s="1">
        <v>16</v>
      </c>
      <c r="I69" s="1">
        <v>1000</v>
      </c>
      <c r="J69" s="1">
        <v>1000</v>
      </c>
      <c r="K69" s="1">
        <v>9.2106399999999997</v>
      </c>
      <c r="M69" s="21" t="str">
        <f>_xlfn.XLOOKUP(Bash2[[#This Row],[Metodo]],TbSolver[Metodo],TbSolver[Solver])</f>
        <v>AdamsBashford</v>
      </c>
      <c r="N69" s="21" t="str">
        <f>_xlfn.XLOOKUP(Bash2[[#This Row],[Hebras]],TbTecnologia[Hebras],TbTecnologia[Tecnología])</f>
        <v>OMP</v>
      </c>
      <c r="O69" s="18" t="str" cm="1">
        <f t="array" ref="O69">_xlfn.XLOOKUP(Bash2[[#This Row],[Tecnología]]&amp;Bash2[[#This Row],[Metodo]],TbTipos[Tecnología]&amp;TbTipos[Metodo],TbTipos[Tipo])</f>
        <v>OMP Elementos</v>
      </c>
      <c r="P69" s="19" t="str" cm="1">
        <f t="array" ref="P69">_xlfn.XLOOKUP(Bash2[[#This Row],[Tecnología]]&amp;Bash2[[#This Row],[Problema]],TbNombres[Tecnología]&amp;TbNombres[Problema],TbNombres[Nombre])</f>
        <v>Advdiff1d</v>
      </c>
      <c r="Q69" s="21">
        <v>4</v>
      </c>
      <c r="R69" s="19">
        <v>2</v>
      </c>
      <c r="S69" s="19">
        <v>16</v>
      </c>
      <c r="T69" s="19">
        <v>1000</v>
      </c>
      <c r="U69" s="19">
        <v>1000</v>
      </c>
      <c r="V69" s="20">
        <v>76.611400000000003</v>
      </c>
      <c r="X69" s="6" t="str">
        <f>_xlfn.XLOOKUP(Bash3[[#This Row],[Metodo]],TbSolver[Metodo],TbSolver[Solver])</f>
        <v>AdamsBashford</v>
      </c>
      <c r="Y69" s="6" t="str">
        <f>_xlfn.XLOOKUP(Bash3[[#This Row],[Hebras]],TbTecnologia[Hebras],TbTecnologia[Tecnología])</f>
        <v>OMP</v>
      </c>
      <c r="Z69" s="7" t="str" cm="1">
        <f t="array" ref="Z69">_xlfn.XLOOKUP(Bash3[[#This Row],[Tecnología]]&amp;Bash3[[#This Row],[Metodo]],TbTipos[Tecnología]&amp;TbTipos[Metodo],TbTipos[Tipo])</f>
        <v>OMP Operaciones</v>
      </c>
      <c r="AA69" s="6" t="str" cm="1">
        <f t="array" ref="AA69">_xlfn.XLOOKUP(Bash3[[#This Row],[Tecnología]]&amp;Bash3[[#This Row],[Problema]],TbNombres[Tecnología]&amp;TbNombres[Problema],TbNombres[Nombre])</f>
        <v>Brusselator1d</v>
      </c>
      <c r="AB69" s="6">
        <v>3</v>
      </c>
      <c r="AC69" s="6">
        <v>3</v>
      </c>
      <c r="AD69" s="6">
        <v>1</v>
      </c>
      <c r="AE69" s="6">
        <v>500</v>
      </c>
      <c r="AF69" s="6">
        <v>1000</v>
      </c>
      <c r="AG69" s="6">
        <v>4.5126900000000001</v>
      </c>
    </row>
    <row r="70" spans="2:33" x14ac:dyDescent="0.2">
      <c r="X70" s="6" t="str">
        <f>_xlfn.XLOOKUP(Bash3[[#This Row],[Metodo]],TbSolver[Metodo],TbSolver[Solver])</f>
        <v>AdamsBashford</v>
      </c>
      <c r="Y70" s="6" t="str">
        <f>_xlfn.XLOOKUP(Bash3[[#This Row],[Hebras]],TbTecnologia[Hebras],TbTecnologia[Tecnología])</f>
        <v>OMP</v>
      </c>
      <c r="Z70" s="7" t="str" cm="1">
        <f t="array" ref="Z70">_xlfn.XLOOKUP(Bash3[[#This Row],[Tecnología]]&amp;Bash3[[#This Row],[Metodo]],TbTipos[Tecnología]&amp;TbTipos[Metodo],TbTipos[Tipo])</f>
        <v>OMP Operaciones</v>
      </c>
      <c r="AA70" s="6" t="str" cm="1">
        <f t="array" ref="AA70">_xlfn.XLOOKUP(Bash3[[#This Row],[Tecnología]]&amp;Bash3[[#This Row],[Problema]],TbNombres[Tecnología]&amp;TbNombres[Problema],TbNombres[Nombre])</f>
        <v>Brusselator1d</v>
      </c>
      <c r="AB70" s="6">
        <v>3</v>
      </c>
      <c r="AC70" s="6">
        <v>3</v>
      </c>
      <c r="AD70" s="6">
        <v>4</v>
      </c>
      <c r="AE70" s="6">
        <v>500</v>
      </c>
      <c r="AF70" s="6">
        <v>1000</v>
      </c>
      <c r="AG70" s="6">
        <v>15.901400000000001</v>
      </c>
    </row>
    <row r="71" spans="2:33" x14ac:dyDescent="0.2">
      <c r="X71" s="6" t="str">
        <f>_xlfn.XLOOKUP(Bash3[[#This Row],[Metodo]],TbSolver[Metodo],TbSolver[Solver])</f>
        <v>AdamsBashford</v>
      </c>
      <c r="Y71" s="6" t="str">
        <f>_xlfn.XLOOKUP(Bash3[[#This Row],[Hebras]],TbTecnologia[Hebras],TbTecnologia[Tecnología])</f>
        <v>OMP</v>
      </c>
      <c r="Z71" s="7" t="str" cm="1">
        <f t="array" ref="Z71">_xlfn.XLOOKUP(Bash3[[#This Row],[Tecnología]]&amp;Bash3[[#This Row],[Metodo]],TbTipos[Tecnología]&amp;TbTipos[Metodo],TbTipos[Tipo])</f>
        <v>OMP Operaciones</v>
      </c>
      <c r="AA71" s="6" t="str" cm="1">
        <f t="array" ref="AA71">_xlfn.XLOOKUP(Bash3[[#This Row],[Tecnología]]&amp;Bash3[[#This Row],[Problema]],TbNombres[Tecnología]&amp;TbNombres[Problema],TbNombres[Nombre])</f>
        <v>Brusselator1d</v>
      </c>
      <c r="AB71" s="6">
        <v>3</v>
      </c>
      <c r="AC71" s="6">
        <v>3</v>
      </c>
      <c r="AD71" s="6">
        <v>16</v>
      </c>
      <c r="AE71" s="6">
        <v>500</v>
      </c>
      <c r="AF71" s="6">
        <v>1000</v>
      </c>
      <c r="AG71" s="6">
        <v>39.573799999999999</v>
      </c>
    </row>
    <row r="72" spans="2:33" x14ac:dyDescent="0.2">
      <c r="X72" s="6" t="str">
        <f>_xlfn.XLOOKUP(Bash3[[#This Row],[Metodo]],TbSolver[Metodo],TbSolver[Solver])</f>
        <v>AdamsBashford</v>
      </c>
      <c r="Y72" s="6" t="str">
        <f>_xlfn.XLOOKUP(Bash3[[#This Row],[Hebras]],TbTecnologia[Hebras],TbTecnologia[Tecnología])</f>
        <v>OMP</v>
      </c>
      <c r="Z72" s="7" t="str" cm="1">
        <f t="array" ref="Z72">_xlfn.XLOOKUP(Bash3[[#This Row],[Tecnología]]&amp;Bash3[[#This Row],[Metodo]],TbTipos[Tecnología]&amp;TbTipos[Metodo],TbTipos[Tipo])</f>
        <v>OMP Operaciones</v>
      </c>
      <c r="AA72" s="6" t="str" cm="1">
        <f t="array" ref="AA72">_xlfn.XLOOKUP(Bash3[[#This Row],[Tecnología]]&amp;Bash3[[#This Row],[Problema]],TbNombres[Tecnología]&amp;TbNombres[Problema],TbNombres[Nombre])</f>
        <v>Brusselator1d</v>
      </c>
      <c r="AB72" s="6">
        <v>3</v>
      </c>
      <c r="AC72" s="6">
        <v>3</v>
      </c>
      <c r="AD72" s="6">
        <v>1</v>
      </c>
      <c r="AE72" s="6">
        <v>1000</v>
      </c>
      <c r="AF72" s="6">
        <v>2000</v>
      </c>
      <c r="AG72" s="6">
        <v>7.6295599999999997</v>
      </c>
    </row>
    <row r="73" spans="2:33" x14ac:dyDescent="0.2">
      <c r="X73" s="6" t="str">
        <f>_xlfn.XLOOKUP(Bash3[[#This Row],[Metodo]],TbSolver[Metodo],TbSolver[Solver])</f>
        <v>AdamsBashford</v>
      </c>
      <c r="Y73" s="6" t="str">
        <f>_xlfn.XLOOKUP(Bash3[[#This Row],[Hebras]],TbTecnologia[Hebras],TbTecnologia[Tecnología])</f>
        <v>OMP</v>
      </c>
      <c r="Z73" s="7" t="str" cm="1">
        <f t="array" ref="Z73">_xlfn.XLOOKUP(Bash3[[#This Row],[Tecnología]]&amp;Bash3[[#This Row],[Metodo]],TbTipos[Tecnología]&amp;TbTipos[Metodo],TbTipos[Tipo])</f>
        <v>OMP Operaciones</v>
      </c>
      <c r="AA73" s="6" t="str" cm="1">
        <f t="array" ref="AA73">_xlfn.XLOOKUP(Bash3[[#This Row],[Tecnología]]&amp;Bash3[[#This Row],[Problema]],TbNombres[Tecnología]&amp;TbNombres[Problema],TbNombres[Nombre])</f>
        <v>Brusselator1d</v>
      </c>
      <c r="AB73" s="6">
        <v>3</v>
      </c>
      <c r="AC73" s="6">
        <v>3</v>
      </c>
      <c r="AD73" s="6">
        <v>4</v>
      </c>
      <c r="AE73" s="6">
        <v>1000</v>
      </c>
      <c r="AF73" s="6">
        <v>2000</v>
      </c>
      <c r="AG73" s="6">
        <v>15.4558</v>
      </c>
    </row>
    <row r="74" spans="2:33" x14ac:dyDescent="0.2">
      <c r="X74" s="6" t="str">
        <f>_xlfn.XLOOKUP(Bash3[[#This Row],[Metodo]],TbSolver[Metodo],TbSolver[Solver])</f>
        <v>AdamsBashford</v>
      </c>
      <c r="Y74" s="6" t="str">
        <f>_xlfn.XLOOKUP(Bash3[[#This Row],[Hebras]],TbTecnologia[Hebras],TbTecnologia[Tecnología])</f>
        <v>OMP</v>
      </c>
      <c r="Z74" s="7" t="str" cm="1">
        <f t="array" ref="Z74">_xlfn.XLOOKUP(Bash3[[#This Row],[Tecnología]]&amp;Bash3[[#This Row],[Metodo]],TbTipos[Tecnología]&amp;TbTipos[Metodo],TbTipos[Tipo])</f>
        <v>OMP Operaciones</v>
      </c>
      <c r="AA74" s="6" t="str" cm="1">
        <f t="array" ref="AA74">_xlfn.XLOOKUP(Bash3[[#This Row],[Tecnología]]&amp;Bash3[[#This Row],[Problema]],TbNombres[Tecnología]&amp;TbNombres[Problema],TbNombres[Nombre])</f>
        <v>Brusselator1d</v>
      </c>
      <c r="AB74" s="6">
        <v>3</v>
      </c>
      <c r="AC74" s="6">
        <v>3</v>
      </c>
      <c r="AD74" s="6">
        <v>16</v>
      </c>
      <c r="AE74" s="6">
        <v>1000</v>
      </c>
      <c r="AF74" s="6">
        <v>2000</v>
      </c>
      <c r="AG74" s="6">
        <v>31.922799999999999</v>
      </c>
    </row>
    <row r="75" spans="2:33" x14ac:dyDescent="0.2">
      <c r="X75" s="6" t="str">
        <f>_xlfn.XLOOKUP(Bash3[[#This Row],[Metodo]],TbSolver[Metodo],TbSolver[Solver])</f>
        <v>AdamsBashford</v>
      </c>
      <c r="Y75" s="6" t="str">
        <f>_xlfn.XLOOKUP(Bash3[[#This Row],[Hebras]],TbTecnologia[Hebras],TbTecnologia[Tecnología])</f>
        <v>OMP</v>
      </c>
      <c r="Z75" s="7" t="str" cm="1">
        <f t="array" ref="Z75">_xlfn.XLOOKUP(Bash3[[#This Row],[Tecnología]]&amp;Bash3[[#This Row],[Metodo]],TbTipos[Tecnología]&amp;TbTipos[Metodo],TbTipos[Tipo])</f>
        <v>OMP Elementos</v>
      </c>
      <c r="AA75" s="6" t="str" cm="1">
        <f t="array" ref="AA75">_xlfn.XLOOKUP(Bash3[[#This Row],[Tecnología]]&amp;Bash3[[#This Row],[Problema]],TbNombres[Tecnología]&amp;TbNombres[Problema],TbNombres[Nombre])</f>
        <v>Brusselator1d</v>
      </c>
      <c r="AB75" s="6">
        <v>4</v>
      </c>
      <c r="AC75" s="6">
        <v>3</v>
      </c>
      <c r="AD75" s="6">
        <v>1</v>
      </c>
      <c r="AE75" s="6">
        <v>100</v>
      </c>
      <c r="AF75" s="6">
        <v>200</v>
      </c>
      <c r="AG75" s="6">
        <v>1.6834800000000001</v>
      </c>
    </row>
    <row r="76" spans="2:33" x14ac:dyDescent="0.2">
      <c r="X76" s="6" t="str">
        <f>_xlfn.XLOOKUP(Bash3[[#This Row],[Metodo]],TbSolver[Metodo],TbSolver[Solver])</f>
        <v>AdamsBashford</v>
      </c>
      <c r="Y76" s="6" t="str">
        <f>_xlfn.XLOOKUP(Bash3[[#This Row],[Hebras]],TbTecnologia[Hebras],TbTecnologia[Tecnología])</f>
        <v>OMP</v>
      </c>
      <c r="Z76" s="7" t="str" cm="1">
        <f t="array" ref="Z76">_xlfn.XLOOKUP(Bash3[[#This Row],[Tecnología]]&amp;Bash3[[#This Row],[Metodo]],TbTipos[Tecnología]&amp;TbTipos[Metodo],TbTipos[Tipo])</f>
        <v>OMP Elementos</v>
      </c>
      <c r="AA76" s="6" t="str" cm="1">
        <f t="array" ref="AA76">_xlfn.XLOOKUP(Bash3[[#This Row],[Tecnología]]&amp;Bash3[[#This Row],[Problema]],TbNombres[Tecnología]&amp;TbNombres[Problema],TbNombres[Nombre])</f>
        <v>Brusselator1d</v>
      </c>
      <c r="AB76" s="6">
        <v>4</v>
      </c>
      <c r="AC76" s="6">
        <v>3</v>
      </c>
      <c r="AD76" s="6">
        <v>4</v>
      </c>
      <c r="AE76" s="6">
        <v>100</v>
      </c>
      <c r="AF76" s="6">
        <v>200</v>
      </c>
      <c r="AG76" s="6">
        <v>4.3878500000000003</v>
      </c>
    </row>
    <row r="77" spans="2:33" x14ac:dyDescent="0.2">
      <c r="X77" s="6" t="str">
        <f>_xlfn.XLOOKUP(Bash3[[#This Row],[Metodo]],TbSolver[Metodo],TbSolver[Solver])</f>
        <v>AdamsBashford</v>
      </c>
      <c r="Y77" s="6" t="str">
        <f>_xlfn.XLOOKUP(Bash3[[#This Row],[Hebras]],TbTecnologia[Hebras],TbTecnologia[Tecnología])</f>
        <v>OMP</v>
      </c>
      <c r="Z77" s="7" t="str" cm="1">
        <f t="array" ref="Z77">_xlfn.XLOOKUP(Bash3[[#This Row],[Tecnología]]&amp;Bash3[[#This Row],[Metodo]],TbTipos[Tecnología]&amp;TbTipos[Metodo],TbTipos[Tipo])</f>
        <v>OMP Elementos</v>
      </c>
      <c r="AA77" s="6" t="str" cm="1">
        <f t="array" ref="AA77">_xlfn.XLOOKUP(Bash3[[#This Row],[Tecnología]]&amp;Bash3[[#This Row],[Problema]],TbNombres[Tecnología]&amp;TbNombres[Problema],TbNombres[Nombre])</f>
        <v>Brusselator1d</v>
      </c>
      <c r="AB77" s="6">
        <v>4</v>
      </c>
      <c r="AC77" s="6">
        <v>3</v>
      </c>
      <c r="AD77" s="6">
        <v>16</v>
      </c>
      <c r="AE77" s="6">
        <v>100</v>
      </c>
      <c r="AF77" s="6">
        <v>200</v>
      </c>
      <c r="AG77" s="6">
        <v>21.4377</v>
      </c>
    </row>
    <row r="78" spans="2:33" x14ac:dyDescent="0.2">
      <c r="X78" s="6" t="str">
        <f>_xlfn.XLOOKUP(Bash3[[#This Row],[Metodo]],TbSolver[Metodo],TbSolver[Solver])</f>
        <v>AdamsBashford</v>
      </c>
      <c r="Y78" s="6" t="str">
        <f>_xlfn.XLOOKUP(Bash3[[#This Row],[Hebras]],TbTecnologia[Hebras],TbTecnologia[Tecnología])</f>
        <v>OMP</v>
      </c>
      <c r="Z78" s="7" t="str" cm="1">
        <f t="array" ref="Z78">_xlfn.XLOOKUP(Bash3[[#This Row],[Tecnología]]&amp;Bash3[[#This Row],[Metodo]],TbTipos[Tecnología]&amp;TbTipos[Metodo],TbTipos[Tipo])</f>
        <v>OMP Elementos</v>
      </c>
      <c r="AA78" s="6" t="str" cm="1">
        <f t="array" ref="AA78">_xlfn.XLOOKUP(Bash3[[#This Row],[Tecnología]]&amp;Bash3[[#This Row],[Problema]],TbNombres[Tecnología]&amp;TbNombres[Problema],TbNombres[Nombre])</f>
        <v>Brusselator1d</v>
      </c>
      <c r="AB78" s="6">
        <v>4</v>
      </c>
      <c r="AC78" s="6">
        <v>3</v>
      </c>
      <c r="AD78" s="6">
        <v>1</v>
      </c>
      <c r="AE78" s="6">
        <v>200</v>
      </c>
      <c r="AF78" s="6">
        <v>400</v>
      </c>
      <c r="AG78" s="6">
        <v>2.9061900000000001</v>
      </c>
    </row>
    <row r="79" spans="2:33" x14ac:dyDescent="0.2">
      <c r="X79" s="6" t="str">
        <f>_xlfn.XLOOKUP(Bash3[[#This Row],[Metodo]],TbSolver[Metodo],TbSolver[Solver])</f>
        <v>AdamsBashford</v>
      </c>
      <c r="Y79" s="6" t="str">
        <f>_xlfn.XLOOKUP(Bash3[[#This Row],[Hebras]],TbTecnologia[Hebras],TbTecnologia[Tecnología])</f>
        <v>OMP</v>
      </c>
      <c r="Z79" s="7" t="str" cm="1">
        <f t="array" ref="Z79">_xlfn.XLOOKUP(Bash3[[#This Row],[Tecnología]]&amp;Bash3[[#This Row],[Metodo]],TbTipos[Tecnología]&amp;TbTipos[Metodo],TbTipos[Tipo])</f>
        <v>OMP Elementos</v>
      </c>
      <c r="AA79" s="6" t="str" cm="1">
        <f t="array" ref="AA79">_xlfn.XLOOKUP(Bash3[[#This Row],[Tecnología]]&amp;Bash3[[#This Row],[Problema]],TbNombres[Tecnología]&amp;TbNombres[Problema],TbNombres[Nombre])</f>
        <v>Brusselator1d</v>
      </c>
      <c r="AB79" s="6">
        <v>4</v>
      </c>
      <c r="AC79" s="6">
        <v>3</v>
      </c>
      <c r="AD79" s="6">
        <v>4</v>
      </c>
      <c r="AE79" s="6">
        <v>200</v>
      </c>
      <c r="AF79" s="6">
        <v>400</v>
      </c>
      <c r="AG79" s="6">
        <v>5.0616000000000003</v>
      </c>
    </row>
    <row r="80" spans="2:33" x14ac:dyDescent="0.2">
      <c r="X80" s="6" t="str">
        <f>_xlfn.XLOOKUP(Bash3[[#This Row],[Metodo]],TbSolver[Metodo],TbSolver[Solver])</f>
        <v>AdamsBashford</v>
      </c>
      <c r="Y80" s="6" t="str">
        <f>_xlfn.XLOOKUP(Bash3[[#This Row],[Hebras]],TbTecnologia[Hebras],TbTecnologia[Tecnología])</f>
        <v>OMP</v>
      </c>
      <c r="Z80" s="7" t="str" cm="1">
        <f t="array" ref="Z80">_xlfn.XLOOKUP(Bash3[[#This Row],[Tecnología]]&amp;Bash3[[#This Row],[Metodo]],TbTipos[Tecnología]&amp;TbTipos[Metodo],TbTipos[Tipo])</f>
        <v>OMP Elementos</v>
      </c>
      <c r="AA80" s="6" t="str" cm="1">
        <f t="array" ref="AA80">_xlfn.XLOOKUP(Bash3[[#This Row],[Tecnología]]&amp;Bash3[[#This Row],[Problema]],TbNombres[Tecnología]&amp;TbNombres[Problema],TbNombres[Nombre])</f>
        <v>Brusselator1d</v>
      </c>
      <c r="AB80" s="6">
        <v>4</v>
      </c>
      <c r="AC80" s="6">
        <v>3</v>
      </c>
      <c r="AD80" s="6">
        <v>16</v>
      </c>
      <c r="AE80" s="6">
        <v>200</v>
      </c>
      <c r="AF80" s="6">
        <v>400</v>
      </c>
      <c r="AG80" s="6">
        <v>12.112299999999999</v>
      </c>
    </row>
    <row r="81" spans="24:33" x14ac:dyDescent="0.2">
      <c r="X81" s="6" t="str">
        <f>_xlfn.XLOOKUP(Bash3[[#This Row],[Metodo]],TbSolver[Metodo],TbSolver[Solver])</f>
        <v>AdamsBashford</v>
      </c>
      <c r="Y81" s="6" t="str">
        <f>_xlfn.XLOOKUP(Bash3[[#This Row],[Hebras]],TbTecnologia[Hebras],TbTecnologia[Tecnología])</f>
        <v>OMP</v>
      </c>
      <c r="Z81" s="7" t="str" cm="1">
        <f t="array" ref="Z81">_xlfn.XLOOKUP(Bash3[[#This Row],[Tecnología]]&amp;Bash3[[#This Row],[Metodo]],TbTipos[Tecnología]&amp;TbTipos[Metodo],TbTipos[Tipo])</f>
        <v>OMP Elementos</v>
      </c>
      <c r="AA81" s="6" t="str" cm="1">
        <f t="array" ref="AA81">_xlfn.XLOOKUP(Bash3[[#This Row],[Tecnología]]&amp;Bash3[[#This Row],[Problema]],TbNombres[Tecnología]&amp;TbNombres[Problema],TbNombres[Nombre])</f>
        <v>Brusselator1d</v>
      </c>
      <c r="AB81" s="6">
        <v>4</v>
      </c>
      <c r="AC81" s="6">
        <v>3</v>
      </c>
      <c r="AD81" s="6">
        <v>1</v>
      </c>
      <c r="AE81" s="6">
        <v>500</v>
      </c>
      <c r="AF81" s="6">
        <v>1000</v>
      </c>
      <c r="AG81" s="6">
        <v>6.5622100000000003</v>
      </c>
    </row>
    <row r="82" spans="24:33" x14ac:dyDescent="0.2">
      <c r="X82" s="6" t="str">
        <f>_xlfn.XLOOKUP(Bash3[[#This Row],[Metodo]],TbSolver[Metodo],TbSolver[Solver])</f>
        <v>AdamsBashford</v>
      </c>
      <c r="Y82" s="6" t="str">
        <f>_xlfn.XLOOKUP(Bash3[[#This Row],[Hebras]],TbTecnologia[Hebras],TbTecnologia[Tecnología])</f>
        <v>OMP</v>
      </c>
      <c r="Z82" s="7" t="str" cm="1">
        <f t="array" ref="Z82">_xlfn.XLOOKUP(Bash3[[#This Row],[Tecnología]]&amp;Bash3[[#This Row],[Metodo]],TbTipos[Tecnología]&amp;TbTipos[Metodo],TbTipos[Tipo])</f>
        <v>OMP Elementos</v>
      </c>
      <c r="AA82" s="6" t="str" cm="1">
        <f t="array" ref="AA82">_xlfn.XLOOKUP(Bash3[[#This Row],[Tecnología]]&amp;Bash3[[#This Row],[Problema]],TbNombres[Tecnología]&amp;TbNombres[Problema],TbNombres[Nombre])</f>
        <v>Brusselator1d</v>
      </c>
      <c r="AB82" s="6">
        <v>4</v>
      </c>
      <c r="AC82" s="6">
        <v>3</v>
      </c>
      <c r="AD82" s="6">
        <v>4</v>
      </c>
      <c r="AE82" s="6">
        <v>500</v>
      </c>
      <c r="AF82" s="6">
        <v>1000</v>
      </c>
      <c r="AG82" s="6">
        <v>5.54575</v>
      </c>
    </row>
    <row r="83" spans="24:33" x14ac:dyDescent="0.2">
      <c r="X83" s="6" t="str">
        <f>_xlfn.XLOOKUP(Bash3[[#This Row],[Metodo]],TbSolver[Metodo],TbSolver[Solver])</f>
        <v>AdamsBashford</v>
      </c>
      <c r="Y83" s="6" t="str">
        <f>_xlfn.XLOOKUP(Bash3[[#This Row],[Hebras]],TbTecnologia[Hebras],TbTecnologia[Tecnología])</f>
        <v>OMP</v>
      </c>
      <c r="Z83" s="7" t="str" cm="1">
        <f t="array" ref="Z83">_xlfn.XLOOKUP(Bash3[[#This Row],[Tecnología]]&amp;Bash3[[#This Row],[Metodo]],TbTipos[Tecnología]&amp;TbTipos[Metodo],TbTipos[Tipo])</f>
        <v>OMP Elementos</v>
      </c>
      <c r="AA83" s="6" t="str" cm="1">
        <f t="array" ref="AA83">_xlfn.XLOOKUP(Bash3[[#This Row],[Tecnología]]&amp;Bash3[[#This Row],[Problema]],TbNombres[Tecnología]&amp;TbNombres[Problema],TbNombres[Nombre])</f>
        <v>Brusselator1d</v>
      </c>
      <c r="AB83" s="6">
        <v>4</v>
      </c>
      <c r="AC83" s="6">
        <v>3</v>
      </c>
      <c r="AD83" s="6">
        <v>16</v>
      </c>
      <c r="AE83" s="6">
        <v>500</v>
      </c>
      <c r="AF83" s="6">
        <v>1000</v>
      </c>
      <c r="AG83" s="6">
        <v>9.4365000000000006</v>
      </c>
    </row>
    <row r="84" spans="24:33" x14ac:dyDescent="0.2">
      <c r="X84" s="6" t="str">
        <f>_xlfn.XLOOKUP(Bash3[[#This Row],[Metodo]],TbSolver[Metodo],TbSolver[Solver])</f>
        <v>AdamsBashford</v>
      </c>
      <c r="Y84" s="6" t="str">
        <f>_xlfn.XLOOKUP(Bash3[[#This Row],[Hebras]],TbTecnologia[Hebras],TbTecnologia[Tecnología])</f>
        <v>OMP</v>
      </c>
      <c r="Z84" s="7" t="str" cm="1">
        <f t="array" ref="Z84">_xlfn.XLOOKUP(Bash3[[#This Row],[Tecnología]]&amp;Bash3[[#This Row],[Metodo]],TbTipos[Tecnología]&amp;TbTipos[Metodo],TbTipos[Tipo])</f>
        <v>OMP Elementos</v>
      </c>
      <c r="AA84" s="6" t="str" cm="1">
        <f t="array" ref="AA84">_xlfn.XLOOKUP(Bash3[[#This Row],[Tecnología]]&amp;Bash3[[#This Row],[Problema]],TbNombres[Tecnología]&amp;TbNombres[Problema],TbNombres[Nombre])</f>
        <v>Brusselator1d</v>
      </c>
      <c r="AB84" s="6">
        <v>4</v>
      </c>
      <c r="AC84" s="6">
        <v>3</v>
      </c>
      <c r="AD84" s="6">
        <v>1</v>
      </c>
      <c r="AE84" s="6">
        <v>1000</v>
      </c>
      <c r="AF84" s="6">
        <v>2000</v>
      </c>
      <c r="AG84" s="6">
        <v>12.600099999999999</v>
      </c>
    </row>
    <row r="85" spans="24:33" x14ac:dyDescent="0.2">
      <c r="X85" s="6" t="str">
        <f>_xlfn.XLOOKUP(Bash3[[#This Row],[Metodo]],TbSolver[Metodo],TbSolver[Solver])</f>
        <v>AdamsBashford</v>
      </c>
      <c r="Y85" s="6" t="str">
        <f>_xlfn.XLOOKUP(Bash3[[#This Row],[Hebras]],TbTecnologia[Hebras],TbTecnologia[Tecnología])</f>
        <v>OMP</v>
      </c>
      <c r="Z85" s="7" t="str" cm="1">
        <f t="array" ref="Z85">_xlfn.XLOOKUP(Bash3[[#This Row],[Tecnología]]&amp;Bash3[[#This Row],[Metodo]],TbTipos[Tecnología]&amp;TbTipos[Metodo],TbTipos[Tipo])</f>
        <v>OMP Elementos</v>
      </c>
      <c r="AA85" s="6" t="str" cm="1">
        <f t="array" ref="AA85">_xlfn.XLOOKUP(Bash3[[#This Row],[Tecnología]]&amp;Bash3[[#This Row],[Problema]],TbNombres[Tecnología]&amp;TbNombres[Problema],TbNombres[Nombre])</f>
        <v>Brusselator1d</v>
      </c>
      <c r="AB85" s="6">
        <v>4</v>
      </c>
      <c r="AC85" s="6">
        <v>3</v>
      </c>
      <c r="AD85" s="6">
        <v>4</v>
      </c>
      <c r="AE85" s="6">
        <v>1000</v>
      </c>
      <c r="AF85" s="6">
        <v>2000</v>
      </c>
      <c r="AG85" s="6">
        <v>7.5404</v>
      </c>
    </row>
    <row r="86" spans="24:33" x14ac:dyDescent="0.2">
      <c r="X86" s="6" t="str">
        <f>_xlfn.XLOOKUP(Bash3[[#This Row],[Metodo]],TbSolver[Metodo],TbSolver[Solver])</f>
        <v>AdamsBashford</v>
      </c>
      <c r="Y86" s="6" t="str">
        <f>_xlfn.XLOOKUP(Bash3[[#This Row],[Hebras]],TbTecnologia[Hebras],TbTecnologia[Tecnología])</f>
        <v>OMP</v>
      </c>
      <c r="Z86" s="7" t="str" cm="1">
        <f t="array" ref="Z86">_xlfn.XLOOKUP(Bash3[[#This Row],[Tecnología]]&amp;Bash3[[#This Row],[Metodo]],TbTipos[Tecnología]&amp;TbTipos[Metodo],TbTipos[Tipo])</f>
        <v>OMP Elementos</v>
      </c>
      <c r="AA86" s="6" t="str" cm="1">
        <f t="array" ref="AA86">_xlfn.XLOOKUP(Bash3[[#This Row],[Tecnología]]&amp;Bash3[[#This Row],[Problema]],TbNombres[Tecnología]&amp;TbNombres[Problema],TbNombres[Nombre])</f>
        <v>Brusselator1d</v>
      </c>
      <c r="AB86" s="6">
        <v>4</v>
      </c>
      <c r="AC86" s="6">
        <v>3</v>
      </c>
      <c r="AD86" s="6">
        <v>16</v>
      </c>
      <c r="AE86" s="6">
        <v>1000</v>
      </c>
      <c r="AF86" s="6">
        <v>2000</v>
      </c>
      <c r="AG86" s="6">
        <v>16.010300000000001</v>
      </c>
    </row>
  </sheetData>
  <mergeCells count="8">
    <mergeCell ref="B3:K3"/>
    <mergeCell ref="B4:K4"/>
    <mergeCell ref="M3:V3"/>
    <mergeCell ref="M4:V4"/>
    <mergeCell ref="X3:AG3"/>
    <mergeCell ref="X4:AG4"/>
    <mergeCell ref="AI3:AR3"/>
    <mergeCell ref="AI4:AR4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16AE8-0E56-499B-B324-8D4F5372B2C3}">
  <dimension ref="B1:AR73"/>
  <sheetViews>
    <sheetView zoomScaleNormal="100" workbookViewId="0">
      <selection activeCell="B6" sqref="B6:K6"/>
    </sheetView>
  </sheetViews>
  <sheetFormatPr defaultColWidth="10" defaultRowHeight="12.75" x14ac:dyDescent="0.2"/>
  <cols>
    <col min="2" max="2" width="21" bestFit="1" customWidth="1"/>
    <col min="3" max="3" width="10" customWidth="1"/>
    <col min="4" max="4" width="16.42578125" bestFit="1" customWidth="1"/>
    <col min="5" max="5" width="12.7109375" bestFit="1" customWidth="1"/>
    <col min="13" max="13" width="21" bestFit="1" customWidth="1"/>
    <col min="14" max="14" width="10" customWidth="1"/>
    <col min="15" max="15" width="16.42578125" bestFit="1" customWidth="1"/>
    <col min="16" max="16" width="12.7109375" bestFit="1" customWidth="1"/>
    <col min="24" max="24" width="21" bestFit="1" customWidth="1"/>
    <col min="25" max="25" width="7.7109375" customWidth="1"/>
    <col min="26" max="26" width="16.42578125" bestFit="1" customWidth="1"/>
    <col min="27" max="27" width="12.7109375" bestFit="1" customWidth="1"/>
    <col min="35" max="35" width="21" bestFit="1" customWidth="1"/>
    <col min="37" max="37" width="16.42578125" bestFit="1" customWidth="1"/>
    <col min="38" max="38" width="12.7109375" bestFit="1" customWidth="1"/>
  </cols>
  <sheetData>
    <row r="1" spans="2:44" ht="27.75" x14ac:dyDescent="0.2">
      <c r="L1" s="3" t="s">
        <v>18</v>
      </c>
    </row>
    <row r="3" spans="2:44" x14ac:dyDescent="0.2">
      <c r="B3" s="4" t="s">
        <v>7</v>
      </c>
      <c r="C3" s="4"/>
      <c r="D3" s="4"/>
      <c r="E3" s="4"/>
      <c r="F3" s="4"/>
      <c r="G3" s="4"/>
      <c r="H3" s="4"/>
      <c r="I3" s="4"/>
      <c r="J3" s="4"/>
      <c r="K3" s="4"/>
      <c r="M3" s="4" t="s">
        <v>9</v>
      </c>
      <c r="N3" s="4"/>
      <c r="O3" s="4"/>
      <c r="P3" s="4"/>
      <c r="Q3" s="4"/>
      <c r="R3" s="4"/>
      <c r="S3" s="4"/>
      <c r="T3" s="4"/>
      <c r="U3" s="4"/>
      <c r="V3" s="4"/>
      <c r="W3" s="13"/>
      <c r="X3" s="4" t="s">
        <v>11</v>
      </c>
      <c r="Y3" s="4"/>
      <c r="Z3" s="4"/>
      <c r="AA3" s="4"/>
      <c r="AB3" s="4"/>
      <c r="AC3" s="4"/>
      <c r="AD3" s="4"/>
      <c r="AE3" s="4"/>
      <c r="AF3" s="4"/>
      <c r="AG3" s="4"/>
      <c r="AH3" s="13"/>
      <c r="AI3" s="4" t="s">
        <v>13</v>
      </c>
      <c r="AJ3" s="4"/>
      <c r="AK3" s="4"/>
      <c r="AL3" s="4"/>
      <c r="AM3" s="4"/>
      <c r="AN3" s="4"/>
      <c r="AO3" s="4"/>
      <c r="AP3" s="4"/>
      <c r="AQ3" s="4"/>
      <c r="AR3" s="4"/>
    </row>
    <row r="4" spans="2:44" x14ac:dyDescent="0.2">
      <c r="B4" s="4" t="s">
        <v>8</v>
      </c>
      <c r="C4" s="4"/>
      <c r="D4" s="4"/>
      <c r="E4" s="4"/>
      <c r="F4" s="4"/>
      <c r="G4" s="4"/>
      <c r="H4" s="4"/>
      <c r="I4" s="4"/>
      <c r="J4" s="4"/>
      <c r="K4" s="4"/>
      <c r="M4" s="4" t="s">
        <v>10</v>
      </c>
      <c r="N4" s="4"/>
      <c r="O4" s="4"/>
      <c r="P4" s="4"/>
      <c r="Q4" s="4"/>
      <c r="R4" s="4"/>
      <c r="S4" s="4"/>
      <c r="T4" s="4"/>
      <c r="U4" s="4"/>
      <c r="V4" s="4"/>
      <c r="W4" s="13"/>
      <c r="X4" s="4" t="s">
        <v>12</v>
      </c>
      <c r="Y4" s="4"/>
      <c r="Z4" s="4"/>
      <c r="AA4" s="4"/>
      <c r="AB4" s="4"/>
      <c r="AC4" s="4"/>
      <c r="AD4" s="4"/>
      <c r="AE4" s="4"/>
      <c r="AF4" s="4"/>
      <c r="AG4" s="4"/>
      <c r="AH4" s="13"/>
      <c r="AI4" s="4" t="s">
        <v>14</v>
      </c>
      <c r="AJ4" s="4"/>
      <c r="AK4" s="4"/>
      <c r="AL4" s="4"/>
      <c r="AM4" s="4"/>
      <c r="AN4" s="4"/>
      <c r="AO4" s="4"/>
      <c r="AP4" s="4"/>
      <c r="AQ4" s="4"/>
      <c r="AR4" s="4"/>
    </row>
    <row r="5" spans="2:44" x14ac:dyDescent="0.2">
      <c r="B5" s="1"/>
      <c r="C5" s="1"/>
      <c r="D5" s="1"/>
      <c r="E5" s="1"/>
      <c r="F5" s="1"/>
      <c r="G5" s="1"/>
      <c r="H5" s="1"/>
    </row>
    <row r="6" spans="2:44" x14ac:dyDescent="0.2">
      <c r="B6" s="22" t="s">
        <v>31</v>
      </c>
      <c r="C6" s="22" t="s">
        <v>23</v>
      </c>
      <c r="D6" s="1" t="s">
        <v>6</v>
      </c>
      <c r="E6" s="1" t="s">
        <v>30</v>
      </c>
      <c r="F6" s="1" t="s">
        <v>1</v>
      </c>
      <c r="G6" s="1" t="s">
        <v>2</v>
      </c>
      <c r="H6" s="1" t="s">
        <v>3</v>
      </c>
      <c r="I6" s="1" t="s">
        <v>4</v>
      </c>
      <c r="J6" s="1" t="s">
        <v>0</v>
      </c>
      <c r="K6" s="1" t="s">
        <v>5</v>
      </c>
      <c r="M6" s="1" t="s">
        <v>31</v>
      </c>
      <c r="N6" s="1" t="s">
        <v>23</v>
      </c>
      <c r="O6" s="1" t="s">
        <v>6</v>
      </c>
      <c r="P6" s="1" t="s">
        <v>30</v>
      </c>
      <c r="Q6" s="1" t="s">
        <v>1</v>
      </c>
      <c r="R6" s="1" t="s">
        <v>2</v>
      </c>
      <c r="S6" s="1" t="s">
        <v>3</v>
      </c>
      <c r="T6" s="1" t="s">
        <v>4</v>
      </c>
      <c r="U6" s="1" t="s">
        <v>0</v>
      </c>
      <c r="V6" s="1" t="s">
        <v>5</v>
      </c>
      <c r="X6" s="1" t="s">
        <v>31</v>
      </c>
      <c r="Y6" s="1" t="s">
        <v>23</v>
      </c>
      <c r="Z6" s="1" t="s">
        <v>6</v>
      </c>
      <c r="AA6" s="1" t="s">
        <v>30</v>
      </c>
      <c r="AB6" s="1" t="s">
        <v>1</v>
      </c>
      <c r="AC6" s="1" t="s">
        <v>2</v>
      </c>
      <c r="AD6" s="1" t="s">
        <v>3</v>
      </c>
      <c r="AE6" s="1" t="s">
        <v>4</v>
      </c>
      <c r="AF6" s="1" t="s">
        <v>0</v>
      </c>
      <c r="AG6" s="1" t="s">
        <v>5</v>
      </c>
      <c r="AI6" s="1" t="s">
        <v>31</v>
      </c>
      <c r="AJ6" s="1" t="s">
        <v>23</v>
      </c>
      <c r="AK6" s="1" t="s">
        <v>6</v>
      </c>
      <c r="AL6" s="1" t="s">
        <v>30</v>
      </c>
      <c r="AM6" s="1" t="s">
        <v>1</v>
      </c>
      <c r="AN6" s="1" t="s">
        <v>2</v>
      </c>
      <c r="AO6" s="1" t="s">
        <v>3</v>
      </c>
      <c r="AP6" s="1" t="s">
        <v>4</v>
      </c>
      <c r="AQ6" s="1" t="s">
        <v>0</v>
      </c>
      <c r="AR6" s="1" t="s">
        <v>5</v>
      </c>
    </row>
    <row r="7" spans="2:44" x14ac:dyDescent="0.2">
      <c r="B7" s="6" t="str">
        <f>_xlfn.XLOOKUP(Moult1[[#This Row],[Metodo]],TbSolver[Metodo],TbSolver[Solver])</f>
        <v>AdamsBashfordMoulton</v>
      </c>
      <c r="C7" s="6" t="str">
        <f>_xlfn.XLOOKUP(Moult1[[#This Row],[Hebras]],TbTecnologia[Hebras],TbTecnologia[Tecnología])</f>
        <v>CUDA</v>
      </c>
      <c r="D7" s="2" t="str" cm="1">
        <f t="array" ref="D7">_xlfn.XLOOKUP(Moult1[[#This Row],[Tecnología]]&amp;Moult1[[#This Row],[Metodo]],TbTipos[Tecnología]&amp;TbTipos[Metodo],TbTipos[Tipo])</f>
        <v>CUDA con graph</v>
      </c>
      <c r="E7" s="2" t="str" cm="1">
        <f t="array" ref="E7">_xlfn.XLOOKUP(Moult1[[#This Row],[Tecnología]]&amp;Moult1[[#This Row],[Problema]],TbNombres[Tecnología]&amp;TbNombres[Problema],TbNombres[Nombre])</f>
        <v>Simple Advdiff</v>
      </c>
      <c r="F7" s="2">
        <v>6</v>
      </c>
      <c r="G7" s="2">
        <v>1</v>
      </c>
      <c r="H7" s="2">
        <v>256</v>
      </c>
      <c r="I7" s="2">
        <v>100</v>
      </c>
      <c r="J7" s="2">
        <v>100</v>
      </c>
      <c r="K7" s="2">
        <v>10.407299999999999</v>
      </c>
      <c r="M7" s="6" t="str">
        <f>_xlfn.XLOOKUP(Moult2[[#This Row],[Metodo]],TbSolver[Metodo],TbSolver[Solver])</f>
        <v>AdamsBashfordMoulton</v>
      </c>
      <c r="N7" s="6" t="str">
        <f>_xlfn.XLOOKUP(Moult2[[#This Row],[Hebras]],TbTecnologia[Hebras],TbTecnologia[Tecnología])</f>
        <v>CUDA</v>
      </c>
      <c r="O7" s="2" t="str" cm="1">
        <f t="array" ref="O7">_xlfn.XLOOKUP(Moult2[[#This Row],[Tecnología]]&amp;Moult2[[#This Row],[Metodo]],TbTipos[Tecnología]&amp;TbTipos[Metodo],TbTipos[Tipo])</f>
        <v>CUDA con graph</v>
      </c>
      <c r="P7" s="2" t="str" cm="1">
        <f t="array" ref="P7">_xlfn.XLOOKUP(Moult2[[#This Row],[Tecnología]]&amp;Moult2[[#This Row],[Problema]],TbNombres[Tecnología]&amp;TbNombres[Problema],TbNombres[Nombre])</f>
        <v>Advdiff1d</v>
      </c>
      <c r="Q7" s="2">
        <v>6</v>
      </c>
      <c r="R7" s="2">
        <v>3</v>
      </c>
      <c r="S7" s="2">
        <v>256</v>
      </c>
      <c r="T7" s="2">
        <v>100</v>
      </c>
      <c r="U7" s="2">
        <v>100</v>
      </c>
      <c r="V7" s="2">
        <v>16.264299999999999</v>
      </c>
      <c r="X7" s="6" t="str">
        <f>_xlfn.XLOOKUP(Moult3[[#This Row],[Metodo]],TbSolver[Metodo],TbSolver[Solver])</f>
        <v>AdamsBashfordMoulton</v>
      </c>
      <c r="Y7" s="6" t="str">
        <f>_xlfn.XLOOKUP(Moult3[[#This Row],[Hebras]],TbTecnologia[Hebras],TbTecnologia[Tecnología])</f>
        <v>CUDA</v>
      </c>
      <c r="Z7" s="2" t="str" cm="1">
        <f t="array" ref="Z7">_xlfn.XLOOKUP(Moult3[[#This Row],[Tecnología]]&amp;Moult3[[#This Row],[Metodo]],TbTipos[Tecnología]&amp;TbTipos[Metodo],TbTipos[Tipo])</f>
        <v>CUDA con graph</v>
      </c>
      <c r="AA7" s="2" t="str" cm="1">
        <f t="array" ref="AA7">_xlfn.XLOOKUP(Moult3[[#This Row],[Tecnología]]&amp;Moult3[[#This Row],[Problema]],TbNombres[Tecnología]&amp;TbNombres[Problema],TbNombres[Nombre])</f>
        <v>Brusselator1d</v>
      </c>
      <c r="AB7" s="2">
        <v>6</v>
      </c>
      <c r="AC7" s="2">
        <v>5</v>
      </c>
      <c r="AD7" s="2">
        <v>256</v>
      </c>
      <c r="AE7" s="2">
        <v>100</v>
      </c>
      <c r="AF7" s="2">
        <v>200</v>
      </c>
      <c r="AG7" s="2">
        <v>12.3178</v>
      </c>
      <c r="AI7" s="6" t="str">
        <f>_xlfn.XLOOKUP(Moult4[[#This Row],[Metodo]],TbSolver[Metodo],TbSolver[Solver])</f>
        <v>AdamsBashfordMoulton</v>
      </c>
      <c r="AJ7" s="6" t="str">
        <f>_xlfn.XLOOKUP(Moult4[[#This Row],[Hebras]],TbTecnologia[Hebras],TbTecnologia[Tecnología])</f>
        <v>CUDA</v>
      </c>
      <c r="AK7" s="2" t="str" cm="1">
        <f t="array" ref="AK7">_xlfn.XLOOKUP(Moult4[[#This Row],[Tecnología]]&amp;Moult4[[#This Row],[Metodo]],TbTipos[Tecnología]&amp;TbTipos[Metodo],TbTipos[Tipo])</f>
        <v>CUDA con graph</v>
      </c>
      <c r="AL7" s="2" t="str" cm="1">
        <f t="array" ref="AL7">_xlfn.XLOOKUP(Moult4[[#This Row],[Tecnología]]&amp;Moult4[[#This Row],[Problema]],TbNombres[Tecnología]&amp;TbNombres[Problema],TbNombres[Nombre])</f>
        <v>Brusselator2d</v>
      </c>
      <c r="AM7" s="2">
        <v>6</v>
      </c>
      <c r="AN7" s="2">
        <v>8</v>
      </c>
      <c r="AO7" s="2">
        <v>256</v>
      </c>
      <c r="AP7" s="2">
        <v>50</v>
      </c>
      <c r="AQ7" s="2">
        <v>5000</v>
      </c>
      <c r="AR7" s="2">
        <v>15.341100000000001</v>
      </c>
    </row>
    <row r="8" spans="2:44" x14ac:dyDescent="0.2">
      <c r="B8" s="6" t="str">
        <f>_xlfn.XLOOKUP(Moult1[[#This Row],[Metodo]],TbSolver[Metodo],TbSolver[Solver])</f>
        <v>AdamsBashfordMoulton</v>
      </c>
      <c r="C8" s="6" t="str">
        <f>_xlfn.XLOOKUP(Moult1[[#This Row],[Hebras]],TbTecnologia[Hebras],TbTecnologia[Tecnología])</f>
        <v>CUDA</v>
      </c>
      <c r="D8" s="2" t="str" cm="1">
        <f t="array" ref="D8">_xlfn.XLOOKUP(Moult1[[#This Row],[Tecnología]]&amp;Moult1[[#This Row],[Metodo]],TbTipos[Tecnología]&amp;TbTipos[Metodo],TbTipos[Tipo])</f>
        <v>CUDA con graph</v>
      </c>
      <c r="E8" s="2" t="str" cm="1">
        <f t="array" ref="E8">_xlfn.XLOOKUP(Moult1[[#This Row],[Tecnología]]&amp;Moult1[[#This Row],[Problema]],TbNombres[Tecnología]&amp;TbNombres[Problema],TbNombres[Nombre])</f>
        <v>Simple Advdiff</v>
      </c>
      <c r="F8" s="2">
        <v>6</v>
      </c>
      <c r="G8" s="2">
        <v>2</v>
      </c>
      <c r="H8" s="2">
        <v>256</v>
      </c>
      <c r="I8" s="2">
        <v>100</v>
      </c>
      <c r="J8" s="2">
        <v>100</v>
      </c>
      <c r="K8" s="2">
        <v>10.632999999999999</v>
      </c>
      <c r="M8" s="6" t="str">
        <f>_xlfn.XLOOKUP(Moult2[[#This Row],[Metodo]],TbSolver[Metodo],TbSolver[Solver])</f>
        <v>AdamsBashfordMoulton</v>
      </c>
      <c r="N8" s="6" t="str">
        <f>_xlfn.XLOOKUP(Moult2[[#This Row],[Hebras]],TbTecnologia[Hebras],TbTecnologia[Tecnología])</f>
        <v>CUDA</v>
      </c>
      <c r="O8" s="2" t="str" cm="1">
        <f t="array" ref="O8">_xlfn.XLOOKUP(Moult2[[#This Row],[Tecnología]]&amp;Moult2[[#This Row],[Metodo]],TbTipos[Tecnología]&amp;TbTipos[Metodo],TbTipos[Tipo])</f>
        <v>CUDA con graph</v>
      </c>
      <c r="P8" s="2" t="str" cm="1">
        <f t="array" ref="P8">_xlfn.XLOOKUP(Moult2[[#This Row],[Tecnología]]&amp;Moult2[[#This Row],[Problema]],TbNombres[Tecnología]&amp;TbNombres[Problema],TbNombres[Nombre])</f>
        <v>Advdiff1d</v>
      </c>
      <c r="Q8" s="2">
        <v>6</v>
      </c>
      <c r="R8" s="2">
        <v>4</v>
      </c>
      <c r="S8" s="2">
        <v>256</v>
      </c>
      <c r="T8" s="2">
        <v>100</v>
      </c>
      <c r="U8" s="2">
        <v>100</v>
      </c>
      <c r="V8" s="2">
        <v>16.634699999999999</v>
      </c>
      <c r="X8" s="6" t="str">
        <f>_xlfn.XLOOKUP(Moult3[[#This Row],[Metodo]],TbSolver[Metodo],TbSolver[Solver])</f>
        <v>AdamsBashfordMoulton</v>
      </c>
      <c r="Y8" s="6" t="str">
        <f>_xlfn.XLOOKUP(Moult3[[#This Row],[Hebras]],TbTecnologia[Hebras],TbTecnologia[Tecnología])</f>
        <v>CUDA</v>
      </c>
      <c r="Z8" s="2" t="str" cm="1">
        <f t="array" ref="Z8">_xlfn.XLOOKUP(Moult3[[#This Row],[Tecnología]]&amp;Moult3[[#This Row],[Metodo]],TbTipos[Tecnología]&amp;TbTipos[Metodo],TbTipos[Tipo])</f>
        <v>CUDA con graph</v>
      </c>
      <c r="AA8" s="2" t="str" cm="1">
        <f t="array" ref="AA8">_xlfn.XLOOKUP(Moult3[[#This Row],[Tecnología]]&amp;Moult3[[#This Row],[Problema]],TbNombres[Tecnología]&amp;TbNombres[Problema],TbNombres[Nombre])</f>
        <v>Brusselator1d</v>
      </c>
      <c r="AB8" s="2">
        <v>6</v>
      </c>
      <c r="AC8" s="2">
        <v>6</v>
      </c>
      <c r="AD8" s="2">
        <v>256</v>
      </c>
      <c r="AE8" s="2">
        <v>100</v>
      </c>
      <c r="AF8" s="2">
        <v>200</v>
      </c>
      <c r="AG8" s="2">
        <v>12.413600000000001</v>
      </c>
      <c r="AI8" s="6" t="str">
        <f>_xlfn.XLOOKUP(Moult4[[#This Row],[Metodo]],TbSolver[Metodo],TbSolver[Solver])</f>
        <v>AdamsBashfordMoulton</v>
      </c>
      <c r="AJ8" s="6" t="str">
        <f>_xlfn.XLOOKUP(Moult4[[#This Row],[Hebras]],TbTecnologia[Hebras],TbTecnologia[Tecnología])</f>
        <v>CUDA</v>
      </c>
      <c r="AK8" s="2" t="str" cm="1">
        <f t="array" ref="AK8">_xlfn.XLOOKUP(Moult4[[#This Row],[Tecnología]]&amp;Moult4[[#This Row],[Metodo]],TbTipos[Tecnología]&amp;TbTipos[Metodo],TbTipos[Tipo])</f>
        <v>CUDA con graph</v>
      </c>
      <c r="AL8" s="2" t="str" cm="1">
        <f t="array" ref="AL8">_xlfn.XLOOKUP(Moult4[[#This Row],[Tecnología]]&amp;Moult4[[#This Row],[Problema]],TbNombres[Tecnología]&amp;TbNombres[Problema],TbNombres[Nombre])</f>
        <v>Brusselator2d</v>
      </c>
      <c r="AM8" s="2">
        <v>6</v>
      </c>
      <c r="AN8" s="2">
        <v>9</v>
      </c>
      <c r="AO8" s="2">
        <v>256</v>
      </c>
      <c r="AP8" s="2">
        <v>50</v>
      </c>
      <c r="AQ8" s="2">
        <v>5000</v>
      </c>
      <c r="AR8" s="2">
        <v>15.3935</v>
      </c>
    </row>
    <row r="9" spans="2:44" x14ac:dyDescent="0.2">
      <c r="B9" s="6" t="str">
        <f>_xlfn.XLOOKUP(Moult1[[#This Row],[Metodo]],TbSolver[Metodo],TbSolver[Solver])</f>
        <v>AdamsBashfordMoulton</v>
      </c>
      <c r="C9" s="6" t="str">
        <f>_xlfn.XLOOKUP(Moult1[[#This Row],[Hebras]],TbTecnologia[Hebras],TbTecnologia[Tecnología])</f>
        <v>CUDA</v>
      </c>
      <c r="D9" s="2" t="str" cm="1">
        <f t="array" ref="D9">_xlfn.XLOOKUP(Moult1[[#This Row],[Tecnología]]&amp;Moult1[[#This Row],[Metodo]],TbTipos[Tecnología]&amp;TbTipos[Metodo],TbTipos[Tipo])</f>
        <v>CUDA sin graph</v>
      </c>
      <c r="E9" s="2" t="str" cm="1">
        <f t="array" ref="E9">_xlfn.XLOOKUP(Moult1[[#This Row],[Tecnología]]&amp;Moult1[[#This Row],[Problema]],TbNombres[Tecnología]&amp;TbNombres[Problema],TbNombres[Nombre])</f>
        <v>Simple Advdiff</v>
      </c>
      <c r="F9" s="2">
        <v>5</v>
      </c>
      <c r="G9" s="2">
        <v>1</v>
      </c>
      <c r="H9" s="2">
        <v>256</v>
      </c>
      <c r="I9" s="2">
        <v>100</v>
      </c>
      <c r="J9" s="2">
        <v>100</v>
      </c>
      <c r="K9" s="2">
        <v>11.0381</v>
      </c>
      <c r="M9" s="6" t="str">
        <f>_xlfn.XLOOKUP(Moult2[[#This Row],[Metodo]],TbSolver[Metodo],TbSolver[Solver])</f>
        <v>AdamsBashfordMoulton</v>
      </c>
      <c r="N9" s="6" t="str">
        <f>_xlfn.XLOOKUP(Moult2[[#This Row],[Hebras]],TbTecnologia[Hebras],TbTecnologia[Tecnología])</f>
        <v>CUDA</v>
      </c>
      <c r="O9" s="2" t="str" cm="1">
        <f t="array" ref="O9">_xlfn.XLOOKUP(Moult2[[#This Row],[Tecnología]]&amp;Moult2[[#This Row],[Metodo]],TbTipos[Tecnología]&amp;TbTipos[Metodo],TbTipos[Tipo])</f>
        <v>CUDA sin graph</v>
      </c>
      <c r="P9" s="2" t="str" cm="1">
        <f t="array" ref="P9">_xlfn.XLOOKUP(Moult2[[#This Row],[Tecnología]]&amp;Moult2[[#This Row],[Problema]],TbNombres[Tecnología]&amp;TbNombres[Problema],TbNombres[Nombre])</f>
        <v>Advdiff1d</v>
      </c>
      <c r="Q9" s="2">
        <v>5</v>
      </c>
      <c r="R9" s="2">
        <v>3</v>
      </c>
      <c r="S9" s="2">
        <v>256</v>
      </c>
      <c r="T9" s="2">
        <v>100</v>
      </c>
      <c r="U9" s="2">
        <v>100</v>
      </c>
      <c r="V9" s="2">
        <v>16.738600000000002</v>
      </c>
      <c r="X9" s="6" t="str">
        <f>_xlfn.XLOOKUP(Moult3[[#This Row],[Metodo]],TbSolver[Metodo],TbSolver[Solver])</f>
        <v>AdamsBashfordMoulton</v>
      </c>
      <c r="Y9" s="6" t="str">
        <f>_xlfn.XLOOKUP(Moult3[[#This Row],[Hebras]],TbTecnologia[Hebras],TbTecnologia[Tecnología])</f>
        <v>CUDA</v>
      </c>
      <c r="Z9" s="2" t="str" cm="1">
        <f t="array" ref="Z9">_xlfn.XLOOKUP(Moult3[[#This Row],[Tecnología]]&amp;Moult3[[#This Row],[Metodo]],TbTipos[Tecnología]&amp;TbTipos[Metodo],TbTipos[Tipo])</f>
        <v>CUDA con graph</v>
      </c>
      <c r="AA9" s="2" t="str" cm="1">
        <f t="array" ref="AA9">_xlfn.XLOOKUP(Moult3[[#This Row],[Tecnología]]&amp;Moult3[[#This Row],[Problema]],TbNombres[Tecnología]&amp;TbNombres[Problema],TbNombres[Nombre])</f>
        <v>Brusselator1d</v>
      </c>
      <c r="AB9" s="2">
        <v>6</v>
      </c>
      <c r="AC9" s="2">
        <v>7</v>
      </c>
      <c r="AD9" s="2">
        <v>256</v>
      </c>
      <c r="AE9" s="2">
        <v>100</v>
      </c>
      <c r="AF9" s="2">
        <v>200</v>
      </c>
      <c r="AG9" s="2">
        <v>12.7349</v>
      </c>
      <c r="AI9" s="6" t="str">
        <f>_xlfn.XLOOKUP(Moult4[[#This Row],[Metodo]],TbSolver[Metodo],TbSolver[Solver])</f>
        <v>AdamsBashfordMoulton</v>
      </c>
      <c r="AJ9" s="6" t="str">
        <f>_xlfn.XLOOKUP(Moult4[[#This Row],[Hebras]],TbTecnologia[Hebras],TbTecnologia[Tecnología])</f>
        <v>CUDA</v>
      </c>
      <c r="AK9" s="2" t="str" cm="1">
        <f t="array" ref="AK9">_xlfn.XLOOKUP(Moult4[[#This Row],[Tecnología]]&amp;Moult4[[#This Row],[Metodo]],TbTipos[Tecnología]&amp;TbTipos[Metodo],TbTipos[Tipo])</f>
        <v>CUDA sin graph</v>
      </c>
      <c r="AL9" s="2" t="str" cm="1">
        <f t="array" ref="AL9">_xlfn.XLOOKUP(Moult4[[#This Row],[Tecnología]]&amp;Moult4[[#This Row],[Problema]],TbNombres[Tecnología]&amp;TbNombres[Problema],TbNombres[Nombre])</f>
        <v>Brusselator2d</v>
      </c>
      <c r="AM9" s="2">
        <v>5</v>
      </c>
      <c r="AN9" s="2">
        <v>9</v>
      </c>
      <c r="AO9" s="2">
        <v>256</v>
      </c>
      <c r="AP9" s="2">
        <v>50</v>
      </c>
      <c r="AQ9" s="2">
        <v>5000</v>
      </c>
      <c r="AR9" s="2">
        <v>15.685700000000001</v>
      </c>
    </row>
    <row r="10" spans="2:44" x14ac:dyDescent="0.2">
      <c r="B10" s="6" t="str">
        <f>_xlfn.XLOOKUP(Moult1[[#This Row],[Metodo]],TbSolver[Metodo],TbSolver[Solver])</f>
        <v>AdamsBashfordMoulton</v>
      </c>
      <c r="C10" s="6" t="str">
        <f>_xlfn.XLOOKUP(Moult1[[#This Row],[Hebras]],TbTecnologia[Hebras],TbTecnologia[Tecnología])</f>
        <v>CUDA</v>
      </c>
      <c r="D10" s="2" t="str" cm="1">
        <f t="array" ref="D10">_xlfn.XLOOKUP(Moult1[[#This Row],[Tecnología]]&amp;Moult1[[#This Row],[Metodo]],TbTipos[Tecnología]&amp;TbTipos[Metodo],TbTipos[Tipo])</f>
        <v>CUDA sin graph</v>
      </c>
      <c r="E10" s="2" t="str" cm="1">
        <f t="array" ref="E10">_xlfn.XLOOKUP(Moult1[[#This Row],[Tecnología]]&amp;Moult1[[#This Row],[Problema]],TbNombres[Tecnología]&amp;TbNombres[Problema],TbNombres[Nombre])</f>
        <v>Simple Advdiff</v>
      </c>
      <c r="F10" s="2">
        <v>5</v>
      </c>
      <c r="G10" s="2">
        <v>2</v>
      </c>
      <c r="H10" s="2">
        <v>256</v>
      </c>
      <c r="I10" s="2">
        <v>100</v>
      </c>
      <c r="J10" s="2">
        <v>100</v>
      </c>
      <c r="K10" s="2">
        <v>11.2033</v>
      </c>
      <c r="M10" s="6" t="str">
        <f>_xlfn.XLOOKUP(Moult2[[#This Row],[Metodo]],TbSolver[Metodo],TbSolver[Solver])</f>
        <v>AdamsBashfordMoulton</v>
      </c>
      <c r="N10" s="6" t="str">
        <f>_xlfn.XLOOKUP(Moult2[[#This Row],[Hebras]],TbTecnologia[Hebras],TbTecnologia[Tecnología])</f>
        <v>CUDA</v>
      </c>
      <c r="O10" s="2" t="str" cm="1">
        <f t="array" ref="O10">_xlfn.XLOOKUP(Moult2[[#This Row],[Tecnología]]&amp;Moult2[[#This Row],[Metodo]],TbTipos[Tecnología]&amp;TbTipos[Metodo],TbTipos[Tipo])</f>
        <v>CUDA sin graph</v>
      </c>
      <c r="P10" s="2" t="str" cm="1">
        <f t="array" ref="P10">_xlfn.XLOOKUP(Moult2[[#This Row],[Tecnología]]&amp;Moult2[[#This Row],[Problema]],TbNombres[Tecnología]&amp;TbNombres[Problema],TbNombres[Nombre])</f>
        <v>Advdiff1d</v>
      </c>
      <c r="Q10" s="2">
        <v>5</v>
      </c>
      <c r="R10" s="2">
        <v>4</v>
      </c>
      <c r="S10" s="2">
        <v>256</v>
      </c>
      <c r="T10" s="2">
        <v>100</v>
      </c>
      <c r="U10" s="2">
        <v>100</v>
      </c>
      <c r="V10" s="2">
        <v>17.1296</v>
      </c>
      <c r="X10" s="6" t="str">
        <f>_xlfn.XLOOKUP(Moult3[[#This Row],[Metodo]],TbSolver[Metodo],TbSolver[Solver])</f>
        <v>AdamsBashfordMoulton</v>
      </c>
      <c r="Y10" s="6" t="str">
        <f>_xlfn.XLOOKUP(Moult3[[#This Row],[Hebras]],TbTecnologia[Hebras],TbTecnologia[Tecnología])</f>
        <v>CUDA</v>
      </c>
      <c r="Z10" s="2" t="str" cm="1">
        <f t="array" ref="Z10">_xlfn.XLOOKUP(Moult3[[#This Row],[Tecnología]]&amp;Moult3[[#This Row],[Metodo]],TbTipos[Tecnología]&amp;TbTipos[Metodo],TbTipos[Tipo])</f>
        <v>CUDA con graph</v>
      </c>
      <c r="AA10" s="2" t="str" cm="1">
        <f t="array" ref="AA10">_xlfn.XLOOKUP(Moult3[[#This Row],[Tecnología]]&amp;Moult3[[#This Row],[Problema]],TbNombres[Tecnología]&amp;TbNombres[Problema],TbNombres[Nombre])</f>
        <v>Brusselator1d</v>
      </c>
      <c r="AB10" s="2">
        <v>6</v>
      </c>
      <c r="AC10" s="2">
        <v>5</v>
      </c>
      <c r="AD10" s="2">
        <v>256</v>
      </c>
      <c r="AE10" s="2">
        <v>200</v>
      </c>
      <c r="AF10" s="2">
        <v>400</v>
      </c>
      <c r="AG10" s="2">
        <v>12.8804</v>
      </c>
      <c r="AI10" s="6" t="str">
        <f>_xlfn.XLOOKUP(Moult4[[#This Row],[Metodo]],TbSolver[Metodo],TbSolver[Solver])</f>
        <v>AdamsBashfordMoulton</v>
      </c>
      <c r="AJ10" s="6" t="str">
        <f>_xlfn.XLOOKUP(Moult4[[#This Row],[Hebras]],TbTecnologia[Hebras],TbTecnologia[Tecnología])</f>
        <v>CUDA</v>
      </c>
      <c r="AK10" s="2" t="str" cm="1">
        <f t="array" ref="AK10">_xlfn.XLOOKUP(Moult4[[#This Row],[Tecnología]]&amp;Moult4[[#This Row],[Metodo]],TbTipos[Tecnología]&amp;TbTipos[Metodo],TbTipos[Tipo])</f>
        <v>CUDA sin graph</v>
      </c>
      <c r="AL10" s="2" t="str" cm="1">
        <f t="array" ref="AL10">_xlfn.XLOOKUP(Moult4[[#This Row],[Tecnología]]&amp;Moult4[[#This Row],[Problema]],TbNombres[Tecnología]&amp;TbNombres[Problema],TbNombres[Nombre])</f>
        <v>Brusselator2d</v>
      </c>
      <c r="AM10" s="2">
        <v>5</v>
      </c>
      <c r="AN10" s="2">
        <v>8</v>
      </c>
      <c r="AO10" s="2">
        <v>256</v>
      </c>
      <c r="AP10" s="2">
        <v>50</v>
      </c>
      <c r="AQ10" s="2">
        <v>5000</v>
      </c>
      <c r="AR10" s="2">
        <v>15.7544</v>
      </c>
    </row>
    <row r="11" spans="2:44" x14ac:dyDescent="0.2">
      <c r="B11" s="6" t="str">
        <f>_xlfn.XLOOKUP(Moult1[[#This Row],[Metodo]],TbSolver[Metodo],TbSolver[Solver])</f>
        <v>AdamsBashfordMoulton</v>
      </c>
      <c r="C11" s="6" t="str">
        <f>_xlfn.XLOOKUP(Moult1[[#This Row],[Hebras]],TbTecnologia[Hebras],TbTecnologia[Tecnología])</f>
        <v>CUDA</v>
      </c>
      <c r="D11" s="2" t="str" cm="1">
        <f t="array" ref="D11">_xlfn.XLOOKUP(Moult1[[#This Row],[Tecnología]]&amp;Moult1[[#This Row],[Metodo]],TbTipos[Tecnología]&amp;TbTipos[Metodo],TbTipos[Tipo])</f>
        <v>CUDA con graph</v>
      </c>
      <c r="E11" s="2" t="str" cm="1">
        <f t="array" ref="E11">_xlfn.XLOOKUP(Moult1[[#This Row],[Tecnología]]&amp;Moult1[[#This Row],[Problema]],TbNombres[Tecnología]&amp;TbNombres[Problema],TbNombres[Nombre])</f>
        <v>Simple Advdiff</v>
      </c>
      <c r="F11" s="2">
        <v>6</v>
      </c>
      <c r="G11" s="2">
        <v>1</v>
      </c>
      <c r="H11" s="2">
        <v>256</v>
      </c>
      <c r="I11" s="2">
        <v>200</v>
      </c>
      <c r="J11" s="2">
        <v>200</v>
      </c>
      <c r="K11" s="2">
        <v>11.706899999999999</v>
      </c>
      <c r="M11" s="6" t="str">
        <f>_xlfn.XLOOKUP(Moult2[[#This Row],[Metodo]],TbSolver[Metodo],TbSolver[Solver])</f>
        <v>AdamsBashfordMoulton</v>
      </c>
      <c r="N11" s="6" t="str">
        <f>_xlfn.XLOOKUP(Moult2[[#This Row],[Hebras]],TbTecnologia[Hebras],TbTecnologia[Tecnología])</f>
        <v>CUDA</v>
      </c>
      <c r="O11" s="2" t="str" cm="1">
        <f t="array" ref="O11">_xlfn.XLOOKUP(Moult2[[#This Row],[Tecnología]]&amp;Moult2[[#This Row],[Metodo]],TbTipos[Tecnología]&amp;TbTipos[Metodo],TbTipos[Tipo])</f>
        <v>CUDA con graph</v>
      </c>
      <c r="P11" s="2" t="str" cm="1">
        <f t="array" ref="P11">_xlfn.XLOOKUP(Moult2[[#This Row],[Tecnología]]&amp;Moult2[[#This Row],[Problema]],TbNombres[Tecnología]&amp;TbNombres[Problema],TbNombres[Nombre])</f>
        <v>Advdiff1d</v>
      </c>
      <c r="Q11" s="2">
        <v>6</v>
      </c>
      <c r="R11" s="2">
        <v>3</v>
      </c>
      <c r="S11" s="2">
        <v>256</v>
      </c>
      <c r="T11" s="2">
        <v>200</v>
      </c>
      <c r="U11" s="2">
        <v>200</v>
      </c>
      <c r="V11" s="2">
        <v>21.918600000000001</v>
      </c>
      <c r="X11" s="6" t="str">
        <f>_xlfn.XLOOKUP(Moult3[[#This Row],[Metodo]],TbSolver[Metodo],TbSolver[Solver])</f>
        <v>AdamsBashfordMoulton</v>
      </c>
      <c r="Y11" s="6" t="str">
        <f>_xlfn.XLOOKUP(Moult3[[#This Row],[Hebras]],TbTecnologia[Hebras],TbTecnologia[Tecnología])</f>
        <v>CUDA</v>
      </c>
      <c r="Z11" s="2" t="str" cm="1">
        <f t="array" ref="Z11">_xlfn.XLOOKUP(Moult3[[#This Row],[Tecnología]]&amp;Moult3[[#This Row],[Metodo]],TbTipos[Tecnología]&amp;TbTipos[Metodo],TbTipos[Tipo])</f>
        <v>CUDA con graph</v>
      </c>
      <c r="AA11" s="2" t="str" cm="1">
        <f t="array" ref="AA11">_xlfn.XLOOKUP(Moult3[[#This Row],[Tecnología]]&amp;Moult3[[#This Row],[Problema]],TbNombres[Tecnología]&amp;TbNombres[Problema],TbNombres[Nombre])</f>
        <v>Brusselator1d</v>
      </c>
      <c r="AB11" s="2">
        <v>6</v>
      </c>
      <c r="AC11" s="2">
        <v>5</v>
      </c>
      <c r="AD11" s="2">
        <v>256</v>
      </c>
      <c r="AE11" s="2">
        <v>500</v>
      </c>
      <c r="AF11" s="2">
        <v>1000</v>
      </c>
      <c r="AG11" s="2">
        <v>12.9506</v>
      </c>
      <c r="AI11" s="9" t="str">
        <f>_xlfn.XLOOKUP(Moult4[[#This Row],[Metodo]],TbSolver[Metodo],TbSolver[Solver])</f>
        <v>AdamsBashfordMoulton</v>
      </c>
      <c r="AJ11" s="9" t="str">
        <f>_xlfn.XLOOKUP(Moult4[[#This Row],[Hebras]],TbTecnologia[Hebras],TbTecnologia[Tecnología])</f>
        <v>OMP</v>
      </c>
      <c r="AK11" s="10" t="str" cm="1">
        <f t="array" ref="AK11">_xlfn.XLOOKUP(Moult4[[#This Row],[Tecnología]]&amp;Moult4[[#This Row],[Metodo]],TbTipos[Tecnología]&amp;TbTipos[Metodo],TbTipos[Tipo])</f>
        <v>OMP Operaciones</v>
      </c>
      <c r="AL11" s="9" t="str" cm="1">
        <f t="array" ref="AL11">_xlfn.XLOOKUP(Moult4[[#This Row],[Tecnología]]&amp;Moult4[[#This Row],[Problema]],TbNombres[Tecnología]&amp;TbNombres[Problema],TbNombres[Nombre])</f>
        <v>Brusselator2d</v>
      </c>
      <c r="AM11" s="9">
        <v>5</v>
      </c>
      <c r="AN11" s="9">
        <v>4</v>
      </c>
      <c r="AO11" s="9">
        <v>4</v>
      </c>
      <c r="AP11" s="9">
        <v>50</v>
      </c>
      <c r="AQ11" s="9">
        <v>5000</v>
      </c>
      <c r="AR11" s="9">
        <v>66.832300000000004</v>
      </c>
    </row>
    <row r="12" spans="2:44" x14ac:dyDescent="0.2">
      <c r="B12" s="6" t="str">
        <f>_xlfn.XLOOKUP(Moult1[[#This Row],[Metodo]],TbSolver[Metodo],TbSolver[Solver])</f>
        <v>AdamsBashfordMoulton</v>
      </c>
      <c r="C12" s="6" t="str">
        <f>_xlfn.XLOOKUP(Moult1[[#This Row],[Hebras]],TbTecnologia[Hebras],TbTecnologia[Tecnología])</f>
        <v>CUDA</v>
      </c>
      <c r="D12" s="2" t="str" cm="1">
        <f t="array" ref="D12">_xlfn.XLOOKUP(Moult1[[#This Row],[Tecnología]]&amp;Moult1[[#This Row],[Metodo]],TbTipos[Tecnología]&amp;TbTipos[Metodo],TbTipos[Tipo])</f>
        <v>CUDA con graph</v>
      </c>
      <c r="E12" s="2" t="str" cm="1">
        <f t="array" ref="E12">_xlfn.XLOOKUP(Moult1[[#This Row],[Tecnología]]&amp;Moult1[[#This Row],[Problema]],TbNombres[Tecnología]&amp;TbNombres[Problema],TbNombres[Nombre])</f>
        <v>Simple Advdiff</v>
      </c>
      <c r="F12" s="2">
        <v>6</v>
      </c>
      <c r="G12" s="2">
        <v>2</v>
      </c>
      <c r="H12" s="2">
        <v>256</v>
      </c>
      <c r="I12" s="2">
        <v>200</v>
      </c>
      <c r="J12" s="2">
        <v>200</v>
      </c>
      <c r="K12" s="2">
        <v>11.7073</v>
      </c>
      <c r="M12" s="6" t="str">
        <f>_xlfn.XLOOKUP(Moult2[[#This Row],[Metodo]],TbSolver[Metodo],TbSolver[Solver])</f>
        <v>AdamsBashfordMoulton</v>
      </c>
      <c r="N12" s="6" t="str">
        <f>_xlfn.XLOOKUP(Moult2[[#This Row],[Hebras]],TbTecnologia[Hebras],TbTecnologia[Tecnología])</f>
        <v>CUDA</v>
      </c>
      <c r="O12" s="2" t="str" cm="1">
        <f t="array" ref="O12">_xlfn.XLOOKUP(Moult2[[#This Row],[Tecnología]]&amp;Moult2[[#This Row],[Metodo]],TbTipos[Tecnología]&amp;TbTipos[Metodo],TbTipos[Tipo])</f>
        <v>CUDA sin graph</v>
      </c>
      <c r="P12" s="2" t="str" cm="1">
        <f t="array" ref="P12">_xlfn.XLOOKUP(Moult2[[#This Row],[Tecnología]]&amp;Moult2[[#This Row],[Problema]],TbNombres[Tecnología]&amp;TbNombres[Problema],TbNombres[Nombre])</f>
        <v>Advdiff1d</v>
      </c>
      <c r="Q12" s="2">
        <v>5</v>
      </c>
      <c r="R12" s="2">
        <v>3</v>
      </c>
      <c r="S12" s="2">
        <v>256</v>
      </c>
      <c r="T12" s="2">
        <v>200</v>
      </c>
      <c r="U12" s="2">
        <v>200</v>
      </c>
      <c r="V12" s="2">
        <v>22.3888</v>
      </c>
      <c r="X12" s="6" t="str">
        <f>_xlfn.XLOOKUP(Moult3[[#This Row],[Metodo]],TbSolver[Metodo],TbSolver[Solver])</f>
        <v>AdamsBashfordMoulton</v>
      </c>
      <c r="Y12" s="6" t="str">
        <f>_xlfn.XLOOKUP(Moult3[[#This Row],[Hebras]],TbTecnologia[Hebras],TbTecnologia[Tecnología])</f>
        <v>CUDA</v>
      </c>
      <c r="Z12" s="2" t="str" cm="1">
        <f t="array" ref="Z12">_xlfn.XLOOKUP(Moult3[[#This Row],[Tecnología]]&amp;Moult3[[#This Row],[Metodo]],TbTipos[Tecnología]&amp;TbTipos[Metodo],TbTipos[Tipo])</f>
        <v>CUDA con graph</v>
      </c>
      <c r="AA12" s="2" t="str" cm="1">
        <f t="array" ref="AA12">_xlfn.XLOOKUP(Moult3[[#This Row],[Tecnología]]&amp;Moult3[[#This Row],[Problema]],TbNombres[Tecnología]&amp;TbNombres[Problema],TbNombres[Nombre])</f>
        <v>Brusselator1d</v>
      </c>
      <c r="AB12" s="2">
        <v>6</v>
      </c>
      <c r="AC12" s="2">
        <v>6</v>
      </c>
      <c r="AD12" s="2">
        <v>256</v>
      </c>
      <c r="AE12" s="2">
        <v>200</v>
      </c>
      <c r="AF12" s="2">
        <v>400</v>
      </c>
      <c r="AG12" s="2">
        <v>12.9756</v>
      </c>
      <c r="AI12" s="9" t="str">
        <f>_xlfn.XLOOKUP(Moult4[[#This Row],[Metodo]],TbSolver[Metodo],TbSolver[Solver])</f>
        <v>AdamsBashfordMoulton</v>
      </c>
      <c r="AJ12" s="9" t="str">
        <f>_xlfn.XLOOKUP(Moult4[[#This Row],[Hebras]],TbTecnologia[Hebras],TbTecnologia[Tecnología])</f>
        <v>OMP</v>
      </c>
      <c r="AK12" s="10" t="str" cm="1">
        <f t="array" ref="AK12">_xlfn.XLOOKUP(Moult4[[#This Row],[Tecnología]]&amp;Moult4[[#This Row],[Metodo]],TbTipos[Tecnología]&amp;TbTipos[Metodo],TbTipos[Tipo])</f>
        <v>OMP Elementos</v>
      </c>
      <c r="AL12" s="9" t="str" cm="1">
        <f t="array" ref="AL12">_xlfn.XLOOKUP(Moult4[[#This Row],[Tecnología]]&amp;Moult4[[#This Row],[Problema]],TbNombres[Tecnología]&amp;TbNombres[Problema],TbNombres[Nombre])</f>
        <v>Brusselator2d</v>
      </c>
      <c r="AM12" s="9">
        <v>6</v>
      </c>
      <c r="AN12" s="9">
        <v>4</v>
      </c>
      <c r="AO12" s="9">
        <v>4</v>
      </c>
      <c r="AP12" s="9">
        <v>50</v>
      </c>
      <c r="AQ12" s="9">
        <v>5000</v>
      </c>
      <c r="AR12" s="9">
        <v>68.414500000000004</v>
      </c>
    </row>
    <row r="13" spans="2:44" x14ac:dyDescent="0.2">
      <c r="B13" s="6" t="str">
        <f>_xlfn.XLOOKUP(Moult1[[#This Row],[Metodo]],TbSolver[Metodo],TbSolver[Solver])</f>
        <v>AdamsBashfordMoulton</v>
      </c>
      <c r="C13" s="6" t="str">
        <f>_xlfn.XLOOKUP(Moult1[[#This Row],[Hebras]],TbTecnologia[Hebras],TbTecnologia[Tecnología])</f>
        <v>CUDA</v>
      </c>
      <c r="D13" s="2" t="str" cm="1">
        <f t="array" ref="D13">_xlfn.XLOOKUP(Moult1[[#This Row],[Tecnología]]&amp;Moult1[[#This Row],[Metodo]],TbTipos[Tecnología]&amp;TbTipos[Metodo],TbTipos[Tipo])</f>
        <v>CUDA con graph</v>
      </c>
      <c r="E13" s="2" t="str" cm="1">
        <f t="array" ref="E13">_xlfn.XLOOKUP(Moult1[[#This Row],[Tecnología]]&amp;Moult1[[#This Row],[Problema]],TbNombres[Tecnología]&amp;TbNombres[Problema],TbNombres[Nombre])</f>
        <v>Simple Advdiff</v>
      </c>
      <c r="F13" s="2">
        <v>6</v>
      </c>
      <c r="G13" s="2">
        <v>1</v>
      </c>
      <c r="H13" s="2">
        <v>256</v>
      </c>
      <c r="I13" s="2">
        <v>500</v>
      </c>
      <c r="J13" s="2">
        <v>500</v>
      </c>
      <c r="K13" s="2">
        <v>12.135899999999999</v>
      </c>
      <c r="M13" s="6" t="str">
        <f>_xlfn.XLOOKUP(Moult2[[#This Row],[Metodo]],TbSolver[Metodo],TbSolver[Solver])</f>
        <v>AdamsBashfordMoulton</v>
      </c>
      <c r="N13" s="6" t="str">
        <f>_xlfn.XLOOKUP(Moult2[[#This Row],[Hebras]],TbTecnologia[Hebras],TbTecnologia[Tecnología])</f>
        <v>CUDA</v>
      </c>
      <c r="O13" s="2" t="str" cm="1">
        <f t="array" ref="O13">_xlfn.XLOOKUP(Moult2[[#This Row],[Tecnología]]&amp;Moult2[[#This Row],[Metodo]],TbTipos[Tecnología]&amp;TbTipos[Metodo],TbTipos[Tipo])</f>
        <v>CUDA con graph</v>
      </c>
      <c r="P13" s="2" t="str" cm="1">
        <f t="array" ref="P13">_xlfn.XLOOKUP(Moult2[[#This Row],[Tecnología]]&amp;Moult2[[#This Row],[Problema]],TbNombres[Tecnología]&amp;TbNombres[Problema],TbNombres[Nombre])</f>
        <v>Advdiff1d</v>
      </c>
      <c r="Q13" s="2">
        <v>6</v>
      </c>
      <c r="R13" s="2">
        <v>4</v>
      </c>
      <c r="S13" s="2">
        <v>256</v>
      </c>
      <c r="T13" s="2">
        <v>200</v>
      </c>
      <c r="U13" s="2">
        <v>200</v>
      </c>
      <c r="V13" s="2">
        <v>22.496400000000001</v>
      </c>
      <c r="X13" s="6" t="str">
        <f>_xlfn.XLOOKUP(Moult3[[#This Row],[Metodo]],TbSolver[Metodo],TbSolver[Solver])</f>
        <v>AdamsBashfordMoulton</v>
      </c>
      <c r="Y13" s="6" t="str">
        <f>_xlfn.XLOOKUP(Moult3[[#This Row],[Hebras]],TbTecnologia[Hebras],TbTecnologia[Tecnología])</f>
        <v>CUDA</v>
      </c>
      <c r="Z13" s="2" t="str" cm="1">
        <f t="array" ref="Z13">_xlfn.XLOOKUP(Moult3[[#This Row],[Tecnología]]&amp;Moult3[[#This Row],[Metodo]],TbTipos[Tecnología]&amp;TbTipos[Metodo],TbTipos[Tipo])</f>
        <v>CUDA con graph</v>
      </c>
      <c r="AA13" s="2" t="str" cm="1">
        <f t="array" ref="AA13">_xlfn.XLOOKUP(Moult3[[#This Row],[Tecnología]]&amp;Moult3[[#This Row],[Problema]],TbNombres[Tecnología]&amp;TbNombres[Problema],TbNombres[Nombre])</f>
        <v>Brusselator1d</v>
      </c>
      <c r="AB13" s="2">
        <v>6</v>
      </c>
      <c r="AC13" s="2">
        <v>7</v>
      </c>
      <c r="AD13" s="2">
        <v>256</v>
      </c>
      <c r="AE13" s="2">
        <v>200</v>
      </c>
      <c r="AF13" s="2">
        <v>400</v>
      </c>
      <c r="AG13" s="2">
        <v>12.983700000000001</v>
      </c>
      <c r="AI13" s="9" t="str">
        <f>_xlfn.XLOOKUP(Moult4[[#This Row],[Metodo]],TbSolver[Metodo],TbSolver[Solver])</f>
        <v>AdamsBashfordMoulton</v>
      </c>
      <c r="AJ13" s="9" t="str">
        <f>_xlfn.XLOOKUP(Moult4[[#This Row],[Hebras]],TbTecnologia[Hebras],TbTecnologia[Tecnología])</f>
        <v>OMP</v>
      </c>
      <c r="AK13" s="10" t="str" cm="1">
        <f t="array" ref="AK13">_xlfn.XLOOKUP(Moult4[[#This Row],[Tecnología]]&amp;Moult4[[#This Row],[Metodo]],TbTipos[Tecnología]&amp;TbTipos[Metodo],TbTipos[Tipo])</f>
        <v>OMP Elementos</v>
      </c>
      <c r="AL13" s="9" t="str" cm="1">
        <f t="array" ref="AL13">_xlfn.XLOOKUP(Moult4[[#This Row],[Tecnología]]&amp;Moult4[[#This Row],[Problema]],TbNombres[Tecnología]&amp;TbNombres[Problema],TbNombres[Nombre])</f>
        <v>Brusselator2d</v>
      </c>
      <c r="AM13" s="9">
        <v>6</v>
      </c>
      <c r="AN13" s="9">
        <v>4</v>
      </c>
      <c r="AO13" s="9">
        <v>16</v>
      </c>
      <c r="AP13" s="9">
        <v>50</v>
      </c>
      <c r="AQ13" s="9">
        <v>5000</v>
      </c>
      <c r="AR13" s="9">
        <v>91.386899999999997</v>
      </c>
    </row>
    <row r="14" spans="2:44" x14ac:dyDescent="0.2">
      <c r="B14" s="6" t="str">
        <f>_xlfn.XLOOKUP(Moult1[[#This Row],[Metodo]],TbSolver[Metodo],TbSolver[Solver])</f>
        <v>AdamsBashfordMoulton</v>
      </c>
      <c r="C14" s="6" t="str">
        <f>_xlfn.XLOOKUP(Moult1[[#This Row],[Hebras]],TbTecnologia[Hebras],TbTecnologia[Tecnología])</f>
        <v>CUDA</v>
      </c>
      <c r="D14" s="2" t="str" cm="1">
        <f t="array" ref="D14">_xlfn.XLOOKUP(Moult1[[#This Row],[Tecnología]]&amp;Moult1[[#This Row],[Metodo]],TbTipos[Tecnología]&amp;TbTipos[Metodo],TbTipos[Tipo])</f>
        <v>CUDA con graph</v>
      </c>
      <c r="E14" s="2" t="str" cm="1">
        <f t="array" ref="E14">_xlfn.XLOOKUP(Moult1[[#This Row],[Tecnología]]&amp;Moult1[[#This Row],[Problema]],TbNombres[Tecnología]&amp;TbNombres[Problema],TbNombres[Nombre])</f>
        <v>Simple Advdiff</v>
      </c>
      <c r="F14" s="2">
        <v>6</v>
      </c>
      <c r="G14" s="2">
        <v>2</v>
      </c>
      <c r="H14" s="2">
        <v>256</v>
      </c>
      <c r="I14" s="2">
        <v>500</v>
      </c>
      <c r="J14" s="2">
        <v>500</v>
      </c>
      <c r="K14" s="2">
        <v>12.163600000000001</v>
      </c>
      <c r="M14" s="6" t="str">
        <f>_xlfn.XLOOKUP(Moult2[[#This Row],[Metodo]],TbSolver[Metodo],TbSolver[Solver])</f>
        <v>AdamsBashfordMoulton</v>
      </c>
      <c r="N14" s="6" t="str">
        <f>_xlfn.XLOOKUP(Moult2[[#This Row],[Hebras]],TbTecnologia[Hebras],TbTecnologia[Tecnología])</f>
        <v>CUDA</v>
      </c>
      <c r="O14" s="2" t="str" cm="1">
        <f t="array" ref="O14">_xlfn.XLOOKUP(Moult2[[#This Row],[Tecnología]]&amp;Moult2[[#This Row],[Metodo]],TbTipos[Tecnología]&amp;TbTipos[Metodo],TbTipos[Tipo])</f>
        <v>CUDA sin graph</v>
      </c>
      <c r="P14" s="2" t="str" cm="1">
        <f t="array" ref="P14">_xlfn.XLOOKUP(Moult2[[#This Row],[Tecnología]]&amp;Moult2[[#This Row],[Problema]],TbNombres[Tecnología]&amp;TbNombres[Problema],TbNombres[Nombre])</f>
        <v>Advdiff1d</v>
      </c>
      <c r="Q14" s="2">
        <v>5</v>
      </c>
      <c r="R14" s="2">
        <v>4</v>
      </c>
      <c r="S14" s="2">
        <v>256</v>
      </c>
      <c r="T14" s="2">
        <v>200</v>
      </c>
      <c r="U14" s="2">
        <v>200</v>
      </c>
      <c r="V14" s="2">
        <v>22.726900000000001</v>
      </c>
      <c r="X14" s="6" t="str">
        <f>_xlfn.XLOOKUP(Moult3[[#This Row],[Metodo]],TbSolver[Metodo],TbSolver[Solver])</f>
        <v>AdamsBashfordMoulton</v>
      </c>
      <c r="Y14" s="6" t="str">
        <f>_xlfn.XLOOKUP(Moult3[[#This Row],[Hebras]],TbTecnologia[Hebras],TbTecnologia[Tecnología])</f>
        <v>CUDA</v>
      </c>
      <c r="Z14" s="2" t="str" cm="1">
        <f t="array" ref="Z14">_xlfn.XLOOKUP(Moult3[[#This Row],[Tecnología]]&amp;Moult3[[#This Row],[Metodo]],TbTipos[Tecnología]&amp;TbTipos[Metodo],TbTipos[Tipo])</f>
        <v>CUDA con graph</v>
      </c>
      <c r="AA14" s="2" t="str" cm="1">
        <f t="array" ref="AA14">_xlfn.XLOOKUP(Moult3[[#This Row],[Tecnología]]&amp;Moult3[[#This Row],[Problema]],TbNombres[Tecnología]&amp;TbNombres[Problema],TbNombres[Nombre])</f>
        <v>Brusselator1d</v>
      </c>
      <c r="AB14" s="2">
        <v>6</v>
      </c>
      <c r="AC14" s="2">
        <v>7</v>
      </c>
      <c r="AD14" s="2">
        <v>256</v>
      </c>
      <c r="AE14" s="2">
        <v>500</v>
      </c>
      <c r="AF14" s="2">
        <v>1000</v>
      </c>
      <c r="AG14" s="2">
        <v>13.004200000000001</v>
      </c>
      <c r="AI14" s="9" t="str">
        <f>_xlfn.XLOOKUP(Moult4[[#This Row],[Metodo]],TbSolver[Metodo],TbSolver[Solver])</f>
        <v>AdamsBashfordMoulton</v>
      </c>
      <c r="AJ14" s="9" t="str">
        <f>_xlfn.XLOOKUP(Moult4[[#This Row],[Hebras]],TbTecnologia[Hebras],TbTecnologia[Tecnología])</f>
        <v>OMP</v>
      </c>
      <c r="AK14" s="10" t="str" cm="1">
        <f t="array" ref="AK14">_xlfn.XLOOKUP(Moult4[[#This Row],[Tecnología]]&amp;Moult4[[#This Row],[Metodo]],TbTipos[Tecnología]&amp;TbTipos[Metodo],TbTipos[Tipo])</f>
        <v>OMP Operaciones</v>
      </c>
      <c r="AL14" s="9" t="str" cm="1">
        <f t="array" ref="AL14">_xlfn.XLOOKUP(Moult4[[#This Row],[Tecnología]]&amp;Moult4[[#This Row],[Problema]],TbNombres[Tecnología]&amp;TbNombres[Problema],TbNombres[Nombre])</f>
        <v>Brusselator2d</v>
      </c>
      <c r="AM14" s="9">
        <v>5</v>
      </c>
      <c r="AN14" s="9">
        <v>4</v>
      </c>
      <c r="AO14" s="9">
        <v>1</v>
      </c>
      <c r="AP14" s="9">
        <v>50</v>
      </c>
      <c r="AQ14" s="9">
        <v>5000</v>
      </c>
      <c r="AR14" s="9">
        <v>92.678600000000003</v>
      </c>
    </row>
    <row r="15" spans="2:44" x14ac:dyDescent="0.2">
      <c r="B15" s="6" t="str">
        <f>_xlfn.XLOOKUP(Moult1[[#This Row],[Metodo]],TbSolver[Metodo],TbSolver[Solver])</f>
        <v>AdamsBashfordMoulton</v>
      </c>
      <c r="C15" s="6" t="str">
        <f>_xlfn.XLOOKUP(Moult1[[#This Row],[Hebras]],TbTecnologia[Hebras],TbTecnologia[Tecnología])</f>
        <v>CUDA</v>
      </c>
      <c r="D15" s="2" t="str" cm="1">
        <f t="array" ref="D15">_xlfn.XLOOKUP(Moult1[[#This Row],[Tecnología]]&amp;Moult1[[#This Row],[Metodo]],TbTipos[Tecnología]&amp;TbTipos[Metodo],TbTipos[Tipo])</f>
        <v>CUDA con graph</v>
      </c>
      <c r="E15" s="2" t="str" cm="1">
        <f t="array" ref="E15">_xlfn.XLOOKUP(Moult1[[#This Row],[Tecnología]]&amp;Moult1[[#This Row],[Problema]],TbNombres[Tecnología]&amp;TbNombres[Problema],TbNombres[Nombre])</f>
        <v>Simple Advdiff</v>
      </c>
      <c r="F15" s="2">
        <v>6</v>
      </c>
      <c r="G15" s="2">
        <v>1</v>
      </c>
      <c r="H15" s="2">
        <v>256</v>
      </c>
      <c r="I15" s="2">
        <v>1000</v>
      </c>
      <c r="J15" s="2">
        <v>1000</v>
      </c>
      <c r="K15" s="2">
        <v>12.1858</v>
      </c>
      <c r="M15" s="6" t="str">
        <f>_xlfn.XLOOKUP(Moult2[[#This Row],[Metodo]],TbSolver[Metodo],TbSolver[Solver])</f>
        <v>AdamsBashfordMoulton</v>
      </c>
      <c r="N15" s="6" t="str">
        <f>_xlfn.XLOOKUP(Moult2[[#This Row],[Hebras]],TbTecnologia[Hebras],TbTecnologia[Tecnología])</f>
        <v>CUDA</v>
      </c>
      <c r="O15" s="2" t="str" cm="1">
        <f t="array" ref="O15">_xlfn.XLOOKUP(Moult2[[#This Row],[Tecnología]]&amp;Moult2[[#This Row],[Metodo]],TbTipos[Tecnología]&amp;TbTipos[Metodo],TbTipos[Tipo])</f>
        <v>CUDA con graph</v>
      </c>
      <c r="P15" s="2" t="str" cm="1">
        <f t="array" ref="P15">_xlfn.XLOOKUP(Moult2[[#This Row],[Tecnología]]&amp;Moult2[[#This Row],[Problema]],TbNombres[Tecnología]&amp;TbNombres[Problema],TbNombres[Nombre])</f>
        <v>Advdiff1d</v>
      </c>
      <c r="Q15" s="2">
        <v>6</v>
      </c>
      <c r="R15" s="2">
        <v>3</v>
      </c>
      <c r="S15" s="2">
        <v>256</v>
      </c>
      <c r="T15" s="2">
        <v>500</v>
      </c>
      <c r="U15" s="2">
        <v>500</v>
      </c>
      <c r="V15" s="2">
        <v>23.690100000000001</v>
      </c>
      <c r="X15" s="6" t="str">
        <f>_xlfn.XLOOKUP(Moult3[[#This Row],[Metodo]],TbSolver[Metodo],TbSolver[Solver])</f>
        <v>AdamsBashfordMoulton</v>
      </c>
      <c r="Y15" s="6" t="str">
        <f>_xlfn.XLOOKUP(Moult3[[#This Row],[Hebras]],TbTecnologia[Hebras],TbTecnologia[Tecnología])</f>
        <v>CUDA</v>
      </c>
      <c r="Z15" s="2" t="str" cm="1">
        <f t="array" ref="Z15">_xlfn.XLOOKUP(Moult3[[#This Row],[Tecnología]]&amp;Moult3[[#This Row],[Metodo]],TbTipos[Tecnología]&amp;TbTipos[Metodo],TbTipos[Tipo])</f>
        <v>CUDA con graph</v>
      </c>
      <c r="AA15" s="2" t="str" cm="1">
        <f t="array" ref="AA15">_xlfn.XLOOKUP(Moult3[[#This Row],[Tecnología]]&amp;Moult3[[#This Row],[Problema]],TbNombres[Tecnología]&amp;TbNombres[Problema],TbNombres[Nombre])</f>
        <v>Brusselator1d</v>
      </c>
      <c r="AB15" s="2">
        <v>6</v>
      </c>
      <c r="AC15" s="2">
        <v>5</v>
      </c>
      <c r="AD15" s="2">
        <v>256</v>
      </c>
      <c r="AE15" s="2">
        <v>1000</v>
      </c>
      <c r="AF15" s="2">
        <v>2000</v>
      </c>
      <c r="AG15" s="2">
        <v>13.017200000000001</v>
      </c>
      <c r="AI15" s="9" t="str">
        <f>_xlfn.XLOOKUP(Moult4[[#This Row],[Metodo]],TbSolver[Metodo],TbSolver[Solver])</f>
        <v>AdamsBashfordMoulton</v>
      </c>
      <c r="AJ15" s="9" t="str">
        <f>_xlfn.XLOOKUP(Moult4[[#This Row],[Hebras]],TbTecnologia[Hebras],TbTecnologia[Tecnología])</f>
        <v>OMP</v>
      </c>
      <c r="AK15" s="10" t="str" cm="1">
        <f t="array" ref="AK15">_xlfn.XLOOKUP(Moult4[[#This Row],[Tecnología]]&amp;Moult4[[#This Row],[Metodo]],TbTipos[Tecnología]&amp;TbTipos[Metodo],TbTipos[Tipo])</f>
        <v>OMP Operaciones</v>
      </c>
      <c r="AL15" s="9" t="str" cm="1">
        <f t="array" ref="AL15">_xlfn.XLOOKUP(Moult4[[#This Row],[Tecnología]]&amp;Moult4[[#This Row],[Problema]],TbNombres[Tecnología]&amp;TbNombres[Problema],TbNombres[Nombre])</f>
        <v>Brusselator2d</v>
      </c>
      <c r="AM15" s="9">
        <v>5</v>
      </c>
      <c r="AN15" s="9">
        <v>4</v>
      </c>
      <c r="AO15" s="9">
        <v>16</v>
      </c>
      <c r="AP15" s="9">
        <v>50</v>
      </c>
      <c r="AQ15" s="9">
        <v>5000</v>
      </c>
      <c r="AR15" s="9">
        <v>100.818</v>
      </c>
    </row>
    <row r="16" spans="2:44" x14ac:dyDescent="0.2">
      <c r="B16" s="6" t="str">
        <f>_xlfn.XLOOKUP(Moult1[[#This Row],[Metodo]],TbSolver[Metodo],TbSolver[Solver])</f>
        <v>AdamsBashfordMoulton</v>
      </c>
      <c r="C16" s="6" t="str">
        <f>_xlfn.XLOOKUP(Moult1[[#This Row],[Hebras]],TbTecnologia[Hebras],TbTecnologia[Tecnología])</f>
        <v>CUDA</v>
      </c>
      <c r="D16" s="2" t="str" cm="1">
        <f t="array" ref="D16">_xlfn.XLOOKUP(Moult1[[#This Row],[Tecnología]]&amp;Moult1[[#This Row],[Metodo]],TbTipos[Tecnología]&amp;TbTipos[Metodo],TbTipos[Tipo])</f>
        <v>CUDA con graph</v>
      </c>
      <c r="E16" s="2" t="str" cm="1">
        <f t="array" ref="E16">_xlfn.XLOOKUP(Moult1[[#This Row],[Tecnología]]&amp;Moult1[[#This Row],[Problema]],TbNombres[Tecnología]&amp;TbNombres[Problema],TbNombres[Nombre])</f>
        <v>Simple Advdiff</v>
      </c>
      <c r="F16" s="2">
        <v>6</v>
      </c>
      <c r="G16" s="2">
        <v>2</v>
      </c>
      <c r="H16" s="2">
        <v>256</v>
      </c>
      <c r="I16" s="2">
        <v>1000</v>
      </c>
      <c r="J16" s="2">
        <v>1000</v>
      </c>
      <c r="K16" s="2">
        <v>12.204800000000001</v>
      </c>
      <c r="M16" s="6" t="str">
        <f>_xlfn.XLOOKUP(Moult2[[#This Row],[Metodo]],TbSolver[Metodo],TbSolver[Solver])</f>
        <v>AdamsBashfordMoulton</v>
      </c>
      <c r="N16" s="6" t="str">
        <f>_xlfn.XLOOKUP(Moult2[[#This Row],[Hebras]],TbTecnologia[Hebras],TbTecnologia[Tecnología])</f>
        <v>CUDA</v>
      </c>
      <c r="O16" s="2" t="str" cm="1">
        <f t="array" ref="O16">_xlfn.XLOOKUP(Moult2[[#This Row],[Tecnología]]&amp;Moult2[[#This Row],[Metodo]],TbTipos[Tecnología]&amp;TbTipos[Metodo],TbTipos[Tipo])</f>
        <v>CUDA con graph</v>
      </c>
      <c r="P16" s="2" t="str" cm="1">
        <f t="array" ref="P16">_xlfn.XLOOKUP(Moult2[[#This Row],[Tecnología]]&amp;Moult2[[#This Row],[Problema]],TbNombres[Tecnología]&amp;TbNombres[Problema],TbNombres[Nombre])</f>
        <v>Advdiff1d</v>
      </c>
      <c r="Q16" s="2">
        <v>6</v>
      </c>
      <c r="R16" s="2">
        <v>3</v>
      </c>
      <c r="S16" s="2">
        <v>256</v>
      </c>
      <c r="T16" s="2">
        <v>1000</v>
      </c>
      <c r="U16" s="2">
        <v>1000</v>
      </c>
      <c r="V16" s="2">
        <v>23.735099999999999</v>
      </c>
      <c r="X16" s="6" t="str">
        <f>_xlfn.XLOOKUP(Moult3[[#This Row],[Metodo]],TbSolver[Metodo],TbSolver[Solver])</f>
        <v>AdamsBashfordMoulton</v>
      </c>
      <c r="Y16" s="6" t="str">
        <f>_xlfn.XLOOKUP(Moult3[[#This Row],[Hebras]],TbTecnologia[Hebras],TbTecnologia[Tecnología])</f>
        <v>CUDA</v>
      </c>
      <c r="Z16" s="2" t="str" cm="1">
        <f t="array" ref="Z16">_xlfn.XLOOKUP(Moult3[[#This Row],[Tecnología]]&amp;Moult3[[#This Row],[Metodo]],TbTipos[Tecnología]&amp;TbTipos[Metodo],TbTipos[Tipo])</f>
        <v>CUDA con graph</v>
      </c>
      <c r="AA16" s="2" t="str" cm="1">
        <f t="array" ref="AA16">_xlfn.XLOOKUP(Moult3[[#This Row],[Tecnología]]&amp;Moult3[[#This Row],[Problema]],TbNombres[Tecnología]&amp;TbNombres[Problema],TbNombres[Nombre])</f>
        <v>Brusselator1d</v>
      </c>
      <c r="AB16" s="2">
        <v>6</v>
      </c>
      <c r="AC16" s="2">
        <v>6</v>
      </c>
      <c r="AD16" s="2">
        <v>256</v>
      </c>
      <c r="AE16" s="2">
        <v>500</v>
      </c>
      <c r="AF16" s="2">
        <v>1000</v>
      </c>
      <c r="AG16" s="2">
        <v>13.020300000000001</v>
      </c>
      <c r="AI16" s="9" t="str">
        <f>_xlfn.XLOOKUP(Moult4[[#This Row],[Metodo]],TbSolver[Metodo],TbSolver[Solver])</f>
        <v>AdamsBashfordMoulton</v>
      </c>
      <c r="AJ16" s="9" t="str">
        <f>_xlfn.XLOOKUP(Moult4[[#This Row],[Hebras]],TbTecnologia[Hebras],TbTecnologia[Tecnología])</f>
        <v>OMP</v>
      </c>
      <c r="AK16" s="10" t="str" cm="1">
        <f t="array" ref="AK16">_xlfn.XLOOKUP(Moult4[[#This Row],[Tecnología]]&amp;Moult4[[#This Row],[Metodo]],TbTipos[Tecnología]&amp;TbTipos[Metodo],TbTipos[Tipo])</f>
        <v>OMP Elementos</v>
      </c>
      <c r="AL16" s="9" t="str" cm="1">
        <f t="array" ref="AL16">_xlfn.XLOOKUP(Moult4[[#This Row],[Tecnología]]&amp;Moult4[[#This Row],[Problema]],TbNombres[Tecnología]&amp;TbNombres[Problema],TbNombres[Nombre])</f>
        <v>Brusselator2d</v>
      </c>
      <c r="AM16" s="9">
        <v>6</v>
      </c>
      <c r="AN16" s="9">
        <v>4</v>
      </c>
      <c r="AO16" s="9">
        <v>1</v>
      </c>
      <c r="AP16" s="9">
        <v>50</v>
      </c>
      <c r="AQ16" s="9">
        <v>5000</v>
      </c>
      <c r="AR16" s="9">
        <v>231.11699999999999</v>
      </c>
    </row>
    <row r="17" spans="2:44" x14ac:dyDescent="0.2">
      <c r="B17" s="6" t="str">
        <f>_xlfn.XLOOKUP(Moult1[[#This Row],[Metodo]],TbSolver[Metodo],TbSolver[Solver])</f>
        <v>AdamsBashfordMoulton</v>
      </c>
      <c r="C17" s="6" t="str">
        <f>_xlfn.XLOOKUP(Moult1[[#This Row],[Hebras]],TbTecnologia[Hebras],TbTecnologia[Tecnología])</f>
        <v>CUDA</v>
      </c>
      <c r="D17" s="2" t="str" cm="1">
        <f t="array" ref="D17">_xlfn.XLOOKUP(Moult1[[#This Row],[Tecnología]]&amp;Moult1[[#This Row],[Metodo]],TbTipos[Tecnología]&amp;TbTipos[Metodo],TbTipos[Tipo])</f>
        <v>CUDA con graph</v>
      </c>
      <c r="E17" s="2" t="str" cm="1">
        <f t="array" ref="E17">_xlfn.XLOOKUP(Moult1[[#This Row],[Tecnología]]&amp;Moult1[[#This Row],[Problema]],TbNombres[Tecnología]&amp;TbNombres[Problema],TbNombres[Nombre])</f>
        <v>Simple Advdiff</v>
      </c>
      <c r="F17" s="2">
        <v>6</v>
      </c>
      <c r="G17" s="2">
        <v>1</v>
      </c>
      <c r="H17" s="2">
        <v>256</v>
      </c>
      <c r="I17" s="2">
        <v>2000</v>
      </c>
      <c r="J17" s="2">
        <v>2000</v>
      </c>
      <c r="K17" s="2">
        <v>12.272500000000001</v>
      </c>
      <c r="M17" s="6" t="str">
        <f>_xlfn.XLOOKUP(Moult2[[#This Row],[Metodo]],TbSolver[Metodo],TbSolver[Solver])</f>
        <v>AdamsBashfordMoulton</v>
      </c>
      <c r="N17" s="6" t="str">
        <f>_xlfn.XLOOKUP(Moult2[[#This Row],[Hebras]],TbTecnologia[Hebras],TbTecnologia[Tecnología])</f>
        <v>CUDA</v>
      </c>
      <c r="O17" s="2" t="str" cm="1">
        <f t="array" ref="O17">_xlfn.XLOOKUP(Moult2[[#This Row],[Tecnología]]&amp;Moult2[[#This Row],[Metodo]],TbTipos[Tecnología]&amp;TbTipos[Metodo],TbTipos[Tipo])</f>
        <v>CUDA con graph</v>
      </c>
      <c r="P17" s="2" t="str" cm="1">
        <f t="array" ref="P17">_xlfn.XLOOKUP(Moult2[[#This Row],[Tecnología]]&amp;Moult2[[#This Row],[Problema]],TbNombres[Tecnología]&amp;TbNombres[Problema],TbNombres[Nombre])</f>
        <v>Advdiff1d</v>
      </c>
      <c r="Q17" s="2">
        <v>6</v>
      </c>
      <c r="R17" s="2">
        <v>3</v>
      </c>
      <c r="S17" s="2">
        <v>256</v>
      </c>
      <c r="T17" s="2">
        <v>2000</v>
      </c>
      <c r="U17" s="2">
        <v>2000</v>
      </c>
      <c r="V17" s="2">
        <v>23.829899999999999</v>
      </c>
      <c r="X17" s="6" t="str">
        <f>_xlfn.XLOOKUP(Moult3[[#This Row],[Metodo]],TbSolver[Metodo],TbSolver[Solver])</f>
        <v>AdamsBashfordMoulton</v>
      </c>
      <c r="Y17" s="6" t="str">
        <f>_xlfn.XLOOKUP(Moult3[[#This Row],[Hebras]],TbTecnologia[Hebras],TbTecnologia[Tecnología])</f>
        <v>CUDA</v>
      </c>
      <c r="Z17" s="2" t="str" cm="1">
        <f t="array" ref="Z17">_xlfn.XLOOKUP(Moult3[[#This Row],[Tecnología]]&amp;Moult3[[#This Row],[Metodo]],TbTipos[Tecnología]&amp;TbTipos[Metodo],TbTipos[Tipo])</f>
        <v>CUDA con graph</v>
      </c>
      <c r="AA17" s="2" t="str" cm="1">
        <f t="array" ref="AA17">_xlfn.XLOOKUP(Moult3[[#This Row],[Tecnología]]&amp;Moult3[[#This Row],[Problema]],TbNombres[Tecnología]&amp;TbNombres[Problema],TbNombres[Nombre])</f>
        <v>Brusselator1d</v>
      </c>
      <c r="AB17" s="2">
        <v>6</v>
      </c>
      <c r="AC17" s="2">
        <v>6</v>
      </c>
      <c r="AD17" s="2">
        <v>256</v>
      </c>
      <c r="AE17" s="2">
        <v>1000</v>
      </c>
      <c r="AF17" s="2">
        <v>2000</v>
      </c>
      <c r="AG17" s="2">
        <v>13.092700000000001</v>
      </c>
      <c r="AI17" s="6" t="str">
        <f>_xlfn.XLOOKUP(Moult4[[#This Row],[Metodo]],TbSolver[Metodo],TbSolver[Solver])</f>
        <v>AdamsBashfordMoulton</v>
      </c>
      <c r="AJ17" s="6" t="str">
        <f>_xlfn.XLOOKUP(Moult4[[#This Row],[Hebras]],TbTecnologia[Hebras],TbTecnologia[Tecnología])</f>
        <v>CUDA</v>
      </c>
      <c r="AK17" s="2" t="str" cm="1">
        <f t="array" ref="AK17">_xlfn.XLOOKUP(Moult4[[#This Row],[Tecnología]]&amp;Moult4[[#This Row],[Metodo]],TbTipos[Tecnología]&amp;TbTipos[Metodo],TbTipos[Tipo])</f>
        <v>CUDA con graph</v>
      </c>
      <c r="AL17" s="2" t="str" cm="1">
        <f t="array" ref="AL17">_xlfn.XLOOKUP(Moult4[[#This Row],[Tecnología]]&amp;Moult4[[#This Row],[Problema]],TbNombres[Tecnología]&amp;TbNombres[Problema],TbNombres[Nombre])</f>
        <v>Brusselator2d</v>
      </c>
      <c r="AM17" s="2">
        <v>6</v>
      </c>
      <c r="AN17" s="2">
        <v>9</v>
      </c>
      <c r="AO17" s="2">
        <v>256</v>
      </c>
      <c r="AP17" s="2">
        <v>100</v>
      </c>
      <c r="AQ17" s="2">
        <v>20000</v>
      </c>
      <c r="AR17" s="2">
        <v>22.558299999999999</v>
      </c>
    </row>
    <row r="18" spans="2:44" x14ac:dyDescent="0.2">
      <c r="B18" s="6" t="str">
        <f>_xlfn.XLOOKUP(Moult1[[#This Row],[Metodo]],TbSolver[Metodo],TbSolver[Solver])</f>
        <v>AdamsBashfordMoulton</v>
      </c>
      <c r="C18" s="6" t="str">
        <f>_xlfn.XLOOKUP(Moult1[[#This Row],[Hebras]],TbTecnologia[Hebras],TbTecnologia[Tecnología])</f>
        <v>CUDA</v>
      </c>
      <c r="D18" s="2" t="str" cm="1">
        <f t="array" ref="D18">_xlfn.XLOOKUP(Moult1[[#This Row],[Tecnología]]&amp;Moult1[[#This Row],[Metodo]],TbTipos[Tecnología]&amp;TbTipos[Metodo],TbTipos[Tipo])</f>
        <v>CUDA con graph</v>
      </c>
      <c r="E18" s="2" t="str" cm="1">
        <f t="array" ref="E18">_xlfn.XLOOKUP(Moult1[[#This Row],[Tecnología]]&amp;Moult1[[#This Row],[Problema]],TbNombres[Tecnología]&amp;TbNombres[Problema],TbNombres[Nombre])</f>
        <v>Simple Advdiff</v>
      </c>
      <c r="F18" s="2">
        <v>6</v>
      </c>
      <c r="G18" s="2">
        <v>2</v>
      </c>
      <c r="H18" s="2">
        <v>256</v>
      </c>
      <c r="I18" s="2">
        <v>2000</v>
      </c>
      <c r="J18" s="2">
        <v>2000</v>
      </c>
      <c r="K18" s="2">
        <v>12.2935</v>
      </c>
      <c r="M18" s="6" t="str">
        <f>_xlfn.XLOOKUP(Moult2[[#This Row],[Metodo]],TbSolver[Metodo],TbSolver[Solver])</f>
        <v>AdamsBashfordMoulton</v>
      </c>
      <c r="N18" s="6" t="str">
        <f>_xlfn.XLOOKUP(Moult2[[#This Row],[Hebras]],TbTecnologia[Hebras],TbTecnologia[Tecnología])</f>
        <v>CUDA</v>
      </c>
      <c r="O18" s="2" t="str" cm="1">
        <f t="array" ref="O18">_xlfn.XLOOKUP(Moult2[[#This Row],[Tecnología]]&amp;Moult2[[#This Row],[Metodo]],TbTipos[Tecnología]&amp;TbTipos[Metodo],TbTipos[Tipo])</f>
        <v>CUDA sin graph</v>
      </c>
      <c r="P18" s="2" t="str" cm="1">
        <f t="array" ref="P18">_xlfn.XLOOKUP(Moult2[[#This Row],[Tecnología]]&amp;Moult2[[#This Row],[Problema]],TbNombres[Tecnología]&amp;TbNombres[Problema],TbNombres[Nombre])</f>
        <v>Advdiff1d</v>
      </c>
      <c r="Q18" s="2">
        <v>5</v>
      </c>
      <c r="R18" s="2">
        <v>3</v>
      </c>
      <c r="S18" s="2">
        <v>256</v>
      </c>
      <c r="T18" s="2">
        <v>500</v>
      </c>
      <c r="U18" s="2">
        <v>500</v>
      </c>
      <c r="V18" s="2">
        <v>24.028400000000001</v>
      </c>
      <c r="X18" s="6" t="str">
        <f>_xlfn.XLOOKUP(Moult3[[#This Row],[Metodo]],TbSolver[Metodo],TbSolver[Solver])</f>
        <v>AdamsBashfordMoulton</v>
      </c>
      <c r="Y18" s="6" t="str">
        <f>_xlfn.XLOOKUP(Moult3[[#This Row],[Hebras]],TbTecnologia[Hebras],TbTecnologia[Tecnología])</f>
        <v>CUDA</v>
      </c>
      <c r="Z18" s="2" t="str" cm="1">
        <f t="array" ref="Z18">_xlfn.XLOOKUP(Moult3[[#This Row],[Tecnología]]&amp;Moult3[[#This Row],[Metodo]],TbTipos[Tecnología]&amp;TbTipos[Metodo],TbTipos[Tipo])</f>
        <v>CUDA con graph</v>
      </c>
      <c r="AA18" s="2" t="str" cm="1">
        <f t="array" ref="AA18">_xlfn.XLOOKUP(Moult3[[#This Row],[Tecnología]]&amp;Moult3[[#This Row],[Problema]],TbNombres[Tecnología]&amp;TbNombres[Problema],TbNombres[Nombre])</f>
        <v>Brusselator1d</v>
      </c>
      <c r="AB18" s="2">
        <v>6</v>
      </c>
      <c r="AC18" s="2">
        <v>7</v>
      </c>
      <c r="AD18" s="2">
        <v>256</v>
      </c>
      <c r="AE18" s="2">
        <v>1000</v>
      </c>
      <c r="AF18" s="2">
        <v>2000</v>
      </c>
      <c r="AG18" s="2">
        <v>13.118</v>
      </c>
      <c r="AI18" s="6" t="str">
        <f>_xlfn.XLOOKUP(Moult4[[#This Row],[Metodo]],TbSolver[Metodo],TbSolver[Solver])</f>
        <v>AdamsBashfordMoulton</v>
      </c>
      <c r="AJ18" s="6" t="str">
        <f>_xlfn.XLOOKUP(Moult4[[#This Row],[Hebras]],TbTecnologia[Hebras],TbTecnologia[Tecnología])</f>
        <v>CUDA</v>
      </c>
      <c r="AK18" s="2" t="str" cm="1">
        <f t="array" ref="AK18">_xlfn.XLOOKUP(Moult4[[#This Row],[Tecnología]]&amp;Moult4[[#This Row],[Metodo]],TbTipos[Tecnología]&amp;TbTipos[Metodo],TbTipos[Tipo])</f>
        <v>CUDA con graph</v>
      </c>
      <c r="AL18" s="2" t="str" cm="1">
        <f t="array" ref="AL18">_xlfn.XLOOKUP(Moult4[[#This Row],[Tecnología]]&amp;Moult4[[#This Row],[Problema]],TbNombres[Tecnología]&amp;TbNombres[Problema],TbNombres[Nombre])</f>
        <v>Brusselator2d</v>
      </c>
      <c r="AM18" s="2">
        <v>6</v>
      </c>
      <c r="AN18" s="2">
        <v>8</v>
      </c>
      <c r="AO18" s="2">
        <v>256</v>
      </c>
      <c r="AP18" s="2">
        <v>100</v>
      </c>
      <c r="AQ18" s="2">
        <v>20000</v>
      </c>
      <c r="AR18" s="2">
        <v>22.657800000000002</v>
      </c>
    </row>
    <row r="19" spans="2:44" x14ac:dyDescent="0.2">
      <c r="B19" s="6" t="str">
        <f>_xlfn.XLOOKUP(Moult1[[#This Row],[Metodo]],TbSolver[Metodo],TbSolver[Solver])</f>
        <v>AdamsBashfordMoulton</v>
      </c>
      <c r="C19" s="6" t="str">
        <f>_xlfn.XLOOKUP(Moult1[[#This Row],[Hebras]],TbTecnologia[Hebras],TbTecnologia[Tecnología])</f>
        <v>CUDA</v>
      </c>
      <c r="D19" s="2" t="str" cm="1">
        <f t="array" ref="D19">_xlfn.XLOOKUP(Moult1[[#This Row],[Tecnología]]&amp;Moult1[[#This Row],[Metodo]],TbTipos[Tecnología]&amp;TbTipos[Metodo],TbTipos[Tipo])</f>
        <v>CUDA con graph</v>
      </c>
      <c r="E19" s="2" t="str" cm="1">
        <f t="array" ref="E19">_xlfn.XLOOKUP(Moult1[[#This Row],[Tecnología]]&amp;Moult1[[#This Row],[Problema]],TbNombres[Tecnología]&amp;TbNombres[Problema],TbNombres[Nombre])</f>
        <v>Simple Advdiff</v>
      </c>
      <c r="F19" s="2">
        <v>6</v>
      </c>
      <c r="G19" s="2">
        <v>1</v>
      </c>
      <c r="H19" s="2">
        <v>256</v>
      </c>
      <c r="I19" s="2">
        <v>5000</v>
      </c>
      <c r="J19" s="2">
        <v>5000</v>
      </c>
      <c r="K19" s="2">
        <v>12.4802</v>
      </c>
      <c r="M19" s="6" t="str">
        <f>_xlfn.XLOOKUP(Moult2[[#This Row],[Metodo]],TbSolver[Metodo],TbSolver[Solver])</f>
        <v>AdamsBashfordMoulton</v>
      </c>
      <c r="N19" s="6" t="str">
        <f>_xlfn.XLOOKUP(Moult2[[#This Row],[Hebras]],TbTecnologia[Hebras],TbTecnologia[Tecnología])</f>
        <v>CUDA</v>
      </c>
      <c r="O19" s="2" t="str" cm="1">
        <f t="array" ref="O19">_xlfn.XLOOKUP(Moult2[[#This Row],[Tecnología]]&amp;Moult2[[#This Row],[Metodo]],TbTipos[Tecnología]&amp;TbTipos[Metodo],TbTipos[Tipo])</f>
        <v>CUDA sin graph</v>
      </c>
      <c r="P19" s="2" t="str" cm="1">
        <f t="array" ref="P19">_xlfn.XLOOKUP(Moult2[[#This Row],[Tecnología]]&amp;Moult2[[#This Row],[Problema]],TbNombres[Tecnología]&amp;TbNombres[Problema],TbNombres[Nombre])</f>
        <v>Advdiff1d</v>
      </c>
      <c r="Q19" s="2">
        <v>5</v>
      </c>
      <c r="R19" s="2">
        <v>3</v>
      </c>
      <c r="S19" s="2">
        <v>256</v>
      </c>
      <c r="T19" s="2">
        <v>1000</v>
      </c>
      <c r="U19" s="2">
        <v>1000</v>
      </c>
      <c r="V19" s="2">
        <v>24.066500000000001</v>
      </c>
      <c r="X19" s="6" t="str">
        <f>_xlfn.XLOOKUP(Moult3[[#This Row],[Metodo]],TbSolver[Metodo],TbSolver[Solver])</f>
        <v>AdamsBashfordMoulton</v>
      </c>
      <c r="Y19" s="6" t="str">
        <f>_xlfn.XLOOKUP(Moult3[[#This Row],[Hebras]],TbTecnologia[Hebras],TbTecnologia[Tecnología])</f>
        <v>CUDA</v>
      </c>
      <c r="Z19" s="2" t="str" cm="1">
        <f t="array" ref="Z19">_xlfn.XLOOKUP(Moult3[[#This Row],[Tecnología]]&amp;Moult3[[#This Row],[Metodo]],TbTipos[Tecnología]&amp;TbTipos[Metodo],TbTipos[Tipo])</f>
        <v>CUDA con graph</v>
      </c>
      <c r="AA19" s="2" t="str" cm="1">
        <f t="array" ref="AA19">_xlfn.XLOOKUP(Moult3[[#This Row],[Tecnología]]&amp;Moult3[[#This Row],[Problema]],TbNombres[Tecnología]&amp;TbNombres[Problema],TbNombres[Nombre])</f>
        <v>Brusselator1d</v>
      </c>
      <c r="AB19" s="2">
        <v>6</v>
      </c>
      <c r="AC19" s="2">
        <v>5</v>
      </c>
      <c r="AD19" s="2">
        <v>256</v>
      </c>
      <c r="AE19" s="2">
        <v>2000</v>
      </c>
      <c r="AF19" s="2">
        <v>4000</v>
      </c>
      <c r="AG19" s="2">
        <v>13.125999999999999</v>
      </c>
      <c r="AI19" s="6" t="str">
        <f>_xlfn.XLOOKUP(Moult4[[#This Row],[Metodo]],TbSolver[Metodo],TbSolver[Solver])</f>
        <v>AdamsBashfordMoulton</v>
      </c>
      <c r="AJ19" s="6" t="str">
        <f>_xlfn.XLOOKUP(Moult4[[#This Row],[Hebras]],TbTecnologia[Hebras],TbTecnologia[Tecnología])</f>
        <v>CUDA</v>
      </c>
      <c r="AK19" s="2" t="str" cm="1">
        <f t="array" ref="AK19">_xlfn.XLOOKUP(Moult4[[#This Row],[Tecnología]]&amp;Moult4[[#This Row],[Metodo]],TbTipos[Tecnología]&amp;TbTipos[Metodo],TbTipos[Tipo])</f>
        <v>CUDA sin graph</v>
      </c>
      <c r="AL19" s="2" t="str" cm="1">
        <f t="array" ref="AL19">_xlfn.XLOOKUP(Moult4[[#This Row],[Tecnología]]&amp;Moult4[[#This Row],[Problema]],TbNombres[Tecnología]&amp;TbNombres[Problema],TbNombres[Nombre])</f>
        <v>Brusselator2d</v>
      </c>
      <c r="AM19" s="2">
        <v>5</v>
      </c>
      <c r="AN19" s="2">
        <v>8</v>
      </c>
      <c r="AO19" s="2">
        <v>256</v>
      </c>
      <c r="AP19" s="2">
        <v>100</v>
      </c>
      <c r="AQ19" s="2">
        <v>20000</v>
      </c>
      <c r="AR19" s="2">
        <v>22.6586</v>
      </c>
    </row>
    <row r="20" spans="2:44" x14ac:dyDescent="0.2">
      <c r="B20" s="6" t="str">
        <f>_xlfn.XLOOKUP(Moult1[[#This Row],[Metodo]],TbSolver[Metodo],TbSolver[Solver])</f>
        <v>AdamsBashfordMoulton</v>
      </c>
      <c r="C20" s="6" t="str">
        <f>_xlfn.XLOOKUP(Moult1[[#This Row],[Hebras]],TbTecnologia[Hebras],TbTecnologia[Tecnología])</f>
        <v>CUDA</v>
      </c>
      <c r="D20" s="2" t="str" cm="1">
        <f t="array" ref="D20">_xlfn.XLOOKUP(Moult1[[#This Row],[Tecnología]]&amp;Moult1[[#This Row],[Metodo]],TbTipos[Tecnología]&amp;TbTipos[Metodo],TbTipos[Tipo])</f>
        <v>CUDA con graph</v>
      </c>
      <c r="E20" s="2" t="str" cm="1">
        <f t="array" ref="E20">_xlfn.XLOOKUP(Moult1[[#This Row],[Tecnología]]&amp;Moult1[[#This Row],[Problema]],TbNombres[Tecnología]&amp;TbNombres[Problema],TbNombres[Nombre])</f>
        <v>Simple Advdiff</v>
      </c>
      <c r="F20" s="2">
        <v>6</v>
      </c>
      <c r="G20" s="2">
        <v>2</v>
      </c>
      <c r="H20" s="2">
        <v>256</v>
      </c>
      <c r="I20" s="2">
        <v>5000</v>
      </c>
      <c r="J20" s="2">
        <v>5000</v>
      </c>
      <c r="K20" s="2">
        <v>12.497</v>
      </c>
      <c r="M20" s="6" t="str">
        <f>_xlfn.XLOOKUP(Moult2[[#This Row],[Metodo]],TbSolver[Metodo],TbSolver[Solver])</f>
        <v>AdamsBashfordMoulton</v>
      </c>
      <c r="N20" s="6" t="str">
        <f>_xlfn.XLOOKUP(Moult2[[#This Row],[Hebras]],TbTecnologia[Hebras],TbTecnologia[Tecnología])</f>
        <v>CUDA</v>
      </c>
      <c r="O20" s="2" t="str" cm="1">
        <f t="array" ref="O20">_xlfn.XLOOKUP(Moult2[[#This Row],[Tecnología]]&amp;Moult2[[#This Row],[Metodo]],TbTipos[Tecnología]&amp;TbTipos[Metodo],TbTipos[Tipo])</f>
        <v>CUDA sin graph</v>
      </c>
      <c r="P20" s="2" t="str" cm="1">
        <f t="array" ref="P20">_xlfn.XLOOKUP(Moult2[[#This Row],[Tecnología]]&amp;Moult2[[#This Row],[Problema]],TbNombres[Tecnología]&amp;TbNombres[Problema],TbNombres[Nombre])</f>
        <v>Advdiff1d</v>
      </c>
      <c r="Q20" s="2">
        <v>5</v>
      </c>
      <c r="R20" s="2">
        <v>3</v>
      </c>
      <c r="S20" s="2">
        <v>256</v>
      </c>
      <c r="T20" s="2">
        <v>2000</v>
      </c>
      <c r="U20" s="2">
        <v>2000</v>
      </c>
      <c r="V20" s="2">
        <v>24.0976</v>
      </c>
      <c r="X20" s="6" t="str">
        <f>_xlfn.XLOOKUP(Moult3[[#This Row],[Metodo]],TbSolver[Metodo],TbSolver[Solver])</f>
        <v>AdamsBashfordMoulton</v>
      </c>
      <c r="Y20" s="6" t="str">
        <f>_xlfn.XLOOKUP(Moult3[[#This Row],[Hebras]],TbTecnologia[Hebras],TbTecnologia[Tecnología])</f>
        <v>CUDA</v>
      </c>
      <c r="Z20" s="2" t="str" cm="1">
        <f t="array" ref="Z20">_xlfn.XLOOKUP(Moult3[[#This Row],[Tecnología]]&amp;Moult3[[#This Row],[Metodo]],TbTipos[Tecnología]&amp;TbTipos[Metodo],TbTipos[Tipo])</f>
        <v>CUDA con graph</v>
      </c>
      <c r="AA20" s="2" t="str" cm="1">
        <f t="array" ref="AA20">_xlfn.XLOOKUP(Moult3[[#This Row],[Tecnología]]&amp;Moult3[[#This Row],[Problema]],TbNombres[Tecnología]&amp;TbNombres[Problema],TbNombres[Nombre])</f>
        <v>Brusselator1d</v>
      </c>
      <c r="AB20" s="2">
        <v>6</v>
      </c>
      <c r="AC20" s="2">
        <v>7</v>
      </c>
      <c r="AD20" s="2">
        <v>256</v>
      </c>
      <c r="AE20" s="2">
        <v>2000</v>
      </c>
      <c r="AF20" s="2">
        <v>4000</v>
      </c>
      <c r="AG20" s="2">
        <v>13.203900000000001</v>
      </c>
      <c r="AI20" s="6" t="str">
        <f>_xlfn.XLOOKUP(Moult4[[#This Row],[Metodo]],TbSolver[Metodo],TbSolver[Solver])</f>
        <v>AdamsBashfordMoulton</v>
      </c>
      <c r="AJ20" s="6" t="str">
        <f>_xlfn.XLOOKUP(Moult4[[#This Row],[Hebras]],TbTecnologia[Hebras],TbTecnologia[Tecnología])</f>
        <v>CUDA</v>
      </c>
      <c r="AK20" s="2" t="str" cm="1">
        <f t="array" ref="AK20">_xlfn.XLOOKUP(Moult4[[#This Row],[Tecnología]]&amp;Moult4[[#This Row],[Metodo]],TbTipos[Tecnología]&amp;TbTipos[Metodo],TbTipos[Tipo])</f>
        <v>CUDA sin graph</v>
      </c>
      <c r="AL20" s="2" t="str" cm="1">
        <f t="array" ref="AL20">_xlfn.XLOOKUP(Moult4[[#This Row],[Tecnología]]&amp;Moult4[[#This Row],[Problema]],TbNombres[Tecnología]&amp;TbNombres[Problema],TbNombres[Nombre])</f>
        <v>Brusselator2d</v>
      </c>
      <c r="AM20" s="2">
        <v>5</v>
      </c>
      <c r="AN20" s="2">
        <v>9</v>
      </c>
      <c r="AO20" s="2">
        <v>256</v>
      </c>
      <c r="AP20" s="2">
        <v>100</v>
      </c>
      <c r="AQ20" s="2">
        <v>20000</v>
      </c>
      <c r="AR20" s="2">
        <v>22.6951</v>
      </c>
    </row>
    <row r="21" spans="2:44" x14ac:dyDescent="0.2">
      <c r="B21" s="6" t="str">
        <f>_xlfn.XLOOKUP(Moult1[[#This Row],[Metodo]],TbSolver[Metodo],TbSolver[Solver])</f>
        <v>AdamsBashfordMoulton</v>
      </c>
      <c r="C21" s="6" t="str">
        <f>_xlfn.XLOOKUP(Moult1[[#This Row],[Hebras]],TbTecnologia[Hebras],TbTecnologia[Tecnología])</f>
        <v>CUDA</v>
      </c>
      <c r="D21" s="2" t="str" cm="1">
        <f t="array" ref="D21">_xlfn.XLOOKUP(Moult1[[#This Row],[Tecnología]]&amp;Moult1[[#This Row],[Metodo]],TbTipos[Tecnología]&amp;TbTipos[Metodo],TbTipos[Tipo])</f>
        <v>CUDA sin graph</v>
      </c>
      <c r="E21" s="2" t="str" cm="1">
        <f t="array" ref="E21">_xlfn.XLOOKUP(Moult1[[#This Row],[Tecnología]]&amp;Moult1[[#This Row],[Problema]],TbNombres[Tecnología]&amp;TbNombres[Problema],TbNombres[Nombre])</f>
        <v>Simple Advdiff</v>
      </c>
      <c r="F21" s="2">
        <v>5</v>
      </c>
      <c r="G21" s="2">
        <v>1</v>
      </c>
      <c r="H21" s="2">
        <v>256</v>
      </c>
      <c r="I21" s="2">
        <v>500</v>
      </c>
      <c r="J21" s="2">
        <v>500</v>
      </c>
      <c r="K21" s="2">
        <v>12.7247</v>
      </c>
      <c r="M21" s="6" t="str">
        <f>_xlfn.XLOOKUP(Moult2[[#This Row],[Metodo]],TbSolver[Metodo],TbSolver[Solver])</f>
        <v>AdamsBashfordMoulton</v>
      </c>
      <c r="N21" s="6" t="str">
        <f>_xlfn.XLOOKUP(Moult2[[#This Row],[Hebras]],TbTecnologia[Hebras],TbTecnologia[Tecnología])</f>
        <v>CUDA</v>
      </c>
      <c r="O21" s="2" t="str" cm="1">
        <f t="array" ref="O21">_xlfn.XLOOKUP(Moult2[[#This Row],[Tecnología]]&amp;Moult2[[#This Row],[Metodo]],TbTipos[Tecnología]&amp;TbTipos[Metodo],TbTipos[Tipo])</f>
        <v>CUDA con graph</v>
      </c>
      <c r="P21" s="2" t="str" cm="1">
        <f t="array" ref="P21">_xlfn.XLOOKUP(Moult2[[#This Row],[Tecnología]]&amp;Moult2[[#This Row],[Problema]],TbNombres[Tecnología]&amp;TbNombres[Problema],TbNombres[Nombre])</f>
        <v>Advdiff1d</v>
      </c>
      <c r="Q21" s="2">
        <v>6</v>
      </c>
      <c r="R21" s="2">
        <v>3</v>
      </c>
      <c r="S21" s="2">
        <v>256</v>
      </c>
      <c r="T21" s="2">
        <v>5000</v>
      </c>
      <c r="U21" s="2">
        <v>5000</v>
      </c>
      <c r="V21" s="2">
        <v>24.243200000000002</v>
      </c>
      <c r="X21" s="6" t="str">
        <f>_xlfn.XLOOKUP(Moult3[[#This Row],[Metodo]],TbSolver[Metodo],TbSolver[Solver])</f>
        <v>AdamsBashfordMoulton</v>
      </c>
      <c r="Y21" s="6" t="str">
        <f>_xlfn.XLOOKUP(Moult3[[#This Row],[Hebras]],TbTecnologia[Hebras],TbTecnologia[Tecnología])</f>
        <v>CUDA</v>
      </c>
      <c r="Z21" s="2" t="str" cm="1">
        <f t="array" ref="Z21">_xlfn.XLOOKUP(Moult3[[#This Row],[Tecnología]]&amp;Moult3[[#This Row],[Metodo]],TbTipos[Tecnología]&amp;TbTipos[Metodo],TbTipos[Tipo])</f>
        <v>CUDA con graph</v>
      </c>
      <c r="AA21" s="2" t="str" cm="1">
        <f t="array" ref="AA21">_xlfn.XLOOKUP(Moult3[[#This Row],[Tecnología]]&amp;Moult3[[#This Row],[Problema]],TbNombres[Tecnología]&amp;TbNombres[Problema],TbNombres[Nombre])</f>
        <v>Brusselator1d</v>
      </c>
      <c r="AB21" s="2">
        <v>6</v>
      </c>
      <c r="AC21" s="2">
        <v>6</v>
      </c>
      <c r="AD21" s="2">
        <v>256</v>
      </c>
      <c r="AE21" s="2">
        <v>2000</v>
      </c>
      <c r="AF21" s="2">
        <v>4000</v>
      </c>
      <c r="AG21" s="2">
        <v>13.230600000000001</v>
      </c>
      <c r="AI21" s="9" t="str">
        <f>_xlfn.XLOOKUP(Moult4[[#This Row],[Metodo]],TbSolver[Metodo],TbSolver[Solver])</f>
        <v>AdamsBashfordMoulton</v>
      </c>
      <c r="AJ21" s="9" t="str">
        <f>_xlfn.XLOOKUP(Moult4[[#This Row],[Hebras]],TbTecnologia[Hebras],TbTecnologia[Tecnología])</f>
        <v>OMP</v>
      </c>
      <c r="AK21" s="10" t="str" cm="1">
        <f t="array" ref="AK21">_xlfn.XLOOKUP(Moult4[[#This Row],[Tecnología]]&amp;Moult4[[#This Row],[Metodo]],TbTipos[Tecnología]&amp;TbTipos[Metodo],TbTipos[Tipo])</f>
        <v>OMP Elementos</v>
      </c>
      <c r="AL21" s="9" t="str" cm="1">
        <f t="array" ref="AL21">_xlfn.XLOOKUP(Moult4[[#This Row],[Tecnología]]&amp;Moult4[[#This Row],[Problema]],TbNombres[Tecnología]&amp;TbNombres[Problema],TbNombres[Nombre])</f>
        <v>Brusselator2d</v>
      </c>
      <c r="AM21" s="9">
        <v>6</v>
      </c>
      <c r="AN21" s="9">
        <v>4</v>
      </c>
      <c r="AO21" s="9">
        <v>16</v>
      </c>
      <c r="AP21" s="9">
        <v>100</v>
      </c>
      <c r="AQ21" s="9">
        <v>20000</v>
      </c>
      <c r="AR21" s="9">
        <v>136.40299999999999</v>
      </c>
    </row>
    <row r="22" spans="2:44" x14ac:dyDescent="0.2">
      <c r="B22" s="6" t="str">
        <f>_xlfn.XLOOKUP(Moult1[[#This Row],[Metodo]],TbSolver[Metodo],TbSolver[Solver])</f>
        <v>AdamsBashfordMoulton</v>
      </c>
      <c r="C22" s="6" t="str">
        <f>_xlfn.XLOOKUP(Moult1[[#This Row],[Hebras]],TbTecnologia[Hebras],TbTecnologia[Tecnología])</f>
        <v>CUDA</v>
      </c>
      <c r="D22" s="2" t="str" cm="1">
        <f t="array" ref="D22">_xlfn.XLOOKUP(Moult1[[#This Row],[Tecnología]]&amp;Moult1[[#This Row],[Metodo]],TbTipos[Tecnología]&amp;TbTipos[Metodo],TbTipos[Tipo])</f>
        <v>CUDA sin graph</v>
      </c>
      <c r="E22" s="2" t="str" cm="1">
        <f t="array" ref="E22">_xlfn.XLOOKUP(Moult1[[#This Row],[Tecnología]]&amp;Moult1[[#This Row],[Problema]],TbNombres[Tecnología]&amp;TbNombres[Problema],TbNombres[Nombre])</f>
        <v>Simple Advdiff</v>
      </c>
      <c r="F22" s="2">
        <v>5</v>
      </c>
      <c r="G22" s="2">
        <v>2</v>
      </c>
      <c r="H22" s="2">
        <v>256</v>
      </c>
      <c r="I22" s="2">
        <v>500</v>
      </c>
      <c r="J22" s="2">
        <v>500</v>
      </c>
      <c r="K22" s="2">
        <v>12.746700000000001</v>
      </c>
      <c r="M22" s="6" t="str">
        <f>_xlfn.XLOOKUP(Moult2[[#This Row],[Metodo]],TbSolver[Metodo],TbSolver[Solver])</f>
        <v>AdamsBashfordMoulton</v>
      </c>
      <c r="N22" s="6" t="str">
        <f>_xlfn.XLOOKUP(Moult2[[#This Row],[Hebras]],TbTecnologia[Hebras],TbTecnologia[Tecnología])</f>
        <v>CUDA</v>
      </c>
      <c r="O22" s="2" t="str" cm="1">
        <f t="array" ref="O22">_xlfn.XLOOKUP(Moult2[[#This Row],[Tecnología]]&amp;Moult2[[#This Row],[Metodo]],TbTipos[Tecnología]&amp;TbTipos[Metodo],TbTipos[Tipo])</f>
        <v>CUDA con graph</v>
      </c>
      <c r="P22" s="2" t="str" cm="1">
        <f t="array" ref="P22">_xlfn.XLOOKUP(Moult2[[#This Row],[Tecnología]]&amp;Moult2[[#This Row],[Problema]],TbNombres[Tecnología]&amp;TbNombres[Problema],TbNombres[Nombre])</f>
        <v>Advdiff1d</v>
      </c>
      <c r="Q22" s="2">
        <v>6</v>
      </c>
      <c r="R22" s="2">
        <v>4</v>
      </c>
      <c r="S22" s="2">
        <v>256</v>
      </c>
      <c r="T22" s="2">
        <v>500</v>
      </c>
      <c r="U22" s="2">
        <v>500</v>
      </c>
      <c r="V22" s="2">
        <v>24.4192</v>
      </c>
      <c r="X22" s="6" t="str">
        <f>_xlfn.XLOOKUP(Moult3[[#This Row],[Metodo]],TbSolver[Metodo],TbSolver[Solver])</f>
        <v>AdamsBashfordMoulton</v>
      </c>
      <c r="Y22" s="6" t="str">
        <f>_xlfn.XLOOKUP(Moult3[[#This Row],[Hebras]],TbTecnologia[Hebras],TbTecnologia[Tecnología])</f>
        <v>CUDA</v>
      </c>
      <c r="Z22" s="2" t="str" cm="1">
        <f t="array" ref="Z22">_xlfn.XLOOKUP(Moult3[[#This Row],[Tecnología]]&amp;Moult3[[#This Row],[Metodo]],TbTipos[Tecnología]&amp;TbTipos[Metodo],TbTipos[Tipo])</f>
        <v>CUDA sin graph</v>
      </c>
      <c r="AA22" s="2" t="str" cm="1">
        <f t="array" ref="AA22">_xlfn.XLOOKUP(Moult3[[#This Row],[Tecnología]]&amp;Moult3[[#This Row],[Problema]],TbNombres[Tecnología]&amp;TbNombres[Problema],TbNombres[Nombre])</f>
        <v>Brusselator1d</v>
      </c>
      <c r="AB22" s="2">
        <v>5</v>
      </c>
      <c r="AC22" s="2">
        <v>6</v>
      </c>
      <c r="AD22" s="2">
        <v>256</v>
      </c>
      <c r="AE22" s="2">
        <v>500</v>
      </c>
      <c r="AF22" s="2">
        <v>1000</v>
      </c>
      <c r="AG22" s="2">
        <v>13.5906</v>
      </c>
      <c r="AI22" s="9" t="str">
        <f>_xlfn.XLOOKUP(Moult4[[#This Row],[Metodo]],TbSolver[Metodo],TbSolver[Solver])</f>
        <v>AdamsBashfordMoulton</v>
      </c>
      <c r="AJ22" s="9" t="str">
        <f>_xlfn.XLOOKUP(Moult4[[#This Row],[Hebras]],TbTecnologia[Hebras],TbTecnologia[Tecnología])</f>
        <v>OMP</v>
      </c>
      <c r="AK22" s="10" t="str" cm="1">
        <f t="array" ref="AK22">_xlfn.XLOOKUP(Moult4[[#This Row],[Tecnología]]&amp;Moult4[[#This Row],[Metodo]],TbTipos[Tecnología]&amp;TbTipos[Metodo],TbTipos[Tipo])</f>
        <v>OMP Operaciones</v>
      </c>
      <c r="AL22" s="9" t="str" cm="1">
        <f t="array" ref="AL22">_xlfn.XLOOKUP(Moult4[[#This Row],[Tecnología]]&amp;Moult4[[#This Row],[Problema]],TbNombres[Tecnología]&amp;TbNombres[Problema],TbNombres[Nombre])</f>
        <v>Brusselator2d</v>
      </c>
      <c r="AM22" s="9">
        <v>5</v>
      </c>
      <c r="AN22" s="9">
        <v>4</v>
      </c>
      <c r="AO22" s="9">
        <v>4</v>
      </c>
      <c r="AP22" s="9">
        <v>100</v>
      </c>
      <c r="AQ22" s="9">
        <v>20000</v>
      </c>
      <c r="AR22" s="9">
        <v>138.566</v>
      </c>
    </row>
    <row r="23" spans="2:44" x14ac:dyDescent="0.2">
      <c r="B23" s="6" t="str">
        <f>_xlfn.XLOOKUP(Moult1[[#This Row],[Metodo]],TbSolver[Metodo],TbSolver[Solver])</f>
        <v>AdamsBashfordMoulton</v>
      </c>
      <c r="C23" s="6" t="str">
        <f>_xlfn.XLOOKUP(Moult1[[#This Row],[Hebras]],TbTecnologia[Hebras],TbTecnologia[Tecnología])</f>
        <v>CUDA</v>
      </c>
      <c r="D23" s="2" t="str" cm="1">
        <f t="array" ref="D23">_xlfn.XLOOKUP(Moult1[[#This Row],[Tecnología]]&amp;Moult1[[#This Row],[Metodo]],TbTipos[Tecnología]&amp;TbTipos[Metodo],TbTipos[Tipo])</f>
        <v>CUDA sin graph</v>
      </c>
      <c r="E23" s="2" t="str" cm="1">
        <f t="array" ref="E23">_xlfn.XLOOKUP(Moult1[[#This Row],[Tecnología]]&amp;Moult1[[#This Row],[Problema]],TbNombres[Tecnología]&amp;TbNombres[Problema],TbNombres[Nombre])</f>
        <v>Simple Advdiff</v>
      </c>
      <c r="F23" s="2">
        <v>5</v>
      </c>
      <c r="G23" s="2">
        <v>2</v>
      </c>
      <c r="H23" s="2">
        <v>256</v>
      </c>
      <c r="I23" s="2">
        <v>1000</v>
      </c>
      <c r="J23" s="2">
        <v>1000</v>
      </c>
      <c r="K23" s="2">
        <v>12.77</v>
      </c>
      <c r="M23" s="6" t="str">
        <f>_xlfn.XLOOKUP(Moult2[[#This Row],[Metodo]],TbSolver[Metodo],TbSolver[Solver])</f>
        <v>AdamsBashfordMoulton</v>
      </c>
      <c r="N23" s="6" t="str">
        <f>_xlfn.XLOOKUP(Moult2[[#This Row],[Hebras]],TbTecnologia[Hebras],TbTecnologia[Tecnología])</f>
        <v>CUDA</v>
      </c>
      <c r="O23" s="2" t="str" cm="1">
        <f t="array" ref="O23">_xlfn.XLOOKUP(Moult2[[#This Row],[Tecnología]]&amp;Moult2[[#This Row],[Metodo]],TbTipos[Tecnología]&amp;TbTipos[Metodo],TbTipos[Tipo])</f>
        <v>CUDA con graph</v>
      </c>
      <c r="P23" s="2" t="str" cm="1">
        <f t="array" ref="P23">_xlfn.XLOOKUP(Moult2[[#This Row],[Tecnología]]&amp;Moult2[[#This Row],[Problema]],TbNombres[Tecnología]&amp;TbNombres[Problema],TbNombres[Nombre])</f>
        <v>Advdiff1d</v>
      </c>
      <c r="Q23" s="2">
        <v>6</v>
      </c>
      <c r="R23" s="2">
        <v>4</v>
      </c>
      <c r="S23" s="2">
        <v>256</v>
      </c>
      <c r="T23" s="2">
        <v>1000</v>
      </c>
      <c r="U23" s="2">
        <v>1000</v>
      </c>
      <c r="V23" s="2">
        <v>24.433499999999999</v>
      </c>
      <c r="X23" s="6" t="str">
        <f>_xlfn.XLOOKUP(Moult3[[#This Row],[Metodo]],TbSolver[Metodo],TbSolver[Solver])</f>
        <v>AdamsBashfordMoulton</v>
      </c>
      <c r="Y23" s="6" t="str">
        <f>_xlfn.XLOOKUP(Moult3[[#This Row],[Hebras]],TbTecnologia[Hebras],TbTecnologia[Tecnología])</f>
        <v>CUDA</v>
      </c>
      <c r="Z23" s="2" t="str" cm="1">
        <f t="array" ref="Z23">_xlfn.XLOOKUP(Moult3[[#This Row],[Tecnología]]&amp;Moult3[[#This Row],[Metodo]],TbTipos[Tecnología]&amp;TbTipos[Metodo],TbTipos[Tipo])</f>
        <v>CUDA sin graph</v>
      </c>
      <c r="AA23" s="2" t="str" cm="1">
        <f t="array" ref="AA23">_xlfn.XLOOKUP(Moult3[[#This Row],[Tecnología]]&amp;Moult3[[#This Row],[Problema]],TbNombres[Tecnología]&amp;TbNombres[Problema],TbNombres[Nombre])</f>
        <v>Brusselator1d</v>
      </c>
      <c r="AB23" s="2">
        <v>5</v>
      </c>
      <c r="AC23" s="2">
        <v>5</v>
      </c>
      <c r="AD23" s="2">
        <v>256</v>
      </c>
      <c r="AE23" s="2">
        <v>500</v>
      </c>
      <c r="AF23" s="2">
        <v>1000</v>
      </c>
      <c r="AG23" s="2">
        <v>13.609400000000001</v>
      </c>
      <c r="AI23" s="9" t="str">
        <f>_xlfn.XLOOKUP(Moult4[[#This Row],[Metodo]],TbSolver[Metodo],TbSolver[Solver])</f>
        <v>AdamsBashfordMoulton</v>
      </c>
      <c r="AJ23" s="9" t="str">
        <f>_xlfn.XLOOKUP(Moult4[[#This Row],[Hebras]],TbTecnologia[Hebras],TbTecnologia[Tecnología])</f>
        <v>OMP</v>
      </c>
      <c r="AK23" s="10" t="str" cm="1">
        <f t="array" ref="AK23">_xlfn.XLOOKUP(Moult4[[#This Row],[Tecnología]]&amp;Moult4[[#This Row],[Metodo]],TbTipos[Tecnología]&amp;TbTipos[Metodo],TbTipos[Tipo])</f>
        <v>OMP Operaciones</v>
      </c>
      <c r="AL23" s="9" t="str" cm="1">
        <f t="array" ref="AL23">_xlfn.XLOOKUP(Moult4[[#This Row],[Tecnología]]&amp;Moult4[[#This Row],[Problema]],TbNombres[Tecnología]&amp;TbNombres[Problema],TbNombres[Nombre])</f>
        <v>Brusselator2d</v>
      </c>
      <c r="AM23" s="9">
        <v>5</v>
      </c>
      <c r="AN23" s="9">
        <v>4</v>
      </c>
      <c r="AO23" s="9">
        <v>16</v>
      </c>
      <c r="AP23" s="9">
        <v>100</v>
      </c>
      <c r="AQ23" s="9">
        <v>20000</v>
      </c>
      <c r="AR23" s="9">
        <v>141.82</v>
      </c>
    </row>
    <row r="24" spans="2:44" x14ac:dyDescent="0.2">
      <c r="B24" s="6" t="str">
        <f>_xlfn.XLOOKUP(Moult1[[#This Row],[Metodo]],TbSolver[Metodo],TbSolver[Solver])</f>
        <v>AdamsBashfordMoulton</v>
      </c>
      <c r="C24" s="6" t="str">
        <f>_xlfn.XLOOKUP(Moult1[[#This Row],[Hebras]],TbTecnologia[Hebras],TbTecnologia[Tecnología])</f>
        <v>CUDA</v>
      </c>
      <c r="D24" s="2" t="str" cm="1">
        <f t="array" ref="D24">_xlfn.XLOOKUP(Moult1[[#This Row],[Tecnología]]&amp;Moult1[[#This Row],[Metodo]],TbTipos[Tecnología]&amp;TbTipos[Metodo],TbTipos[Tipo])</f>
        <v>CUDA sin graph</v>
      </c>
      <c r="E24" s="2" t="str" cm="1">
        <f t="array" ref="E24">_xlfn.XLOOKUP(Moult1[[#This Row],[Tecnología]]&amp;Moult1[[#This Row],[Problema]],TbNombres[Tecnología]&amp;TbNombres[Problema],TbNombres[Nombre])</f>
        <v>Simple Advdiff</v>
      </c>
      <c r="F24" s="2">
        <v>5</v>
      </c>
      <c r="G24" s="2">
        <v>1</v>
      </c>
      <c r="H24" s="2">
        <v>256</v>
      </c>
      <c r="I24" s="2">
        <v>1000</v>
      </c>
      <c r="J24" s="2">
        <v>1000</v>
      </c>
      <c r="K24" s="2">
        <v>12.7789</v>
      </c>
      <c r="M24" s="6" t="str">
        <f>_xlfn.XLOOKUP(Moult2[[#This Row],[Metodo]],TbSolver[Metodo],TbSolver[Solver])</f>
        <v>AdamsBashfordMoulton</v>
      </c>
      <c r="N24" s="6" t="str">
        <f>_xlfn.XLOOKUP(Moult2[[#This Row],[Hebras]],TbTecnologia[Hebras],TbTecnologia[Tecnología])</f>
        <v>CUDA</v>
      </c>
      <c r="O24" s="2" t="str" cm="1">
        <f t="array" ref="O24">_xlfn.XLOOKUP(Moult2[[#This Row],[Tecnología]]&amp;Moult2[[#This Row],[Metodo]],TbTipos[Tecnología]&amp;TbTipos[Metodo],TbTipos[Tipo])</f>
        <v>CUDA sin graph</v>
      </c>
      <c r="P24" s="2" t="str" cm="1">
        <f t="array" ref="P24">_xlfn.XLOOKUP(Moult2[[#This Row],[Tecnología]]&amp;Moult2[[#This Row],[Problema]],TbNombres[Tecnología]&amp;TbNombres[Problema],TbNombres[Nombre])</f>
        <v>Advdiff1d</v>
      </c>
      <c r="Q24" s="2">
        <v>5</v>
      </c>
      <c r="R24" s="2">
        <v>3</v>
      </c>
      <c r="S24" s="2">
        <v>256</v>
      </c>
      <c r="T24" s="2">
        <v>5000</v>
      </c>
      <c r="U24" s="2">
        <v>5000</v>
      </c>
      <c r="V24" s="2">
        <v>24.555099999999999</v>
      </c>
      <c r="X24" s="6" t="str">
        <f>_xlfn.XLOOKUP(Moult3[[#This Row],[Metodo]],TbSolver[Metodo],TbSolver[Solver])</f>
        <v>AdamsBashfordMoulton</v>
      </c>
      <c r="Y24" s="6" t="str">
        <f>_xlfn.XLOOKUP(Moult3[[#This Row],[Hebras]],TbTecnologia[Hebras],TbTecnologia[Tecnología])</f>
        <v>CUDA</v>
      </c>
      <c r="Z24" s="2" t="str" cm="1">
        <f t="array" ref="Z24">_xlfn.XLOOKUP(Moult3[[#This Row],[Tecnología]]&amp;Moult3[[#This Row],[Metodo]],TbTipos[Tecnología]&amp;TbTipos[Metodo],TbTipos[Tipo])</f>
        <v>CUDA con graph</v>
      </c>
      <c r="AA24" s="2" t="str" cm="1">
        <f t="array" ref="AA24">_xlfn.XLOOKUP(Moult3[[#This Row],[Tecnología]]&amp;Moult3[[#This Row],[Problema]],TbNombres[Tecnología]&amp;TbNombres[Problema],TbNombres[Nombre])</f>
        <v>Brusselator1d</v>
      </c>
      <c r="AB24" s="2">
        <v>6</v>
      </c>
      <c r="AC24" s="2">
        <v>5</v>
      </c>
      <c r="AD24" s="2">
        <v>256</v>
      </c>
      <c r="AE24" s="2">
        <v>5000</v>
      </c>
      <c r="AF24" s="2">
        <v>10000</v>
      </c>
      <c r="AG24" s="2">
        <v>13.6365</v>
      </c>
      <c r="AI24" s="9" t="str">
        <f>_xlfn.XLOOKUP(Moult4[[#This Row],[Metodo]],TbSolver[Metodo],TbSolver[Solver])</f>
        <v>AdamsBashfordMoulton</v>
      </c>
      <c r="AJ24" s="9" t="str">
        <f>_xlfn.XLOOKUP(Moult4[[#This Row],[Hebras]],TbTecnologia[Hebras],TbTecnologia[Tecnología])</f>
        <v>OMP</v>
      </c>
      <c r="AK24" s="10" t="str" cm="1">
        <f t="array" ref="AK24">_xlfn.XLOOKUP(Moult4[[#This Row],[Tecnología]]&amp;Moult4[[#This Row],[Metodo]],TbTipos[Tecnología]&amp;TbTipos[Metodo],TbTipos[Tipo])</f>
        <v>OMP Elementos</v>
      </c>
      <c r="AL24" s="9" t="str" cm="1">
        <f t="array" ref="AL24">_xlfn.XLOOKUP(Moult4[[#This Row],[Tecnología]]&amp;Moult4[[#This Row],[Problema]],TbNombres[Tecnología]&amp;TbNombres[Problema],TbNombres[Nombre])</f>
        <v>Brusselator2d</v>
      </c>
      <c r="AM24" s="9">
        <v>6</v>
      </c>
      <c r="AN24" s="9">
        <v>4</v>
      </c>
      <c r="AO24" s="9">
        <v>4</v>
      </c>
      <c r="AP24" s="9">
        <v>100</v>
      </c>
      <c r="AQ24" s="9">
        <v>20000</v>
      </c>
      <c r="AR24" s="9">
        <v>257.80200000000002</v>
      </c>
    </row>
    <row r="25" spans="2:44" x14ac:dyDescent="0.2">
      <c r="B25" s="6" t="str">
        <f>_xlfn.XLOOKUP(Moult1[[#This Row],[Metodo]],TbSolver[Metodo],TbSolver[Solver])</f>
        <v>AdamsBashfordMoulton</v>
      </c>
      <c r="C25" s="6" t="str">
        <f>_xlfn.XLOOKUP(Moult1[[#This Row],[Hebras]],TbTecnologia[Hebras],TbTecnologia[Tecnología])</f>
        <v>CUDA</v>
      </c>
      <c r="D25" s="2" t="str" cm="1">
        <f t="array" ref="D25">_xlfn.XLOOKUP(Moult1[[#This Row],[Tecnología]]&amp;Moult1[[#This Row],[Metodo]],TbTipos[Tecnología]&amp;TbTipos[Metodo],TbTipos[Tipo])</f>
        <v>CUDA sin graph</v>
      </c>
      <c r="E25" s="2" t="str" cm="1">
        <f t="array" ref="E25">_xlfn.XLOOKUP(Moult1[[#This Row],[Tecnología]]&amp;Moult1[[#This Row],[Problema]],TbNombres[Tecnología]&amp;TbNombres[Problema],TbNombres[Nombre])</f>
        <v>Simple Advdiff</v>
      </c>
      <c r="F25" s="2">
        <v>5</v>
      </c>
      <c r="G25" s="2">
        <v>2</v>
      </c>
      <c r="H25" s="2">
        <v>256</v>
      </c>
      <c r="I25" s="2">
        <v>2000</v>
      </c>
      <c r="J25" s="2">
        <v>2000</v>
      </c>
      <c r="K25" s="2">
        <v>12.875999999999999</v>
      </c>
      <c r="M25" s="6" t="str">
        <f>_xlfn.XLOOKUP(Moult2[[#This Row],[Metodo]],TbSolver[Metodo],TbSolver[Solver])</f>
        <v>AdamsBashfordMoulton</v>
      </c>
      <c r="N25" s="6" t="str">
        <f>_xlfn.XLOOKUP(Moult2[[#This Row],[Hebras]],TbTecnologia[Hebras],TbTecnologia[Tecnología])</f>
        <v>CUDA</v>
      </c>
      <c r="O25" s="2" t="str" cm="1">
        <f t="array" ref="O25">_xlfn.XLOOKUP(Moult2[[#This Row],[Tecnología]]&amp;Moult2[[#This Row],[Metodo]],TbTipos[Tecnología]&amp;TbTipos[Metodo],TbTipos[Tipo])</f>
        <v>CUDA con graph</v>
      </c>
      <c r="P25" s="2" t="str" cm="1">
        <f t="array" ref="P25">_xlfn.XLOOKUP(Moult2[[#This Row],[Tecnología]]&amp;Moult2[[#This Row],[Problema]],TbNombres[Tecnología]&amp;TbNombres[Problema],TbNombres[Nombre])</f>
        <v>Advdiff1d</v>
      </c>
      <c r="Q25" s="2">
        <v>6</v>
      </c>
      <c r="R25" s="2">
        <v>4</v>
      </c>
      <c r="S25" s="2">
        <v>256</v>
      </c>
      <c r="T25" s="2">
        <v>2000</v>
      </c>
      <c r="U25" s="2">
        <v>2000</v>
      </c>
      <c r="V25" s="2">
        <v>24.571100000000001</v>
      </c>
      <c r="X25" s="6" t="str">
        <f>_xlfn.XLOOKUP(Moult3[[#This Row],[Metodo]],TbSolver[Metodo],TbSolver[Solver])</f>
        <v>AdamsBashfordMoulton</v>
      </c>
      <c r="Y25" s="6" t="str">
        <f>_xlfn.XLOOKUP(Moult3[[#This Row],[Hebras]],TbTecnologia[Hebras],TbTecnologia[Tecnología])</f>
        <v>CUDA</v>
      </c>
      <c r="Z25" s="2" t="str" cm="1">
        <f t="array" ref="Z25">_xlfn.XLOOKUP(Moult3[[#This Row],[Tecnología]]&amp;Moult3[[#This Row],[Metodo]],TbTipos[Tecnología]&amp;TbTipos[Metodo],TbTipos[Tipo])</f>
        <v>CUDA sin graph</v>
      </c>
      <c r="AA25" s="2" t="str" cm="1">
        <f t="array" ref="AA25">_xlfn.XLOOKUP(Moult3[[#This Row],[Tecnología]]&amp;Moult3[[#This Row],[Problema]],TbNombres[Tecnología]&amp;TbNombres[Problema],TbNombres[Nombre])</f>
        <v>Brusselator1d</v>
      </c>
      <c r="AB25" s="2">
        <v>5</v>
      </c>
      <c r="AC25" s="2">
        <v>5</v>
      </c>
      <c r="AD25" s="2">
        <v>256</v>
      </c>
      <c r="AE25" s="2">
        <v>1000</v>
      </c>
      <c r="AF25" s="2">
        <v>2000</v>
      </c>
      <c r="AG25" s="2">
        <v>13.638</v>
      </c>
      <c r="AI25" s="9" t="str">
        <f>_xlfn.XLOOKUP(Moult4[[#This Row],[Metodo]],TbSolver[Metodo],TbSolver[Solver])</f>
        <v>AdamsBashfordMoulton</v>
      </c>
      <c r="AJ25" s="9" t="str">
        <f>_xlfn.XLOOKUP(Moult4[[#This Row],[Hebras]],TbTecnologia[Hebras],TbTecnologia[Tecnología])</f>
        <v>OMP</v>
      </c>
      <c r="AK25" s="10" t="str" cm="1">
        <f t="array" ref="AK25">_xlfn.XLOOKUP(Moult4[[#This Row],[Tecnología]]&amp;Moult4[[#This Row],[Metodo]],TbTipos[Tecnología]&amp;TbTipos[Metodo],TbTipos[Tipo])</f>
        <v>OMP Operaciones</v>
      </c>
      <c r="AL25" s="9" t="str" cm="1">
        <f t="array" ref="AL25">_xlfn.XLOOKUP(Moult4[[#This Row],[Tecnología]]&amp;Moult4[[#This Row],[Problema]],TbNombres[Tecnología]&amp;TbNombres[Problema],TbNombres[Nombre])</f>
        <v>Brusselator2d</v>
      </c>
      <c r="AM25" s="9">
        <v>5</v>
      </c>
      <c r="AN25" s="9">
        <v>4</v>
      </c>
      <c r="AO25" s="9">
        <v>1</v>
      </c>
      <c r="AP25" s="9">
        <v>100</v>
      </c>
      <c r="AQ25" s="9">
        <v>20000</v>
      </c>
      <c r="AR25" s="9">
        <v>395.86900000000003</v>
      </c>
    </row>
    <row r="26" spans="2:44" x14ac:dyDescent="0.2">
      <c r="B26" s="6" t="str">
        <f>_xlfn.XLOOKUP(Moult1[[#This Row],[Metodo]],TbSolver[Metodo],TbSolver[Solver])</f>
        <v>AdamsBashfordMoulton</v>
      </c>
      <c r="C26" s="6" t="str">
        <f>_xlfn.XLOOKUP(Moult1[[#This Row],[Hebras]],TbTecnologia[Hebras],TbTecnologia[Tecnología])</f>
        <v>CUDA</v>
      </c>
      <c r="D26" s="2" t="str" cm="1">
        <f t="array" ref="D26">_xlfn.XLOOKUP(Moult1[[#This Row],[Tecnología]]&amp;Moult1[[#This Row],[Metodo]],TbTipos[Tecnología]&amp;TbTipos[Metodo],TbTipos[Tipo])</f>
        <v>CUDA sin graph</v>
      </c>
      <c r="E26" s="2" t="str" cm="1">
        <f t="array" ref="E26">_xlfn.XLOOKUP(Moult1[[#This Row],[Tecnología]]&amp;Moult1[[#This Row],[Problema]],TbNombres[Tecnología]&amp;TbNombres[Problema],TbNombres[Nombre])</f>
        <v>Simple Advdiff</v>
      </c>
      <c r="F26" s="2">
        <v>5</v>
      </c>
      <c r="G26" s="2">
        <v>1</v>
      </c>
      <c r="H26" s="2">
        <v>256</v>
      </c>
      <c r="I26" s="2">
        <v>2000</v>
      </c>
      <c r="J26" s="2">
        <v>2000</v>
      </c>
      <c r="K26" s="2">
        <v>12.920500000000001</v>
      </c>
      <c r="M26" s="6" t="str">
        <f>_xlfn.XLOOKUP(Moult2[[#This Row],[Metodo]],TbSolver[Metodo],TbSolver[Solver])</f>
        <v>AdamsBashfordMoulton</v>
      </c>
      <c r="N26" s="6" t="str">
        <f>_xlfn.XLOOKUP(Moult2[[#This Row],[Hebras]],TbTecnologia[Hebras],TbTecnologia[Tecnología])</f>
        <v>CUDA</v>
      </c>
      <c r="O26" s="2" t="str" cm="1">
        <f t="array" ref="O26">_xlfn.XLOOKUP(Moult2[[#This Row],[Tecnología]]&amp;Moult2[[#This Row],[Metodo]],TbTipos[Tecnología]&amp;TbTipos[Metodo],TbTipos[Tipo])</f>
        <v>CUDA sin graph</v>
      </c>
      <c r="P26" s="2" t="str" cm="1">
        <f t="array" ref="P26">_xlfn.XLOOKUP(Moult2[[#This Row],[Tecnología]]&amp;Moult2[[#This Row],[Problema]],TbNombres[Tecnología]&amp;TbNombres[Problema],TbNombres[Nombre])</f>
        <v>Advdiff1d</v>
      </c>
      <c r="Q26" s="2">
        <v>5</v>
      </c>
      <c r="R26" s="2">
        <v>3</v>
      </c>
      <c r="S26" s="2">
        <v>256</v>
      </c>
      <c r="T26" s="2">
        <v>10000</v>
      </c>
      <c r="U26" s="2">
        <v>10000</v>
      </c>
      <c r="V26" s="2">
        <v>24.6816</v>
      </c>
      <c r="X26" s="6" t="str">
        <f>_xlfn.XLOOKUP(Moult3[[#This Row],[Metodo]],TbSolver[Metodo],TbSolver[Solver])</f>
        <v>AdamsBashfordMoulton</v>
      </c>
      <c r="Y26" s="6" t="str">
        <f>_xlfn.XLOOKUP(Moult3[[#This Row],[Hebras]],TbTecnologia[Hebras],TbTecnologia[Tecnología])</f>
        <v>CUDA</v>
      </c>
      <c r="Z26" s="2" t="str" cm="1">
        <f t="array" ref="Z26">_xlfn.XLOOKUP(Moult3[[#This Row],[Tecnología]]&amp;Moult3[[#This Row],[Metodo]],TbTipos[Tecnología]&amp;TbTipos[Metodo],TbTipos[Tipo])</f>
        <v>CUDA con graph</v>
      </c>
      <c r="AA26" s="2" t="str" cm="1">
        <f t="array" ref="AA26">_xlfn.XLOOKUP(Moult3[[#This Row],[Tecnología]]&amp;Moult3[[#This Row],[Problema]],TbNombres[Tecnología]&amp;TbNombres[Problema],TbNombres[Nombre])</f>
        <v>Brusselator1d</v>
      </c>
      <c r="AB26" s="2">
        <v>6</v>
      </c>
      <c r="AC26" s="2">
        <v>6</v>
      </c>
      <c r="AD26" s="2">
        <v>256</v>
      </c>
      <c r="AE26" s="2">
        <v>5000</v>
      </c>
      <c r="AF26" s="2">
        <v>10000</v>
      </c>
      <c r="AG26" s="2">
        <v>13.6557</v>
      </c>
      <c r="AI26" s="9" t="str">
        <f>_xlfn.XLOOKUP(Moult4[[#This Row],[Metodo]],TbSolver[Metodo],TbSolver[Solver])</f>
        <v>AdamsBashfordMoulton</v>
      </c>
      <c r="AJ26" s="9" t="str">
        <f>_xlfn.XLOOKUP(Moult4[[#This Row],[Hebras]],TbTecnologia[Hebras],TbTecnologia[Tecnología])</f>
        <v>OMP</v>
      </c>
      <c r="AK26" s="10" t="str" cm="1">
        <f t="array" ref="AK26">_xlfn.XLOOKUP(Moult4[[#This Row],[Tecnología]]&amp;Moult4[[#This Row],[Metodo]],TbTipos[Tecnología]&amp;TbTipos[Metodo],TbTipos[Tipo])</f>
        <v>OMP Elementos</v>
      </c>
      <c r="AL26" s="9" t="str" cm="1">
        <f t="array" ref="AL26">_xlfn.XLOOKUP(Moult4[[#This Row],[Tecnología]]&amp;Moult4[[#This Row],[Problema]],TbNombres[Tecnología]&amp;TbNombres[Problema],TbNombres[Nombre])</f>
        <v>Brusselator2d</v>
      </c>
      <c r="AM26" s="9">
        <v>6</v>
      </c>
      <c r="AN26" s="9">
        <v>4</v>
      </c>
      <c r="AO26" s="9">
        <v>1</v>
      </c>
      <c r="AP26" s="9">
        <v>100</v>
      </c>
      <c r="AQ26" s="9">
        <v>20000</v>
      </c>
      <c r="AR26" s="9">
        <v>941.42700000000002</v>
      </c>
    </row>
    <row r="27" spans="2:44" x14ac:dyDescent="0.2">
      <c r="B27" s="6" t="str">
        <f>_xlfn.XLOOKUP(Moult1[[#This Row],[Metodo]],TbSolver[Metodo],TbSolver[Solver])</f>
        <v>AdamsBashfordMoulton</v>
      </c>
      <c r="C27" s="6" t="str">
        <f>_xlfn.XLOOKUP(Moult1[[#This Row],[Hebras]],TbTecnologia[Hebras],TbTecnologia[Tecnología])</f>
        <v>CUDA</v>
      </c>
      <c r="D27" s="2" t="str" cm="1">
        <f t="array" ref="D27">_xlfn.XLOOKUP(Moult1[[#This Row],[Tecnología]]&amp;Moult1[[#This Row],[Metodo]],TbTipos[Tecnología]&amp;TbTipos[Metodo],TbTipos[Tipo])</f>
        <v>CUDA sin graph</v>
      </c>
      <c r="E27" s="2" t="str" cm="1">
        <f t="array" ref="E27">_xlfn.XLOOKUP(Moult1[[#This Row],[Tecnología]]&amp;Moult1[[#This Row],[Problema]],TbNombres[Tecnología]&amp;TbNombres[Problema],TbNombres[Nombre])</f>
        <v>Simple Advdiff</v>
      </c>
      <c r="F27" s="2">
        <v>5</v>
      </c>
      <c r="G27" s="2">
        <v>1</v>
      </c>
      <c r="H27" s="2">
        <v>256</v>
      </c>
      <c r="I27" s="2">
        <v>5000</v>
      </c>
      <c r="J27" s="2">
        <v>5000</v>
      </c>
      <c r="K27" s="2">
        <v>13.1076</v>
      </c>
      <c r="M27" s="6" t="str">
        <f>_xlfn.XLOOKUP(Moult2[[#This Row],[Metodo]],TbSolver[Metodo],TbSolver[Solver])</f>
        <v>AdamsBashfordMoulton</v>
      </c>
      <c r="N27" s="6" t="str">
        <f>_xlfn.XLOOKUP(Moult2[[#This Row],[Hebras]],TbTecnologia[Hebras],TbTecnologia[Tecnología])</f>
        <v>CUDA</v>
      </c>
      <c r="O27" s="2" t="str" cm="1">
        <f t="array" ref="O27">_xlfn.XLOOKUP(Moult2[[#This Row],[Tecnología]]&amp;Moult2[[#This Row],[Metodo]],TbTipos[Tecnología]&amp;TbTipos[Metodo],TbTipos[Tipo])</f>
        <v>CUDA sin graph</v>
      </c>
      <c r="P27" s="2" t="str" cm="1">
        <f t="array" ref="P27">_xlfn.XLOOKUP(Moult2[[#This Row],[Tecnología]]&amp;Moult2[[#This Row],[Problema]],TbNombres[Tecnología]&amp;TbNombres[Problema],TbNombres[Nombre])</f>
        <v>Advdiff1d</v>
      </c>
      <c r="Q27" s="2">
        <v>5</v>
      </c>
      <c r="R27" s="2">
        <v>4</v>
      </c>
      <c r="S27" s="2">
        <v>256</v>
      </c>
      <c r="T27" s="2">
        <v>500</v>
      </c>
      <c r="U27" s="2">
        <v>500</v>
      </c>
      <c r="V27" s="2">
        <v>24.748799999999999</v>
      </c>
      <c r="X27" s="6" t="str">
        <f>_xlfn.XLOOKUP(Moult3[[#This Row],[Metodo]],TbSolver[Metodo],TbSolver[Solver])</f>
        <v>AdamsBashfordMoulton</v>
      </c>
      <c r="Y27" s="6" t="str">
        <f>_xlfn.XLOOKUP(Moult3[[#This Row],[Hebras]],TbTecnologia[Hebras],TbTecnologia[Tecnología])</f>
        <v>CUDA</v>
      </c>
      <c r="Z27" s="2" t="str" cm="1">
        <f t="array" ref="Z27">_xlfn.XLOOKUP(Moult3[[#This Row],[Tecnología]]&amp;Moult3[[#This Row],[Metodo]],TbTipos[Tecnología]&amp;TbTipos[Metodo],TbTipos[Tipo])</f>
        <v>CUDA con graph</v>
      </c>
      <c r="AA27" s="2" t="str" cm="1">
        <f t="array" ref="AA27">_xlfn.XLOOKUP(Moult3[[#This Row],[Tecnología]]&amp;Moult3[[#This Row],[Problema]],TbNombres[Tecnología]&amp;TbNombres[Problema],TbNombres[Nombre])</f>
        <v>Brusselator1d</v>
      </c>
      <c r="AB27" s="2">
        <v>6</v>
      </c>
      <c r="AC27" s="2">
        <v>7</v>
      </c>
      <c r="AD27" s="2">
        <v>256</v>
      </c>
      <c r="AE27" s="2">
        <v>5000</v>
      </c>
      <c r="AF27" s="2">
        <v>10000</v>
      </c>
      <c r="AG27" s="2">
        <v>13.6754</v>
      </c>
      <c r="AI27" s="9" t="str">
        <f>_xlfn.XLOOKUP(Moult4[[#This Row],[Metodo]],TbSolver[Metodo],TbSolver[Solver])</f>
        <v>AdamsBashfordMoulton</v>
      </c>
      <c r="AJ27" s="9" t="str">
        <f>_xlfn.XLOOKUP(Moult4[[#This Row],[Hebras]],TbTecnologia[Hebras],TbTecnologia[Tecnología])</f>
        <v>OMP</v>
      </c>
      <c r="AK27" s="10" t="str" cm="1">
        <f t="array" ref="AK27">_xlfn.XLOOKUP(Moult4[[#This Row],[Tecnología]]&amp;Moult4[[#This Row],[Metodo]],TbTipos[Tecnología]&amp;TbTipos[Metodo],TbTipos[Tipo])</f>
        <v>OMP Operaciones</v>
      </c>
      <c r="AL27" s="9" t="str" cm="1">
        <f t="array" ref="AL27">_xlfn.XLOOKUP(Moult4[[#This Row],[Tecnología]]&amp;Moult4[[#This Row],[Problema]],TbNombres[Tecnología]&amp;TbNombres[Problema],TbNombres[Nombre])</f>
        <v>Brusselator2d</v>
      </c>
      <c r="AM27" s="9">
        <v>5</v>
      </c>
      <c r="AN27" s="9">
        <v>4</v>
      </c>
      <c r="AO27" s="9">
        <v>16</v>
      </c>
      <c r="AP27" s="9">
        <v>150</v>
      </c>
      <c r="AQ27" s="9">
        <v>45000</v>
      </c>
      <c r="AR27" s="9">
        <v>180.66200000000001</v>
      </c>
    </row>
    <row r="28" spans="2:44" x14ac:dyDescent="0.2">
      <c r="B28" s="6" t="str">
        <f>_xlfn.XLOOKUP(Moult1[[#This Row],[Metodo]],TbSolver[Metodo],TbSolver[Solver])</f>
        <v>AdamsBashfordMoulton</v>
      </c>
      <c r="C28" s="6" t="str">
        <f>_xlfn.XLOOKUP(Moult1[[#This Row],[Hebras]],TbTecnologia[Hebras],TbTecnologia[Tecnología])</f>
        <v>CUDA</v>
      </c>
      <c r="D28" s="2" t="str" cm="1">
        <f t="array" ref="D28">_xlfn.XLOOKUP(Moult1[[#This Row],[Tecnología]]&amp;Moult1[[#This Row],[Metodo]],TbTipos[Tecnología]&amp;TbTipos[Metodo],TbTipos[Tipo])</f>
        <v>CUDA sin graph</v>
      </c>
      <c r="E28" s="2" t="str" cm="1">
        <f t="array" ref="E28">_xlfn.XLOOKUP(Moult1[[#This Row],[Tecnología]]&amp;Moult1[[#This Row],[Problema]],TbNombres[Tecnología]&amp;TbNombres[Problema],TbNombres[Nombre])</f>
        <v>Simple Advdiff</v>
      </c>
      <c r="F28" s="2">
        <v>5</v>
      </c>
      <c r="G28" s="2">
        <v>2</v>
      </c>
      <c r="H28" s="2">
        <v>256</v>
      </c>
      <c r="I28" s="2">
        <v>5000</v>
      </c>
      <c r="J28" s="2">
        <v>5000</v>
      </c>
      <c r="K28" s="2">
        <v>13.1449</v>
      </c>
      <c r="M28" s="6" t="str">
        <f>_xlfn.XLOOKUP(Moult2[[#This Row],[Metodo]],TbSolver[Metodo],TbSolver[Solver])</f>
        <v>AdamsBashfordMoulton</v>
      </c>
      <c r="N28" s="6" t="str">
        <f>_xlfn.XLOOKUP(Moult2[[#This Row],[Hebras]],TbTecnologia[Hebras],TbTecnologia[Tecnología])</f>
        <v>CUDA</v>
      </c>
      <c r="O28" s="2" t="str" cm="1">
        <f t="array" ref="O28">_xlfn.XLOOKUP(Moult2[[#This Row],[Tecnología]]&amp;Moult2[[#This Row],[Metodo]],TbTipos[Tecnología]&amp;TbTipos[Metodo],TbTipos[Tipo])</f>
        <v>CUDA sin graph</v>
      </c>
      <c r="P28" s="2" t="str" cm="1">
        <f t="array" ref="P28">_xlfn.XLOOKUP(Moult2[[#This Row],[Tecnología]]&amp;Moult2[[#This Row],[Problema]],TbNombres[Tecnología]&amp;TbNombres[Problema],TbNombres[Nombre])</f>
        <v>Advdiff1d</v>
      </c>
      <c r="Q28" s="2">
        <v>5</v>
      </c>
      <c r="R28" s="2">
        <v>4</v>
      </c>
      <c r="S28" s="2">
        <v>256</v>
      </c>
      <c r="T28" s="2">
        <v>1000</v>
      </c>
      <c r="U28" s="2">
        <v>1000</v>
      </c>
      <c r="V28" s="2">
        <v>24.7605</v>
      </c>
      <c r="X28" s="6" t="str">
        <f>_xlfn.XLOOKUP(Moult3[[#This Row],[Metodo]],TbSolver[Metodo],TbSolver[Solver])</f>
        <v>AdamsBashfordMoulton</v>
      </c>
      <c r="Y28" s="6" t="str">
        <f>_xlfn.XLOOKUP(Moult3[[#This Row],[Hebras]],TbTecnologia[Hebras],TbTecnologia[Tecnología])</f>
        <v>CUDA</v>
      </c>
      <c r="Z28" s="2" t="str" cm="1">
        <f t="array" ref="Z28">_xlfn.XLOOKUP(Moult3[[#This Row],[Tecnología]]&amp;Moult3[[#This Row],[Metodo]],TbTipos[Tecnología]&amp;TbTipos[Metodo],TbTipos[Tipo])</f>
        <v>CUDA sin graph</v>
      </c>
      <c r="AA28" s="2" t="str" cm="1">
        <f t="array" ref="AA28">_xlfn.XLOOKUP(Moult3[[#This Row],[Tecnología]]&amp;Moult3[[#This Row],[Problema]],TbNombres[Tecnología]&amp;TbNombres[Problema],TbNombres[Nombre])</f>
        <v>Brusselator1d</v>
      </c>
      <c r="AB28" s="2">
        <v>5</v>
      </c>
      <c r="AC28" s="2">
        <v>6</v>
      </c>
      <c r="AD28" s="2">
        <v>256</v>
      </c>
      <c r="AE28" s="2">
        <v>1000</v>
      </c>
      <c r="AF28" s="2">
        <v>2000</v>
      </c>
      <c r="AG28" s="2">
        <v>13.6983</v>
      </c>
      <c r="AI28" s="9" t="str">
        <f>_xlfn.XLOOKUP(Moult4[[#This Row],[Metodo]],TbSolver[Metodo],TbSolver[Solver])</f>
        <v>AdamsBashfordMoulton</v>
      </c>
      <c r="AJ28" s="9" t="str">
        <f>_xlfn.XLOOKUP(Moult4[[#This Row],[Hebras]],TbTecnologia[Hebras],TbTecnologia[Tecnología])</f>
        <v>OMP</v>
      </c>
      <c r="AK28" s="10" t="str" cm="1">
        <f t="array" ref="AK28">_xlfn.XLOOKUP(Moult4[[#This Row],[Tecnología]]&amp;Moult4[[#This Row],[Metodo]],TbTipos[Tecnología]&amp;TbTipos[Metodo],TbTipos[Tipo])</f>
        <v>OMP Elementos</v>
      </c>
      <c r="AL28" s="9" t="str" cm="1">
        <f t="array" ref="AL28">_xlfn.XLOOKUP(Moult4[[#This Row],[Tecnología]]&amp;Moult4[[#This Row],[Problema]],TbNombres[Tecnología]&amp;TbNombres[Problema],TbNombres[Nombre])</f>
        <v>Brusselator2d</v>
      </c>
      <c r="AM28" s="9">
        <v>6</v>
      </c>
      <c r="AN28" s="9">
        <v>4</v>
      </c>
      <c r="AO28" s="9">
        <v>16</v>
      </c>
      <c r="AP28" s="9">
        <v>150</v>
      </c>
      <c r="AQ28" s="9">
        <v>45000</v>
      </c>
      <c r="AR28" s="9">
        <v>206.744</v>
      </c>
    </row>
    <row r="29" spans="2:44" x14ac:dyDescent="0.2">
      <c r="B29" s="6" t="str">
        <f>_xlfn.XLOOKUP(Moult1[[#This Row],[Metodo]],TbSolver[Metodo],TbSolver[Solver])</f>
        <v>AdamsBashfordMoulton</v>
      </c>
      <c r="C29" s="6" t="str">
        <f>_xlfn.XLOOKUP(Moult1[[#This Row],[Hebras]],TbTecnologia[Hebras],TbTecnologia[Tecnología])</f>
        <v>CUDA</v>
      </c>
      <c r="D29" s="2" t="str" cm="1">
        <f t="array" ref="D29">_xlfn.XLOOKUP(Moult1[[#This Row],[Tecnología]]&amp;Moult1[[#This Row],[Metodo]],TbTipos[Tecnología]&amp;TbTipos[Metodo],TbTipos[Tipo])</f>
        <v>CUDA sin graph</v>
      </c>
      <c r="E29" s="2" t="str" cm="1">
        <f t="array" ref="E29">_xlfn.XLOOKUP(Moult1[[#This Row],[Tecnología]]&amp;Moult1[[#This Row],[Problema]],TbNombres[Tecnología]&amp;TbNombres[Problema],TbNombres[Nombre])</f>
        <v>Simple Advdiff</v>
      </c>
      <c r="F29" s="2">
        <v>5</v>
      </c>
      <c r="G29" s="2">
        <v>1</v>
      </c>
      <c r="H29" s="2">
        <v>256</v>
      </c>
      <c r="I29" s="2">
        <v>10000</v>
      </c>
      <c r="J29" s="2">
        <v>10000</v>
      </c>
      <c r="K29" s="2">
        <v>13.3089</v>
      </c>
      <c r="M29" s="6" t="str">
        <f>_xlfn.XLOOKUP(Moult2[[#This Row],[Metodo]],TbSolver[Metodo],TbSolver[Solver])</f>
        <v>AdamsBashfordMoulton</v>
      </c>
      <c r="N29" s="6" t="str">
        <f>_xlfn.XLOOKUP(Moult2[[#This Row],[Hebras]],TbTecnologia[Hebras],TbTecnologia[Tecnología])</f>
        <v>CUDA</v>
      </c>
      <c r="O29" s="2" t="str" cm="1">
        <f t="array" ref="O29">_xlfn.XLOOKUP(Moult2[[#This Row],[Tecnología]]&amp;Moult2[[#This Row],[Metodo]],TbTipos[Tecnología]&amp;TbTipos[Metodo],TbTipos[Tipo])</f>
        <v>CUDA con graph</v>
      </c>
      <c r="P29" s="2" t="str" cm="1">
        <f t="array" ref="P29">_xlfn.XLOOKUP(Moult2[[#This Row],[Tecnología]]&amp;Moult2[[#This Row],[Problema]],TbNombres[Tecnología]&amp;TbNombres[Problema],TbNombres[Nombre])</f>
        <v>Advdiff1d</v>
      </c>
      <c r="Q29" s="2">
        <v>6</v>
      </c>
      <c r="R29" s="2">
        <v>4</v>
      </c>
      <c r="S29" s="2">
        <v>256</v>
      </c>
      <c r="T29" s="2">
        <v>5000</v>
      </c>
      <c r="U29" s="2">
        <v>5000</v>
      </c>
      <c r="V29" s="2">
        <v>24.932500000000001</v>
      </c>
      <c r="X29" s="6" t="str">
        <f>_xlfn.XLOOKUP(Moult3[[#This Row],[Metodo]],TbSolver[Metodo],TbSolver[Solver])</f>
        <v>AdamsBashfordMoulton</v>
      </c>
      <c r="Y29" s="6" t="str">
        <f>_xlfn.XLOOKUP(Moult3[[#This Row],[Hebras]],TbTecnologia[Hebras],TbTecnologia[Tecnología])</f>
        <v>CUDA</v>
      </c>
      <c r="Z29" s="2" t="str" cm="1">
        <f t="array" ref="Z29">_xlfn.XLOOKUP(Moult3[[#This Row],[Tecnología]]&amp;Moult3[[#This Row],[Metodo]],TbTipos[Tecnología]&amp;TbTipos[Metodo],TbTipos[Tipo])</f>
        <v>CUDA sin graph</v>
      </c>
      <c r="AA29" s="2" t="str" cm="1">
        <f t="array" ref="AA29">_xlfn.XLOOKUP(Moult3[[#This Row],[Tecnología]]&amp;Moult3[[#This Row],[Problema]],TbNombres[Tecnología]&amp;TbNombres[Problema],TbNombres[Nombre])</f>
        <v>Brusselator1d</v>
      </c>
      <c r="AB29" s="2">
        <v>5</v>
      </c>
      <c r="AC29" s="2">
        <v>7</v>
      </c>
      <c r="AD29" s="2">
        <v>256</v>
      </c>
      <c r="AE29" s="2">
        <v>500</v>
      </c>
      <c r="AF29" s="2">
        <v>1000</v>
      </c>
      <c r="AG29" s="2">
        <v>13.730600000000001</v>
      </c>
      <c r="AI29" s="9" t="str">
        <f>_xlfn.XLOOKUP(Moult4[[#This Row],[Metodo]],TbSolver[Metodo],TbSolver[Solver])</f>
        <v>AdamsBashfordMoulton</v>
      </c>
      <c r="AJ29" s="9" t="str">
        <f>_xlfn.XLOOKUP(Moult4[[#This Row],[Hebras]],TbTecnologia[Hebras],TbTecnologia[Tecnología])</f>
        <v>OMP</v>
      </c>
      <c r="AK29" s="10" t="str" cm="1">
        <f t="array" ref="AK29">_xlfn.XLOOKUP(Moult4[[#This Row],[Tecnología]]&amp;Moult4[[#This Row],[Metodo]],TbTipos[Tecnología]&amp;TbTipos[Metodo],TbTipos[Tipo])</f>
        <v>OMP Operaciones</v>
      </c>
      <c r="AL29" s="9" t="str" cm="1">
        <f t="array" ref="AL29">_xlfn.XLOOKUP(Moult4[[#This Row],[Tecnología]]&amp;Moult4[[#This Row],[Problema]],TbNombres[Tecnología]&amp;TbNombres[Problema],TbNombres[Nombre])</f>
        <v>Brusselator2d</v>
      </c>
      <c r="AM29" s="9">
        <v>5</v>
      </c>
      <c r="AN29" s="9">
        <v>4</v>
      </c>
      <c r="AO29" s="9">
        <v>4</v>
      </c>
      <c r="AP29" s="9">
        <v>150</v>
      </c>
      <c r="AQ29" s="9">
        <v>45000</v>
      </c>
      <c r="AR29" s="9">
        <v>263.08100000000002</v>
      </c>
    </row>
    <row r="30" spans="2:44" x14ac:dyDescent="0.2">
      <c r="B30" s="6" t="str">
        <f>_xlfn.XLOOKUP(Moult1[[#This Row],[Metodo]],TbSolver[Metodo],TbSolver[Solver])</f>
        <v>AdamsBashfordMoulton</v>
      </c>
      <c r="C30" s="6" t="str">
        <f>_xlfn.XLOOKUP(Moult1[[#This Row],[Hebras]],TbTecnologia[Hebras],TbTecnologia[Tecnología])</f>
        <v>CUDA</v>
      </c>
      <c r="D30" s="2" t="str" cm="1">
        <f t="array" ref="D30">_xlfn.XLOOKUP(Moult1[[#This Row],[Tecnología]]&amp;Moult1[[#This Row],[Metodo]],TbTipos[Tecnología]&amp;TbTipos[Metodo],TbTipos[Tipo])</f>
        <v>CUDA sin graph</v>
      </c>
      <c r="E30" s="2" t="str" cm="1">
        <f t="array" ref="E30">_xlfn.XLOOKUP(Moult1[[#This Row],[Tecnología]]&amp;Moult1[[#This Row],[Problema]],TbNombres[Tecnología]&amp;TbNombres[Problema],TbNombres[Nombre])</f>
        <v>Simple Advdiff</v>
      </c>
      <c r="F30" s="2">
        <v>5</v>
      </c>
      <c r="G30" s="2">
        <v>1</v>
      </c>
      <c r="H30" s="2">
        <v>256</v>
      </c>
      <c r="I30" s="2">
        <v>200</v>
      </c>
      <c r="J30" s="2">
        <v>200</v>
      </c>
      <c r="K30" s="2">
        <v>14.282400000000001</v>
      </c>
      <c r="M30" s="6" t="str">
        <f>_xlfn.XLOOKUP(Moult2[[#This Row],[Metodo]],TbSolver[Metodo],TbSolver[Solver])</f>
        <v>AdamsBashfordMoulton</v>
      </c>
      <c r="N30" s="6" t="str">
        <f>_xlfn.XLOOKUP(Moult2[[#This Row],[Hebras]],TbTecnologia[Hebras],TbTecnologia[Tecnología])</f>
        <v>CUDA</v>
      </c>
      <c r="O30" s="2" t="str" cm="1">
        <f t="array" ref="O30">_xlfn.XLOOKUP(Moult2[[#This Row],[Tecnología]]&amp;Moult2[[#This Row],[Metodo]],TbTipos[Tecnología]&amp;TbTipos[Metodo],TbTipos[Tipo])</f>
        <v>CUDA sin graph</v>
      </c>
      <c r="P30" s="2" t="str" cm="1">
        <f t="array" ref="P30">_xlfn.XLOOKUP(Moult2[[#This Row],[Tecnología]]&amp;Moult2[[#This Row],[Problema]],TbNombres[Tecnología]&amp;TbNombres[Problema],TbNombres[Nombre])</f>
        <v>Advdiff1d</v>
      </c>
      <c r="Q30" s="2">
        <v>5</v>
      </c>
      <c r="R30" s="2">
        <v>4</v>
      </c>
      <c r="S30" s="2">
        <v>256</v>
      </c>
      <c r="T30" s="2">
        <v>2000</v>
      </c>
      <c r="U30" s="2">
        <v>2000</v>
      </c>
      <c r="V30" s="2">
        <v>24.953700000000001</v>
      </c>
      <c r="X30" s="6" t="str">
        <f>_xlfn.XLOOKUP(Moult3[[#This Row],[Metodo]],TbSolver[Metodo],TbSolver[Solver])</f>
        <v>AdamsBashfordMoulton</v>
      </c>
      <c r="Y30" s="6" t="str">
        <f>_xlfn.XLOOKUP(Moult3[[#This Row],[Hebras]],TbTecnologia[Hebras],TbTecnologia[Tecnología])</f>
        <v>CUDA</v>
      </c>
      <c r="Z30" s="2" t="str" cm="1">
        <f t="array" ref="Z30">_xlfn.XLOOKUP(Moult3[[#This Row],[Tecnología]]&amp;Moult3[[#This Row],[Metodo]],TbTipos[Tecnología]&amp;TbTipos[Metodo],TbTipos[Tipo])</f>
        <v>CUDA sin graph</v>
      </c>
      <c r="AA30" s="2" t="str" cm="1">
        <f t="array" ref="AA30">_xlfn.XLOOKUP(Moult3[[#This Row],[Tecnología]]&amp;Moult3[[#This Row],[Problema]],TbNombres[Tecnología]&amp;TbNombres[Problema],TbNombres[Nombre])</f>
        <v>Brusselator1d</v>
      </c>
      <c r="AB30" s="2">
        <v>5</v>
      </c>
      <c r="AC30" s="2">
        <v>7</v>
      </c>
      <c r="AD30" s="2">
        <v>256</v>
      </c>
      <c r="AE30" s="2">
        <v>2000</v>
      </c>
      <c r="AF30" s="2">
        <v>4000</v>
      </c>
      <c r="AG30" s="2">
        <v>13.761900000000001</v>
      </c>
      <c r="AI30" s="9" t="str">
        <f>_xlfn.XLOOKUP(Moult4[[#This Row],[Metodo]],TbSolver[Metodo],TbSolver[Solver])</f>
        <v>AdamsBashfordMoulton</v>
      </c>
      <c r="AJ30" s="9" t="str">
        <f>_xlfn.XLOOKUP(Moult4[[#This Row],[Hebras]],TbTecnologia[Hebras],TbTecnologia[Tecnología])</f>
        <v>OMP</v>
      </c>
      <c r="AK30" s="10" t="str" cm="1">
        <f t="array" ref="AK30">_xlfn.XLOOKUP(Moult4[[#This Row],[Tecnología]]&amp;Moult4[[#This Row],[Metodo]],TbTipos[Tecnología]&amp;TbTipos[Metodo],TbTipos[Tipo])</f>
        <v>OMP Elementos</v>
      </c>
      <c r="AL30" s="9" t="str" cm="1">
        <f t="array" ref="AL30">_xlfn.XLOOKUP(Moult4[[#This Row],[Tecnología]]&amp;Moult4[[#This Row],[Problema]],TbNombres[Tecnología]&amp;TbNombres[Problema],TbNombres[Nombre])</f>
        <v>Brusselator2d</v>
      </c>
      <c r="AM30" s="9">
        <v>6</v>
      </c>
      <c r="AN30" s="9">
        <v>4</v>
      </c>
      <c r="AO30" s="9">
        <v>4</v>
      </c>
      <c r="AP30" s="9">
        <v>150</v>
      </c>
      <c r="AQ30" s="9">
        <v>45000</v>
      </c>
      <c r="AR30" s="9">
        <v>569.69299999999998</v>
      </c>
    </row>
    <row r="31" spans="2:44" x14ac:dyDescent="0.2">
      <c r="B31" s="6" t="str">
        <f>_xlfn.XLOOKUP(Moult1[[#This Row],[Metodo]],TbSolver[Metodo],TbSolver[Solver])</f>
        <v>AdamsBashfordMoulton</v>
      </c>
      <c r="C31" s="6" t="str">
        <f>_xlfn.XLOOKUP(Moult1[[#This Row],[Hebras]],TbTecnologia[Hebras],TbTecnologia[Tecnología])</f>
        <v>CUDA</v>
      </c>
      <c r="D31" s="2" t="str" cm="1">
        <f t="array" ref="D31">_xlfn.XLOOKUP(Moult1[[#This Row],[Tecnología]]&amp;Moult1[[#This Row],[Metodo]],TbTipos[Tecnología]&amp;TbTipos[Metodo],TbTipos[Tipo])</f>
        <v>CUDA sin graph</v>
      </c>
      <c r="E31" s="2" t="str" cm="1">
        <f t="array" ref="E31">_xlfn.XLOOKUP(Moult1[[#This Row],[Tecnología]]&amp;Moult1[[#This Row],[Problema]],TbNombres[Tecnología]&amp;TbNombres[Problema],TbNombres[Nombre])</f>
        <v>Simple Advdiff</v>
      </c>
      <c r="F31" s="2">
        <v>5</v>
      </c>
      <c r="G31" s="2">
        <v>2</v>
      </c>
      <c r="H31" s="2">
        <v>256</v>
      </c>
      <c r="I31" s="2">
        <v>200</v>
      </c>
      <c r="J31" s="2">
        <v>200</v>
      </c>
      <c r="K31" s="2">
        <v>14.307499999999999</v>
      </c>
      <c r="M31" s="6" t="str">
        <f>_xlfn.XLOOKUP(Moult2[[#This Row],[Metodo]],TbSolver[Metodo],TbSolver[Solver])</f>
        <v>AdamsBashfordMoulton</v>
      </c>
      <c r="N31" s="6" t="str">
        <f>_xlfn.XLOOKUP(Moult2[[#This Row],[Hebras]],TbTecnologia[Hebras],TbTecnologia[Tecnología])</f>
        <v>CUDA</v>
      </c>
      <c r="O31" s="2" t="str" cm="1">
        <f t="array" ref="O31">_xlfn.XLOOKUP(Moult2[[#This Row],[Tecnología]]&amp;Moult2[[#This Row],[Metodo]],TbTipos[Tecnología]&amp;TbTipos[Metodo],TbTipos[Tipo])</f>
        <v>CUDA sin graph</v>
      </c>
      <c r="P31" s="2" t="str" cm="1">
        <f t="array" ref="P31">_xlfn.XLOOKUP(Moult2[[#This Row],[Tecnología]]&amp;Moult2[[#This Row],[Problema]],TbNombres[Tecnología]&amp;TbNombres[Problema],TbNombres[Nombre])</f>
        <v>Advdiff1d</v>
      </c>
      <c r="Q31" s="2">
        <v>5</v>
      </c>
      <c r="R31" s="2">
        <v>4</v>
      </c>
      <c r="S31" s="2">
        <v>256</v>
      </c>
      <c r="T31" s="2">
        <v>5000</v>
      </c>
      <c r="U31" s="2">
        <v>5000</v>
      </c>
      <c r="V31" s="2">
        <v>25.251300000000001</v>
      </c>
      <c r="X31" s="6" t="str">
        <f>_xlfn.XLOOKUP(Moult3[[#This Row],[Metodo]],TbSolver[Metodo],TbSolver[Solver])</f>
        <v>AdamsBashfordMoulton</v>
      </c>
      <c r="Y31" s="6" t="str">
        <f>_xlfn.XLOOKUP(Moult3[[#This Row],[Hebras]],TbTecnologia[Hebras],TbTecnologia[Tecnología])</f>
        <v>CUDA</v>
      </c>
      <c r="Z31" s="2" t="str" cm="1">
        <f t="array" ref="Z31">_xlfn.XLOOKUP(Moult3[[#This Row],[Tecnología]]&amp;Moult3[[#This Row],[Metodo]],TbTipos[Tecnología]&amp;TbTipos[Metodo],TbTipos[Tipo])</f>
        <v>CUDA sin graph</v>
      </c>
      <c r="AA31" s="2" t="str" cm="1">
        <f t="array" ref="AA31">_xlfn.XLOOKUP(Moult3[[#This Row],[Tecnología]]&amp;Moult3[[#This Row],[Problema]],TbNombres[Tecnología]&amp;TbNombres[Problema],TbNombres[Nombre])</f>
        <v>Brusselator1d</v>
      </c>
      <c r="AB31" s="2">
        <v>5</v>
      </c>
      <c r="AC31" s="2">
        <v>5</v>
      </c>
      <c r="AD31" s="2">
        <v>256</v>
      </c>
      <c r="AE31" s="2">
        <v>2000</v>
      </c>
      <c r="AF31" s="2">
        <v>4000</v>
      </c>
      <c r="AG31" s="2">
        <v>13.8041</v>
      </c>
      <c r="AI31" s="9" t="str">
        <f>_xlfn.XLOOKUP(Moult4[[#This Row],[Metodo]],TbSolver[Metodo],TbSolver[Solver])</f>
        <v>AdamsBashfordMoulton</v>
      </c>
      <c r="AJ31" s="9" t="str">
        <f>_xlfn.XLOOKUP(Moult4[[#This Row],[Hebras]],TbTecnologia[Hebras],TbTecnologia[Tecnología])</f>
        <v>OMP</v>
      </c>
      <c r="AK31" s="10" t="str" cm="1">
        <f t="array" ref="AK31">_xlfn.XLOOKUP(Moult4[[#This Row],[Tecnología]]&amp;Moult4[[#This Row],[Metodo]],TbTipos[Tecnología]&amp;TbTipos[Metodo],TbTipos[Tipo])</f>
        <v>OMP Operaciones</v>
      </c>
      <c r="AL31" s="9" t="str" cm="1">
        <f t="array" ref="AL31">_xlfn.XLOOKUP(Moult4[[#This Row],[Tecnología]]&amp;Moult4[[#This Row],[Problema]],TbNombres[Tecnología]&amp;TbNombres[Problema],TbNombres[Nombre])</f>
        <v>Brusselator2d</v>
      </c>
      <c r="AM31" s="9">
        <v>5</v>
      </c>
      <c r="AN31" s="9">
        <v>4</v>
      </c>
      <c r="AO31" s="9">
        <v>1</v>
      </c>
      <c r="AP31" s="9">
        <v>150</v>
      </c>
      <c r="AQ31" s="9">
        <v>45000</v>
      </c>
      <c r="AR31" s="9">
        <v>976.06100000000004</v>
      </c>
    </row>
    <row r="32" spans="2:44" x14ac:dyDescent="0.2">
      <c r="B32" s="6" t="str">
        <f>_xlfn.XLOOKUP(Moult1[[#This Row],[Metodo]],TbSolver[Metodo],TbSolver[Solver])</f>
        <v>AdamsBashfordMoulton</v>
      </c>
      <c r="C32" s="6" t="str">
        <f>_xlfn.XLOOKUP(Moult1[[#This Row],[Hebras]],TbTecnologia[Hebras],TbTecnologia[Tecnología])</f>
        <v>CUDA</v>
      </c>
      <c r="D32" s="2" t="str" cm="1">
        <f t="array" ref="D32">_xlfn.XLOOKUP(Moult1[[#This Row],[Tecnología]]&amp;Moult1[[#This Row],[Metodo]],TbTipos[Tecnología]&amp;TbTipos[Metodo],TbTipos[Tipo])</f>
        <v>CUDA sin graph</v>
      </c>
      <c r="E32" s="2" t="str" cm="1">
        <f t="array" ref="E32">_xlfn.XLOOKUP(Moult1[[#This Row],[Tecnología]]&amp;Moult1[[#This Row],[Problema]],TbNombres[Tecnología]&amp;TbNombres[Problema],TbNombres[Nombre])</f>
        <v>Simple Advdiff</v>
      </c>
      <c r="F32" s="2">
        <v>5</v>
      </c>
      <c r="G32" s="2">
        <v>1</v>
      </c>
      <c r="H32" s="2">
        <v>256</v>
      </c>
      <c r="I32" s="2">
        <v>20000</v>
      </c>
      <c r="J32" s="2">
        <v>20000</v>
      </c>
      <c r="K32" s="2">
        <v>17.305800000000001</v>
      </c>
      <c r="M32" s="6" t="str">
        <f>_xlfn.XLOOKUP(Moult2[[#This Row],[Metodo]],TbSolver[Metodo],TbSolver[Solver])</f>
        <v>AdamsBashfordMoulton</v>
      </c>
      <c r="N32" s="6" t="str">
        <f>_xlfn.XLOOKUP(Moult2[[#This Row],[Hebras]],TbTecnologia[Hebras],TbTecnologia[Tecnología])</f>
        <v>CUDA</v>
      </c>
      <c r="O32" s="2" t="str" cm="1">
        <f t="array" ref="O32">_xlfn.XLOOKUP(Moult2[[#This Row],[Tecnología]]&amp;Moult2[[#This Row],[Metodo]],TbTipos[Tecnología]&amp;TbTipos[Metodo],TbTipos[Tipo])</f>
        <v>CUDA sin graph</v>
      </c>
      <c r="P32" s="2" t="str" cm="1">
        <f t="array" ref="P32">_xlfn.XLOOKUP(Moult2[[#This Row],[Tecnología]]&amp;Moult2[[#This Row],[Problema]],TbNombres[Tecnología]&amp;TbNombres[Problema],TbNombres[Nombre])</f>
        <v>Advdiff1d</v>
      </c>
      <c r="Q32" s="2">
        <v>5</v>
      </c>
      <c r="R32" s="2">
        <v>3</v>
      </c>
      <c r="S32" s="2">
        <v>256</v>
      </c>
      <c r="T32" s="2">
        <v>20000</v>
      </c>
      <c r="U32" s="2">
        <v>20000</v>
      </c>
      <c r="V32" s="2">
        <v>40.832700000000003</v>
      </c>
      <c r="X32" s="6" t="str">
        <f>_xlfn.XLOOKUP(Moult3[[#This Row],[Metodo]],TbSolver[Metodo],TbSolver[Solver])</f>
        <v>AdamsBashfordMoulton</v>
      </c>
      <c r="Y32" s="6" t="str">
        <f>_xlfn.XLOOKUP(Moult3[[#This Row],[Hebras]],TbTecnologia[Hebras],TbTecnologia[Tecnología])</f>
        <v>CUDA</v>
      </c>
      <c r="Z32" s="2" t="str" cm="1">
        <f t="array" ref="Z32">_xlfn.XLOOKUP(Moult3[[#This Row],[Tecnología]]&amp;Moult3[[#This Row],[Metodo]],TbTipos[Tecnología]&amp;TbTipos[Metodo],TbTipos[Tipo])</f>
        <v>CUDA sin graph</v>
      </c>
      <c r="AA32" s="2" t="str" cm="1">
        <f t="array" ref="AA32">_xlfn.XLOOKUP(Moult3[[#This Row],[Tecnología]]&amp;Moult3[[#This Row],[Problema]],TbNombres[Tecnología]&amp;TbNombres[Problema],TbNombres[Nombre])</f>
        <v>Brusselator1d</v>
      </c>
      <c r="AB32" s="2">
        <v>5</v>
      </c>
      <c r="AC32" s="2">
        <v>7</v>
      </c>
      <c r="AD32" s="2">
        <v>256</v>
      </c>
      <c r="AE32" s="2">
        <v>1000</v>
      </c>
      <c r="AF32" s="2">
        <v>2000</v>
      </c>
      <c r="AG32" s="2">
        <v>13.8088</v>
      </c>
      <c r="AI32" s="9" t="str">
        <f>_xlfn.XLOOKUP(Moult4[[#This Row],[Metodo]],TbSolver[Metodo],TbSolver[Solver])</f>
        <v>AdamsBashfordMoulton</v>
      </c>
      <c r="AJ32" s="9" t="str">
        <f>_xlfn.XLOOKUP(Moult4[[#This Row],[Hebras]],TbTecnologia[Hebras],TbTecnologia[Tecnología])</f>
        <v>OMP</v>
      </c>
      <c r="AK32" s="10" t="str" cm="1">
        <f t="array" ref="AK32">_xlfn.XLOOKUP(Moult4[[#This Row],[Tecnología]]&amp;Moult4[[#This Row],[Metodo]],TbTipos[Tecnología]&amp;TbTipos[Metodo],TbTipos[Tipo])</f>
        <v>OMP Elementos</v>
      </c>
      <c r="AL32" s="9" t="str" cm="1">
        <f t="array" ref="AL32">_xlfn.XLOOKUP(Moult4[[#This Row],[Tecnología]]&amp;Moult4[[#This Row],[Problema]],TbNombres[Tecnología]&amp;TbNombres[Problema],TbNombres[Nombre])</f>
        <v>Brusselator2d</v>
      </c>
      <c r="AM32" s="9">
        <v>6</v>
      </c>
      <c r="AN32" s="9">
        <v>4</v>
      </c>
      <c r="AO32" s="9">
        <v>1</v>
      </c>
      <c r="AP32" s="9">
        <v>150</v>
      </c>
      <c r="AQ32" s="9">
        <v>45000</v>
      </c>
      <c r="AR32" s="9">
        <v>2151.79</v>
      </c>
    </row>
    <row r="33" spans="2:44" x14ac:dyDescent="0.2">
      <c r="B33" s="6" t="str">
        <f>_xlfn.XLOOKUP(Moult1[[#This Row],[Metodo]],TbSolver[Metodo],TbSolver[Solver])</f>
        <v>AdamsBashfordMoulton</v>
      </c>
      <c r="C33" s="6" t="str">
        <f>_xlfn.XLOOKUP(Moult1[[#This Row],[Hebras]],TbTecnologia[Hebras],TbTecnologia[Tecnología])</f>
        <v>CUDA</v>
      </c>
      <c r="D33" s="2" t="str" cm="1">
        <f t="array" ref="D33">_xlfn.XLOOKUP(Moult1[[#This Row],[Tecnología]]&amp;Moult1[[#This Row],[Metodo]],TbTipos[Tecnología]&amp;TbTipos[Metodo],TbTipos[Tipo])</f>
        <v>CUDA sin graph</v>
      </c>
      <c r="E33" s="2" t="str" cm="1">
        <f t="array" ref="E33">_xlfn.XLOOKUP(Moult1[[#This Row],[Tecnología]]&amp;Moult1[[#This Row],[Problema]],TbNombres[Tecnología]&amp;TbNombres[Problema],TbNombres[Nombre])</f>
        <v>Simple Advdiff</v>
      </c>
      <c r="F33" s="2">
        <v>5</v>
      </c>
      <c r="G33" s="2">
        <v>1</v>
      </c>
      <c r="H33" s="2">
        <v>256</v>
      </c>
      <c r="I33" s="2">
        <v>50000</v>
      </c>
      <c r="J33" s="2">
        <v>50000</v>
      </c>
      <c r="K33" s="2">
        <v>22.110499999999998</v>
      </c>
      <c r="M33" s="6" t="str">
        <f>_xlfn.XLOOKUP(Moult2[[#This Row],[Metodo]],TbSolver[Metodo],TbSolver[Solver])</f>
        <v>AdamsBashfordMoulton</v>
      </c>
      <c r="N33" s="6" t="str">
        <f>_xlfn.XLOOKUP(Moult2[[#This Row],[Hebras]],TbTecnologia[Hebras],TbTecnologia[Tecnología])</f>
        <v>CUDA</v>
      </c>
      <c r="O33" s="2" t="str" cm="1">
        <f t="array" ref="O33">_xlfn.XLOOKUP(Moult2[[#This Row],[Tecnología]]&amp;Moult2[[#This Row],[Metodo]],TbTipos[Tecnología]&amp;TbTipos[Metodo],TbTipos[Tipo])</f>
        <v>CUDA sin graph</v>
      </c>
      <c r="P33" s="2" t="str" cm="1">
        <f t="array" ref="P33">_xlfn.XLOOKUP(Moult2[[#This Row],[Tecnología]]&amp;Moult2[[#This Row],[Problema]],TbNombres[Tecnología]&amp;TbNombres[Problema],TbNombres[Nombre])</f>
        <v>Advdiff1d</v>
      </c>
      <c r="Q33" s="2">
        <v>5</v>
      </c>
      <c r="R33" s="2">
        <v>3</v>
      </c>
      <c r="S33" s="2">
        <v>256</v>
      </c>
      <c r="T33" s="2">
        <v>50000</v>
      </c>
      <c r="U33" s="2">
        <v>50000</v>
      </c>
      <c r="V33" s="2">
        <v>58.4223</v>
      </c>
      <c r="X33" s="6" t="str">
        <f>_xlfn.XLOOKUP(Moult3[[#This Row],[Metodo]],TbSolver[Metodo],TbSolver[Solver])</f>
        <v>AdamsBashfordMoulton</v>
      </c>
      <c r="Y33" s="6" t="str">
        <f>_xlfn.XLOOKUP(Moult3[[#This Row],[Hebras]],TbTecnologia[Hebras],TbTecnologia[Tecnología])</f>
        <v>CUDA</v>
      </c>
      <c r="Z33" s="2" t="str" cm="1">
        <f t="array" ref="Z33">_xlfn.XLOOKUP(Moult3[[#This Row],[Tecnología]]&amp;Moult3[[#This Row],[Metodo]],TbTipos[Tecnología]&amp;TbTipos[Metodo],TbTipos[Tipo])</f>
        <v>CUDA sin graph</v>
      </c>
      <c r="AA33" s="2" t="str" cm="1">
        <f t="array" ref="AA33">_xlfn.XLOOKUP(Moult3[[#This Row],[Tecnología]]&amp;Moult3[[#This Row],[Problema]],TbNombres[Tecnología]&amp;TbNombres[Problema],TbNombres[Nombre])</f>
        <v>Brusselator1d</v>
      </c>
      <c r="AB33" s="2">
        <v>5</v>
      </c>
      <c r="AC33" s="2">
        <v>6</v>
      </c>
      <c r="AD33" s="2">
        <v>256</v>
      </c>
      <c r="AE33" s="2">
        <v>2000</v>
      </c>
      <c r="AF33" s="2">
        <v>4000</v>
      </c>
      <c r="AG33" s="2">
        <v>13.838800000000001</v>
      </c>
      <c r="AI33" s="6" t="str">
        <f>_xlfn.XLOOKUP(Moult4[[#This Row],[Metodo]],TbSolver[Metodo],TbSolver[Solver])</f>
        <v>AdamsBashfordMoulton</v>
      </c>
      <c r="AJ33" s="6" t="str">
        <f>_xlfn.XLOOKUP(Moult4[[#This Row],[Hebras]],TbTecnologia[Hebras],TbTecnologia[Tecnología])</f>
        <v>CUDA</v>
      </c>
      <c r="AK33" s="2" t="str" cm="1">
        <f t="array" ref="AK33">_xlfn.XLOOKUP(Moult4[[#This Row],[Tecnología]]&amp;Moult4[[#This Row],[Metodo]],TbTipos[Tecnología]&amp;TbTipos[Metodo],TbTipos[Tipo])</f>
        <v>CUDA sin graph</v>
      </c>
      <c r="AL33" s="2" t="str" cm="1">
        <f t="array" ref="AL33">_xlfn.XLOOKUP(Moult4[[#This Row],[Tecnología]]&amp;Moult4[[#This Row],[Problema]],TbNombres[Tecnología]&amp;TbNombres[Problema],TbNombres[Nombre])</f>
        <v>Brusselator2d</v>
      </c>
      <c r="AM33" s="2">
        <v>5</v>
      </c>
      <c r="AN33" s="2">
        <v>9</v>
      </c>
      <c r="AO33" s="2">
        <v>256</v>
      </c>
      <c r="AP33" s="2">
        <v>200</v>
      </c>
      <c r="AQ33" s="2">
        <v>80000</v>
      </c>
      <c r="AR33" s="2">
        <v>42.954099999999997</v>
      </c>
    </row>
    <row r="34" spans="2:44" x14ac:dyDescent="0.2">
      <c r="B34" s="6" t="str">
        <f>_xlfn.XLOOKUP(Moult1[[#This Row],[Metodo]],TbSolver[Metodo],TbSolver[Solver])</f>
        <v>AdamsBashfordMoulton</v>
      </c>
      <c r="C34" s="6" t="str">
        <f>_xlfn.XLOOKUP(Moult1[[#This Row],[Hebras]],TbTecnologia[Hebras],TbTecnologia[Tecnología])</f>
        <v>CUDA</v>
      </c>
      <c r="D34" s="2" t="str" cm="1">
        <f t="array" ref="D34">_xlfn.XLOOKUP(Moult1[[#This Row],[Tecnología]]&amp;Moult1[[#This Row],[Metodo]],TbTipos[Tecnología]&amp;TbTipos[Metodo],TbTipos[Tipo])</f>
        <v>CUDA sin graph</v>
      </c>
      <c r="E34" s="2" t="str" cm="1">
        <f t="array" ref="E34">_xlfn.XLOOKUP(Moult1[[#This Row],[Tecnología]]&amp;Moult1[[#This Row],[Problema]],TbNombres[Tecnología]&amp;TbNombres[Problema],TbNombres[Nombre])</f>
        <v>Simple Advdiff</v>
      </c>
      <c r="F34" s="2">
        <v>5</v>
      </c>
      <c r="G34" s="2">
        <v>1</v>
      </c>
      <c r="H34" s="2">
        <v>256</v>
      </c>
      <c r="I34" s="2">
        <v>100000</v>
      </c>
      <c r="J34" s="2">
        <v>100000</v>
      </c>
      <c r="K34" s="2">
        <v>40.3996</v>
      </c>
      <c r="M34" s="6" t="str">
        <f>_xlfn.XLOOKUP(Moult2[[#This Row],[Metodo]],TbSolver[Metodo],TbSolver[Solver])</f>
        <v>AdamsBashfordMoulton</v>
      </c>
      <c r="N34" s="6" t="str">
        <f>_xlfn.XLOOKUP(Moult2[[#This Row],[Hebras]],TbTecnologia[Hebras],TbTecnologia[Tecnología])</f>
        <v>CUDA</v>
      </c>
      <c r="O34" s="2" t="str" cm="1">
        <f t="array" ref="O34">_xlfn.XLOOKUP(Moult2[[#This Row],[Tecnología]]&amp;Moult2[[#This Row],[Metodo]],TbTipos[Tecnología]&amp;TbTipos[Metodo],TbTipos[Tipo])</f>
        <v>CUDA sin graph</v>
      </c>
      <c r="P34" s="2" t="str" cm="1">
        <f t="array" ref="P34">_xlfn.XLOOKUP(Moult2[[#This Row],[Tecnología]]&amp;Moult2[[#This Row],[Problema]],TbNombres[Tecnología]&amp;TbNombres[Problema],TbNombres[Nombre])</f>
        <v>Advdiff1d</v>
      </c>
      <c r="Q34" s="2">
        <v>5</v>
      </c>
      <c r="R34" s="2">
        <v>3</v>
      </c>
      <c r="S34" s="2">
        <v>256</v>
      </c>
      <c r="T34" s="2">
        <v>100000</v>
      </c>
      <c r="U34" s="2">
        <v>100000</v>
      </c>
      <c r="V34" s="2">
        <v>116.55800000000001</v>
      </c>
      <c r="X34" s="6" t="str">
        <f>_xlfn.XLOOKUP(Moult3[[#This Row],[Metodo]],TbSolver[Metodo],TbSolver[Solver])</f>
        <v>AdamsBashfordMoulton</v>
      </c>
      <c r="Y34" s="6" t="str">
        <f>_xlfn.XLOOKUP(Moult3[[#This Row],[Hebras]],TbTecnologia[Hebras],TbTecnologia[Tecnología])</f>
        <v>CUDA</v>
      </c>
      <c r="Z34" s="2" t="str" cm="1">
        <f t="array" ref="Z34">_xlfn.XLOOKUP(Moult3[[#This Row],[Tecnología]]&amp;Moult3[[#This Row],[Metodo]],TbTipos[Tecnología]&amp;TbTipos[Metodo],TbTipos[Tipo])</f>
        <v>CUDA sin graph</v>
      </c>
      <c r="AA34" s="2" t="str" cm="1">
        <f t="array" ref="AA34">_xlfn.XLOOKUP(Moult3[[#This Row],[Tecnología]]&amp;Moult3[[#This Row],[Problema]],TbNombres[Tecnología]&amp;TbNombres[Problema],TbNombres[Nombre])</f>
        <v>Brusselator1d</v>
      </c>
      <c r="AB34" s="2">
        <v>5</v>
      </c>
      <c r="AC34" s="2">
        <v>6</v>
      </c>
      <c r="AD34" s="2">
        <v>256</v>
      </c>
      <c r="AE34" s="2">
        <v>5000</v>
      </c>
      <c r="AF34" s="2">
        <v>10000</v>
      </c>
      <c r="AG34" s="2">
        <v>14.284000000000001</v>
      </c>
      <c r="AI34" s="6" t="str">
        <f>_xlfn.XLOOKUP(Moult4[[#This Row],[Metodo]],TbSolver[Metodo],TbSolver[Solver])</f>
        <v>AdamsBashfordMoulton</v>
      </c>
      <c r="AJ34" s="6" t="str">
        <f>_xlfn.XLOOKUP(Moult4[[#This Row],[Hebras]],TbTecnologia[Hebras],TbTecnologia[Tecnología])</f>
        <v>CUDA</v>
      </c>
      <c r="AK34" s="2" t="str" cm="1">
        <f t="array" ref="AK34">_xlfn.XLOOKUP(Moult4[[#This Row],[Tecnología]]&amp;Moult4[[#This Row],[Metodo]],TbTipos[Tecnología]&amp;TbTipos[Metodo],TbTipos[Tipo])</f>
        <v>CUDA sin graph</v>
      </c>
      <c r="AL34" s="2" t="str" cm="1">
        <f t="array" ref="AL34">_xlfn.XLOOKUP(Moult4[[#This Row],[Tecnología]]&amp;Moult4[[#This Row],[Problema]],TbNombres[Tecnología]&amp;TbNombres[Problema],TbNombres[Nombre])</f>
        <v>Brusselator2d</v>
      </c>
      <c r="AM34" s="2">
        <v>5</v>
      </c>
      <c r="AN34" s="2">
        <v>8</v>
      </c>
      <c r="AO34" s="2">
        <v>256</v>
      </c>
      <c r="AP34" s="2">
        <v>200</v>
      </c>
      <c r="AQ34" s="2">
        <v>80000</v>
      </c>
      <c r="AR34" s="2">
        <v>43.573999999999998</v>
      </c>
    </row>
    <row r="35" spans="2:44" x14ac:dyDescent="0.2">
      <c r="B35" s="6" t="str">
        <f>_xlfn.XLOOKUP(Moult1[[#This Row],[Metodo]],TbSolver[Metodo],TbSolver[Solver])</f>
        <v>AdamsBashfordMoulton</v>
      </c>
      <c r="C35" s="6" t="str">
        <f>_xlfn.XLOOKUP(Moult1[[#This Row],[Hebras]],TbTecnologia[Hebras],TbTecnologia[Tecnología])</f>
        <v>CUDA</v>
      </c>
      <c r="D35" s="2" t="str" cm="1">
        <f t="array" ref="D35">_xlfn.XLOOKUP(Moult1[[#This Row],[Tecnología]]&amp;Moult1[[#This Row],[Metodo]],TbTipos[Tecnología]&amp;TbTipos[Metodo],TbTipos[Tipo])</f>
        <v>CUDA sin graph</v>
      </c>
      <c r="E35" s="2" t="str" cm="1">
        <f t="array" ref="E35">_xlfn.XLOOKUP(Moult1[[#This Row],[Tecnología]]&amp;Moult1[[#This Row],[Problema]],TbNombres[Tecnología]&amp;TbNombres[Problema],TbNombres[Nombre])</f>
        <v>Simple Advdiff</v>
      </c>
      <c r="F35" s="2">
        <v>5</v>
      </c>
      <c r="G35" s="2">
        <v>1</v>
      </c>
      <c r="H35" s="2">
        <v>256</v>
      </c>
      <c r="I35" s="2">
        <v>200000</v>
      </c>
      <c r="J35" s="2">
        <v>200000</v>
      </c>
      <c r="K35" s="2">
        <v>94.000799999999998</v>
      </c>
      <c r="M35" s="6" t="str">
        <f>_xlfn.XLOOKUP(Moult2[[#This Row],[Metodo]],TbSolver[Metodo],TbSolver[Solver])</f>
        <v>AdamsBashfordMoulton</v>
      </c>
      <c r="N35" s="6" t="str">
        <f>_xlfn.XLOOKUP(Moult2[[#This Row],[Hebras]],TbTecnologia[Hebras],TbTecnologia[Tecnología])</f>
        <v>CUDA</v>
      </c>
      <c r="O35" s="2" t="str" cm="1">
        <f t="array" ref="O35">_xlfn.XLOOKUP(Moult2[[#This Row],[Tecnología]]&amp;Moult2[[#This Row],[Metodo]],TbTipos[Tecnología]&amp;TbTipos[Metodo],TbTipos[Tipo])</f>
        <v>CUDA sin graph</v>
      </c>
      <c r="P35" s="2" t="str" cm="1">
        <f t="array" ref="P35">_xlfn.XLOOKUP(Moult2[[#This Row],[Tecnología]]&amp;Moult2[[#This Row],[Problema]],TbNombres[Tecnología]&amp;TbNombres[Problema],TbNombres[Nombre])</f>
        <v>Advdiff1d</v>
      </c>
      <c r="Q35" s="2">
        <v>5</v>
      </c>
      <c r="R35" s="2">
        <v>3</v>
      </c>
      <c r="S35" s="2">
        <v>256</v>
      </c>
      <c r="T35" s="2">
        <v>200000</v>
      </c>
      <c r="U35" s="2">
        <v>200000</v>
      </c>
      <c r="V35" s="2">
        <v>240.96799999999999</v>
      </c>
      <c r="X35" s="6" t="str">
        <f>_xlfn.XLOOKUP(Moult3[[#This Row],[Metodo]],TbSolver[Metodo],TbSolver[Solver])</f>
        <v>AdamsBashfordMoulton</v>
      </c>
      <c r="Y35" s="6" t="str">
        <f>_xlfn.XLOOKUP(Moult3[[#This Row],[Hebras]],TbTecnologia[Hebras],TbTecnologia[Tecnología])</f>
        <v>CUDA</v>
      </c>
      <c r="Z35" s="2" t="str" cm="1">
        <f t="array" ref="Z35">_xlfn.XLOOKUP(Moult3[[#This Row],[Tecnología]]&amp;Moult3[[#This Row],[Metodo]],TbTipos[Tecnología]&amp;TbTipos[Metodo],TbTipos[Tipo])</f>
        <v>CUDA sin graph</v>
      </c>
      <c r="AA35" s="2" t="str" cm="1">
        <f t="array" ref="AA35">_xlfn.XLOOKUP(Moult3[[#This Row],[Tecnología]]&amp;Moult3[[#This Row],[Problema]],TbNombres[Tecnología]&amp;TbNombres[Problema],TbNombres[Nombre])</f>
        <v>Brusselator1d</v>
      </c>
      <c r="AB35" s="2">
        <v>5</v>
      </c>
      <c r="AC35" s="2">
        <v>7</v>
      </c>
      <c r="AD35" s="2">
        <v>256</v>
      </c>
      <c r="AE35" s="2">
        <v>5000</v>
      </c>
      <c r="AF35" s="2">
        <v>10000</v>
      </c>
      <c r="AG35" s="2">
        <v>14.284000000000001</v>
      </c>
      <c r="AI35" s="6" t="str">
        <f>_xlfn.XLOOKUP(Moult4[[#This Row],[Metodo]],TbSolver[Metodo],TbSolver[Solver])</f>
        <v>AdamsBashfordMoulton</v>
      </c>
      <c r="AJ35" s="6" t="str">
        <f>_xlfn.XLOOKUP(Moult4[[#This Row],[Hebras]],TbTecnologia[Hebras],TbTecnologia[Tecnología])</f>
        <v>CUDA</v>
      </c>
      <c r="AK35" s="2" t="str" cm="1">
        <f t="array" ref="AK35">_xlfn.XLOOKUP(Moult4[[#This Row],[Tecnología]]&amp;Moult4[[#This Row],[Metodo]],TbTipos[Tecnología]&amp;TbTipos[Metodo],TbTipos[Tipo])</f>
        <v>CUDA con graph</v>
      </c>
      <c r="AL35" s="2" t="str" cm="1">
        <f t="array" ref="AL35">_xlfn.XLOOKUP(Moult4[[#This Row],[Tecnología]]&amp;Moult4[[#This Row],[Problema]],TbNombres[Tecnología]&amp;TbNombres[Problema],TbNombres[Nombre])</f>
        <v>Brusselator2d</v>
      </c>
      <c r="AM35" s="2">
        <v>6</v>
      </c>
      <c r="AN35" s="2">
        <v>8</v>
      </c>
      <c r="AO35" s="2">
        <v>256</v>
      </c>
      <c r="AP35" s="2">
        <v>200</v>
      </c>
      <c r="AQ35" s="2">
        <v>80000</v>
      </c>
      <c r="AR35" s="2">
        <v>47.031500000000001</v>
      </c>
    </row>
    <row r="36" spans="2:44" x14ac:dyDescent="0.2">
      <c r="B36" s="6" t="str">
        <f>_xlfn.XLOOKUP(Moult1[[#This Row],[Metodo]],TbSolver[Metodo],TbSolver[Solver])</f>
        <v>AdamsBashfordMoulton</v>
      </c>
      <c r="C36" s="6" t="str">
        <f>_xlfn.XLOOKUP(Moult1[[#This Row],[Hebras]],TbTecnologia[Hebras],TbTecnologia[Tecnología])</f>
        <v>OMP</v>
      </c>
      <c r="D36" s="7" t="str" cm="1">
        <f t="array" ref="D36">_xlfn.XLOOKUP(Moult1[[#This Row],[Tecnología]]&amp;Moult1[[#This Row],[Metodo]],TbTipos[Tecnología]&amp;TbTipos[Metodo],TbTipos[Tipo])</f>
        <v>OMP Operaciones</v>
      </c>
      <c r="E36" s="6" t="str" cm="1">
        <f t="array" ref="E36">_xlfn.XLOOKUP(Moult1[[#This Row],[Tecnología]]&amp;Moult1[[#This Row],[Problema]],TbNombres[Tecnología]&amp;TbNombres[Problema],TbNombres[Nombre])</f>
        <v>Simple Advdiff</v>
      </c>
      <c r="F36" s="6">
        <v>5</v>
      </c>
      <c r="G36" s="6">
        <v>1</v>
      </c>
      <c r="H36" s="6">
        <v>1</v>
      </c>
      <c r="I36" s="6">
        <v>100</v>
      </c>
      <c r="J36" s="6">
        <v>100</v>
      </c>
      <c r="K36" s="6">
        <v>4.5551399999999997</v>
      </c>
      <c r="M36" s="6" t="str">
        <f>_xlfn.XLOOKUP(Moult2[[#This Row],[Metodo]],TbSolver[Metodo],TbSolver[Solver])</f>
        <v>AdamsBashfordMoulton</v>
      </c>
      <c r="N36" s="6" t="str">
        <f>_xlfn.XLOOKUP(Moult2[[#This Row],[Hebras]],TbTecnologia[Hebras],TbTecnologia[Tecnología])</f>
        <v>OMP</v>
      </c>
      <c r="O36" s="7" t="str" cm="1">
        <f t="array" ref="O36">_xlfn.XLOOKUP(Moult2[[#This Row],[Tecnología]]&amp;Moult2[[#This Row],[Metodo]],TbTipos[Tecnología]&amp;TbTipos[Metodo],TbTipos[Tipo])</f>
        <v>OMP Operaciones</v>
      </c>
      <c r="P36" s="6" t="str" cm="1">
        <f t="array" ref="P36">_xlfn.XLOOKUP(Moult2[[#This Row],[Tecnología]]&amp;Moult2[[#This Row],[Problema]],TbNombres[Tecnología]&amp;TbNombres[Problema],TbNombres[Nombre])</f>
        <v>Advdiff1d</v>
      </c>
      <c r="Q36" s="6">
        <v>5</v>
      </c>
      <c r="R36" s="6">
        <v>2</v>
      </c>
      <c r="S36" s="6">
        <v>1</v>
      </c>
      <c r="T36" s="6">
        <v>100</v>
      </c>
      <c r="U36" s="6">
        <v>100</v>
      </c>
      <c r="V36" s="6">
        <v>11.7964</v>
      </c>
      <c r="X36" s="6" t="str">
        <f>_xlfn.XLOOKUP(Moult3[[#This Row],[Metodo]],TbSolver[Metodo],TbSolver[Solver])</f>
        <v>AdamsBashfordMoulton</v>
      </c>
      <c r="Y36" s="6" t="str">
        <f>_xlfn.XLOOKUP(Moult3[[#This Row],[Hebras]],TbTecnologia[Hebras],TbTecnologia[Tecnología])</f>
        <v>CUDA</v>
      </c>
      <c r="Z36" s="2" t="str" cm="1">
        <f t="array" ref="Z36">_xlfn.XLOOKUP(Moult3[[#This Row],[Tecnología]]&amp;Moult3[[#This Row],[Metodo]],TbTipos[Tecnología]&amp;TbTipos[Metodo],TbTipos[Tipo])</f>
        <v>CUDA sin graph</v>
      </c>
      <c r="AA36" s="2" t="str" cm="1">
        <f t="array" ref="AA36">_xlfn.XLOOKUP(Moult3[[#This Row],[Tecnología]]&amp;Moult3[[#This Row],[Problema]],TbNombres[Tecnología]&amp;TbNombres[Problema],TbNombres[Nombre])</f>
        <v>Brusselator1d</v>
      </c>
      <c r="AB36" s="2">
        <v>5</v>
      </c>
      <c r="AC36" s="2">
        <v>5</v>
      </c>
      <c r="AD36" s="2">
        <v>256</v>
      </c>
      <c r="AE36" s="2">
        <v>5000</v>
      </c>
      <c r="AF36" s="2">
        <v>10000</v>
      </c>
      <c r="AG36" s="2">
        <v>14.319800000000001</v>
      </c>
      <c r="AI36" s="6" t="str">
        <f>_xlfn.XLOOKUP(Moult4[[#This Row],[Metodo]],TbSolver[Metodo],TbSolver[Solver])</f>
        <v>AdamsBashfordMoulton</v>
      </c>
      <c r="AJ36" s="6" t="str">
        <f>_xlfn.XLOOKUP(Moult4[[#This Row],[Hebras]],TbTecnologia[Hebras],TbTecnologia[Tecnología])</f>
        <v>CUDA</v>
      </c>
      <c r="AK36" s="2" t="str" cm="1">
        <f t="array" ref="AK36">_xlfn.XLOOKUP(Moult4[[#This Row],[Tecnología]]&amp;Moult4[[#This Row],[Metodo]],TbTipos[Tecnología]&amp;TbTipos[Metodo],TbTipos[Tipo])</f>
        <v>CUDA con graph</v>
      </c>
      <c r="AL36" s="2" t="str" cm="1">
        <f t="array" ref="AL36">_xlfn.XLOOKUP(Moult4[[#This Row],[Tecnología]]&amp;Moult4[[#This Row],[Problema]],TbNombres[Tecnología]&amp;TbNombres[Problema],TbNombres[Nombre])</f>
        <v>Brusselator2d</v>
      </c>
      <c r="AM36" s="2">
        <v>6</v>
      </c>
      <c r="AN36" s="2">
        <v>9</v>
      </c>
      <c r="AO36" s="2">
        <v>256</v>
      </c>
      <c r="AP36" s="2">
        <v>200</v>
      </c>
      <c r="AQ36" s="2">
        <v>80000</v>
      </c>
      <c r="AR36" s="2">
        <v>47.367899999999999</v>
      </c>
    </row>
    <row r="37" spans="2:44" x14ac:dyDescent="0.2">
      <c r="B37" s="6" t="str">
        <f>_xlfn.XLOOKUP(Moult1[[#This Row],[Metodo]],TbSolver[Metodo],TbSolver[Solver])</f>
        <v>AdamsBashfordMoulton</v>
      </c>
      <c r="C37" s="6" t="str">
        <f>_xlfn.XLOOKUP(Moult1[[#This Row],[Hebras]],TbTecnologia[Hebras],TbTecnologia[Tecnología])</f>
        <v>OMP</v>
      </c>
      <c r="D37" s="7" t="str" cm="1">
        <f t="array" ref="D37">_xlfn.XLOOKUP(Moult1[[#This Row],[Tecnología]]&amp;Moult1[[#This Row],[Metodo]],TbTipos[Tecnología]&amp;TbTipos[Metodo],TbTipos[Tipo])</f>
        <v>OMP Operaciones</v>
      </c>
      <c r="E37" s="6" t="str" cm="1">
        <f t="array" ref="E37">_xlfn.XLOOKUP(Moult1[[#This Row],[Tecnología]]&amp;Moult1[[#This Row],[Problema]],TbNombres[Tecnología]&amp;TbNombres[Problema],TbNombres[Nombre])</f>
        <v>Simple Advdiff</v>
      </c>
      <c r="F37" s="6">
        <v>5</v>
      </c>
      <c r="G37" s="6">
        <v>1</v>
      </c>
      <c r="H37" s="6">
        <v>4</v>
      </c>
      <c r="I37" s="6">
        <v>100</v>
      </c>
      <c r="J37" s="6">
        <v>100</v>
      </c>
      <c r="K37" s="6">
        <v>43.716000000000001</v>
      </c>
      <c r="M37" s="6" t="str">
        <f>_xlfn.XLOOKUP(Moult2[[#This Row],[Metodo]],TbSolver[Metodo],TbSolver[Solver])</f>
        <v>AdamsBashfordMoulton</v>
      </c>
      <c r="N37" s="6" t="str">
        <f>_xlfn.XLOOKUP(Moult2[[#This Row],[Hebras]],TbTecnologia[Hebras],TbTecnologia[Tecnología])</f>
        <v>OMP</v>
      </c>
      <c r="O37" s="7" t="str" cm="1">
        <f t="array" ref="O37">_xlfn.XLOOKUP(Moult2[[#This Row],[Tecnología]]&amp;Moult2[[#This Row],[Metodo]],TbTipos[Tecnología]&amp;TbTipos[Metodo],TbTipos[Tipo])</f>
        <v>OMP Operaciones</v>
      </c>
      <c r="P37" s="6" t="str" cm="1">
        <f t="array" ref="P37">_xlfn.XLOOKUP(Moult2[[#This Row],[Tecnología]]&amp;Moult2[[#This Row],[Problema]],TbNombres[Tecnología]&amp;TbNombres[Problema],TbNombres[Nombre])</f>
        <v>Advdiff1d</v>
      </c>
      <c r="Q37" s="6">
        <v>5</v>
      </c>
      <c r="R37" s="6">
        <v>2</v>
      </c>
      <c r="S37" s="6">
        <v>4</v>
      </c>
      <c r="T37" s="6">
        <v>100</v>
      </c>
      <c r="U37" s="6">
        <v>100</v>
      </c>
      <c r="V37" s="6">
        <v>59.247900000000001</v>
      </c>
      <c r="X37" s="6" t="str">
        <f>_xlfn.XLOOKUP(Moult3[[#This Row],[Metodo]],TbSolver[Metodo],TbSolver[Solver])</f>
        <v>AdamsBashfordMoulton</v>
      </c>
      <c r="Y37" s="6" t="str">
        <f>_xlfn.XLOOKUP(Moult3[[#This Row],[Hebras]],TbTecnologia[Hebras],TbTecnologia[Tecnología])</f>
        <v>CUDA</v>
      </c>
      <c r="Z37" s="2" t="str" cm="1">
        <f t="array" ref="Z37">_xlfn.XLOOKUP(Moult3[[#This Row],[Tecnología]]&amp;Moult3[[#This Row],[Metodo]],TbTipos[Tecnología]&amp;TbTipos[Metodo],TbTipos[Tipo])</f>
        <v>CUDA sin graph</v>
      </c>
      <c r="AA37" s="2" t="str" cm="1">
        <f t="array" ref="AA37">_xlfn.XLOOKUP(Moult3[[#This Row],[Tecnología]]&amp;Moult3[[#This Row],[Problema]],TbNombres[Tecnología]&amp;TbNombres[Problema],TbNombres[Nombre])</f>
        <v>Brusselator1d</v>
      </c>
      <c r="AB37" s="2">
        <v>5</v>
      </c>
      <c r="AC37" s="2">
        <v>5</v>
      </c>
      <c r="AD37" s="2">
        <v>256</v>
      </c>
      <c r="AE37" s="2">
        <v>100</v>
      </c>
      <c r="AF37" s="2">
        <v>200</v>
      </c>
      <c r="AG37" s="2">
        <v>14.4727</v>
      </c>
      <c r="AI37" s="9" t="str">
        <f>_xlfn.XLOOKUP(Moult4[[#This Row],[Metodo]],TbSolver[Metodo],TbSolver[Solver])</f>
        <v>AdamsBashfordMoulton</v>
      </c>
      <c r="AJ37" s="9" t="str">
        <f>_xlfn.XLOOKUP(Moult4[[#This Row],[Hebras]],TbTecnologia[Hebras],TbTecnologia[Tecnología])</f>
        <v>OMP</v>
      </c>
      <c r="AK37" s="10" t="str" cm="1">
        <f t="array" ref="AK37">_xlfn.XLOOKUP(Moult4[[#This Row],[Tecnología]]&amp;Moult4[[#This Row],[Metodo]],TbTipos[Tecnología]&amp;TbTipos[Metodo],TbTipos[Tipo])</f>
        <v>OMP Operaciones</v>
      </c>
      <c r="AL37" s="9" t="str" cm="1">
        <f t="array" ref="AL37">_xlfn.XLOOKUP(Moult4[[#This Row],[Tecnología]]&amp;Moult4[[#This Row],[Problema]],TbNombres[Tecnología]&amp;TbNombres[Problema],TbNombres[Nombre])</f>
        <v>Brusselator2d</v>
      </c>
      <c r="AM37" s="9">
        <v>5</v>
      </c>
      <c r="AN37" s="9">
        <v>4</v>
      </c>
      <c r="AO37" s="9">
        <v>16</v>
      </c>
      <c r="AP37" s="9">
        <v>200</v>
      </c>
      <c r="AQ37" s="9">
        <v>80000</v>
      </c>
      <c r="AR37" s="9">
        <v>214.67</v>
      </c>
    </row>
    <row r="38" spans="2:44" x14ac:dyDescent="0.2">
      <c r="B38" s="6" t="str">
        <f>_xlfn.XLOOKUP(Moult1[[#This Row],[Metodo]],TbSolver[Metodo],TbSolver[Solver])</f>
        <v>AdamsBashfordMoulton</v>
      </c>
      <c r="C38" s="6" t="str">
        <f>_xlfn.XLOOKUP(Moult1[[#This Row],[Hebras]],TbTecnologia[Hebras],TbTecnologia[Tecnología])</f>
        <v>OMP</v>
      </c>
      <c r="D38" s="7" t="str" cm="1">
        <f t="array" ref="D38">_xlfn.XLOOKUP(Moult1[[#This Row],[Tecnología]]&amp;Moult1[[#This Row],[Metodo]],TbTipos[Tecnología]&amp;TbTipos[Metodo],TbTipos[Tipo])</f>
        <v>OMP Operaciones</v>
      </c>
      <c r="E38" s="6" t="str" cm="1">
        <f t="array" ref="E38">_xlfn.XLOOKUP(Moult1[[#This Row],[Tecnología]]&amp;Moult1[[#This Row],[Problema]],TbNombres[Tecnología]&amp;TbNombres[Problema],TbNombres[Nombre])</f>
        <v>Simple Advdiff</v>
      </c>
      <c r="F38" s="6">
        <v>5</v>
      </c>
      <c r="G38" s="6">
        <v>1</v>
      </c>
      <c r="H38" s="6">
        <v>16</v>
      </c>
      <c r="I38" s="6">
        <v>100</v>
      </c>
      <c r="J38" s="6">
        <v>100</v>
      </c>
      <c r="K38" s="6">
        <v>112.265</v>
      </c>
      <c r="M38" s="6" t="str">
        <f>_xlfn.XLOOKUP(Moult2[[#This Row],[Metodo]],TbSolver[Metodo],TbSolver[Solver])</f>
        <v>AdamsBashfordMoulton</v>
      </c>
      <c r="N38" s="6" t="str">
        <f>_xlfn.XLOOKUP(Moult2[[#This Row],[Hebras]],TbTecnologia[Hebras],TbTecnologia[Tecnología])</f>
        <v>OMP</v>
      </c>
      <c r="O38" s="7" t="str" cm="1">
        <f t="array" ref="O38">_xlfn.XLOOKUP(Moult2[[#This Row],[Tecnología]]&amp;Moult2[[#This Row],[Metodo]],TbTipos[Tecnología]&amp;TbTipos[Metodo],TbTipos[Tipo])</f>
        <v>OMP Operaciones</v>
      </c>
      <c r="P38" s="6" t="str" cm="1">
        <f t="array" ref="P38">_xlfn.XLOOKUP(Moult2[[#This Row],[Tecnología]]&amp;Moult2[[#This Row],[Problema]],TbNombres[Tecnología]&amp;TbNombres[Problema],TbNombres[Nombre])</f>
        <v>Advdiff1d</v>
      </c>
      <c r="Q38" s="6">
        <v>5</v>
      </c>
      <c r="R38" s="6">
        <v>2</v>
      </c>
      <c r="S38" s="6">
        <v>16</v>
      </c>
      <c r="T38" s="6">
        <v>100</v>
      </c>
      <c r="U38" s="6">
        <v>100</v>
      </c>
      <c r="V38" s="6">
        <v>139.191</v>
      </c>
      <c r="X38" s="6" t="str">
        <f>_xlfn.XLOOKUP(Moult3[[#This Row],[Metodo]],TbSolver[Metodo],TbSolver[Solver])</f>
        <v>AdamsBashfordMoulton</v>
      </c>
      <c r="Y38" s="6" t="str">
        <f>_xlfn.XLOOKUP(Moult3[[#This Row],[Hebras]],TbTecnologia[Hebras],TbTecnologia[Tecnología])</f>
        <v>CUDA</v>
      </c>
      <c r="Z38" s="2" t="str" cm="1">
        <f t="array" ref="Z38">_xlfn.XLOOKUP(Moult3[[#This Row],[Tecnología]]&amp;Moult3[[#This Row],[Metodo]],TbTipos[Tecnología]&amp;TbTipos[Metodo],TbTipos[Tipo])</f>
        <v>CUDA sin graph</v>
      </c>
      <c r="AA38" s="2" t="str" cm="1">
        <f t="array" ref="AA38">_xlfn.XLOOKUP(Moult3[[#This Row],[Tecnología]]&amp;Moult3[[#This Row],[Problema]],TbNombres[Tecnología]&amp;TbNombres[Problema],TbNombres[Nombre])</f>
        <v>Brusselator1d</v>
      </c>
      <c r="AB38" s="2">
        <v>5</v>
      </c>
      <c r="AC38" s="2">
        <v>7</v>
      </c>
      <c r="AD38" s="2">
        <v>256</v>
      </c>
      <c r="AE38" s="2">
        <v>100</v>
      </c>
      <c r="AF38" s="2">
        <v>200</v>
      </c>
      <c r="AG38" s="2">
        <v>14.5009</v>
      </c>
      <c r="AI38" s="9" t="str">
        <f>_xlfn.XLOOKUP(Moult4[[#This Row],[Metodo]],TbSolver[Metodo],TbSolver[Solver])</f>
        <v>AdamsBashfordMoulton</v>
      </c>
      <c r="AJ38" s="9" t="str">
        <f>_xlfn.XLOOKUP(Moult4[[#This Row],[Hebras]],TbTecnologia[Hebras],TbTecnologia[Tecnología])</f>
        <v>OMP</v>
      </c>
      <c r="AK38" s="10" t="str" cm="1">
        <f t="array" ref="AK38">_xlfn.XLOOKUP(Moult4[[#This Row],[Tecnología]]&amp;Moult4[[#This Row],[Metodo]],TbTipos[Tecnología]&amp;TbTipos[Metodo],TbTipos[Tipo])</f>
        <v>OMP Elementos</v>
      </c>
      <c r="AL38" s="9" t="str" cm="1">
        <f t="array" ref="AL38">_xlfn.XLOOKUP(Moult4[[#This Row],[Tecnología]]&amp;Moult4[[#This Row],[Problema]],TbNombres[Tecnología]&amp;TbNombres[Problema],TbNombres[Nombre])</f>
        <v>Brusselator2d</v>
      </c>
      <c r="AM38" s="9">
        <v>6</v>
      </c>
      <c r="AN38" s="9">
        <v>4</v>
      </c>
      <c r="AO38" s="9">
        <v>16</v>
      </c>
      <c r="AP38" s="9">
        <v>200</v>
      </c>
      <c r="AQ38" s="9">
        <v>80000</v>
      </c>
      <c r="AR38" s="9">
        <v>331.80900000000003</v>
      </c>
    </row>
    <row r="39" spans="2:44" x14ac:dyDescent="0.2">
      <c r="B39" s="6" t="str">
        <f>_xlfn.XLOOKUP(Moult1[[#This Row],[Metodo]],TbSolver[Metodo],TbSolver[Solver])</f>
        <v>AdamsBashfordMoulton</v>
      </c>
      <c r="C39" s="6" t="str">
        <f>_xlfn.XLOOKUP(Moult1[[#This Row],[Hebras]],TbTecnologia[Hebras],TbTecnologia[Tecnología])</f>
        <v>OMP</v>
      </c>
      <c r="D39" s="7" t="str" cm="1">
        <f t="array" ref="D39">_xlfn.XLOOKUP(Moult1[[#This Row],[Tecnología]]&amp;Moult1[[#This Row],[Metodo]],TbTipos[Tecnología]&amp;TbTipos[Metodo],TbTipos[Tipo])</f>
        <v>OMP Operaciones</v>
      </c>
      <c r="E39" s="6" t="str" cm="1">
        <f t="array" ref="E39">_xlfn.XLOOKUP(Moult1[[#This Row],[Tecnología]]&amp;Moult1[[#This Row],[Problema]],TbNombres[Tecnología]&amp;TbNombres[Problema],TbNombres[Nombre])</f>
        <v>Simple Advdiff</v>
      </c>
      <c r="F39" s="6">
        <v>5</v>
      </c>
      <c r="G39" s="6">
        <v>1</v>
      </c>
      <c r="H39" s="6">
        <v>1</v>
      </c>
      <c r="I39" s="6">
        <v>200</v>
      </c>
      <c r="J39" s="6">
        <v>200</v>
      </c>
      <c r="K39" s="6">
        <v>5.1783299999999999</v>
      </c>
      <c r="M39" s="6" t="str">
        <f>_xlfn.XLOOKUP(Moult2[[#This Row],[Metodo]],TbSolver[Metodo],TbSolver[Solver])</f>
        <v>AdamsBashfordMoulton</v>
      </c>
      <c r="N39" s="6" t="str">
        <f>_xlfn.XLOOKUP(Moult2[[#This Row],[Hebras]],TbTecnologia[Hebras],TbTecnologia[Tecnología])</f>
        <v>OMP</v>
      </c>
      <c r="O39" s="7" t="str" cm="1">
        <f t="array" ref="O39">_xlfn.XLOOKUP(Moult2[[#This Row],[Tecnología]]&amp;Moult2[[#This Row],[Metodo]],TbTipos[Tecnología]&amp;TbTipos[Metodo],TbTipos[Tipo])</f>
        <v>OMP Operaciones</v>
      </c>
      <c r="P39" s="6" t="str" cm="1">
        <f t="array" ref="P39">_xlfn.XLOOKUP(Moult2[[#This Row],[Tecnología]]&amp;Moult2[[#This Row],[Problema]],TbNombres[Tecnología]&amp;TbNombres[Problema],TbNombres[Nombre])</f>
        <v>Advdiff1d</v>
      </c>
      <c r="Q39" s="6">
        <v>5</v>
      </c>
      <c r="R39" s="6">
        <v>2</v>
      </c>
      <c r="S39" s="6">
        <v>1</v>
      </c>
      <c r="T39" s="6">
        <v>200</v>
      </c>
      <c r="U39" s="6">
        <v>200</v>
      </c>
      <c r="V39" s="6">
        <v>18.9529</v>
      </c>
      <c r="X39" s="6" t="str">
        <f>_xlfn.XLOOKUP(Moult3[[#This Row],[Metodo]],TbSolver[Metodo],TbSolver[Solver])</f>
        <v>AdamsBashfordMoulton</v>
      </c>
      <c r="Y39" s="6" t="str">
        <f>_xlfn.XLOOKUP(Moult3[[#This Row],[Hebras]],TbTecnologia[Hebras],TbTecnologia[Tecnología])</f>
        <v>CUDA</v>
      </c>
      <c r="Z39" s="2" t="str" cm="1">
        <f t="array" ref="Z39">_xlfn.XLOOKUP(Moult3[[#This Row],[Tecnología]]&amp;Moult3[[#This Row],[Metodo]],TbTipos[Tecnología]&amp;TbTipos[Metodo],TbTipos[Tipo])</f>
        <v>CUDA sin graph</v>
      </c>
      <c r="AA39" s="2" t="str" cm="1">
        <f t="array" ref="AA39">_xlfn.XLOOKUP(Moult3[[#This Row],[Tecnología]]&amp;Moult3[[#This Row],[Problema]],TbNombres[Tecnología]&amp;TbNombres[Problema],TbNombres[Nombre])</f>
        <v>Brusselator1d</v>
      </c>
      <c r="AB39" s="2">
        <v>5</v>
      </c>
      <c r="AC39" s="2">
        <v>6</v>
      </c>
      <c r="AD39" s="2">
        <v>256</v>
      </c>
      <c r="AE39" s="2">
        <v>100</v>
      </c>
      <c r="AF39" s="2">
        <v>200</v>
      </c>
      <c r="AG39" s="2">
        <v>14.540699999999999</v>
      </c>
      <c r="AI39" s="9" t="str">
        <f>_xlfn.XLOOKUP(Moult4[[#This Row],[Metodo]],TbSolver[Metodo],TbSolver[Solver])</f>
        <v>AdamsBashfordMoulton</v>
      </c>
      <c r="AJ39" s="9" t="str">
        <f>_xlfn.XLOOKUP(Moult4[[#This Row],[Hebras]],TbTecnologia[Hebras],TbTecnologia[Tecnología])</f>
        <v>OMP</v>
      </c>
      <c r="AK39" s="10" t="str" cm="1">
        <f t="array" ref="AK39">_xlfn.XLOOKUP(Moult4[[#This Row],[Tecnología]]&amp;Moult4[[#This Row],[Metodo]],TbTipos[Tecnología]&amp;TbTipos[Metodo],TbTipos[Tipo])</f>
        <v>OMP Operaciones</v>
      </c>
      <c r="AL39" s="9" t="str" cm="1">
        <f t="array" ref="AL39">_xlfn.XLOOKUP(Moult4[[#This Row],[Tecnología]]&amp;Moult4[[#This Row],[Problema]],TbNombres[Tecnología]&amp;TbNombres[Problema],TbNombres[Nombre])</f>
        <v>Brusselator2d</v>
      </c>
      <c r="AM39" s="9">
        <v>5</v>
      </c>
      <c r="AN39" s="9">
        <v>4</v>
      </c>
      <c r="AO39" s="9">
        <v>4</v>
      </c>
      <c r="AP39" s="9">
        <v>200</v>
      </c>
      <c r="AQ39" s="9">
        <v>80000</v>
      </c>
      <c r="AR39" s="9">
        <v>466.28199999999998</v>
      </c>
    </row>
    <row r="40" spans="2:44" x14ac:dyDescent="0.2">
      <c r="B40" s="6" t="str">
        <f>_xlfn.XLOOKUP(Moult1[[#This Row],[Metodo]],TbSolver[Metodo],TbSolver[Solver])</f>
        <v>AdamsBashfordMoulton</v>
      </c>
      <c r="C40" s="6" t="str">
        <f>_xlfn.XLOOKUP(Moult1[[#This Row],[Hebras]],TbTecnologia[Hebras],TbTecnologia[Tecnología])</f>
        <v>OMP</v>
      </c>
      <c r="D40" s="7" t="str" cm="1">
        <f t="array" ref="D40">_xlfn.XLOOKUP(Moult1[[#This Row],[Tecnología]]&amp;Moult1[[#This Row],[Metodo]],TbTipos[Tecnología]&amp;TbTipos[Metodo],TbTipos[Tipo])</f>
        <v>OMP Operaciones</v>
      </c>
      <c r="E40" s="6" t="str" cm="1">
        <f t="array" ref="E40">_xlfn.XLOOKUP(Moult1[[#This Row],[Tecnología]]&amp;Moult1[[#This Row],[Problema]],TbNombres[Tecnología]&amp;TbNombres[Problema],TbNombres[Nombre])</f>
        <v>Simple Advdiff</v>
      </c>
      <c r="F40" s="6">
        <v>5</v>
      </c>
      <c r="G40" s="6">
        <v>1</v>
      </c>
      <c r="H40" s="6">
        <v>4</v>
      </c>
      <c r="I40" s="6">
        <v>200</v>
      </c>
      <c r="J40" s="6">
        <v>200</v>
      </c>
      <c r="K40" s="6">
        <v>38.086300000000001</v>
      </c>
      <c r="M40" s="6" t="str">
        <f>_xlfn.XLOOKUP(Moult2[[#This Row],[Metodo]],TbSolver[Metodo],TbSolver[Solver])</f>
        <v>AdamsBashfordMoulton</v>
      </c>
      <c r="N40" s="6" t="str">
        <f>_xlfn.XLOOKUP(Moult2[[#This Row],[Hebras]],TbTecnologia[Hebras],TbTecnologia[Tecnología])</f>
        <v>OMP</v>
      </c>
      <c r="O40" s="7" t="str" cm="1">
        <f t="array" ref="O40">_xlfn.XLOOKUP(Moult2[[#This Row],[Tecnología]]&amp;Moult2[[#This Row],[Metodo]],TbTipos[Tecnología]&amp;TbTipos[Metodo],TbTipos[Tipo])</f>
        <v>OMP Operaciones</v>
      </c>
      <c r="P40" s="6" t="str" cm="1">
        <f t="array" ref="P40">_xlfn.XLOOKUP(Moult2[[#This Row],[Tecnología]]&amp;Moult2[[#This Row],[Problema]],TbNombres[Tecnología]&amp;TbNombres[Problema],TbNombres[Nombre])</f>
        <v>Advdiff1d</v>
      </c>
      <c r="Q40" s="6">
        <v>5</v>
      </c>
      <c r="R40" s="6">
        <v>2</v>
      </c>
      <c r="S40" s="6">
        <v>4</v>
      </c>
      <c r="T40" s="6">
        <v>200</v>
      </c>
      <c r="U40" s="6">
        <v>200</v>
      </c>
      <c r="V40" s="6">
        <v>50.182699999999997</v>
      </c>
      <c r="X40" s="6" t="str">
        <f>_xlfn.XLOOKUP(Moult3[[#This Row],[Metodo]],TbSolver[Metodo],TbSolver[Solver])</f>
        <v>AdamsBashfordMoulton</v>
      </c>
      <c r="Y40" s="6" t="str">
        <f>_xlfn.XLOOKUP(Moult3[[#This Row],[Hebras]],TbTecnologia[Hebras],TbTecnologia[Tecnología])</f>
        <v>CUDA</v>
      </c>
      <c r="Z40" s="2" t="str" cm="1">
        <f t="array" ref="Z40">_xlfn.XLOOKUP(Moult3[[#This Row],[Tecnología]]&amp;Moult3[[#This Row],[Metodo]],TbTipos[Tecnología]&amp;TbTipos[Metodo],TbTipos[Tipo])</f>
        <v>CUDA sin graph</v>
      </c>
      <c r="AA40" s="2" t="str" cm="1">
        <f t="array" ref="AA40">_xlfn.XLOOKUP(Moult3[[#This Row],[Tecnología]]&amp;Moult3[[#This Row],[Problema]],TbNombres[Tecnología]&amp;TbNombres[Problema],TbNombres[Nombre])</f>
        <v>Brusselator1d</v>
      </c>
      <c r="AB40" s="2">
        <v>5</v>
      </c>
      <c r="AC40" s="2">
        <v>5</v>
      </c>
      <c r="AD40" s="2">
        <v>256</v>
      </c>
      <c r="AE40" s="2">
        <v>200</v>
      </c>
      <c r="AF40" s="2">
        <v>400</v>
      </c>
      <c r="AG40" s="2">
        <v>14.583500000000001</v>
      </c>
      <c r="AI40" s="9" t="str">
        <f>_xlfn.XLOOKUP(Moult4[[#This Row],[Metodo]],TbSolver[Metodo],TbSolver[Solver])</f>
        <v>AdamsBashfordMoulton</v>
      </c>
      <c r="AJ40" s="9" t="str">
        <f>_xlfn.XLOOKUP(Moult4[[#This Row],[Hebras]],TbTecnologia[Hebras],TbTecnologia[Tecnología])</f>
        <v>OMP</v>
      </c>
      <c r="AK40" s="10" t="str" cm="1">
        <f t="array" ref="AK40">_xlfn.XLOOKUP(Moult4[[#This Row],[Tecnología]]&amp;Moult4[[#This Row],[Metodo]],TbTipos[Tecnología]&amp;TbTipos[Metodo],TbTipos[Tipo])</f>
        <v>OMP Elementos</v>
      </c>
      <c r="AL40" s="9" t="str" cm="1">
        <f t="array" ref="AL40">_xlfn.XLOOKUP(Moult4[[#This Row],[Tecnología]]&amp;Moult4[[#This Row],[Problema]],TbNombres[Tecnología]&amp;TbNombres[Problema],TbNombres[Nombre])</f>
        <v>Brusselator2d</v>
      </c>
      <c r="AM40" s="9">
        <v>6</v>
      </c>
      <c r="AN40" s="9">
        <v>4</v>
      </c>
      <c r="AO40" s="9">
        <v>4</v>
      </c>
      <c r="AP40" s="9">
        <v>200</v>
      </c>
      <c r="AQ40" s="9">
        <v>80000</v>
      </c>
      <c r="AR40" s="9">
        <v>1049.3499999999999</v>
      </c>
    </row>
    <row r="41" spans="2:44" x14ac:dyDescent="0.2">
      <c r="B41" s="6" t="str">
        <f>_xlfn.XLOOKUP(Moult1[[#This Row],[Metodo]],TbSolver[Metodo],TbSolver[Solver])</f>
        <v>AdamsBashfordMoulton</v>
      </c>
      <c r="C41" s="6" t="str">
        <f>_xlfn.XLOOKUP(Moult1[[#This Row],[Hebras]],TbTecnologia[Hebras],TbTecnologia[Tecnología])</f>
        <v>OMP</v>
      </c>
      <c r="D41" s="7" t="str" cm="1">
        <f t="array" ref="D41">_xlfn.XLOOKUP(Moult1[[#This Row],[Tecnología]]&amp;Moult1[[#This Row],[Metodo]],TbTipos[Tecnología]&amp;TbTipos[Metodo],TbTipos[Tipo])</f>
        <v>OMP Operaciones</v>
      </c>
      <c r="E41" s="6" t="str" cm="1">
        <f t="array" ref="E41">_xlfn.XLOOKUP(Moult1[[#This Row],[Tecnología]]&amp;Moult1[[#This Row],[Problema]],TbNombres[Tecnología]&amp;TbNombres[Problema],TbNombres[Nombre])</f>
        <v>Simple Advdiff</v>
      </c>
      <c r="F41" s="6">
        <v>5</v>
      </c>
      <c r="G41" s="6">
        <v>1</v>
      </c>
      <c r="H41" s="6">
        <v>16</v>
      </c>
      <c r="I41" s="6">
        <v>200</v>
      </c>
      <c r="J41" s="6">
        <v>200</v>
      </c>
      <c r="K41" s="6">
        <v>89.890199999999993</v>
      </c>
      <c r="M41" s="6" t="str">
        <f>_xlfn.XLOOKUP(Moult2[[#This Row],[Metodo]],TbSolver[Metodo],TbSolver[Solver])</f>
        <v>AdamsBashfordMoulton</v>
      </c>
      <c r="N41" s="6" t="str">
        <f>_xlfn.XLOOKUP(Moult2[[#This Row],[Hebras]],TbTecnologia[Hebras],TbTecnologia[Tecnología])</f>
        <v>OMP</v>
      </c>
      <c r="O41" s="7" t="str" cm="1">
        <f t="array" ref="O41">_xlfn.XLOOKUP(Moult2[[#This Row],[Tecnología]]&amp;Moult2[[#This Row],[Metodo]],TbTipos[Tecnología]&amp;TbTipos[Metodo],TbTipos[Tipo])</f>
        <v>OMP Operaciones</v>
      </c>
      <c r="P41" s="6" t="str" cm="1">
        <f t="array" ref="P41">_xlfn.XLOOKUP(Moult2[[#This Row],[Tecnología]]&amp;Moult2[[#This Row],[Problema]],TbNombres[Tecnología]&amp;TbNombres[Problema],TbNombres[Nombre])</f>
        <v>Advdiff1d</v>
      </c>
      <c r="Q41" s="6">
        <v>5</v>
      </c>
      <c r="R41" s="6">
        <v>2</v>
      </c>
      <c r="S41" s="6">
        <v>16</v>
      </c>
      <c r="T41" s="6">
        <v>200</v>
      </c>
      <c r="U41" s="6">
        <v>200</v>
      </c>
      <c r="V41" s="6">
        <v>107.85299999999999</v>
      </c>
      <c r="X41" s="6" t="str">
        <f>_xlfn.XLOOKUP(Moult3[[#This Row],[Metodo]],TbSolver[Metodo],TbSolver[Solver])</f>
        <v>AdamsBashfordMoulton</v>
      </c>
      <c r="Y41" s="6" t="str">
        <f>_xlfn.XLOOKUP(Moult3[[#This Row],[Hebras]],TbTecnologia[Hebras],TbTecnologia[Tecnología])</f>
        <v>CUDA</v>
      </c>
      <c r="Z41" s="2" t="str" cm="1">
        <f t="array" ref="Z41">_xlfn.XLOOKUP(Moult3[[#This Row],[Tecnología]]&amp;Moult3[[#This Row],[Metodo]],TbTipos[Tecnología]&amp;TbTipos[Metodo],TbTipos[Tipo])</f>
        <v>CUDA sin graph</v>
      </c>
      <c r="AA41" s="2" t="str" cm="1">
        <f t="array" ref="AA41">_xlfn.XLOOKUP(Moult3[[#This Row],[Tecnología]]&amp;Moult3[[#This Row],[Problema]],TbNombres[Tecnología]&amp;TbNombres[Problema],TbNombres[Nombre])</f>
        <v>Brusselator1d</v>
      </c>
      <c r="AB41" s="2">
        <v>5</v>
      </c>
      <c r="AC41" s="2">
        <v>7</v>
      </c>
      <c r="AD41" s="2">
        <v>256</v>
      </c>
      <c r="AE41" s="2">
        <v>200</v>
      </c>
      <c r="AF41" s="2">
        <v>400</v>
      </c>
      <c r="AG41" s="2">
        <v>14.6775</v>
      </c>
      <c r="AI41" s="9" t="str">
        <f>_xlfn.XLOOKUP(Moult4[[#This Row],[Metodo]],TbSolver[Metodo],TbSolver[Solver])</f>
        <v>AdamsBashfordMoulton</v>
      </c>
      <c r="AJ41" s="9" t="str">
        <f>_xlfn.XLOOKUP(Moult4[[#This Row],[Hebras]],TbTecnologia[Hebras],TbTecnologia[Tecnología])</f>
        <v>OMP</v>
      </c>
      <c r="AK41" s="10" t="str" cm="1">
        <f t="array" ref="AK41">_xlfn.XLOOKUP(Moult4[[#This Row],[Tecnología]]&amp;Moult4[[#This Row],[Metodo]],TbTipos[Tecnología]&amp;TbTipos[Metodo],TbTipos[Tipo])</f>
        <v>OMP Operaciones</v>
      </c>
      <c r="AL41" s="9" t="str" cm="1">
        <f t="array" ref="AL41">_xlfn.XLOOKUP(Moult4[[#This Row],[Tecnología]]&amp;Moult4[[#This Row],[Problema]],TbNombres[Tecnología]&amp;TbNombres[Problema],TbNombres[Nombre])</f>
        <v>Brusselator2d</v>
      </c>
      <c r="AM41" s="9">
        <v>5</v>
      </c>
      <c r="AN41" s="9">
        <v>4</v>
      </c>
      <c r="AO41" s="9">
        <v>1</v>
      </c>
      <c r="AP41" s="9">
        <v>200</v>
      </c>
      <c r="AQ41" s="9">
        <v>80000</v>
      </c>
      <c r="AR41" s="9">
        <v>1825.86</v>
      </c>
    </row>
    <row r="42" spans="2:44" x14ac:dyDescent="0.2">
      <c r="B42" s="6" t="str">
        <f>_xlfn.XLOOKUP(Moult1[[#This Row],[Metodo]],TbSolver[Metodo],TbSolver[Solver])</f>
        <v>AdamsBashfordMoulton</v>
      </c>
      <c r="C42" s="6" t="str">
        <f>_xlfn.XLOOKUP(Moult1[[#This Row],[Hebras]],TbTecnologia[Hebras],TbTecnologia[Tecnología])</f>
        <v>OMP</v>
      </c>
      <c r="D42" s="7" t="str" cm="1">
        <f t="array" ref="D42">_xlfn.XLOOKUP(Moult1[[#This Row],[Tecnología]]&amp;Moult1[[#This Row],[Metodo]],TbTipos[Tecnología]&amp;TbTipos[Metodo],TbTipos[Tipo])</f>
        <v>OMP Operaciones</v>
      </c>
      <c r="E42" s="6" t="str" cm="1">
        <f t="array" ref="E42">_xlfn.XLOOKUP(Moult1[[#This Row],[Tecnología]]&amp;Moult1[[#This Row],[Problema]],TbNombres[Tecnología]&amp;TbNombres[Problema],TbNombres[Nombre])</f>
        <v>Simple Advdiff</v>
      </c>
      <c r="F42" s="6">
        <v>5</v>
      </c>
      <c r="G42" s="6">
        <v>1</v>
      </c>
      <c r="H42" s="6">
        <v>1</v>
      </c>
      <c r="I42" s="6">
        <v>500</v>
      </c>
      <c r="J42" s="6">
        <v>500</v>
      </c>
      <c r="K42" s="6">
        <v>6.8080400000000001</v>
      </c>
      <c r="M42" s="6" t="str">
        <f>_xlfn.XLOOKUP(Moult2[[#This Row],[Metodo]],TbSolver[Metodo],TbSolver[Solver])</f>
        <v>AdamsBashfordMoulton</v>
      </c>
      <c r="N42" s="6" t="str">
        <f>_xlfn.XLOOKUP(Moult2[[#This Row],[Hebras]],TbTecnologia[Hebras],TbTecnologia[Tecnología])</f>
        <v>OMP</v>
      </c>
      <c r="O42" s="7" t="str" cm="1">
        <f t="array" ref="O42">_xlfn.XLOOKUP(Moult2[[#This Row],[Tecnología]]&amp;Moult2[[#This Row],[Metodo]],TbTipos[Tecnología]&amp;TbTipos[Metodo],TbTipos[Tipo])</f>
        <v>OMP Operaciones</v>
      </c>
      <c r="P42" s="6" t="str" cm="1">
        <f t="array" ref="P42">_xlfn.XLOOKUP(Moult2[[#This Row],[Tecnología]]&amp;Moult2[[#This Row],[Problema]],TbNombres[Tecnología]&amp;TbNombres[Problema],TbNombres[Nombre])</f>
        <v>Advdiff1d</v>
      </c>
      <c r="Q42" s="6">
        <v>5</v>
      </c>
      <c r="R42" s="6">
        <v>2</v>
      </c>
      <c r="S42" s="6">
        <v>1</v>
      </c>
      <c r="T42" s="6">
        <v>500</v>
      </c>
      <c r="U42" s="6">
        <v>500</v>
      </c>
      <c r="V42" s="6">
        <v>38.900799999999997</v>
      </c>
      <c r="X42" s="6" t="str">
        <f>_xlfn.XLOOKUP(Moult3[[#This Row],[Metodo]],TbSolver[Metodo],TbSolver[Solver])</f>
        <v>AdamsBashfordMoulton</v>
      </c>
      <c r="Y42" s="6" t="str">
        <f>_xlfn.XLOOKUP(Moult3[[#This Row],[Hebras]],TbTecnologia[Hebras],TbTecnologia[Tecnología])</f>
        <v>CUDA</v>
      </c>
      <c r="Z42" s="2" t="str" cm="1">
        <f t="array" ref="Z42">_xlfn.XLOOKUP(Moult3[[#This Row],[Tecnología]]&amp;Moult3[[#This Row],[Metodo]],TbTipos[Tecnología]&amp;TbTipos[Metodo],TbTipos[Tipo])</f>
        <v>CUDA sin graph</v>
      </c>
      <c r="AA42" s="2" t="str" cm="1">
        <f t="array" ref="AA42">_xlfn.XLOOKUP(Moult3[[#This Row],[Tecnología]]&amp;Moult3[[#This Row],[Problema]],TbNombres[Tecnología]&amp;TbNombres[Problema],TbNombres[Nombre])</f>
        <v>Brusselator1d</v>
      </c>
      <c r="AB42" s="2">
        <v>5</v>
      </c>
      <c r="AC42" s="2">
        <v>6</v>
      </c>
      <c r="AD42" s="2">
        <v>256</v>
      </c>
      <c r="AE42" s="2">
        <v>200</v>
      </c>
      <c r="AF42" s="2">
        <v>400</v>
      </c>
      <c r="AG42" s="2">
        <v>14.7171</v>
      </c>
      <c r="AI42" s="9" t="str">
        <f>_xlfn.XLOOKUP(Moult4[[#This Row],[Metodo]],TbSolver[Metodo],TbSolver[Solver])</f>
        <v>AdamsBashfordMoulton</v>
      </c>
      <c r="AJ42" s="9" t="str">
        <f>_xlfn.XLOOKUP(Moult4[[#This Row],[Hebras]],TbTecnologia[Hebras],TbTecnologia[Tecnología])</f>
        <v>OMP</v>
      </c>
      <c r="AK42" s="10" t="str" cm="1">
        <f t="array" ref="AK42">_xlfn.XLOOKUP(Moult4[[#This Row],[Tecnología]]&amp;Moult4[[#This Row],[Metodo]],TbTipos[Tecnología]&amp;TbTipos[Metodo],TbTipos[Tipo])</f>
        <v>OMP Elementos</v>
      </c>
      <c r="AL42" s="9" t="str" cm="1">
        <f t="array" ref="AL42">_xlfn.XLOOKUP(Moult4[[#This Row],[Tecnología]]&amp;Moult4[[#This Row],[Problema]],TbNombres[Tecnología]&amp;TbNombres[Problema],TbNombres[Nombre])</f>
        <v>Brusselator2d</v>
      </c>
      <c r="AM42" s="9">
        <v>6</v>
      </c>
      <c r="AN42" s="9">
        <v>4</v>
      </c>
      <c r="AO42" s="9">
        <v>1</v>
      </c>
      <c r="AP42" s="9">
        <v>200</v>
      </c>
      <c r="AQ42" s="9">
        <v>80000</v>
      </c>
      <c r="AR42" s="9">
        <v>3809.65</v>
      </c>
    </row>
    <row r="43" spans="2:44" x14ac:dyDescent="0.2">
      <c r="B43" s="6" t="str">
        <f>_xlfn.XLOOKUP(Moult1[[#This Row],[Metodo]],TbSolver[Metodo],TbSolver[Solver])</f>
        <v>AdamsBashfordMoulton</v>
      </c>
      <c r="C43" s="6" t="str">
        <f>_xlfn.XLOOKUP(Moult1[[#This Row],[Hebras]],TbTecnologia[Hebras],TbTecnologia[Tecnología])</f>
        <v>OMP</v>
      </c>
      <c r="D43" s="7" t="str" cm="1">
        <f t="array" ref="D43">_xlfn.XLOOKUP(Moult1[[#This Row],[Tecnología]]&amp;Moult1[[#This Row],[Metodo]],TbTipos[Tecnología]&amp;TbTipos[Metodo],TbTipos[Tipo])</f>
        <v>OMP Operaciones</v>
      </c>
      <c r="E43" s="6" t="str" cm="1">
        <f t="array" ref="E43">_xlfn.XLOOKUP(Moult1[[#This Row],[Tecnología]]&amp;Moult1[[#This Row],[Problema]],TbNombres[Tecnología]&amp;TbNombres[Problema],TbNombres[Nombre])</f>
        <v>Simple Advdiff</v>
      </c>
      <c r="F43" s="6">
        <v>5</v>
      </c>
      <c r="G43" s="6">
        <v>1</v>
      </c>
      <c r="H43" s="6">
        <v>4</v>
      </c>
      <c r="I43" s="6">
        <v>500</v>
      </c>
      <c r="J43" s="6">
        <v>500</v>
      </c>
      <c r="K43" s="6">
        <v>50.9985</v>
      </c>
      <c r="M43" s="6" t="str">
        <f>_xlfn.XLOOKUP(Moult2[[#This Row],[Metodo]],TbSolver[Metodo],TbSolver[Solver])</f>
        <v>AdamsBashfordMoulton</v>
      </c>
      <c r="N43" s="6" t="str">
        <f>_xlfn.XLOOKUP(Moult2[[#This Row],[Hebras]],TbTecnologia[Hebras],TbTecnologia[Tecnología])</f>
        <v>OMP</v>
      </c>
      <c r="O43" s="7" t="str" cm="1">
        <f t="array" ref="O43">_xlfn.XLOOKUP(Moult2[[#This Row],[Tecnología]]&amp;Moult2[[#This Row],[Metodo]],TbTipos[Tecnología]&amp;TbTipos[Metodo],TbTipos[Tipo])</f>
        <v>OMP Operaciones</v>
      </c>
      <c r="P43" s="6" t="str" cm="1">
        <f t="array" ref="P43">_xlfn.XLOOKUP(Moult2[[#This Row],[Tecnología]]&amp;Moult2[[#This Row],[Problema]],TbNombres[Tecnología]&amp;TbNombres[Problema],TbNombres[Nombre])</f>
        <v>Advdiff1d</v>
      </c>
      <c r="Q43" s="6">
        <v>5</v>
      </c>
      <c r="R43" s="6">
        <v>2</v>
      </c>
      <c r="S43" s="6">
        <v>4</v>
      </c>
      <c r="T43" s="6">
        <v>500</v>
      </c>
      <c r="U43" s="6">
        <v>500</v>
      </c>
      <c r="V43" s="6">
        <v>64.753900000000002</v>
      </c>
      <c r="X43" s="6" t="str">
        <f>_xlfn.XLOOKUP(Moult3[[#This Row],[Metodo]],TbSolver[Metodo],TbSolver[Solver])</f>
        <v>AdamsBashfordMoulton</v>
      </c>
      <c r="Y43" s="6" t="str">
        <f>_xlfn.XLOOKUP(Moult3[[#This Row],[Hebras]],TbTecnologia[Hebras],TbTecnologia[Tecnología])</f>
        <v>CUDA</v>
      </c>
      <c r="Z43" s="2" t="str" cm="1">
        <f t="array" ref="Z43">_xlfn.XLOOKUP(Moult3[[#This Row],[Tecnología]]&amp;Moult3[[#This Row],[Metodo]],TbTipos[Tecnología]&amp;TbTipos[Metodo],TbTipos[Tipo])</f>
        <v>CUDA sin graph</v>
      </c>
      <c r="AA43" s="2" t="str" cm="1">
        <f t="array" ref="AA43">_xlfn.XLOOKUP(Moult3[[#This Row],[Tecnología]]&amp;Moult3[[#This Row],[Problema]],TbNombres[Tecnología]&amp;TbNombres[Problema],TbNombres[Nombre])</f>
        <v>Brusselator1d</v>
      </c>
      <c r="AB43" s="2">
        <v>5</v>
      </c>
      <c r="AC43" s="2">
        <v>5</v>
      </c>
      <c r="AD43" s="2">
        <v>256</v>
      </c>
      <c r="AE43" s="2">
        <v>10000</v>
      </c>
      <c r="AF43" s="2">
        <v>20000</v>
      </c>
      <c r="AG43" s="2">
        <v>18.740500000000001</v>
      </c>
      <c r="AI43" s="9" t="str">
        <f>_xlfn.XLOOKUP(Moult4[[#This Row],[Metodo]],TbSolver[Metodo],TbSolver[Solver])</f>
        <v>AdamsBashfordMoulton</v>
      </c>
      <c r="AJ43" s="9" t="str">
        <f>_xlfn.XLOOKUP(Moult4[[#This Row],[Hebras]],TbTecnologia[Hebras],TbTecnologia[Tecnología])</f>
        <v>OMP</v>
      </c>
      <c r="AK43" s="10" t="str" cm="1">
        <f t="array" ref="AK43">_xlfn.XLOOKUP(Moult4[[#This Row],[Tecnología]]&amp;Moult4[[#This Row],[Metodo]],TbTipos[Tecnología]&amp;TbTipos[Metodo],TbTipos[Tipo])</f>
        <v>OMP Elementos</v>
      </c>
      <c r="AL43" s="9" t="str" cm="1">
        <f t="array" ref="AL43">_xlfn.XLOOKUP(Moult4[[#This Row],[Tecnología]]&amp;Moult4[[#This Row],[Problema]],TbNombres[Tecnología]&amp;TbNombres[Problema],TbNombres[Nombre])</f>
        <v>Brusselator2d</v>
      </c>
      <c r="AM43" s="9">
        <v>6</v>
      </c>
      <c r="AN43" s="9">
        <v>4</v>
      </c>
      <c r="AO43" s="9">
        <v>1</v>
      </c>
      <c r="AP43" s="9">
        <v>200</v>
      </c>
      <c r="AQ43" s="9">
        <v>80000</v>
      </c>
      <c r="AR43" s="9">
        <v>3970.37</v>
      </c>
    </row>
    <row r="44" spans="2:44" x14ac:dyDescent="0.2">
      <c r="B44" s="6" t="str">
        <f>_xlfn.XLOOKUP(Moult1[[#This Row],[Metodo]],TbSolver[Metodo],TbSolver[Solver])</f>
        <v>AdamsBashfordMoulton</v>
      </c>
      <c r="C44" s="6" t="str">
        <f>_xlfn.XLOOKUP(Moult1[[#This Row],[Hebras]],TbTecnologia[Hebras],TbTecnologia[Tecnología])</f>
        <v>OMP</v>
      </c>
      <c r="D44" s="7" t="str" cm="1">
        <f t="array" ref="D44">_xlfn.XLOOKUP(Moult1[[#This Row],[Tecnología]]&amp;Moult1[[#This Row],[Metodo]],TbTipos[Tecnología]&amp;TbTipos[Metodo],TbTipos[Tipo])</f>
        <v>OMP Operaciones</v>
      </c>
      <c r="E44" s="6" t="str" cm="1">
        <f t="array" ref="E44">_xlfn.XLOOKUP(Moult1[[#This Row],[Tecnología]]&amp;Moult1[[#This Row],[Problema]],TbNombres[Tecnología]&amp;TbNombres[Problema],TbNombres[Nombre])</f>
        <v>Simple Advdiff</v>
      </c>
      <c r="F44" s="6">
        <v>5</v>
      </c>
      <c r="G44" s="6">
        <v>1</v>
      </c>
      <c r="H44" s="6">
        <v>16</v>
      </c>
      <c r="I44" s="6">
        <v>500</v>
      </c>
      <c r="J44" s="6">
        <v>500</v>
      </c>
      <c r="K44" s="6">
        <v>106.66200000000001</v>
      </c>
      <c r="M44" s="6" t="str">
        <f>_xlfn.XLOOKUP(Moult2[[#This Row],[Metodo]],TbSolver[Metodo],TbSolver[Solver])</f>
        <v>AdamsBashfordMoulton</v>
      </c>
      <c r="N44" s="6" t="str">
        <f>_xlfn.XLOOKUP(Moult2[[#This Row],[Hebras]],TbTecnologia[Hebras],TbTecnologia[Tecnología])</f>
        <v>OMP</v>
      </c>
      <c r="O44" s="7" t="str" cm="1">
        <f t="array" ref="O44">_xlfn.XLOOKUP(Moult2[[#This Row],[Tecnología]]&amp;Moult2[[#This Row],[Metodo]],TbTipos[Tecnología]&amp;TbTipos[Metodo],TbTipos[Tipo])</f>
        <v>OMP Operaciones</v>
      </c>
      <c r="P44" s="6" t="str" cm="1">
        <f t="array" ref="P44">_xlfn.XLOOKUP(Moult2[[#This Row],[Tecnología]]&amp;Moult2[[#This Row],[Problema]],TbNombres[Tecnología]&amp;TbNombres[Problema],TbNombres[Nombre])</f>
        <v>Advdiff1d</v>
      </c>
      <c r="Q44" s="6">
        <v>5</v>
      </c>
      <c r="R44" s="6">
        <v>2</v>
      </c>
      <c r="S44" s="6">
        <v>16</v>
      </c>
      <c r="T44" s="6">
        <v>500</v>
      </c>
      <c r="U44" s="6">
        <v>500</v>
      </c>
      <c r="V44" s="6">
        <v>132.91999999999999</v>
      </c>
      <c r="X44" s="6" t="str">
        <f>_xlfn.XLOOKUP(Moult3[[#This Row],[Metodo]],TbSolver[Metodo],TbSolver[Solver])</f>
        <v>AdamsBashfordMoulton</v>
      </c>
      <c r="Y44" s="6" t="str">
        <f>_xlfn.XLOOKUP(Moult3[[#This Row],[Hebras]],TbTecnologia[Hebras],TbTecnologia[Tecnología])</f>
        <v>CUDA</v>
      </c>
      <c r="Z44" s="2" t="str" cm="1">
        <f t="array" ref="Z44">_xlfn.XLOOKUP(Moult3[[#This Row],[Tecnología]]&amp;Moult3[[#This Row],[Metodo]],TbTipos[Tecnología]&amp;TbTipos[Metodo],TbTipos[Tipo])</f>
        <v>CUDA sin graph</v>
      </c>
      <c r="AA44" s="2" t="str" cm="1">
        <f t="array" ref="AA44">_xlfn.XLOOKUP(Moult3[[#This Row],[Tecnología]]&amp;Moult3[[#This Row],[Problema]],TbNombres[Tecnología]&amp;TbNombres[Problema],TbNombres[Nombre])</f>
        <v>Brusselator1d</v>
      </c>
      <c r="AB44" s="2">
        <v>5</v>
      </c>
      <c r="AC44" s="2">
        <v>5</v>
      </c>
      <c r="AD44" s="2">
        <v>256</v>
      </c>
      <c r="AE44" s="2">
        <v>20000</v>
      </c>
      <c r="AF44" s="2">
        <v>40000</v>
      </c>
      <c r="AG44" s="2">
        <v>23.7239</v>
      </c>
      <c r="AI44" s="6" t="str">
        <f>_xlfn.XLOOKUP(Moult4[[#This Row],[Metodo]],TbSolver[Metodo],TbSolver[Solver])</f>
        <v>AdamsBashfordMoulton</v>
      </c>
      <c r="AJ44" s="6" t="str">
        <f>_xlfn.XLOOKUP(Moult4[[#This Row],[Hebras]],TbTecnologia[Hebras],TbTecnologia[Tecnología])</f>
        <v>CUDA</v>
      </c>
      <c r="AK44" s="2" t="str" cm="1">
        <f t="array" ref="AK44">_xlfn.XLOOKUP(Moult4[[#This Row],[Tecnología]]&amp;Moult4[[#This Row],[Metodo]],TbTipos[Tecnología]&amp;TbTipos[Metodo],TbTipos[Tipo])</f>
        <v>CUDA sin graph</v>
      </c>
      <c r="AL44" s="2" t="str" cm="1">
        <f t="array" ref="AL44">_xlfn.XLOOKUP(Moult4[[#This Row],[Tecnología]]&amp;Moult4[[#This Row],[Problema]],TbNombres[Tecnología]&amp;TbNombres[Problema],TbNombres[Nombre])</f>
        <v>Brusselator2d</v>
      </c>
      <c r="AM44" s="2">
        <v>5</v>
      </c>
      <c r="AN44" s="2">
        <v>9</v>
      </c>
      <c r="AO44" s="2">
        <v>256</v>
      </c>
      <c r="AP44" s="2">
        <v>500</v>
      </c>
      <c r="AQ44" s="2">
        <v>500000</v>
      </c>
      <c r="AR44" s="2">
        <v>310.68200000000002</v>
      </c>
    </row>
    <row r="45" spans="2:44" x14ac:dyDescent="0.2">
      <c r="B45" s="6" t="str">
        <f>_xlfn.XLOOKUP(Moult1[[#This Row],[Metodo]],TbSolver[Metodo],TbSolver[Solver])</f>
        <v>AdamsBashfordMoulton</v>
      </c>
      <c r="C45" s="6" t="str">
        <f>_xlfn.XLOOKUP(Moult1[[#This Row],[Hebras]],TbTecnologia[Hebras],TbTecnologia[Tecnología])</f>
        <v>OMP</v>
      </c>
      <c r="D45" s="7" t="str" cm="1">
        <f t="array" ref="D45">_xlfn.XLOOKUP(Moult1[[#This Row],[Tecnología]]&amp;Moult1[[#This Row],[Metodo]],TbTipos[Tecnología]&amp;TbTipos[Metodo],TbTipos[Tipo])</f>
        <v>OMP Operaciones</v>
      </c>
      <c r="E45" s="6" t="str" cm="1">
        <f t="array" ref="E45">_xlfn.XLOOKUP(Moult1[[#This Row],[Tecnología]]&amp;Moult1[[#This Row],[Problema]],TbNombres[Tecnología]&amp;TbNombres[Problema],TbNombres[Nombre])</f>
        <v>Simple Advdiff</v>
      </c>
      <c r="F45" s="6">
        <v>5</v>
      </c>
      <c r="G45" s="6">
        <v>1</v>
      </c>
      <c r="H45" s="6">
        <v>1</v>
      </c>
      <c r="I45" s="6">
        <v>1000</v>
      </c>
      <c r="J45" s="6">
        <v>1000</v>
      </c>
      <c r="K45" s="6">
        <v>10.2989</v>
      </c>
      <c r="M45" s="6" t="str">
        <f>_xlfn.XLOOKUP(Moult2[[#This Row],[Metodo]],TbSolver[Metodo],TbSolver[Solver])</f>
        <v>AdamsBashfordMoulton</v>
      </c>
      <c r="N45" s="6" t="str">
        <f>_xlfn.XLOOKUP(Moult2[[#This Row],[Hebras]],TbTecnologia[Hebras],TbTecnologia[Tecnología])</f>
        <v>OMP</v>
      </c>
      <c r="O45" s="7" t="str" cm="1">
        <f t="array" ref="O45">_xlfn.XLOOKUP(Moult2[[#This Row],[Tecnología]]&amp;Moult2[[#This Row],[Metodo]],TbTipos[Tecnología]&amp;TbTipos[Metodo],TbTipos[Tipo])</f>
        <v>OMP Operaciones</v>
      </c>
      <c r="P45" s="6" t="str" cm="1">
        <f t="array" ref="P45">_xlfn.XLOOKUP(Moult2[[#This Row],[Tecnología]]&amp;Moult2[[#This Row],[Problema]],TbNombres[Tecnología]&amp;TbNombres[Problema],TbNombres[Nombre])</f>
        <v>Advdiff1d</v>
      </c>
      <c r="Q45" s="6">
        <v>5</v>
      </c>
      <c r="R45" s="6">
        <v>2</v>
      </c>
      <c r="S45" s="6">
        <v>1</v>
      </c>
      <c r="T45" s="6">
        <v>1000</v>
      </c>
      <c r="U45" s="6">
        <v>1000</v>
      </c>
      <c r="V45" s="6">
        <v>73.342799999999997</v>
      </c>
      <c r="X45" s="6" t="str">
        <f>_xlfn.XLOOKUP(Moult3[[#This Row],[Metodo]],TbSolver[Metodo],TbSolver[Solver])</f>
        <v>AdamsBashfordMoulton</v>
      </c>
      <c r="Y45" s="6" t="str">
        <f>_xlfn.XLOOKUP(Moult3[[#This Row],[Hebras]],TbTecnologia[Hebras],TbTecnologia[Tecnología])</f>
        <v>CUDA</v>
      </c>
      <c r="Z45" s="2" t="str" cm="1">
        <f t="array" ref="Z45">_xlfn.XLOOKUP(Moult3[[#This Row],[Tecnología]]&amp;Moult3[[#This Row],[Metodo]],TbTipos[Tecnología]&amp;TbTipos[Metodo],TbTipos[Tipo])</f>
        <v>CUDA sin graph</v>
      </c>
      <c r="AA45" s="2" t="str" cm="1">
        <f t="array" ref="AA45">_xlfn.XLOOKUP(Moult3[[#This Row],[Tecnología]]&amp;Moult3[[#This Row],[Problema]],TbNombres[Tecnología]&amp;TbNombres[Problema],TbNombres[Nombre])</f>
        <v>Brusselator1d</v>
      </c>
      <c r="AB45" s="2">
        <v>5</v>
      </c>
      <c r="AC45" s="2">
        <v>5</v>
      </c>
      <c r="AD45" s="2">
        <v>256</v>
      </c>
      <c r="AE45" s="2">
        <v>50000</v>
      </c>
      <c r="AF45" s="2">
        <v>100000</v>
      </c>
      <c r="AG45" s="2">
        <v>51.010599999999997</v>
      </c>
      <c r="AI45" s="6" t="str">
        <f>_xlfn.XLOOKUP(Moult4[[#This Row],[Metodo]],TbSolver[Metodo],TbSolver[Solver])</f>
        <v>AdamsBashfordMoulton</v>
      </c>
      <c r="AJ45" s="6" t="str">
        <f>_xlfn.XLOOKUP(Moult4[[#This Row],[Hebras]],TbTecnologia[Hebras],TbTecnologia[Tecnología])</f>
        <v>CUDA</v>
      </c>
      <c r="AK45" s="2" t="str" cm="1">
        <f t="array" ref="AK45">_xlfn.XLOOKUP(Moult4[[#This Row],[Tecnología]]&amp;Moult4[[#This Row],[Metodo]],TbTipos[Tecnología]&amp;TbTipos[Metodo],TbTipos[Tipo])</f>
        <v>CUDA sin graph</v>
      </c>
      <c r="AL45" s="2" t="str" cm="1">
        <f t="array" ref="AL45">_xlfn.XLOOKUP(Moult4[[#This Row],[Tecnología]]&amp;Moult4[[#This Row],[Problema]],TbNombres[Tecnología]&amp;TbNombres[Problema],TbNombres[Nombre])</f>
        <v>Brusselator2d</v>
      </c>
      <c r="AM45" s="2">
        <v>5</v>
      </c>
      <c r="AN45" s="2">
        <v>8</v>
      </c>
      <c r="AO45" s="2">
        <v>256</v>
      </c>
      <c r="AP45" s="2">
        <v>500</v>
      </c>
      <c r="AQ45" s="2">
        <v>500000</v>
      </c>
      <c r="AR45" s="2">
        <v>313.98399999999998</v>
      </c>
    </row>
    <row r="46" spans="2:44" x14ac:dyDescent="0.2">
      <c r="B46" s="6" t="str">
        <f>_xlfn.XLOOKUP(Moult1[[#This Row],[Metodo]],TbSolver[Metodo],TbSolver[Solver])</f>
        <v>AdamsBashfordMoulton</v>
      </c>
      <c r="C46" s="6" t="str">
        <f>_xlfn.XLOOKUP(Moult1[[#This Row],[Hebras]],TbTecnologia[Hebras],TbTecnologia[Tecnología])</f>
        <v>OMP</v>
      </c>
      <c r="D46" s="7" t="str" cm="1">
        <f t="array" ref="D46">_xlfn.XLOOKUP(Moult1[[#This Row],[Tecnología]]&amp;Moult1[[#This Row],[Metodo]],TbTipos[Tecnología]&amp;TbTipos[Metodo],TbTipos[Tipo])</f>
        <v>OMP Operaciones</v>
      </c>
      <c r="E46" s="6" t="str" cm="1">
        <f t="array" ref="E46">_xlfn.XLOOKUP(Moult1[[#This Row],[Tecnología]]&amp;Moult1[[#This Row],[Problema]],TbNombres[Tecnología]&amp;TbNombres[Problema],TbNombres[Nombre])</f>
        <v>Simple Advdiff</v>
      </c>
      <c r="F46" s="6">
        <v>5</v>
      </c>
      <c r="G46" s="6">
        <v>1</v>
      </c>
      <c r="H46" s="6">
        <v>4</v>
      </c>
      <c r="I46" s="6">
        <v>1000</v>
      </c>
      <c r="J46" s="6">
        <v>1000</v>
      </c>
      <c r="K46" s="6">
        <v>43.6098</v>
      </c>
      <c r="M46" s="6" t="str">
        <f>_xlfn.XLOOKUP(Moult2[[#This Row],[Metodo]],TbSolver[Metodo],TbSolver[Solver])</f>
        <v>AdamsBashfordMoulton</v>
      </c>
      <c r="N46" s="6" t="str">
        <f>_xlfn.XLOOKUP(Moult2[[#This Row],[Hebras]],TbTecnologia[Hebras],TbTecnologia[Tecnología])</f>
        <v>OMP</v>
      </c>
      <c r="O46" s="7" t="str" cm="1">
        <f t="array" ref="O46">_xlfn.XLOOKUP(Moult2[[#This Row],[Tecnología]]&amp;Moult2[[#This Row],[Metodo]],TbTipos[Tecnología]&amp;TbTipos[Metodo],TbTipos[Tipo])</f>
        <v>OMP Operaciones</v>
      </c>
      <c r="P46" s="6" t="str" cm="1">
        <f t="array" ref="P46">_xlfn.XLOOKUP(Moult2[[#This Row],[Tecnología]]&amp;Moult2[[#This Row],[Problema]],TbNombres[Tecnología]&amp;TbNombres[Problema],TbNombres[Nombre])</f>
        <v>Advdiff1d</v>
      </c>
      <c r="Q46" s="6">
        <v>5</v>
      </c>
      <c r="R46" s="6">
        <v>2</v>
      </c>
      <c r="S46" s="6">
        <v>4</v>
      </c>
      <c r="T46" s="6">
        <v>1000</v>
      </c>
      <c r="U46" s="6">
        <v>1000</v>
      </c>
      <c r="V46" s="6">
        <v>66.462500000000006</v>
      </c>
      <c r="X46" s="6" t="str">
        <f>_xlfn.XLOOKUP(Moult3[[#This Row],[Metodo]],TbSolver[Metodo],TbSolver[Solver])</f>
        <v>AdamsBashfordMoulton</v>
      </c>
      <c r="Y46" s="6" t="str">
        <f>_xlfn.XLOOKUP(Moult3[[#This Row],[Hebras]],TbTecnologia[Hebras],TbTecnologia[Tecnología])</f>
        <v>CUDA</v>
      </c>
      <c r="Z46" s="2" t="str" cm="1">
        <f t="array" ref="Z46">_xlfn.XLOOKUP(Moult3[[#This Row],[Tecnología]]&amp;Moult3[[#This Row],[Metodo]],TbTipos[Tecnología]&amp;TbTipos[Metodo],TbTipos[Tipo])</f>
        <v>CUDA sin graph</v>
      </c>
      <c r="AA46" s="2" t="str" cm="1">
        <f t="array" ref="AA46">_xlfn.XLOOKUP(Moult3[[#This Row],[Tecnología]]&amp;Moult3[[#This Row],[Problema]],TbNombres[Tecnología]&amp;TbNombres[Problema],TbNombres[Nombre])</f>
        <v>Brusselator1d</v>
      </c>
      <c r="AB46" s="2">
        <v>5</v>
      </c>
      <c r="AC46" s="2">
        <v>5</v>
      </c>
      <c r="AD46" s="2">
        <v>256</v>
      </c>
      <c r="AE46" s="2">
        <v>100000</v>
      </c>
      <c r="AF46" s="2">
        <v>200000</v>
      </c>
      <c r="AG46" s="2">
        <v>104.756</v>
      </c>
      <c r="AI46" s="6" t="str">
        <f>_xlfn.XLOOKUP(Moult4[[#This Row],[Metodo]],TbSolver[Metodo],TbSolver[Solver])</f>
        <v>AdamsBashfordMoulton</v>
      </c>
      <c r="AJ46" s="6" t="str">
        <f>_xlfn.XLOOKUP(Moult4[[#This Row],[Hebras]],TbTecnologia[Hebras],TbTecnologia[Tecnología])</f>
        <v>CUDA</v>
      </c>
      <c r="AK46" s="2" t="str" cm="1">
        <f t="array" ref="AK46">_xlfn.XLOOKUP(Moult4[[#This Row],[Tecnología]]&amp;Moult4[[#This Row],[Metodo]],TbTipos[Tecnología]&amp;TbTipos[Metodo],TbTipos[Tipo])</f>
        <v>CUDA con graph</v>
      </c>
      <c r="AL46" s="2" t="str" cm="1">
        <f t="array" ref="AL46">_xlfn.XLOOKUP(Moult4[[#This Row],[Tecnología]]&amp;Moult4[[#This Row],[Problema]],TbNombres[Tecnología]&amp;TbNombres[Problema],TbNombres[Nombre])</f>
        <v>Brusselator2d</v>
      </c>
      <c r="AM46" s="2">
        <v>6</v>
      </c>
      <c r="AN46" s="2">
        <v>8</v>
      </c>
      <c r="AO46" s="2">
        <v>256</v>
      </c>
      <c r="AP46" s="2">
        <v>500</v>
      </c>
      <c r="AQ46" s="2">
        <v>500000</v>
      </c>
      <c r="AR46" s="2">
        <v>392.97199999999998</v>
      </c>
    </row>
    <row r="47" spans="2:44" x14ac:dyDescent="0.2">
      <c r="B47" s="6" t="str">
        <f>_xlfn.XLOOKUP(Moult1[[#This Row],[Metodo]],TbSolver[Metodo],TbSolver[Solver])</f>
        <v>AdamsBashfordMoulton</v>
      </c>
      <c r="C47" s="6" t="str">
        <f>_xlfn.XLOOKUP(Moult1[[#This Row],[Hebras]],TbTecnologia[Hebras],TbTecnologia[Tecnología])</f>
        <v>OMP</v>
      </c>
      <c r="D47" s="7" t="str" cm="1">
        <f t="array" ref="D47">_xlfn.XLOOKUP(Moult1[[#This Row],[Tecnología]]&amp;Moult1[[#This Row],[Metodo]],TbTipos[Tecnología]&amp;TbTipos[Metodo],TbTipos[Tipo])</f>
        <v>OMP Operaciones</v>
      </c>
      <c r="E47" s="6" t="str" cm="1">
        <f t="array" ref="E47">_xlfn.XLOOKUP(Moult1[[#This Row],[Tecnología]]&amp;Moult1[[#This Row],[Problema]],TbNombres[Tecnología]&amp;TbNombres[Problema],TbNombres[Nombre])</f>
        <v>Simple Advdiff</v>
      </c>
      <c r="F47" s="6">
        <v>5</v>
      </c>
      <c r="G47" s="6">
        <v>1</v>
      </c>
      <c r="H47" s="6">
        <v>16</v>
      </c>
      <c r="I47" s="6">
        <v>1000</v>
      </c>
      <c r="J47" s="6">
        <v>1000</v>
      </c>
      <c r="K47" s="6">
        <v>85.655199999999994</v>
      </c>
      <c r="M47" s="6" t="str">
        <f>_xlfn.XLOOKUP(Moult2[[#This Row],[Metodo]],TbSolver[Metodo],TbSolver[Solver])</f>
        <v>AdamsBashfordMoulton</v>
      </c>
      <c r="N47" s="6" t="str">
        <f>_xlfn.XLOOKUP(Moult2[[#This Row],[Hebras]],TbTecnologia[Hebras],TbTecnologia[Tecnología])</f>
        <v>OMP</v>
      </c>
      <c r="O47" s="7" t="str" cm="1">
        <f t="array" ref="O47">_xlfn.XLOOKUP(Moult2[[#This Row],[Tecnología]]&amp;Moult2[[#This Row],[Metodo]],TbTipos[Tecnología]&amp;TbTipos[Metodo],TbTipos[Tipo])</f>
        <v>OMP Operaciones</v>
      </c>
      <c r="P47" s="6" t="str" cm="1">
        <f t="array" ref="P47">_xlfn.XLOOKUP(Moult2[[#This Row],[Tecnología]]&amp;Moult2[[#This Row],[Problema]],TbNombres[Tecnología]&amp;TbNombres[Problema],TbNombres[Nombre])</f>
        <v>Advdiff1d</v>
      </c>
      <c r="Q47" s="6">
        <v>5</v>
      </c>
      <c r="R47" s="6">
        <v>2</v>
      </c>
      <c r="S47" s="6">
        <v>16</v>
      </c>
      <c r="T47" s="6">
        <v>1000</v>
      </c>
      <c r="U47" s="6">
        <v>1000</v>
      </c>
      <c r="V47" s="6">
        <v>106.63500000000001</v>
      </c>
      <c r="X47" s="6" t="str">
        <f>_xlfn.XLOOKUP(Moult3[[#This Row],[Metodo]],TbSolver[Metodo],TbSolver[Solver])</f>
        <v>AdamsBashfordMoulton</v>
      </c>
      <c r="Y47" s="6" t="str">
        <f>_xlfn.XLOOKUP(Moult3[[#This Row],[Hebras]],TbTecnologia[Hebras],TbTecnologia[Tecnología])</f>
        <v>CUDA</v>
      </c>
      <c r="Z47" s="2" t="str" cm="1">
        <f t="array" ref="Z47">_xlfn.XLOOKUP(Moult3[[#This Row],[Tecnología]]&amp;Moult3[[#This Row],[Metodo]],TbTipos[Tecnología]&amp;TbTipos[Metodo],TbTipos[Tipo])</f>
        <v>CUDA sin graph</v>
      </c>
      <c r="AA47" s="2" t="str" cm="1">
        <f t="array" ref="AA47">_xlfn.XLOOKUP(Moult3[[#This Row],[Tecnología]]&amp;Moult3[[#This Row],[Problema]],TbNombres[Tecnología]&amp;TbNombres[Problema],TbNombres[Nombre])</f>
        <v>Brusselator1d</v>
      </c>
      <c r="AB47" s="2">
        <v>5</v>
      </c>
      <c r="AC47" s="2">
        <v>5</v>
      </c>
      <c r="AD47" s="2">
        <v>256</v>
      </c>
      <c r="AE47" s="2">
        <v>200000</v>
      </c>
      <c r="AF47" s="2">
        <v>400000</v>
      </c>
      <c r="AG47" s="2">
        <v>208.50399999999999</v>
      </c>
      <c r="AI47" s="6" t="str">
        <f>_xlfn.XLOOKUP(Moult4[[#This Row],[Metodo]],TbSolver[Metodo],TbSolver[Solver])</f>
        <v>AdamsBashfordMoulton</v>
      </c>
      <c r="AJ47" s="6" t="str">
        <f>_xlfn.XLOOKUP(Moult4[[#This Row],[Hebras]],TbTecnologia[Hebras],TbTecnologia[Tecnología])</f>
        <v>CUDA</v>
      </c>
      <c r="AK47" s="2" t="str" cm="1">
        <f t="array" ref="AK47">_xlfn.XLOOKUP(Moult4[[#This Row],[Tecnología]]&amp;Moult4[[#This Row],[Metodo]],TbTipos[Tecnología]&amp;TbTipos[Metodo],TbTipos[Tipo])</f>
        <v>CUDA con graph</v>
      </c>
      <c r="AL47" s="2" t="str" cm="1">
        <f t="array" ref="AL47">_xlfn.XLOOKUP(Moult4[[#This Row],[Tecnología]]&amp;Moult4[[#This Row],[Problema]],TbNombres[Tecnología]&amp;TbNombres[Problema],TbNombres[Nombre])</f>
        <v>Brusselator2d</v>
      </c>
      <c r="AM47" s="2">
        <v>6</v>
      </c>
      <c r="AN47" s="2">
        <v>9</v>
      </c>
      <c r="AO47" s="2">
        <v>256</v>
      </c>
      <c r="AP47" s="2">
        <v>500</v>
      </c>
      <c r="AQ47" s="2">
        <v>500000</v>
      </c>
      <c r="AR47" s="2">
        <v>393.34699999999998</v>
      </c>
    </row>
    <row r="48" spans="2:44" x14ac:dyDescent="0.2">
      <c r="B48" s="6" t="str">
        <f>_xlfn.XLOOKUP(Moult1[[#This Row],[Metodo]],TbSolver[Metodo],TbSolver[Solver])</f>
        <v>AdamsBashfordMoulton</v>
      </c>
      <c r="C48" s="6" t="str">
        <f>_xlfn.XLOOKUP(Moult1[[#This Row],[Hebras]],TbTecnologia[Hebras],TbTecnologia[Tecnología])</f>
        <v>OMP</v>
      </c>
      <c r="D48" s="7" t="str" cm="1">
        <f t="array" ref="D48">_xlfn.XLOOKUP(Moult1[[#This Row],[Tecnología]]&amp;Moult1[[#This Row],[Metodo]],TbTipos[Tecnología]&amp;TbTipos[Metodo],TbTipos[Tipo])</f>
        <v>OMP Elementos</v>
      </c>
      <c r="E48" s="6" t="str" cm="1">
        <f t="array" ref="E48">_xlfn.XLOOKUP(Moult1[[#This Row],[Tecnología]]&amp;Moult1[[#This Row],[Problema]],TbNombres[Tecnología]&amp;TbNombres[Problema],TbNombres[Nombre])</f>
        <v>Simple Advdiff</v>
      </c>
      <c r="F48" s="6">
        <v>6</v>
      </c>
      <c r="G48" s="6">
        <v>1</v>
      </c>
      <c r="H48" s="6">
        <v>1</v>
      </c>
      <c r="I48" s="6">
        <v>100</v>
      </c>
      <c r="J48" s="6">
        <v>100</v>
      </c>
      <c r="K48" s="6">
        <v>3.1528900000000002</v>
      </c>
      <c r="M48" s="6" t="str">
        <f>_xlfn.XLOOKUP(Moult2[[#This Row],[Metodo]],TbSolver[Metodo],TbSolver[Solver])</f>
        <v>AdamsBashfordMoulton</v>
      </c>
      <c r="N48" s="6" t="str">
        <f>_xlfn.XLOOKUP(Moult2[[#This Row],[Hebras]],TbTecnologia[Hebras],TbTecnologia[Tecnología])</f>
        <v>OMP</v>
      </c>
      <c r="O48" s="7" t="str" cm="1">
        <f t="array" ref="O48">_xlfn.XLOOKUP(Moult2[[#This Row],[Tecnología]]&amp;Moult2[[#This Row],[Metodo]],TbTipos[Tecnología]&amp;TbTipos[Metodo],TbTipos[Tipo])</f>
        <v>OMP Elementos</v>
      </c>
      <c r="P48" s="6" t="str" cm="1">
        <f t="array" ref="P48">_xlfn.XLOOKUP(Moult2[[#This Row],[Tecnología]]&amp;Moult2[[#This Row],[Problema]],TbNombres[Tecnología]&amp;TbNombres[Problema],TbNombres[Nombre])</f>
        <v>Advdiff1d</v>
      </c>
      <c r="Q48" s="6">
        <v>6</v>
      </c>
      <c r="R48" s="6">
        <v>2</v>
      </c>
      <c r="S48" s="6">
        <v>1</v>
      </c>
      <c r="T48" s="6">
        <v>100</v>
      </c>
      <c r="U48" s="6">
        <v>100</v>
      </c>
      <c r="V48" s="6">
        <v>10.048400000000001</v>
      </c>
      <c r="X48" s="6" t="str">
        <f>_xlfn.XLOOKUP(Moult3[[#This Row],[Metodo]],TbSolver[Metodo],TbSolver[Solver])</f>
        <v>AdamsBashfordMoulton</v>
      </c>
      <c r="Y48" s="6" t="str">
        <f>_xlfn.XLOOKUP(Moult3[[#This Row],[Hebras]],TbTecnologia[Hebras],TbTecnologia[Tecnología])</f>
        <v>OMP</v>
      </c>
      <c r="Z48" s="7" t="str" cm="1">
        <f t="array" ref="Z48">_xlfn.XLOOKUP(Moult3[[#This Row],[Tecnología]]&amp;Moult3[[#This Row],[Metodo]],TbTipos[Tecnología]&amp;TbTipos[Metodo],TbTipos[Tipo])</f>
        <v>OMP Operaciones</v>
      </c>
      <c r="AA48" s="6" t="str" cm="1">
        <f t="array" ref="AA48">_xlfn.XLOOKUP(Moult3[[#This Row],[Tecnología]]&amp;Moult3[[#This Row],[Problema]],TbNombres[Tecnología]&amp;TbNombres[Problema],TbNombres[Nombre])</f>
        <v>Brusselator1d</v>
      </c>
      <c r="AB48" s="6">
        <v>5</v>
      </c>
      <c r="AC48" s="6">
        <v>3</v>
      </c>
      <c r="AD48" s="6">
        <v>1</v>
      </c>
      <c r="AE48" s="6">
        <v>100</v>
      </c>
      <c r="AF48" s="6">
        <v>200</v>
      </c>
      <c r="AG48" s="6">
        <v>6.8280700000000003</v>
      </c>
    </row>
    <row r="49" spans="2:33" x14ac:dyDescent="0.2">
      <c r="B49" s="6" t="str">
        <f>_xlfn.XLOOKUP(Moult1[[#This Row],[Metodo]],TbSolver[Metodo],TbSolver[Solver])</f>
        <v>AdamsBashfordMoulton</v>
      </c>
      <c r="C49" s="6" t="str">
        <f>_xlfn.XLOOKUP(Moult1[[#This Row],[Hebras]],TbTecnologia[Hebras],TbTecnologia[Tecnología])</f>
        <v>OMP</v>
      </c>
      <c r="D49" s="7" t="str" cm="1">
        <f t="array" ref="D49">_xlfn.XLOOKUP(Moult1[[#This Row],[Tecnología]]&amp;Moult1[[#This Row],[Metodo]],TbTipos[Tecnología]&amp;TbTipos[Metodo],TbTipos[Tipo])</f>
        <v>OMP Elementos</v>
      </c>
      <c r="E49" s="6" t="str" cm="1">
        <f t="array" ref="E49">_xlfn.XLOOKUP(Moult1[[#This Row],[Tecnología]]&amp;Moult1[[#This Row],[Problema]],TbNombres[Tecnología]&amp;TbNombres[Problema],TbNombres[Nombre])</f>
        <v>Simple Advdiff</v>
      </c>
      <c r="F49" s="6">
        <v>6</v>
      </c>
      <c r="G49" s="6">
        <v>1</v>
      </c>
      <c r="H49" s="6">
        <v>4</v>
      </c>
      <c r="I49" s="6">
        <v>100</v>
      </c>
      <c r="J49" s="6">
        <v>100</v>
      </c>
      <c r="K49" s="6">
        <v>9.6583900000000007</v>
      </c>
      <c r="M49" s="6" t="str">
        <f>_xlfn.XLOOKUP(Moult2[[#This Row],[Metodo]],TbSolver[Metodo],TbSolver[Solver])</f>
        <v>AdamsBashfordMoulton</v>
      </c>
      <c r="N49" s="6" t="str">
        <f>_xlfn.XLOOKUP(Moult2[[#This Row],[Hebras]],TbTecnologia[Hebras],TbTecnologia[Tecnología])</f>
        <v>OMP</v>
      </c>
      <c r="O49" s="7" t="str" cm="1">
        <f t="array" ref="O49">_xlfn.XLOOKUP(Moult2[[#This Row],[Tecnología]]&amp;Moult2[[#This Row],[Metodo]],TbTipos[Tecnología]&amp;TbTipos[Metodo],TbTipos[Tipo])</f>
        <v>OMP Elementos</v>
      </c>
      <c r="P49" s="6" t="str" cm="1">
        <f t="array" ref="P49">_xlfn.XLOOKUP(Moult2[[#This Row],[Tecnología]]&amp;Moult2[[#This Row],[Problema]],TbNombres[Tecnología]&amp;TbNombres[Problema],TbNombres[Nombre])</f>
        <v>Advdiff1d</v>
      </c>
      <c r="Q49" s="6">
        <v>6</v>
      </c>
      <c r="R49" s="6">
        <v>2</v>
      </c>
      <c r="S49" s="6">
        <v>4</v>
      </c>
      <c r="T49" s="6">
        <v>100</v>
      </c>
      <c r="U49" s="6">
        <v>100</v>
      </c>
      <c r="V49" s="6">
        <v>12.5639</v>
      </c>
      <c r="X49" s="6" t="str">
        <f>_xlfn.XLOOKUP(Moult3[[#This Row],[Metodo]],TbSolver[Metodo],TbSolver[Solver])</f>
        <v>AdamsBashfordMoulton</v>
      </c>
      <c r="Y49" s="6" t="str">
        <f>_xlfn.XLOOKUP(Moult3[[#This Row],[Hebras]],TbTecnologia[Hebras],TbTecnologia[Tecnología])</f>
        <v>OMP</v>
      </c>
      <c r="Z49" s="7" t="str" cm="1">
        <f t="array" ref="Z49">_xlfn.XLOOKUP(Moult3[[#This Row],[Tecnología]]&amp;Moult3[[#This Row],[Metodo]],TbTipos[Tecnología]&amp;TbTipos[Metodo],TbTipos[Tipo])</f>
        <v>OMP Operaciones</v>
      </c>
      <c r="AA49" s="6" t="str" cm="1">
        <f t="array" ref="AA49">_xlfn.XLOOKUP(Moult3[[#This Row],[Tecnología]]&amp;Moult3[[#This Row],[Problema]],TbNombres[Tecnología]&amp;TbNombres[Problema],TbNombres[Nombre])</f>
        <v>Brusselator1d</v>
      </c>
      <c r="AB49" s="6">
        <v>5</v>
      </c>
      <c r="AC49" s="6">
        <v>3</v>
      </c>
      <c r="AD49" s="6">
        <v>4</v>
      </c>
      <c r="AE49" s="6">
        <v>100</v>
      </c>
      <c r="AF49" s="6">
        <v>200</v>
      </c>
      <c r="AG49" s="6">
        <v>45.3827</v>
      </c>
    </row>
    <row r="50" spans="2:33" x14ac:dyDescent="0.2">
      <c r="B50" s="6" t="str">
        <f>_xlfn.XLOOKUP(Moult1[[#This Row],[Metodo]],TbSolver[Metodo],TbSolver[Solver])</f>
        <v>AdamsBashfordMoulton</v>
      </c>
      <c r="C50" s="6" t="str">
        <f>_xlfn.XLOOKUP(Moult1[[#This Row],[Hebras]],TbTecnologia[Hebras],TbTecnologia[Tecnología])</f>
        <v>OMP</v>
      </c>
      <c r="D50" s="7" t="str" cm="1">
        <f t="array" ref="D50">_xlfn.XLOOKUP(Moult1[[#This Row],[Tecnología]]&amp;Moult1[[#This Row],[Metodo]],TbTipos[Tecnología]&amp;TbTipos[Metodo],TbTipos[Tipo])</f>
        <v>OMP Elementos</v>
      </c>
      <c r="E50" s="6" t="str" cm="1">
        <f t="array" ref="E50">_xlfn.XLOOKUP(Moult1[[#This Row],[Tecnología]]&amp;Moult1[[#This Row],[Problema]],TbNombres[Tecnología]&amp;TbNombres[Problema],TbNombres[Nombre])</f>
        <v>Simple Advdiff</v>
      </c>
      <c r="F50" s="6">
        <v>6</v>
      </c>
      <c r="G50" s="6">
        <v>1</v>
      </c>
      <c r="H50" s="6">
        <v>16</v>
      </c>
      <c r="I50" s="6">
        <v>100</v>
      </c>
      <c r="J50" s="6">
        <v>100</v>
      </c>
      <c r="K50" s="6">
        <v>39.554499999999997</v>
      </c>
      <c r="M50" s="6" t="str">
        <f>_xlfn.XLOOKUP(Moult2[[#This Row],[Metodo]],TbSolver[Metodo],TbSolver[Solver])</f>
        <v>AdamsBashfordMoulton</v>
      </c>
      <c r="N50" s="6" t="str">
        <f>_xlfn.XLOOKUP(Moult2[[#This Row],[Hebras]],TbTecnologia[Hebras],TbTecnologia[Tecnología])</f>
        <v>OMP</v>
      </c>
      <c r="O50" s="7" t="str" cm="1">
        <f t="array" ref="O50">_xlfn.XLOOKUP(Moult2[[#This Row],[Tecnología]]&amp;Moult2[[#This Row],[Metodo]],TbTipos[Tecnología]&amp;TbTipos[Metodo],TbTipos[Tipo])</f>
        <v>OMP Elementos</v>
      </c>
      <c r="P50" s="6" t="str" cm="1">
        <f t="array" ref="P50">_xlfn.XLOOKUP(Moult2[[#This Row],[Tecnología]]&amp;Moult2[[#This Row],[Problema]],TbNombres[Tecnología]&amp;TbNombres[Problema],TbNombres[Nombre])</f>
        <v>Advdiff1d</v>
      </c>
      <c r="Q50" s="6">
        <v>6</v>
      </c>
      <c r="R50" s="6">
        <v>2</v>
      </c>
      <c r="S50" s="6">
        <v>16</v>
      </c>
      <c r="T50" s="6">
        <v>100</v>
      </c>
      <c r="U50" s="6">
        <v>100</v>
      </c>
      <c r="V50" s="6">
        <v>33.165700000000001</v>
      </c>
      <c r="X50" s="6" t="str">
        <f>_xlfn.XLOOKUP(Moult3[[#This Row],[Metodo]],TbSolver[Metodo],TbSolver[Solver])</f>
        <v>AdamsBashfordMoulton</v>
      </c>
      <c r="Y50" s="6" t="str">
        <f>_xlfn.XLOOKUP(Moult3[[#This Row],[Hebras]],TbTecnologia[Hebras],TbTecnologia[Tecnología])</f>
        <v>OMP</v>
      </c>
      <c r="Z50" s="7" t="str" cm="1">
        <f t="array" ref="Z50">_xlfn.XLOOKUP(Moult3[[#This Row],[Tecnología]]&amp;Moult3[[#This Row],[Metodo]],TbTipos[Tecnología]&amp;TbTipos[Metodo],TbTipos[Tipo])</f>
        <v>OMP Operaciones</v>
      </c>
      <c r="AA50" s="6" t="str" cm="1">
        <f t="array" ref="AA50">_xlfn.XLOOKUP(Moult3[[#This Row],[Tecnología]]&amp;Moult3[[#This Row],[Problema]],TbNombres[Tecnología]&amp;TbNombres[Problema],TbNombres[Nombre])</f>
        <v>Brusselator1d</v>
      </c>
      <c r="AB50" s="6">
        <v>5</v>
      </c>
      <c r="AC50" s="6">
        <v>3</v>
      </c>
      <c r="AD50" s="6">
        <v>16</v>
      </c>
      <c r="AE50" s="6">
        <v>100</v>
      </c>
      <c r="AF50" s="6">
        <v>200</v>
      </c>
      <c r="AG50" s="6">
        <v>103.395</v>
      </c>
    </row>
    <row r="51" spans="2:33" x14ac:dyDescent="0.2">
      <c r="B51" s="6" t="str">
        <f>_xlfn.XLOOKUP(Moult1[[#This Row],[Metodo]],TbSolver[Metodo],TbSolver[Solver])</f>
        <v>AdamsBashfordMoulton</v>
      </c>
      <c r="C51" s="6" t="str">
        <f>_xlfn.XLOOKUP(Moult1[[#This Row],[Hebras]],TbTecnologia[Hebras],TbTecnologia[Tecnología])</f>
        <v>OMP</v>
      </c>
      <c r="D51" s="7" t="str" cm="1">
        <f t="array" ref="D51">_xlfn.XLOOKUP(Moult1[[#This Row],[Tecnología]]&amp;Moult1[[#This Row],[Metodo]],TbTipos[Tecnología]&amp;TbTipos[Metodo],TbTipos[Tipo])</f>
        <v>OMP Elementos</v>
      </c>
      <c r="E51" s="6" t="str" cm="1">
        <f t="array" ref="E51">_xlfn.XLOOKUP(Moult1[[#This Row],[Tecnología]]&amp;Moult1[[#This Row],[Problema]],TbNombres[Tecnología]&amp;TbNombres[Problema],TbNombres[Nombre])</f>
        <v>Simple Advdiff</v>
      </c>
      <c r="F51" s="6">
        <v>6</v>
      </c>
      <c r="G51" s="6">
        <v>1</v>
      </c>
      <c r="H51" s="6">
        <v>1</v>
      </c>
      <c r="I51" s="6">
        <v>200</v>
      </c>
      <c r="J51" s="6">
        <v>200</v>
      </c>
      <c r="K51" s="6">
        <v>5.5153400000000001</v>
      </c>
      <c r="M51" s="6" t="str">
        <f>_xlfn.XLOOKUP(Moult2[[#This Row],[Metodo]],TbSolver[Metodo],TbSolver[Solver])</f>
        <v>AdamsBashfordMoulton</v>
      </c>
      <c r="N51" s="6" t="str">
        <f>_xlfn.XLOOKUP(Moult2[[#This Row],[Hebras]],TbTecnologia[Hebras],TbTecnologia[Tecnología])</f>
        <v>OMP</v>
      </c>
      <c r="O51" s="7" t="str" cm="1">
        <f t="array" ref="O51">_xlfn.XLOOKUP(Moult2[[#This Row],[Tecnología]]&amp;Moult2[[#This Row],[Metodo]],TbTipos[Tecnología]&amp;TbTipos[Metodo],TbTipos[Tipo])</f>
        <v>OMP Elementos</v>
      </c>
      <c r="P51" s="6" t="str" cm="1">
        <f t="array" ref="P51">_xlfn.XLOOKUP(Moult2[[#This Row],[Tecnología]]&amp;Moult2[[#This Row],[Problema]],TbNombres[Tecnología]&amp;TbNombres[Problema],TbNombres[Nombre])</f>
        <v>Advdiff1d</v>
      </c>
      <c r="Q51" s="6">
        <v>6</v>
      </c>
      <c r="R51" s="6">
        <v>2</v>
      </c>
      <c r="S51" s="6">
        <v>1</v>
      </c>
      <c r="T51" s="6">
        <v>200</v>
      </c>
      <c r="U51" s="6">
        <v>200</v>
      </c>
      <c r="V51" s="6">
        <v>19.096499999999999</v>
      </c>
      <c r="X51" s="6" t="str">
        <f>_xlfn.XLOOKUP(Moult3[[#This Row],[Metodo]],TbSolver[Metodo],TbSolver[Solver])</f>
        <v>AdamsBashfordMoulton</v>
      </c>
      <c r="Y51" s="6" t="str">
        <f>_xlfn.XLOOKUP(Moult3[[#This Row],[Hebras]],TbTecnologia[Hebras],TbTecnologia[Tecnología])</f>
        <v>OMP</v>
      </c>
      <c r="Z51" s="7" t="str" cm="1">
        <f t="array" ref="Z51">_xlfn.XLOOKUP(Moult3[[#This Row],[Tecnología]]&amp;Moult3[[#This Row],[Metodo]],TbTipos[Tecnología]&amp;TbTipos[Metodo],TbTipos[Tipo])</f>
        <v>OMP Operaciones</v>
      </c>
      <c r="AA51" s="6" t="str" cm="1">
        <f t="array" ref="AA51">_xlfn.XLOOKUP(Moult3[[#This Row],[Tecnología]]&amp;Moult3[[#This Row],[Problema]],TbNombres[Tecnología]&amp;TbNombres[Problema],TbNombres[Nombre])</f>
        <v>Brusselator1d</v>
      </c>
      <c r="AB51" s="6">
        <v>5</v>
      </c>
      <c r="AC51" s="6">
        <v>3</v>
      </c>
      <c r="AD51" s="6">
        <v>1</v>
      </c>
      <c r="AE51" s="6">
        <v>200</v>
      </c>
      <c r="AF51" s="6">
        <v>400</v>
      </c>
      <c r="AG51" s="6">
        <v>8.7159899999999997</v>
      </c>
    </row>
    <row r="52" spans="2:33" x14ac:dyDescent="0.2">
      <c r="B52" s="6" t="str">
        <f>_xlfn.XLOOKUP(Moult1[[#This Row],[Metodo]],TbSolver[Metodo],TbSolver[Solver])</f>
        <v>AdamsBashfordMoulton</v>
      </c>
      <c r="C52" s="6" t="str">
        <f>_xlfn.XLOOKUP(Moult1[[#This Row],[Hebras]],TbTecnologia[Hebras],TbTecnologia[Tecnología])</f>
        <v>OMP</v>
      </c>
      <c r="D52" s="7" t="str" cm="1">
        <f t="array" ref="D52">_xlfn.XLOOKUP(Moult1[[#This Row],[Tecnología]]&amp;Moult1[[#This Row],[Metodo]],TbTipos[Tecnología]&amp;TbTipos[Metodo],TbTipos[Tipo])</f>
        <v>OMP Elementos</v>
      </c>
      <c r="E52" s="6" t="str" cm="1">
        <f t="array" ref="E52">_xlfn.XLOOKUP(Moult1[[#This Row],[Tecnología]]&amp;Moult1[[#This Row],[Problema]],TbNombres[Tecnología]&amp;TbNombres[Problema],TbNombres[Nombre])</f>
        <v>Simple Advdiff</v>
      </c>
      <c r="F52" s="6">
        <v>6</v>
      </c>
      <c r="G52" s="6">
        <v>1</v>
      </c>
      <c r="H52" s="6">
        <v>4</v>
      </c>
      <c r="I52" s="6">
        <v>200</v>
      </c>
      <c r="J52" s="6">
        <v>200</v>
      </c>
      <c r="K52" s="6">
        <v>9.2685300000000002</v>
      </c>
      <c r="M52" s="6" t="str">
        <f>_xlfn.XLOOKUP(Moult2[[#This Row],[Metodo]],TbSolver[Metodo],TbSolver[Solver])</f>
        <v>AdamsBashfordMoulton</v>
      </c>
      <c r="N52" s="6" t="str">
        <f>_xlfn.XLOOKUP(Moult2[[#This Row],[Hebras]],TbTecnologia[Hebras],TbTecnologia[Tecnología])</f>
        <v>OMP</v>
      </c>
      <c r="O52" s="7" t="str" cm="1">
        <f t="array" ref="O52">_xlfn.XLOOKUP(Moult2[[#This Row],[Tecnología]]&amp;Moult2[[#This Row],[Metodo]],TbTipos[Tecnología]&amp;TbTipos[Metodo],TbTipos[Tipo])</f>
        <v>OMP Elementos</v>
      </c>
      <c r="P52" s="6" t="str" cm="1">
        <f t="array" ref="P52">_xlfn.XLOOKUP(Moult2[[#This Row],[Tecnología]]&amp;Moult2[[#This Row],[Problema]],TbNombres[Tecnología]&amp;TbNombres[Problema],TbNombres[Nombre])</f>
        <v>Advdiff1d</v>
      </c>
      <c r="Q52" s="6">
        <v>6</v>
      </c>
      <c r="R52" s="6">
        <v>2</v>
      </c>
      <c r="S52" s="6">
        <v>4</v>
      </c>
      <c r="T52" s="6">
        <v>200</v>
      </c>
      <c r="U52" s="6">
        <v>200</v>
      </c>
      <c r="V52" s="6">
        <v>13.9816</v>
      </c>
      <c r="X52" s="6" t="str">
        <f>_xlfn.XLOOKUP(Moult3[[#This Row],[Metodo]],TbSolver[Metodo],TbSolver[Solver])</f>
        <v>AdamsBashfordMoulton</v>
      </c>
      <c r="Y52" s="6" t="str">
        <f>_xlfn.XLOOKUP(Moult3[[#This Row],[Hebras]],TbTecnologia[Hebras],TbTecnologia[Tecnología])</f>
        <v>OMP</v>
      </c>
      <c r="Z52" s="7" t="str" cm="1">
        <f t="array" ref="Z52">_xlfn.XLOOKUP(Moult3[[#This Row],[Tecnología]]&amp;Moult3[[#This Row],[Metodo]],TbTipos[Tecnología]&amp;TbTipos[Metodo],TbTipos[Tipo])</f>
        <v>OMP Operaciones</v>
      </c>
      <c r="AA52" s="6" t="str" cm="1">
        <f t="array" ref="AA52">_xlfn.XLOOKUP(Moult3[[#This Row],[Tecnología]]&amp;Moult3[[#This Row],[Problema]],TbNombres[Tecnología]&amp;TbNombres[Problema],TbNombres[Nombre])</f>
        <v>Brusselator1d</v>
      </c>
      <c r="AB52" s="6">
        <v>5</v>
      </c>
      <c r="AC52" s="6">
        <v>3</v>
      </c>
      <c r="AD52" s="6">
        <v>4</v>
      </c>
      <c r="AE52" s="6">
        <v>200</v>
      </c>
      <c r="AF52" s="6">
        <v>400</v>
      </c>
      <c r="AG52" s="6">
        <v>52.7333</v>
      </c>
    </row>
    <row r="53" spans="2:33" x14ac:dyDescent="0.2">
      <c r="B53" s="6" t="str">
        <f>_xlfn.XLOOKUP(Moult1[[#This Row],[Metodo]],TbSolver[Metodo],TbSolver[Solver])</f>
        <v>AdamsBashfordMoulton</v>
      </c>
      <c r="C53" s="6" t="str">
        <f>_xlfn.XLOOKUP(Moult1[[#This Row],[Hebras]],TbTecnologia[Hebras],TbTecnologia[Tecnología])</f>
        <v>OMP</v>
      </c>
      <c r="D53" s="7" t="str" cm="1">
        <f t="array" ref="D53">_xlfn.XLOOKUP(Moult1[[#This Row],[Tecnología]]&amp;Moult1[[#This Row],[Metodo]],TbTipos[Tecnología]&amp;TbTipos[Metodo],TbTipos[Tipo])</f>
        <v>OMP Elementos</v>
      </c>
      <c r="E53" s="6" t="str" cm="1">
        <f t="array" ref="E53">_xlfn.XLOOKUP(Moult1[[#This Row],[Tecnología]]&amp;Moult1[[#This Row],[Problema]],TbNombres[Tecnología]&amp;TbNombres[Problema],TbNombres[Nombre])</f>
        <v>Simple Advdiff</v>
      </c>
      <c r="F53" s="6">
        <v>6</v>
      </c>
      <c r="G53" s="6">
        <v>1</v>
      </c>
      <c r="H53" s="6">
        <v>16</v>
      </c>
      <c r="I53" s="6">
        <v>200</v>
      </c>
      <c r="J53" s="6">
        <v>200</v>
      </c>
      <c r="K53" s="6">
        <v>56.233899999999998</v>
      </c>
      <c r="M53" s="6" t="str">
        <f>_xlfn.XLOOKUP(Moult2[[#This Row],[Metodo]],TbSolver[Metodo],TbSolver[Solver])</f>
        <v>AdamsBashfordMoulton</v>
      </c>
      <c r="N53" s="6" t="str">
        <f>_xlfn.XLOOKUP(Moult2[[#This Row],[Hebras]],TbTecnologia[Hebras],TbTecnologia[Tecnología])</f>
        <v>OMP</v>
      </c>
      <c r="O53" s="7" t="str" cm="1">
        <f t="array" ref="O53">_xlfn.XLOOKUP(Moult2[[#This Row],[Tecnología]]&amp;Moult2[[#This Row],[Metodo]],TbTipos[Tecnología]&amp;TbTipos[Metodo],TbTipos[Tipo])</f>
        <v>OMP Elementos</v>
      </c>
      <c r="P53" s="6" t="str" cm="1">
        <f t="array" ref="P53">_xlfn.XLOOKUP(Moult2[[#This Row],[Tecnología]]&amp;Moult2[[#This Row],[Problema]],TbNombres[Tecnología]&amp;TbNombres[Problema],TbNombres[Nombre])</f>
        <v>Advdiff1d</v>
      </c>
      <c r="Q53" s="6">
        <v>6</v>
      </c>
      <c r="R53" s="6">
        <v>2</v>
      </c>
      <c r="S53" s="6">
        <v>16</v>
      </c>
      <c r="T53" s="6">
        <v>200</v>
      </c>
      <c r="U53" s="6">
        <v>200</v>
      </c>
      <c r="V53" s="6">
        <v>41.667099999999998</v>
      </c>
      <c r="X53" s="6" t="str">
        <f>_xlfn.XLOOKUP(Moult3[[#This Row],[Metodo]],TbSolver[Metodo],TbSolver[Solver])</f>
        <v>AdamsBashfordMoulton</v>
      </c>
      <c r="Y53" s="6" t="str">
        <f>_xlfn.XLOOKUP(Moult3[[#This Row],[Hebras]],TbTecnologia[Hebras],TbTecnologia[Tecnología])</f>
        <v>OMP</v>
      </c>
      <c r="Z53" s="7" t="str" cm="1">
        <f t="array" ref="Z53">_xlfn.XLOOKUP(Moult3[[#This Row],[Tecnología]]&amp;Moult3[[#This Row],[Metodo]],TbTipos[Tecnología]&amp;TbTipos[Metodo],TbTipos[Tipo])</f>
        <v>OMP Operaciones</v>
      </c>
      <c r="AA53" s="6" t="str" cm="1">
        <f t="array" ref="AA53">_xlfn.XLOOKUP(Moult3[[#This Row],[Tecnología]]&amp;Moult3[[#This Row],[Problema]],TbNombres[Tecnología]&amp;TbNombres[Problema],TbNombres[Nombre])</f>
        <v>Brusselator1d</v>
      </c>
      <c r="AB53" s="6">
        <v>5</v>
      </c>
      <c r="AC53" s="6">
        <v>3</v>
      </c>
      <c r="AD53" s="6">
        <v>16</v>
      </c>
      <c r="AE53" s="6">
        <v>200</v>
      </c>
      <c r="AF53" s="6">
        <v>400</v>
      </c>
      <c r="AG53" s="6">
        <v>132.62700000000001</v>
      </c>
    </row>
    <row r="54" spans="2:33" x14ac:dyDescent="0.2">
      <c r="B54" s="6" t="str">
        <f>_xlfn.XLOOKUP(Moult1[[#This Row],[Metodo]],TbSolver[Metodo],TbSolver[Solver])</f>
        <v>AdamsBashfordMoulton</v>
      </c>
      <c r="C54" s="6" t="str">
        <f>_xlfn.XLOOKUP(Moult1[[#This Row],[Hebras]],TbTecnologia[Hebras],TbTecnologia[Tecnología])</f>
        <v>OMP</v>
      </c>
      <c r="D54" s="7" t="str" cm="1">
        <f t="array" ref="D54">_xlfn.XLOOKUP(Moult1[[#This Row],[Tecnología]]&amp;Moult1[[#This Row],[Metodo]],TbTipos[Tecnología]&amp;TbTipos[Metodo],TbTipos[Tipo])</f>
        <v>OMP Elementos</v>
      </c>
      <c r="E54" s="6" t="str" cm="1">
        <f t="array" ref="E54">_xlfn.XLOOKUP(Moult1[[#This Row],[Tecnología]]&amp;Moult1[[#This Row],[Problema]],TbNombres[Tecnología]&amp;TbNombres[Problema],TbNombres[Nombre])</f>
        <v>Simple Advdiff</v>
      </c>
      <c r="F54" s="6">
        <v>6</v>
      </c>
      <c r="G54" s="6">
        <v>1</v>
      </c>
      <c r="H54" s="6">
        <v>1</v>
      </c>
      <c r="I54" s="6">
        <v>500</v>
      </c>
      <c r="J54" s="6">
        <v>500</v>
      </c>
      <c r="K54" s="6">
        <v>12.668699999999999</v>
      </c>
      <c r="M54" s="6" t="str">
        <f>_xlfn.XLOOKUP(Moult2[[#This Row],[Metodo]],TbSolver[Metodo],TbSolver[Solver])</f>
        <v>AdamsBashfordMoulton</v>
      </c>
      <c r="N54" s="6" t="str">
        <f>_xlfn.XLOOKUP(Moult2[[#This Row],[Hebras]],TbTecnologia[Hebras],TbTecnologia[Tecnología])</f>
        <v>OMP</v>
      </c>
      <c r="O54" s="7" t="str" cm="1">
        <f t="array" ref="O54">_xlfn.XLOOKUP(Moult2[[#This Row],[Tecnología]]&amp;Moult2[[#This Row],[Metodo]],TbTipos[Tecnología]&amp;TbTipos[Metodo],TbTipos[Tipo])</f>
        <v>OMP Elementos</v>
      </c>
      <c r="P54" s="6" t="str" cm="1">
        <f t="array" ref="P54">_xlfn.XLOOKUP(Moult2[[#This Row],[Tecnología]]&amp;Moult2[[#This Row],[Problema]],TbNombres[Tecnología]&amp;TbNombres[Problema],TbNombres[Nombre])</f>
        <v>Advdiff1d</v>
      </c>
      <c r="Q54" s="6">
        <v>6</v>
      </c>
      <c r="R54" s="6">
        <v>2</v>
      </c>
      <c r="S54" s="6">
        <v>1</v>
      </c>
      <c r="T54" s="6">
        <v>500</v>
      </c>
      <c r="U54" s="6">
        <v>500</v>
      </c>
      <c r="V54" s="6">
        <v>46.477200000000003</v>
      </c>
      <c r="X54" s="6" t="str">
        <f>_xlfn.XLOOKUP(Moult3[[#This Row],[Metodo]],TbSolver[Metodo],TbSolver[Solver])</f>
        <v>AdamsBashfordMoulton</v>
      </c>
      <c r="Y54" s="6" t="str">
        <f>_xlfn.XLOOKUP(Moult3[[#This Row],[Hebras]],TbTecnologia[Hebras],TbTecnologia[Tecnología])</f>
        <v>OMP</v>
      </c>
      <c r="Z54" s="7" t="str" cm="1">
        <f t="array" ref="Z54">_xlfn.XLOOKUP(Moult3[[#This Row],[Tecnología]]&amp;Moult3[[#This Row],[Metodo]],TbTipos[Tecnología]&amp;TbTipos[Metodo],TbTipos[Tipo])</f>
        <v>OMP Operaciones</v>
      </c>
      <c r="AA54" s="6" t="str" cm="1">
        <f t="array" ref="AA54">_xlfn.XLOOKUP(Moult3[[#This Row],[Tecnología]]&amp;Moult3[[#This Row],[Problema]],TbNombres[Tecnología]&amp;TbNombres[Problema],TbNombres[Nombre])</f>
        <v>Brusselator1d</v>
      </c>
      <c r="AB54" s="6">
        <v>5</v>
      </c>
      <c r="AC54" s="6">
        <v>3</v>
      </c>
      <c r="AD54" s="6">
        <v>1</v>
      </c>
      <c r="AE54" s="6">
        <v>500</v>
      </c>
      <c r="AF54" s="6">
        <v>1000</v>
      </c>
      <c r="AG54" s="6">
        <v>14.595599999999999</v>
      </c>
    </row>
    <row r="55" spans="2:33" x14ac:dyDescent="0.2">
      <c r="B55" s="6" t="str">
        <f>_xlfn.XLOOKUP(Moult1[[#This Row],[Metodo]],TbSolver[Metodo],TbSolver[Solver])</f>
        <v>AdamsBashfordMoulton</v>
      </c>
      <c r="C55" s="6" t="str">
        <f>_xlfn.XLOOKUP(Moult1[[#This Row],[Hebras]],TbTecnologia[Hebras],TbTecnologia[Tecnología])</f>
        <v>OMP</v>
      </c>
      <c r="D55" s="7" t="str" cm="1">
        <f t="array" ref="D55">_xlfn.XLOOKUP(Moult1[[#This Row],[Tecnología]]&amp;Moult1[[#This Row],[Metodo]],TbTipos[Tecnología]&amp;TbTipos[Metodo],TbTipos[Tipo])</f>
        <v>OMP Elementos</v>
      </c>
      <c r="E55" s="6" t="str" cm="1">
        <f t="array" ref="E55">_xlfn.XLOOKUP(Moult1[[#This Row],[Tecnología]]&amp;Moult1[[#This Row],[Problema]],TbNombres[Tecnología]&amp;TbNombres[Problema],TbNombres[Nombre])</f>
        <v>Simple Advdiff</v>
      </c>
      <c r="F55" s="6">
        <v>6</v>
      </c>
      <c r="G55" s="6">
        <v>1</v>
      </c>
      <c r="H55" s="6">
        <v>4</v>
      </c>
      <c r="I55" s="6">
        <v>500</v>
      </c>
      <c r="J55" s="6">
        <v>500</v>
      </c>
      <c r="K55" s="6">
        <v>11.7508</v>
      </c>
      <c r="M55" s="6" t="str">
        <f>_xlfn.XLOOKUP(Moult2[[#This Row],[Metodo]],TbSolver[Metodo],TbSolver[Solver])</f>
        <v>AdamsBashfordMoulton</v>
      </c>
      <c r="N55" s="6" t="str">
        <f>_xlfn.XLOOKUP(Moult2[[#This Row],[Hebras]],TbTecnologia[Hebras],TbTecnologia[Tecnología])</f>
        <v>OMP</v>
      </c>
      <c r="O55" s="7" t="str" cm="1">
        <f t="array" ref="O55">_xlfn.XLOOKUP(Moult2[[#This Row],[Tecnología]]&amp;Moult2[[#This Row],[Metodo]],TbTipos[Tecnología]&amp;TbTipos[Metodo],TbTipos[Tipo])</f>
        <v>OMP Elementos</v>
      </c>
      <c r="P55" s="6" t="str" cm="1">
        <f t="array" ref="P55">_xlfn.XLOOKUP(Moult2[[#This Row],[Tecnología]]&amp;Moult2[[#This Row],[Problema]],TbNombres[Tecnología]&amp;TbNombres[Problema],TbNombres[Nombre])</f>
        <v>Advdiff1d</v>
      </c>
      <c r="Q55" s="6">
        <v>6</v>
      </c>
      <c r="R55" s="6">
        <v>2</v>
      </c>
      <c r="S55" s="6">
        <v>4</v>
      </c>
      <c r="T55" s="6">
        <v>500</v>
      </c>
      <c r="U55" s="6">
        <v>500</v>
      </c>
      <c r="V55" s="6">
        <v>21.6614</v>
      </c>
      <c r="X55" s="6" t="str">
        <f>_xlfn.XLOOKUP(Moult3[[#This Row],[Metodo]],TbSolver[Metodo],TbSolver[Solver])</f>
        <v>AdamsBashfordMoulton</v>
      </c>
      <c r="Y55" s="6" t="str">
        <f>_xlfn.XLOOKUP(Moult3[[#This Row],[Hebras]],TbTecnologia[Hebras],TbTecnologia[Tecnología])</f>
        <v>OMP</v>
      </c>
      <c r="Z55" s="7" t="str" cm="1">
        <f t="array" ref="Z55">_xlfn.XLOOKUP(Moult3[[#This Row],[Tecnología]]&amp;Moult3[[#This Row],[Metodo]],TbTipos[Tecnología]&amp;TbTipos[Metodo],TbTipos[Tipo])</f>
        <v>OMP Operaciones</v>
      </c>
      <c r="AA55" s="6" t="str" cm="1">
        <f t="array" ref="AA55">_xlfn.XLOOKUP(Moult3[[#This Row],[Tecnología]]&amp;Moult3[[#This Row],[Problema]],TbNombres[Tecnología]&amp;TbNombres[Problema],TbNombres[Nombre])</f>
        <v>Brusselator1d</v>
      </c>
      <c r="AB55" s="6">
        <v>5</v>
      </c>
      <c r="AC55" s="6">
        <v>3</v>
      </c>
      <c r="AD55" s="6">
        <v>4</v>
      </c>
      <c r="AE55" s="6">
        <v>500</v>
      </c>
      <c r="AF55" s="6">
        <v>1000</v>
      </c>
      <c r="AG55" s="6">
        <v>51.3416</v>
      </c>
    </row>
    <row r="56" spans="2:33" x14ac:dyDescent="0.2">
      <c r="B56" s="6" t="str">
        <f>_xlfn.XLOOKUP(Moult1[[#This Row],[Metodo]],TbSolver[Metodo],TbSolver[Solver])</f>
        <v>AdamsBashfordMoulton</v>
      </c>
      <c r="C56" s="6" t="str">
        <f>_xlfn.XLOOKUP(Moult1[[#This Row],[Hebras]],TbTecnologia[Hebras],TbTecnologia[Tecnología])</f>
        <v>OMP</v>
      </c>
      <c r="D56" s="7" t="str" cm="1">
        <f t="array" ref="D56">_xlfn.XLOOKUP(Moult1[[#This Row],[Tecnología]]&amp;Moult1[[#This Row],[Metodo]],TbTipos[Tecnología]&amp;TbTipos[Metodo],TbTipos[Tipo])</f>
        <v>OMP Elementos</v>
      </c>
      <c r="E56" s="6" t="str" cm="1">
        <f t="array" ref="E56">_xlfn.XLOOKUP(Moult1[[#This Row],[Tecnología]]&amp;Moult1[[#This Row],[Problema]],TbNombres[Tecnología]&amp;TbNombres[Problema],TbNombres[Nombre])</f>
        <v>Simple Advdiff</v>
      </c>
      <c r="F56" s="6">
        <v>6</v>
      </c>
      <c r="G56" s="6">
        <v>1</v>
      </c>
      <c r="H56" s="6">
        <v>16</v>
      </c>
      <c r="I56" s="6">
        <v>500</v>
      </c>
      <c r="J56" s="6">
        <v>500</v>
      </c>
      <c r="K56" s="6">
        <v>28.921399999999998</v>
      </c>
      <c r="M56" s="6" t="str">
        <f>_xlfn.XLOOKUP(Moult2[[#This Row],[Metodo]],TbSolver[Metodo],TbSolver[Solver])</f>
        <v>AdamsBashfordMoulton</v>
      </c>
      <c r="N56" s="6" t="str">
        <f>_xlfn.XLOOKUP(Moult2[[#This Row],[Hebras]],TbTecnologia[Hebras],TbTecnologia[Tecnología])</f>
        <v>OMP</v>
      </c>
      <c r="O56" s="7" t="str" cm="1">
        <f t="array" ref="O56">_xlfn.XLOOKUP(Moult2[[#This Row],[Tecnología]]&amp;Moult2[[#This Row],[Metodo]],TbTipos[Tecnología]&amp;TbTipos[Metodo],TbTipos[Tipo])</f>
        <v>OMP Elementos</v>
      </c>
      <c r="P56" s="6" t="str" cm="1">
        <f t="array" ref="P56">_xlfn.XLOOKUP(Moult2[[#This Row],[Tecnología]]&amp;Moult2[[#This Row],[Problema]],TbNombres[Tecnología]&amp;TbNombres[Problema],TbNombres[Nombre])</f>
        <v>Advdiff1d</v>
      </c>
      <c r="Q56" s="6">
        <v>6</v>
      </c>
      <c r="R56" s="6">
        <v>2</v>
      </c>
      <c r="S56" s="6">
        <v>16</v>
      </c>
      <c r="T56" s="6">
        <v>500</v>
      </c>
      <c r="U56" s="6">
        <v>500</v>
      </c>
      <c r="V56" s="6">
        <v>24.327500000000001</v>
      </c>
      <c r="X56" s="6" t="str">
        <f>_xlfn.XLOOKUP(Moult3[[#This Row],[Metodo]],TbSolver[Metodo],TbSolver[Solver])</f>
        <v>AdamsBashfordMoulton</v>
      </c>
      <c r="Y56" s="6" t="str">
        <f>_xlfn.XLOOKUP(Moult3[[#This Row],[Hebras]],TbTecnologia[Hebras],TbTecnologia[Tecnología])</f>
        <v>OMP</v>
      </c>
      <c r="Z56" s="7" t="str" cm="1">
        <f t="array" ref="Z56">_xlfn.XLOOKUP(Moult3[[#This Row],[Tecnología]]&amp;Moult3[[#This Row],[Metodo]],TbTipos[Tecnología]&amp;TbTipos[Metodo],TbTipos[Tipo])</f>
        <v>OMP Operaciones</v>
      </c>
      <c r="AA56" s="6" t="str" cm="1">
        <f t="array" ref="AA56">_xlfn.XLOOKUP(Moult3[[#This Row],[Tecnología]]&amp;Moult3[[#This Row],[Problema]],TbNombres[Tecnología]&amp;TbNombres[Problema],TbNombres[Nombre])</f>
        <v>Brusselator1d</v>
      </c>
      <c r="AB56" s="6">
        <v>5</v>
      </c>
      <c r="AC56" s="6">
        <v>3</v>
      </c>
      <c r="AD56" s="6">
        <v>16</v>
      </c>
      <c r="AE56" s="6">
        <v>500</v>
      </c>
      <c r="AF56" s="6">
        <v>1000</v>
      </c>
      <c r="AG56" s="6">
        <v>100.569</v>
      </c>
    </row>
    <row r="57" spans="2:33" x14ac:dyDescent="0.2">
      <c r="B57" s="6" t="str">
        <f>_xlfn.XLOOKUP(Moult1[[#This Row],[Metodo]],TbSolver[Metodo],TbSolver[Solver])</f>
        <v>AdamsBashfordMoulton</v>
      </c>
      <c r="C57" s="6" t="str">
        <f>_xlfn.XLOOKUP(Moult1[[#This Row],[Hebras]],TbTecnologia[Hebras],TbTecnologia[Tecnología])</f>
        <v>OMP</v>
      </c>
      <c r="D57" s="7" t="str" cm="1">
        <f t="array" ref="D57">_xlfn.XLOOKUP(Moult1[[#This Row],[Tecnología]]&amp;Moult1[[#This Row],[Metodo]],TbTipos[Tecnología]&amp;TbTipos[Metodo],TbTipos[Tipo])</f>
        <v>OMP Elementos</v>
      </c>
      <c r="E57" s="6" t="str" cm="1">
        <f t="array" ref="E57">_xlfn.XLOOKUP(Moult1[[#This Row],[Tecnología]]&amp;Moult1[[#This Row],[Problema]],TbNombres[Tecnología]&amp;TbNombres[Problema],TbNombres[Nombre])</f>
        <v>Simple Advdiff</v>
      </c>
      <c r="F57" s="6">
        <v>6</v>
      </c>
      <c r="G57" s="6">
        <v>1</v>
      </c>
      <c r="H57" s="6">
        <v>1</v>
      </c>
      <c r="I57" s="6">
        <v>1000</v>
      </c>
      <c r="J57" s="6">
        <v>1000</v>
      </c>
      <c r="K57" s="6">
        <v>24.557400000000001</v>
      </c>
      <c r="M57" s="6" t="str">
        <f>_xlfn.XLOOKUP(Moult2[[#This Row],[Metodo]],TbSolver[Metodo],TbSolver[Solver])</f>
        <v>AdamsBashfordMoulton</v>
      </c>
      <c r="N57" s="6" t="str">
        <f>_xlfn.XLOOKUP(Moult2[[#This Row],[Hebras]],TbTecnologia[Hebras],TbTecnologia[Tecnología])</f>
        <v>OMP</v>
      </c>
      <c r="O57" s="7" t="str" cm="1">
        <f t="array" ref="O57">_xlfn.XLOOKUP(Moult2[[#This Row],[Tecnología]]&amp;Moult2[[#This Row],[Metodo]],TbTipos[Tecnología]&amp;TbTipos[Metodo],TbTipos[Tipo])</f>
        <v>OMP Elementos</v>
      </c>
      <c r="P57" s="6" t="str" cm="1">
        <f t="array" ref="P57">_xlfn.XLOOKUP(Moult2[[#This Row],[Tecnología]]&amp;Moult2[[#This Row],[Problema]],TbNombres[Tecnología]&amp;TbNombres[Problema],TbNombres[Nombre])</f>
        <v>Advdiff1d</v>
      </c>
      <c r="Q57" s="6">
        <v>6</v>
      </c>
      <c r="R57" s="6">
        <v>2</v>
      </c>
      <c r="S57" s="6">
        <v>1</v>
      </c>
      <c r="T57" s="6">
        <v>1000</v>
      </c>
      <c r="U57" s="6">
        <v>1000</v>
      </c>
      <c r="V57" s="6">
        <v>91.630700000000004</v>
      </c>
      <c r="X57" s="6" t="str">
        <f>_xlfn.XLOOKUP(Moult3[[#This Row],[Metodo]],TbSolver[Metodo],TbSolver[Solver])</f>
        <v>AdamsBashfordMoulton</v>
      </c>
      <c r="Y57" s="6" t="str">
        <f>_xlfn.XLOOKUP(Moult3[[#This Row],[Hebras]],TbTecnologia[Hebras],TbTecnologia[Tecnología])</f>
        <v>OMP</v>
      </c>
      <c r="Z57" s="7" t="str" cm="1">
        <f t="array" ref="Z57">_xlfn.XLOOKUP(Moult3[[#This Row],[Tecnología]]&amp;Moult3[[#This Row],[Metodo]],TbTipos[Tecnología]&amp;TbTipos[Metodo],TbTipos[Tipo])</f>
        <v>OMP Operaciones</v>
      </c>
      <c r="AA57" s="6" t="str" cm="1">
        <f t="array" ref="AA57">_xlfn.XLOOKUP(Moult3[[#This Row],[Tecnología]]&amp;Moult3[[#This Row],[Problema]],TbNombres[Tecnología]&amp;TbNombres[Problema],TbNombres[Nombre])</f>
        <v>Brusselator1d</v>
      </c>
      <c r="AB57" s="6">
        <v>5</v>
      </c>
      <c r="AC57" s="6">
        <v>3</v>
      </c>
      <c r="AD57" s="6">
        <v>1</v>
      </c>
      <c r="AE57" s="6">
        <v>1000</v>
      </c>
      <c r="AF57" s="6">
        <v>2000</v>
      </c>
      <c r="AG57" s="6">
        <v>24.846499999999999</v>
      </c>
    </row>
    <row r="58" spans="2:33" x14ac:dyDescent="0.2">
      <c r="B58" s="6" t="str">
        <f>_xlfn.XLOOKUP(Moult1[[#This Row],[Metodo]],TbSolver[Metodo],TbSolver[Solver])</f>
        <v>AdamsBashfordMoulton</v>
      </c>
      <c r="C58" s="6" t="str">
        <f>_xlfn.XLOOKUP(Moult1[[#This Row],[Hebras]],TbTecnologia[Hebras],TbTecnologia[Tecnología])</f>
        <v>OMP</v>
      </c>
      <c r="D58" s="7" t="str" cm="1">
        <f t="array" ref="D58">_xlfn.XLOOKUP(Moult1[[#This Row],[Tecnología]]&amp;Moult1[[#This Row],[Metodo]],TbTipos[Tecnología]&amp;TbTipos[Metodo],TbTipos[Tipo])</f>
        <v>OMP Elementos</v>
      </c>
      <c r="E58" s="6" t="str" cm="1">
        <f t="array" ref="E58">_xlfn.XLOOKUP(Moult1[[#This Row],[Tecnología]]&amp;Moult1[[#This Row],[Problema]],TbNombres[Tecnología]&amp;TbNombres[Problema],TbNombres[Nombre])</f>
        <v>Simple Advdiff</v>
      </c>
      <c r="F58" s="6">
        <v>6</v>
      </c>
      <c r="G58" s="6">
        <v>1</v>
      </c>
      <c r="H58" s="6">
        <v>4</v>
      </c>
      <c r="I58" s="6">
        <v>1000</v>
      </c>
      <c r="J58" s="6">
        <v>1000</v>
      </c>
      <c r="K58" s="6">
        <v>13.700799999999999</v>
      </c>
      <c r="M58" s="6" t="str">
        <f>_xlfn.XLOOKUP(Moult2[[#This Row],[Metodo]],TbSolver[Metodo],TbSolver[Solver])</f>
        <v>AdamsBashfordMoulton</v>
      </c>
      <c r="N58" s="6" t="str">
        <f>_xlfn.XLOOKUP(Moult2[[#This Row],[Hebras]],TbTecnologia[Hebras],TbTecnologia[Tecnología])</f>
        <v>OMP</v>
      </c>
      <c r="O58" s="7" t="str" cm="1">
        <f t="array" ref="O58">_xlfn.XLOOKUP(Moult2[[#This Row],[Tecnología]]&amp;Moult2[[#This Row],[Metodo]],TbTipos[Tecnología]&amp;TbTipos[Metodo],TbTipos[Tipo])</f>
        <v>OMP Elementos</v>
      </c>
      <c r="P58" s="6" t="str" cm="1">
        <f t="array" ref="P58">_xlfn.XLOOKUP(Moult2[[#This Row],[Tecnología]]&amp;Moult2[[#This Row],[Problema]],TbNombres[Tecnología]&amp;TbNombres[Problema],TbNombres[Nombre])</f>
        <v>Advdiff1d</v>
      </c>
      <c r="Q58" s="6">
        <v>6</v>
      </c>
      <c r="R58" s="6">
        <v>2</v>
      </c>
      <c r="S58" s="6">
        <v>4</v>
      </c>
      <c r="T58" s="6">
        <v>1000</v>
      </c>
      <c r="U58" s="6">
        <v>1000</v>
      </c>
      <c r="V58" s="6">
        <v>32.386699999999998</v>
      </c>
      <c r="X58" s="6" t="str">
        <f>_xlfn.XLOOKUP(Moult3[[#This Row],[Metodo]],TbSolver[Metodo],TbSolver[Solver])</f>
        <v>AdamsBashfordMoulton</v>
      </c>
      <c r="Y58" s="6" t="str">
        <f>_xlfn.XLOOKUP(Moult3[[#This Row],[Hebras]],TbTecnologia[Hebras],TbTecnologia[Tecnología])</f>
        <v>OMP</v>
      </c>
      <c r="Z58" s="7" t="str" cm="1">
        <f t="array" ref="Z58">_xlfn.XLOOKUP(Moult3[[#This Row],[Tecnología]]&amp;Moult3[[#This Row],[Metodo]],TbTipos[Tecnología]&amp;TbTipos[Metodo],TbTipos[Tipo])</f>
        <v>OMP Operaciones</v>
      </c>
      <c r="AA58" s="6" t="str" cm="1">
        <f t="array" ref="AA58">_xlfn.XLOOKUP(Moult3[[#This Row],[Tecnología]]&amp;Moult3[[#This Row],[Problema]],TbNombres[Tecnología]&amp;TbNombres[Problema],TbNombres[Nombre])</f>
        <v>Brusselator1d</v>
      </c>
      <c r="AB58" s="6">
        <v>5</v>
      </c>
      <c r="AC58" s="6">
        <v>3</v>
      </c>
      <c r="AD58" s="6">
        <v>4</v>
      </c>
      <c r="AE58" s="6">
        <v>1000</v>
      </c>
      <c r="AF58" s="6">
        <v>2000</v>
      </c>
      <c r="AG58" s="6">
        <v>56.811799999999998</v>
      </c>
    </row>
    <row r="59" spans="2:33" x14ac:dyDescent="0.2">
      <c r="B59" s="6" t="str">
        <f>_xlfn.XLOOKUP(Moult1[[#This Row],[Metodo]],TbSolver[Metodo],TbSolver[Solver])</f>
        <v>AdamsBashfordMoulton</v>
      </c>
      <c r="C59" s="6" t="str">
        <f>_xlfn.XLOOKUP(Moult1[[#This Row],[Hebras]],TbTecnologia[Hebras],TbTecnologia[Tecnología])</f>
        <v>OMP</v>
      </c>
      <c r="D59" s="7" t="str" cm="1">
        <f t="array" ref="D59">_xlfn.XLOOKUP(Moult1[[#This Row],[Tecnología]]&amp;Moult1[[#This Row],[Metodo]],TbTipos[Tecnología]&amp;TbTipos[Metodo],TbTipos[Tipo])</f>
        <v>OMP Elementos</v>
      </c>
      <c r="E59" s="6" t="str" cm="1">
        <f t="array" ref="E59">_xlfn.XLOOKUP(Moult1[[#This Row],[Tecnología]]&amp;Moult1[[#This Row],[Problema]],TbNombres[Tecnología]&amp;TbNombres[Problema],TbNombres[Nombre])</f>
        <v>Simple Advdiff</v>
      </c>
      <c r="F59" s="6">
        <v>6</v>
      </c>
      <c r="G59" s="6">
        <v>1</v>
      </c>
      <c r="H59" s="6">
        <v>16</v>
      </c>
      <c r="I59" s="6">
        <v>1000</v>
      </c>
      <c r="J59" s="6">
        <v>1000</v>
      </c>
      <c r="K59" s="6">
        <v>23.094000000000001</v>
      </c>
      <c r="M59" s="6" t="str">
        <f>_xlfn.XLOOKUP(Moult2[[#This Row],[Metodo]],TbSolver[Metodo],TbSolver[Solver])</f>
        <v>AdamsBashfordMoulton</v>
      </c>
      <c r="N59" s="6" t="str">
        <f>_xlfn.XLOOKUP(Moult2[[#This Row],[Hebras]],TbTecnologia[Hebras],TbTecnologia[Tecnología])</f>
        <v>OMP</v>
      </c>
      <c r="O59" s="7" t="str" cm="1">
        <f t="array" ref="O59">_xlfn.XLOOKUP(Moult2[[#This Row],[Tecnología]]&amp;Moult2[[#This Row],[Metodo]],TbTipos[Tecnología]&amp;TbTipos[Metodo],TbTipos[Tipo])</f>
        <v>OMP Elementos</v>
      </c>
      <c r="P59" s="6" t="str" cm="1">
        <f t="array" ref="P59">_xlfn.XLOOKUP(Moult2[[#This Row],[Tecnología]]&amp;Moult2[[#This Row],[Problema]],TbNombres[Tecnología]&amp;TbNombres[Problema],TbNombres[Nombre])</f>
        <v>Advdiff1d</v>
      </c>
      <c r="Q59" s="6">
        <v>6</v>
      </c>
      <c r="R59" s="6">
        <v>2</v>
      </c>
      <c r="S59" s="6">
        <v>16</v>
      </c>
      <c r="T59" s="6">
        <v>1000</v>
      </c>
      <c r="U59" s="6">
        <v>1000</v>
      </c>
      <c r="V59" s="6">
        <v>116.113</v>
      </c>
      <c r="X59" s="6" t="str">
        <f>_xlfn.XLOOKUP(Moult3[[#This Row],[Metodo]],TbSolver[Metodo],TbSolver[Solver])</f>
        <v>AdamsBashfordMoulton</v>
      </c>
      <c r="Y59" s="6" t="str">
        <f>_xlfn.XLOOKUP(Moult3[[#This Row],[Hebras]],TbTecnologia[Hebras],TbTecnologia[Tecnología])</f>
        <v>OMP</v>
      </c>
      <c r="Z59" s="7" t="str" cm="1">
        <f t="array" ref="Z59">_xlfn.XLOOKUP(Moult3[[#This Row],[Tecnología]]&amp;Moult3[[#This Row],[Metodo]],TbTipos[Tecnología]&amp;TbTipos[Metodo],TbTipos[Tipo])</f>
        <v>OMP Operaciones</v>
      </c>
      <c r="AA59" s="6" t="str" cm="1">
        <f t="array" ref="AA59">_xlfn.XLOOKUP(Moult3[[#This Row],[Tecnología]]&amp;Moult3[[#This Row],[Problema]],TbNombres[Tecnología]&amp;TbNombres[Problema],TbNombres[Nombre])</f>
        <v>Brusselator1d</v>
      </c>
      <c r="AB59" s="6">
        <v>5</v>
      </c>
      <c r="AC59" s="6">
        <v>3</v>
      </c>
      <c r="AD59" s="6">
        <v>16</v>
      </c>
      <c r="AE59" s="6">
        <v>1000</v>
      </c>
      <c r="AF59" s="6">
        <v>2000</v>
      </c>
      <c r="AG59" s="6">
        <v>123.637</v>
      </c>
    </row>
    <row r="60" spans="2:33" x14ac:dyDescent="0.2">
      <c r="X60" s="6" t="str">
        <f>_xlfn.XLOOKUP(Moult3[[#This Row],[Metodo]],TbSolver[Metodo],TbSolver[Solver])</f>
        <v>AdamsBashfordMoulton</v>
      </c>
      <c r="Y60" s="6" t="str">
        <f>_xlfn.XLOOKUP(Moult3[[#This Row],[Hebras]],TbTecnologia[Hebras],TbTecnologia[Tecnología])</f>
        <v>OMP</v>
      </c>
      <c r="Z60" s="7" t="str" cm="1">
        <f t="array" ref="Z60">_xlfn.XLOOKUP(Moult3[[#This Row],[Tecnología]]&amp;Moult3[[#This Row],[Metodo]],TbTipos[Tecnología]&amp;TbTipos[Metodo],TbTipos[Tipo])</f>
        <v>OMP Elementos</v>
      </c>
      <c r="AA60" s="6" t="str" cm="1">
        <f t="array" ref="AA60">_xlfn.XLOOKUP(Moult3[[#This Row],[Tecnología]]&amp;Moult3[[#This Row],[Problema]],TbNombres[Tecnología]&amp;TbNombres[Problema],TbNombres[Nombre])</f>
        <v>Brusselator1d</v>
      </c>
      <c r="AB60" s="6">
        <v>6</v>
      </c>
      <c r="AC60" s="6">
        <v>3</v>
      </c>
      <c r="AD60" s="6">
        <v>1</v>
      </c>
      <c r="AE60" s="6">
        <v>100</v>
      </c>
      <c r="AF60" s="6">
        <v>200</v>
      </c>
      <c r="AG60" s="6">
        <v>5.8336199999999998</v>
      </c>
    </row>
    <row r="61" spans="2:33" x14ac:dyDescent="0.2">
      <c r="X61" s="6" t="str">
        <f>_xlfn.XLOOKUP(Moult3[[#This Row],[Metodo]],TbSolver[Metodo],TbSolver[Solver])</f>
        <v>AdamsBashfordMoulton</v>
      </c>
      <c r="Y61" s="6" t="str">
        <f>_xlfn.XLOOKUP(Moult3[[#This Row],[Hebras]],TbTecnologia[Hebras],TbTecnologia[Tecnología])</f>
        <v>OMP</v>
      </c>
      <c r="Z61" s="7" t="str" cm="1">
        <f t="array" ref="Z61">_xlfn.XLOOKUP(Moult3[[#This Row],[Tecnología]]&amp;Moult3[[#This Row],[Metodo]],TbTipos[Tecnología]&amp;TbTipos[Metodo],TbTipos[Tipo])</f>
        <v>OMP Elementos</v>
      </c>
      <c r="AA61" s="6" t="str" cm="1">
        <f t="array" ref="AA61">_xlfn.XLOOKUP(Moult3[[#This Row],[Tecnología]]&amp;Moult3[[#This Row],[Problema]],TbNombres[Tecnología]&amp;TbNombres[Problema],TbNombres[Nombre])</f>
        <v>Brusselator1d</v>
      </c>
      <c r="AB61" s="6">
        <v>6</v>
      </c>
      <c r="AC61" s="6">
        <v>3</v>
      </c>
      <c r="AD61" s="6">
        <v>4</v>
      </c>
      <c r="AE61" s="6">
        <v>100</v>
      </c>
      <c r="AF61" s="6">
        <v>200</v>
      </c>
      <c r="AG61" s="6">
        <v>9.4379600000000003</v>
      </c>
    </row>
    <row r="62" spans="2:33" x14ac:dyDescent="0.2">
      <c r="X62" s="6" t="str">
        <f>_xlfn.XLOOKUP(Moult3[[#This Row],[Metodo]],TbSolver[Metodo],TbSolver[Solver])</f>
        <v>AdamsBashfordMoulton</v>
      </c>
      <c r="Y62" s="6" t="str">
        <f>_xlfn.XLOOKUP(Moult3[[#This Row],[Hebras]],TbTecnologia[Hebras],TbTecnologia[Tecnología])</f>
        <v>OMP</v>
      </c>
      <c r="Z62" s="7" t="str" cm="1">
        <f t="array" ref="Z62">_xlfn.XLOOKUP(Moult3[[#This Row],[Tecnología]]&amp;Moult3[[#This Row],[Metodo]],TbTipos[Tecnología]&amp;TbTipos[Metodo],TbTipos[Tipo])</f>
        <v>OMP Elementos</v>
      </c>
      <c r="AA62" s="6" t="str" cm="1">
        <f t="array" ref="AA62">_xlfn.XLOOKUP(Moult3[[#This Row],[Tecnología]]&amp;Moult3[[#This Row],[Problema]],TbNombres[Tecnología]&amp;TbNombres[Problema],TbNombres[Nombre])</f>
        <v>Brusselator1d</v>
      </c>
      <c r="AB62" s="6">
        <v>6</v>
      </c>
      <c r="AC62" s="6">
        <v>3</v>
      </c>
      <c r="AD62" s="6">
        <v>16</v>
      </c>
      <c r="AE62" s="6">
        <v>100</v>
      </c>
      <c r="AF62" s="6">
        <v>200</v>
      </c>
      <c r="AG62" s="6">
        <v>38.313299999999998</v>
      </c>
    </row>
    <row r="63" spans="2:33" x14ac:dyDescent="0.2">
      <c r="X63" s="6" t="str">
        <f>_xlfn.XLOOKUP(Moult3[[#This Row],[Metodo]],TbSolver[Metodo],TbSolver[Solver])</f>
        <v>AdamsBashfordMoulton</v>
      </c>
      <c r="Y63" s="6" t="str">
        <f>_xlfn.XLOOKUP(Moult3[[#This Row],[Hebras]],TbTecnologia[Hebras],TbTecnologia[Tecnología])</f>
        <v>OMP</v>
      </c>
      <c r="Z63" s="7" t="str" cm="1">
        <f t="array" ref="Z63">_xlfn.XLOOKUP(Moult3[[#This Row],[Tecnología]]&amp;Moult3[[#This Row],[Metodo]],TbTipos[Tecnología]&amp;TbTipos[Metodo],TbTipos[Tipo])</f>
        <v>OMP Elementos</v>
      </c>
      <c r="AA63" s="6" t="str" cm="1">
        <f t="array" ref="AA63">_xlfn.XLOOKUP(Moult3[[#This Row],[Tecnología]]&amp;Moult3[[#This Row],[Problema]],TbNombres[Tecnología]&amp;TbNombres[Problema],TbNombres[Nombre])</f>
        <v>Brusselator1d</v>
      </c>
      <c r="AB63" s="6">
        <v>6</v>
      </c>
      <c r="AC63" s="6">
        <v>3</v>
      </c>
      <c r="AD63" s="6">
        <v>1</v>
      </c>
      <c r="AE63" s="6">
        <v>200</v>
      </c>
      <c r="AF63" s="6">
        <v>400</v>
      </c>
      <c r="AG63" s="6">
        <v>10.9026</v>
      </c>
    </row>
    <row r="64" spans="2:33" x14ac:dyDescent="0.2">
      <c r="X64" s="6" t="str">
        <f>_xlfn.XLOOKUP(Moult3[[#This Row],[Metodo]],TbSolver[Metodo],TbSolver[Solver])</f>
        <v>AdamsBashfordMoulton</v>
      </c>
      <c r="Y64" s="6" t="str">
        <f>_xlfn.XLOOKUP(Moult3[[#This Row],[Hebras]],TbTecnologia[Hebras],TbTecnologia[Tecnología])</f>
        <v>OMP</v>
      </c>
      <c r="Z64" s="7" t="str" cm="1">
        <f t="array" ref="Z64">_xlfn.XLOOKUP(Moult3[[#This Row],[Tecnología]]&amp;Moult3[[#This Row],[Metodo]],TbTipos[Tecnología]&amp;TbTipos[Metodo],TbTipos[Tipo])</f>
        <v>OMP Elementos</v>
      </c>
      <c r="AA64" s="6" t="str" cm="1">
        <f t="array" ref="AA64">_xlfn.XLOOKUP(Moult3[[#This Row],[Tecnología]]&amp;Moult3[[#This Row],[Problema]],TbNombres[Tecnología]&amp;TbNombres[Problema],TbNombres[Nombre])</f>
        <v>Brusselator1d</v>
      </c>
      <c r="AB64" s="6">
        <v>6</v>
      </c>
      <c r="AC64" s="6">
        <v>3</v>
      </c>
      <c r="AD64" s="6">
        <v>4</v>
      </c>
      <c r="AE64" s="6">
        <v>200</v>
      </c>
      <c r="AF64" s="6">
        <v>400</v>
      </c>
      <c r="AG64" s="6">
        <v>11.3154</v>
      </c>
    </row>
    <row r="65" spans="12:38" x14ac:dyDescent="0.2">
      <c r="X65" s="6" t="str">
        <f>_xlfn.XLOOKUP(Moult3[[#This Row],[Metodo]],TbSolver[Metodo],TbSolver[Solver])</f>
        <v>AdamsBashfordMoulton</v>
      </c>
      <c r="Y65" s="6" t="str">
        <f>_xlfn.XLOOKUP(Moult3[[#This Row],[Hebras]],TbTecnologia[Hebras],TbTecnologia[Tecnología])</f>
        <v>OMP</v>
      </c>
      <c r="Z65" s="7" t="str" cm="1">
        <f t="array" ref="Z65">_xlfn.XLOOKUP(Moult3[[#This Row],[Tecnología]]&amp;Moult3[[#This Row],[Metodo]],TbTipos[Tecnología]&amp;TbTipos[Metodo],TbTipos[Tipo])</f>
        <v>OMP Elementos</v>
      </c>
      <c r="AA65" s="6" t="str" cm="1">
        <f t="array" ref="AA65">_xlfn.XLOOKUP(Moult3[[#This Row],[Tecnología]]&amp;Moult3[[#This Row],[Problema]],TbNombres[Tecnología]&amp;TbNombres[Problema],TbNombres[Nombre])</f>
        <v>Brusselator1d</v>
      </c>
      <c r="AB65" s="6">
        <v>6</v>
      </c>
      <c r="AC65" s="6">
        <v>3</v>
      </c>
      <c r="AD65" s="6">
        <v>16</v>
      </c>
      <c r="AE65" s="6">
        <v>200</v>
      </c>
      <c r="AF65" s="6">
        <v>400</v>
      </c>
      <c r="AG65" s="6">
        <v>31.756699999999999</v>
      </c>
    </row>
    <row r="66" spans="12:38" x14ac:dyDescent="0.2">
      <c r="X66" s="6" t="str">
        <f>_xlfn.XLOOKUP(Moult3[[#This Row],[Metodo]],TbSolver[Metodo],TbSolver[Solver])</f>
        <v>AdamsBashfordMoulton</v>
      </c>
      <c r="Y66" s="6" t="str">
        <f>_xlfn.XLOOKUP(Moult3[[#This Row],[Hebras]],TbTecnologia[Hebras],TbTecnologia[Tecnología])</f>
        <v>OMP</v>
      </c>
      <c r="Z66" s="7" t="str" cm="1">
        <f t="array" ref="Z66">_xlfn.XLOOKUP(Moult3[[#This Row],[Tecnología]]&amp;Moult3[[#This Row],[Metodo]],TbTipos[Tecnología]&amp;TbTipos[Metodo],TbTipos[Tipo])</f>
        <v>OMP Elementos</v>
      </c>
      <c r="AA66" s="6" t="str" cm="1">
        <f t="array" ref="AA66">_xlfn.XLOOKUP(Moult3[[#This Row],[Tecnología]]&amp;Moult3[[#This Row],[Problema]],TbNombres[Tecnología]&amp;TbNombres[Problema],TbNombres[Nombre])</f>
        <v>Brusselator1d</v>
      </c>
      <c r="AB66" s="6">
        <v>6</v>
      </c>
      <c r="AC66" s="6">
        <v>3</v>
      </c>
      <c r="AD66" s="6">
        <v>1</v>
      </c>
      <c r="AE66" s="6">
        <v>500</v>
      </c>
      <c r="AF66" s="6">
        <v>1000</v>
      </c>
      <c r="AG66" s="6">
        <v>26.178599999999999</v>
      </c>
    </row>
    <row r="67" spans="12:38" x14ac:dyDescent="0.2">
      <c r="X67" s="6" t="str">
        <f>_xlfn.XLOOKUP(Moult3[[#This Row],[Metodo]],TbSolver[Metodo],TbSolver[Solver])</f>
        <v>AdamsBashfordMoulton</v>
      </c>
      <c r="Y67" s="6" t="str">
        <f>_xlfn.XLOOKUP(Moult3[[#This Row],[Hebras]],TbTecnologia[Hebras],TbTecnologia[Tecnología])</f>
        <v>OMP</v>
      </c>
      <c r="Z67" s="7" t="str" cm="1">
        <f t="array" ref="Z67">_xlfn.XLOOKUP(Moult3[[#This Row],[Tecnología]]&amp;Moult3[[#This Row],[Metodo]],TbTipos[Tecnología]&amp;TbTipos[Metodo],TbTipos[Tipo])</f>
        <v>OMP Elementos</v>
      </c>
      <c r="AA67" s="6" t="str" cm="1">
        <f t="array" ref="AA67">_xlfn.XLOOKUP(Moult3[[#This Row],[Tecnología]]&amp;Moult3[[#This Row],[Problema]],TbNombres[Tecnología]&amp;TbNombres[Problema],TbNombres[Nombre])</f>
        <v>Brusselator1d</v>
      </c>
      <c r="AB67" s="6">
        <v>6</v>
      </c>
      <c r="AC67" s="6">
        <v>3</v>
      </c>
      <c r="AD67" s="6">
        <v>4</v>
      </c>
      <c r="AE67" s="6">
        <v>500</v>
      </c>
      <c r="AF67" s="6">
        <v>1000</v>
      </c>
      <c r="AG67" s="6">
        <v>14.4763</v>
      </c>
    </row>
    <row r="68" spans="12:38" x14ac:dyDescent="0.2">
      <c r="X68" s="6" t="str">
        <f>_xlfn.XLOOKUP(Moult3[[#This Row],[Metodo]],TbSolver[Metodo],TbSolver[Solver])</f>
        <v>AdamsBashfordMoulton</v>
      </c>
      <c r="Y68" s="6" t="str">
        <f>_xlfn.XLOOKUP(Moult3[[#This Row],[Hebras]],TbTecnologia[Hebras],TbTecnologia[Tecnología])</f>
        <v>OMP</v>
      </c>
      <c r="Z68" s="7" t="str" cm="1">
        <f t="array" ref="Z68">_xlfn.XLOOKUP(Moult3[[#This Row],[Tecnología]]&amp;Moult3[[#This Row],[Metodo]],TbTipos[Tecnología]&amp;TbTipos[Metodo],TbTipos[Tipo])</f>
        <v>OMP Elementos</v>
      </c>
      <c r="AA68" s="6" t="str" cm="1">
        <f t="array" ref="AA68">_xlfn.XLOOKUP(Moult3[[#This Row],[Tecnología]]&amp;Moult3[[#This Row],[Problema]],TbNombres[Tecnología]&amp;TbNombres[Problema],TbNombres[Nombre])</f>
        <v>Brusselator1d</v>
      </c>
      <c r="AB68" s="6">
        <v>6</v>
      </c>
      <c r="AC68" s="6">
        <v>3</v>
      </c>
      <c r="AD68" s="6">
        <v>16</v>
      </c>
      <c r="AE68" s="6">
        <v>500</v>
      </c>
      <c r="AF68" s="6">
        <v>1000</v>
      </c>
      <c r="AG68" s="6">
        <v>20.375399999999999</v>
      </c>
    </row>
    <row r="69" spans="12:38" x14ac:dyDescent="0.2">
      <c r="X69" s="6" t="str">
        <f>_xlfn.XLOOKUP(Moult3[[#This Row],[Metodo]],TbSolver[Metodo],TbSolver[Solver])</f>
        <v>AdamsBashfordMoulton</v>
      </c>
      <c r="Y69" s="6" t="str">
        <f>_xlfn.XLOOKUP(Moult3[[#This Row],[Hebras]],TbTecnologia[Hebras],TbTecnologia[Tecnología])</f>
        <v>OMP</v>
      </c>
      <c r="Z69" s="7" t="str" cm="1">
        <f t="array" ref="Z69">_xlfn.XLOOKUP(Moult3[[#This Row],[Tecnología]]&amp;Moult3[[#This Row],[Metodo]],TbTipos[Tecnología]&amp;TbTipos[Metodo],TbTipos[Tipo])</f>
        <v>OMP Elementos</v>
      </c>
      <c r="AA69" s="6" t="str" cm="1">
        <f t="array" ref="AA69">_xlfn.XLOOKUP(Moult3[[#This Row],[Tecnología]]&amp;Moult3[[#This Row],[Problema]],TbNombres[Tecnología]&amp;TbNombres[Problema],TbNombres[Nombre])</f>
        <v>Brusselator1d</v>
      </c>
      <c r="AB69" s="6">
        <v>6</v>
      </c>
      <c r="AC69" s="6">
        <v>3</v>
      </c>
      <c r="AD69" s="6">
        <v>1</v>
      </c>
      <c r="AE69" s="6">
        <v>1000</v>
      </c>
      <c r="AF69" s="6">
        <v>2000</v>
      </c>
      <c r="AG69" s="6">
        <v>51.4666</v>
      </c>
    </row>
    <row r="70" spans="12:38" x14ac:dyDescent="0.2">
      <c r="X70" s="6" t="str">
        <f>_xlfn.XLOOKUP(Moult3[[#This Row],[Metodo]],TbSolver[Metodo],TbSolver[Solver])</f>
        <v>AdamsBashfordMoulton</v>
      </c>
      <c r="Y70" s="6" t="str">
        <f>_xlfn.XLOOKUP(Moult3[[#This Row],[Hebras]],TbTecnologia[Hebras],TbTecnologia[Tecnología])</f>
        <v>OMP</v>
      </c>
      <c r="Z70" s="7" t="str" cm="1">
        <f t="array" ref="Z70">_xlfn.XLOOKUP(Moult3[[#This Row],[Tecnología]]&amp;Moult3[[#This Row],[Metodo]],TbTipos[Tecnología]&amp;TbTipos[Metodo],TbTipos[Tipo])</f>
        <v>OMP Elementos</v>
      </c>
      <c r="AA70" s="6" t="str" cm="1">
        <f t="array" ref="AA70">_xlfn.XLOOKUP(Moult3[[#This Row],[Tecnología]]&amp;Moult3[[#This Row],[Problema]],TbNombres[Tecnología]&amp;TbNombres[Problema],TbNombres[Nombre])</f>
        <v>Brusselator1d</v>
      </c>
      <c r="AB70" s="6">
        <v>6</v>
      </c>
      <c r="AC70" s="6">
        <v>3</v>
      </c>
      <c r="AD70" s="6">
        <v>4</v>
      </c>
      <c r="AE70" s="6">
        <v>1000</v>
      </c>
      <c r="AF70" s="6">
        <v>2000</v>
      </c>
      <c r="AG70" s="6">
        <v>21.136500000000002</v>
      </c>
    </row>
    <row r="71" spans="12:38" x14ac:dyDescent="0.2">
      <c r="X71" s="6" t="str">
        <f>_xlfn.XLOOKUP(Moult3[[#This Row],[Metodo]],TbSolver[Metodo],TbSolver[Solver])</f>
        <v>AdamsBashfordMoulton</v>
      </c>
      <c r="Y71" s="6" t="str">
        <f>_xlfn.XLOOKUP(Moult3[[#This Row],[Hebras]],TbTecnologia[Hebras],TbTecnologia[Tecnología])</f>
        <v>OMP</v>
      </c>
      <c r="Z71" s="7" t="str" cm="1">
        <f t="array" ref="Z71">_xlfn.XLOOKUP(Moult3[[#This Row],[Tecnología]]&amp;Moult3[[#This Row],[Metodo]],TbTipos[Tecnología]&amp;TbTipos[Metodo],TbTipos[Tipo])</f>
        <v>OMP Elementos</v>
      </c>
      <c r="AA71" s="6" t="str" cm="1">
        <f t="array" ref="AA71">_xlfn.XLOOKUP(Moult3[[#This Row],[Tecnología]]&amp;Moult3[[#This Row],[Problema]],TbNombres[Tecnología]&amp;TbNombres[Problema],TbNombres[Nombre])</f>
        <v>Brusselator1d</v>
      </c>
      <c r="AB71" s="6">
        <v>6</v>
      </c>
      <c r="AC71" s="6">
        <v>3</v>
      </c>
      <c r="AD71" s="6">
        <v>16</v>
      </c>
      <c r="AE71" s="6">
        <v>1000</v>
      </c>
      <c r="AF71" s="6">
        <v>2000</v>
      </c>
      <c r="AG71" s="6">
        <v>31.011299999999999</v>
      </c>
    </row>
    <row r="73" spans="12:38" x14ac:dyDescent="0.2">
      <c r="L73" s="1"/>
      <c r="M73" s="1"/>
      <c r="N73" s="1"/>
      <c r="O73" s="1"/>
      <c r="P73" s="1"/>
      <c r="Q73" s="1"/>
      <c r="R73" s="1"/>
      <c r="V73" s="1"/>
      <c r="W73" s="1"/>
      <c r="X73" s="1"/>
      <c r="Y73" s="1"/>
      <c r="Z73" s="1"/>
      <c r="AA73" s="1"/>
      <c r="AB73" s="1"/>
      <c r="AF73" s="1"/>
      <c r="AG73" s="1"/>
      <c r="AH73" s="1"/>
      <c r="AI73" s="1"/>
      <c r="AJ73" s="1"/>
      <c r="AK73" s="1"/>
      <c r="AL73" s="1"/>
    </row>
  </sheetData>
  <mergeCells count="8">
    <mergeCell ref="X3:AG3"/>
    <mergeCell ref="X4:AG4"/>
    <mergeCell ref="AI3:AR3"/>
    <mergeCell ref="AI4:AR4"/>
    <mergeCell ref="M3:V3"/>
    <mergeCell ref="M4:V4"/>
    <mergeCell ref="B3:K3"/>
    <mergeCell ref="B4:K4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B3546-DD1A-4A4D-A513-87A4EF422AE0}">
  <dimension ref="B2:P746"/>
  <sheetViews>
    <sheetView tabSelected="1" workbookViewId="0">
      <selection activeCell="I731" sqref="I731"/>
    </sheetView>
  </sheetViews>
  <sheetFormatPr defaultRowHeight="12.75" x14ac:dyDescent="0.2"/>
  <cols>
    <col min="1" max="1" width="9.140625" style="1"/>
    <col min="2" max="2" width="9.85546875" style="1" customWidth="1"/>
    <col min="3" max="3" width="9.140625" style="1"/>
    <col min="4" max="4" width="16.42578125" style="1" bestFit="1" customWidth="1"/>
    <col min="5" max="5" width="12.7109375" style="1" bestFit="1" customWidth="1"/>
    <col min="6" max="6" width="12.5703125" style="1" bestFit="1" customWidth="1"/>
    <col min="7" max="13" width="9.140625" style="1"/>
    <col min="14" max="14" width="10.85546875" style="1" bestFit="1" customWidth="1"/>
    <col min="15" max="16" width="21" style="1" bestFit="1" customWidth="1"/>
    <col min="17" max="19" width="16.42578125" style="1" bestFit="1" customWidth="1"/>
    <col min="20" max="20" width="9.140625" style="1"/>
    <col min="21" max="21" width="9.85546875" style="1" customWidth="1"/>
    <col min="22" max="16384" width="9.140625" style="1"/>
  </cols>
  <sheetData>
    <row r="2" spans="2:16" x14ac:dyDescent="0.2">
      <c r="B2" s="1" t="s">
        <v>31</v>
      </c>
      <c r="C2" s="1" t="s">
        <v>23</v>
      </c>
      <c r="D2" s="1" t="s">
        <v>6</v>
      </c>
      <c r="E2" s="1" t="s">
        <v>30</v>
      </c>
      <c r="F2" s="1" t="s">
        <v>1</v>
      </c>
      <c r="G2" s="1" t="s">
        <v>2</v>
      </c>
      <c r="H2" s="1" t="s">
        <v>3</v>
      </c>
      <c r="I2" s="1" t="s">
        <v>4</v>
      </c>
      <c r="J2" s="1" t="s">
        <v>0</v>
      </c>
      <c r="K2" s="1" t="s">
        <v>5</v>
      </c>
      <c r="O2" s="1" t="s">
        <v>35</v>
      </c>
    </row>
    <row r="3" spans="2:16" x14ac:dyDescent="0.2">
      <c r="B3" s="1" t="str">
        <f>_xlfn.XLOOKUP(Total[[#This Row],[Metodo]],TbSolver[Metodo],TbSolver[Solver])</f>
        <v>RungeKutta</v>
      </c>
      <c r="C3" s="1" t="str">
        <f>_xlfn.XLOOKUP(Total[[#This Row],[Hebras]],TbTecnologia[Hebras],TbTecnologia[Tecnología])</f>
        <v>OMP</v>
      </c>
      <c r="D3" s="1" t="str" cm="1">
        <f t="array" ref="D3">_xlfn.XLOOKUP(Total[[#This Row],[Tecnología]]&amp;Total[[#This Row],[Metodo]],TbTipos[Tecnología]&amp;TbTipos[Metodo],TbTipos[Tipo])</f>
        <v>OMP Operaciones</v>
      </c>
      <c r="E3" s="1" t="str" cm="1">
        <f t="array" ref="E3">_xlfn.XLOOKUP(Total[[#This Row],[Tecnología]]&amp;Total[[#This Row],[Problema]],TbNombres[Tecnología]&amp;TbNombres[Problema],TbNombres[Nombre])</f>
        <v>Simple Advdiff</v>
      </c>
      <c r="F3" s="1">
        <v>1</v>
      </c>
      <c r="G3" s="1">
        <v>1</v>
      </c>
      <c r="H3" s="1">
        <v>1</v>
      </c>
      <c r="I3" s="1">
        <v>100</v>
      </c>
      <c r="J3" s="1">
        <v>100</v>
      </c>
      <c r="K3" s="1">
        <v>2.7344300000000001</v>
      </c>
    </row>
    <row r="4" spans="2:16" x14ac:dyDescent="0.2">
      <c r="B4" s="1" t="str">
        <f>_xlfn.XLOOKUP(Total[[#This Row],[Metodo]],TbSolver[Metodo],TbSolver[Solver])</f>
        <v>RungeKutta</v>
      </c>
      <c r="C4" s="1" t="str">
        <f>_xlfn.XLOOKUP(Total[[#This Row],[Hebras]],TbTecnologia[Hebras],TbTecnologia[Tecnología])</f>
        <v>OMP</v>
      </c>
      <c r="D4" s="1" t="str" cm="1">
        <f t="array" ref="D4">_xlfn.XLOOKUP(Total[[#This Row],[Tecnología]]&amp;Total[[#This Row],[Metodo]],TbTipos[Tecnología]&amp;TbTipos[Metodo],TbTipos[Tipo])</f>
        <v>OMP Elementos</v>
      </c>
      <c r="E4" s="1" t="str" cm="1">
        <f t="array" ref="E4">_xlfn.XLOOKUP(Total[[#This Row],[Tecnología]]&amp;Total[[#This Row],[Problema]],TbNombres[Tecnología]&amp;TbNombres[Problema],TbNombres[Nombre])</f>
        <v>Simple Advdiff</v>
      </c>
      <c r="F4" s="1">
        <v>2</v>
      </c>
      <c r="G4" s="1">
        <v>1</v>
      </c>
      <c r="H4" s="1">
        <v>1</v>
      </c>
      <c r="I4" s="1">
        <v>100</v>
      </c>
      <c r="J4" s="1">
        <v>100</v>
      </c>
      <c r="K4" s="1">
        <v>3.68499</v>
      </c>
      <c r="N4" s="24" t="s">
        <v>31</v>
      </c>
      <c r="O4" s="25" t="s">
        <v>32</v>
      </c>
      <c r="P4" s="26">
        <f>COUNTIF(Total[Solver],$O4)</f>
        <v>286</v>
      </c>
    </row>
    <row r="5" spans="2:16" x14ac:dyDescent="0.2">
      <c r="B5" s="1" t="str">
        <f>_xlfn.XLOOKUP(Total[[#This Row],[Metodo]],TbSolver[Metodo],TbSolver[Solver])</f>
        <v>RungeKutta</v>
      </c>
      <c r="C5" s="1" t="str">
        <f>_xlfn.XLOOKUP(Total[[#This Row],[Hebras]],TbTecnologia[Hebras],TbTecnologia[Tecnología])</f>
        <v>OMP</v>
      </c>
      <c r="D5" s="1" t="str" cm="1">
        <f t="array" ref="D5">_xlfn.XLOOKUP(Total[[#This Row],[Tecnología]]&amp;Total[[#This Row],[Metodo]],TbTipos[Tecnología]&amp;TbTipos[Metodo],TbTipos[Tipo])</f>
        <v>OMP Elementos</v>
      </c>
      <c r="E5" s="1" t="str" cm="1">
        <f t="array" ref="E5">_xlfn.XLOOKUP(Total[[#This Row],[Tecnología]]&amp;Total[[#This Row],[Problema]],TbNombres[Tecnología]&amp;TbNombres[Problema],TbNombres[Nombre])</f>
        <v>Simple Advdiff</v>
      </c>
      <c r="F5" s="1">
        <v>2</v>
      </c>
      <c r="G5" s="1">
        <v>1</v>
      </c>
      <c r="H5" s="1">
        <v>4</v>
      </c>
      <c r="I5" s="1">
        <v>100</v>
      </c>
      <c r="J5" s="1">
        <v>100</v>
      </c>
      <c r="K5" s="1">
        <v>8.7560699999999994</v>
      </c>
      <c r="N5" s="27"/>
      <c r="O5" s="28" t="s">
        <v>33</v>
      </c>
      <c r="P5" s="29">
        <f>COUNTIF(Total[Solver],$O5)</f>
        <v>246</v>
      </c>
    </row>
    <row r="6" spans="2:16" x14ac:dyDescent="0.2">
      <c r="B6" s="1" t="str">
        <f>_xlfn.XLOOKUP(Total[[#This Row],[Metodo]],TbSolver[Metodo],TbSolver[Solver])</f>
        <v>RungeKutta</v>
      </c>
      <c r="C6" s="1" t="str">
        <f>_xlfn.XLOOKUP(Total[[#This Row],[Hebras]],TbTecnologia[Hebras],TbTecnologia[Tecnología])</f>
        <v>CUDA</v>
      </c>
      <c r="D6" s="1" t="str" cm="1">
        <f t="array" ref="D6">_xlfn.XLOOKUP(Total[[#This Row],[Tecnología]]&amp;Total[[#This Row],[Metodo]],TbTipos[Tecnología]&amp;TbTipos[Metodo],TbTipos[Tipo])</f>
        <v>CUDA con graph</v>
      </c>
      <c r="E6" s="1" t="str" cm="1">
        <f t="array" ref="E6">_xlfn.XLOOKUP(Total[[#This Row],[Tecnología]]&amp;Total[[#This Row],[Problema]],TbNombres[Tecnología]&amp;TbNombres[Problema],TbNombres[Nombre])</f>
        <v>Simple Advdiff</v>
      </c>
      <c r="F6" s="1">
        <v>2</v>
      </c>
      <c r="G6" s="1">
        <v>1</v>
      </c>
      <c r="H6" s="1">
        <v>256</v>
      </c>
      <c r="I6" s="1">
        <v>100</v>
      </c>
      <c r="J6" s="1">
        <v>100</v>
      </c>
      <c r="K6" s="1">
        <v>10.740600000000001</v>
      </c>
      <c r="N6" s="30"/>
      <c r="O6" s="31" t="s">
        <v>34</v>
      </c>
      <c r="P6" s="32">
        <f>COUNTIF(Total[Solver],$O6)</f>
        <v>212</v>
      </c>
    </row>
    <row r="7" spans="2:16" x14ac:dyDescent="0.2">
      <c r="B7" s="1" t="str">
        <f>_xlfn.XLOOKUP(Total[[#This Row],[Metodo]],TbSolver[Metodo],TbSolver[Solver])</f>
        <v>RungeKutta</v>
      </c>
      <c r="C7" s="1" t="str">
        <f>_xlfn.XLOOKUP(Total[[#This Row],[Hebras]],TbTecnologia[Hebras],TbTecnologia[Tecnología])</f>
        <v>CUDA</v>
      </c>
      <c r="D7" s="1" t="str" cm="1">
        <f t="array" ref="D7">_xlfn.XLOOKUP(Total[[#This Row],[Tecnología]]&amp;Total[[#This Row],[Metodo]],TbTipos[Tecnología]&amp;TbTipos[Metodo],TbTipos[Tipo])</f>
        <v>CUDA con graph</v>
      </c>
      <c r="E7" s="1" t="str" cm="1">
        <f t="array" ref="E7">_xlfn.XLOOKUP(Total[[#This Row],[Tecnología]]&amp;Total[[#This Row],[Problema]],TbNombres[Tecnología]&amp;TbNombres[Problema],TbNombres[Nombre])</f>
        <v>Simple Advdiff</v>
      </c>
      <c r="F7" s="1">
        <v>2</v>
      </c>
      <c r="G7" s="1">
        <v>2</v>
      </c>
      <c r="H7" s="1">
        <v>256</v>
      </c>
      <c r="I7" s="1">
        <v>100</v>
      </c>
      <c r="J7" s="1">
        <v>100</v>
      </c>
      <c r="K7" s="1">
        <v>11.0594</v>
      </c>
      <c r="N7" s="24" t="s">
        <v>23</v>
      </c>
      <c r="O7" s="25" t="s">
        <v>24</v>
      </c>
      <c r="P7" s="26">
        <f>COUNTIF(Total[Tecnología],$O7)</f>
        <v>289</v>
      </c>
    </row>
    <row r="8" spans="2:16" x14ac:dyDescent="0.2">
      <c r="B8" s="1" t="str">
        <f>_xlfn.XLOOKUP(Total[[#This Row],[Metodo]],TbSolver[Metodo],TbSolver[Solver])</f>
        <v>RungeKutta</v>
      </c>
      <c r="C8" s="1" t="str">
        <f>_xlfn.XLOOKUP(Total[[#This Row],[Hebras]],TbTecnologia[Hebras],TbTecnologia[Tecnología])</f>
        <v>CUDA</v>
      </c>
      <c r="D8" s="1" t="str" cm="1">
        <f t="array" ref="D8">_xlfn.XLOOKUP(Total[[#This Row],[Tecnología]]&amp;Total[[#This Row],[Metodo]],TbTipos[Tecnología]&amp;TbTipos[Metodo],TbTipos[Tipo])</f>
        <v>CUDA sin graph</v>
      </c>
      <c r="E8" s="1" t="str" cm="1">
        <f t="array" ref="E8">_xlfn.XLOOKUP(Total[[#This Row],[Tecnología]]&amp;Total[[#This Row],[Problema]],TbNombres[Tecnología]&amp;TbNombres[Problema],TbNombres[Nombre])</f>
        <v>Simple Advdiff</v>
      </c>
      <c r="F8" s="1">
        <v>1</v>
      </c>
      <c r="G8" s="1">
        <v>1</v>
      </c>
      <c r="H8" s="1">
        <v>256</v>
      </c>
      <c r="I8" s="1">
        <v>100</v>
      </c>
      <c r="J8" s="1">
        <v>100</v>
      </c>
      <c r="K8" s="1">
        <v>14.210800000000001</v>
      </c>
      <c r="N8" s="30"/>
      <c r="O8" s="31" t="s">
        <v>25</v>
      </c>
      <c r="P8" s="32">
        <f>COUNTIF(Total[Tecnología],$O8)</f>
        <v>455</v>
      </c>
    </row>
    <row r="9" spans="2:16" x14ac:dyDescent="0.2">
      <c r="B9" s="1" t="str">
        <f>_xlfn.XLOOKUP(Total[[#This Row],[Metodo]],TbSolver[Metodo],TbSolver[Solver])</f>
        <v>RungeKutta</v>
      </c>
      <c r="C9" s="1" t="str">
        <f>_xlfn.XLOOKUP(Total[[#This Row],[Hebras]],TbTecnologia[Hebras],TbTecnologia[Tecnología])</f>
        <v>CUDA</v>
      </c>
      <c r="D9" s="1" t="str" cm="1">
        <f t="array" ref="D9">_xlfn.XLOOKUP(Total[[#This Row],[Tecnología]]&amp;Total[[#This Row],[Metodo]],TbTipos[Tecnología]&amp;TbTipos[Metodo],TbTipos[Tipo])</f>
        <v>CUDA sin graph</v>
      </c>
      <c r="E9" s="1" t="str" cm="1">
        <f t="array" ref="E9">_xlfn.XLOOKUP(Total[[#This Row],[Tecnología]]&amp;Total[[#This Row],[Problema]],TbNombres[Tecnología]&amp;TbNombres[Problema],TbNombres[Nombre])</f>
        <v>Simple Advdiff</v>
      </c>
      <c r="F9" s="1">
        <v>1</v>
      </c>
      <c r="G9" s="1">
        <v>2</v>
      </c>
      <c r="H9" s="1">
        <v>256</v>
      </c>
      <c r="I9" s="1">
        <v>100</v>
      </c>
      <c r="J9" s="1">
        <v>100</v>
      </c>
      <c r="K9" s="1">
        <v>17.4419</v>
      </c>
      <c r="N9" s="24" t="s">
        <v>6</v>
      </c>
      <c r="O9" s="25" t="s">
        <v>19</v>
      </c>
      <c r="P9" s="26">
        <f>COUNTIF(Total[Tipo],$O9)</f>
        <v>144</v>
      </c>
    </row>
    <row r="10" spans="2:16" x14ac:dyDescent="0.2">
      <c r="B10" s="1" t="str">
        <f>_xlfn.XLOOKUP(Total[[#This Row],[Metodo]],TbSolver[Metodo],TbSolver[Solver])</f>
        <v>RungeKutta</v>
      </c>
      <c r="C10" s="1" t="str">
        <f>_xlfn.XLOOKUP(Total[[#This Row],[Hebras]],TbTecnologia[Hebras],TbTecnologia[Tecnología])</f>
        <v>OMP</v>
      </c>
      <c r="D10" s="1" t="str" cm="1">
        <f t="array" ref="D10">_xlfn.XLOOKUP(Total[[#This Row],[Tecnología]]&amp;Total[[#This Row],[Metodo]],TbTipos[Tecnología]&amp;TbTipos[Metodo],TbTipos[Tipo])</f>
        <v>OMP Elementos</v>
      </c>
      <c r="E10" s="1" t="str" cm="1">
        <f t="array" ref="E10">_xlfn.XLOOKUP(Total[[#This Row],[Tecnología]]&amp;Total[[#This Row],[Problema]],TbNombres[Tecnología]&amp;TbNombres[Problema],TbNombres[Nombre])</f>
        <v>Simple Advdiff</v>
      </c>
      <c r="F10" s="1">
        <v>2</v>
      </c>
      <c r="G10" s="1">
        <v>1</v>
      </c>
      <c r="H10" s="1">
        <v>16</v>
      </c>
      <c r="I10" s="1">
        <v>100</v>
      </c>
      <c r="J10" s="1">
        <v>100</v>
      </c>
      <c r="K10" s="1">
        <v>22.540800000000001</v>
      </c>
      <c r="N10" s="27"/>
      <c r="O10" s="28" t="s">
        <v>20</v>
      </c>
      <c r="P10" s="29">
        <f>COUNTIF(Total[Tipo],$O10)</f>
        <v>145</v>
      </c>
    </row>
    <row r="11" spans="2:16" x14ac:dyDescent="0.2">
      <c r="B11" s="1" t="str">
        <f>_xlfn.XLOOKUP(Total[[#This Row],[Metodo]],TbSolver[Metodo],TbSolver[Solver])</f>
        <v>RungeKutta</v>
      </c>
      <c r="C11" s="1" t="str">
        <f>_xlfn.XLOOKUP(Total[[#This Row],[Hebras]],TbTecnologia[Hebras],TbTecnologia[Tecnología])</f>
        <v>OMP</v>
      </c>
      <c r="D11" s="1" t="str" cm="1">
        <f t="array" ref="D11">_xlfn.XLOOKUP(Total[[#This Row],[Tecnología]]&amp;Total[[#This Row],[Metodo]],TbTipos[Tecnología]&amp;TbTipos[Metodo],TbTipos[Tipo])</f>
        <v>OMP Operaciones</v>
      </c>
      <c r="E11" s="1" t="str" cm="1">
        <f t="array" ref="E11">_xlfn.XLOOKUP(Total[[#This Row],[Tecnología]]&amp;Total[[#This Row],[Problema]],TbNombres[Tecnología]&amp;TbNombres[Problema],TbNombres[Nombre])</f>
        <v>Simple Advdiff</v>
      </c>
      <c r="F11" s="1">
        <v>1</v>
      </c>
      <c r="G11" s="1">
        <v>1</v>
      </c>
      <c r="H11" s="1">
        <v>4</v>
      </c>
      <c r="I11" s="1">
        <v>100</v>
      </c>
      <c r="J11" s="1">
        <v>100</v>
      </c>
      <c r="K11" s="1">
        <v>25.209800000000001</v>
      </c>
      <c r="N11" s="27"/>
      <c r="O11" s="28" t="s">
        <v>22</v>
      </c>
      <c r="P11" s="29">
        <f>COUNTIF(Total[Tipo],$O11)</f>
        <v>260</v>
      </c>
    </row>
    <row r="12" spans="2:16" x14ac:dyDescent="0.2">
      <c r="B12" s="1" t="str">
        <f>_xlfn.XLOOKUP(Total[[#This Row],[Metodo]],TbSolver[Metodo],TbSolver[Solver])</f>
        <v>RungeKutta</v>
      </c>
      <c r="C12" s="1" t="str">
        <f>_xlfn.XLOOKUP(Total[[#This Row],[Hebras]],TbTecnologia[Hebras],TbTecnologia[Tecnología])</f>
        <v>OMP</v>
      </c>
      <c r="D12" s="1" t="str" cm="1">
        <f t="array" ref="D12">_xlfn.XLOOKUP(Total[[#This Row],[Tecnología]]&amp;Total[[#This Row],[Metodo]],TbTipos[Tecnología]&amp;TbTipos[Metodo],TbTipos[Tipo])</f>
        <v>OMP Operaciones</v>
      </c>
      <c r="E12" s="1" t="str" cm="1">
        <f t="array" ref="E12">_xlfn.XLOOKUP(Total[[#This Row],[Tecnología]]&amp;Total[[#This Row],[Problema]],TbNombres[Tecnología]&amp;TbNombres[Problema],TbNombres[Nombre])</f>
        <v>Simple Advdiff</v>
      </c>
      <c r="F12" s="1">
        <v>1</v>
      </c>
      <c r="G12" s="1">
        <v>1</v>
      </c>
      <c r="H12" s="1">
        <v>16</v>
      </c>
      <c r="I12" s="1">
        <v>100</v>
      </c>
      <c r="J12" s="1">
        <v>100</v>
      </c>
      <c r="K12" s="1">
        <v>61.1526</v>
      </c>
      <c r="N12" s="30"/>
      <c r="O12" s="31" t="s">
        <v>21</v>
      </c>
      <c r="P12" s="32">
        <f>COUNTIF(Total[Tipo],$O12)</f>
        <v>195</v>
      </c>
    </row>
    <row r="13" spans="2:16" x14ac:dyDescent="0.2">
      <c r="B13" s="1" t="str">
        <f>_xlfn.XLOOKUP(Total[[#This Row],[Metodo]],TbSolver[Metodo],TbSolver[Solver])</f>
        <v>RungeKutta</v>
      </c>
      <c r="C13" s="1" t="str">
        <f>_xlfn.XLOOKUP(Total[[#This Row],[Hebras]],TbTecnologia[Hebras],TbTecnologia[Tecnología])</f>
        <v>OMP</v>
      </c>
      <c r="D13" s="1" t="str" cm="1">
        <f t="array" ref="D13">_xlfn.XLOOKUP(Total[[#This Row],[Tecnología]]&amp;Total[[#This Row],[Metodo]],TbTipos[Tecnología]&amp;TbTipos[Metodo],TbTipos[Tipo])</f>
        <v>OMP Operaciones</v>
      </c>
      <c r="E13" s="1" t="str" cm="1">
        <f t="array" ref="E13">_xlfn.XLOOKUP(Total[[#This Row],[Tecnología]]&amp;Total[[#This Row],[Problema]],TbNombres[Tecnología]&amp;TbNombres[Problema],TbNombres[Nombre])</f>
        <v>Simple Advdiff</v>
      </c>
      <c r="F13" s="1">
        <v>1</v>
      </c>
      <c r="G13" s="1">
        <v>1</v>
      </c>
      <c r="H13" s="1">
        <v>1</v>
      </c>
      <c r="I13" s="1">
        <v>200</v>
      </c>
      <c r="J13" s="1">
        <v>200</v>
      </c>
      <c r="K13" s="1">
        <v>3.2512799999999999</v>
      </c>
      <c r="N13" s="24" t="s">
        <v>30</v>
      </c>
      <c r="O13" s="25" t="s">
        <v>26</v>
      </c>
      <c r="P13" s="26">
        <f>COUNTIF(Total[Nombre],$O13)</f>
        <v>190</v>
      </c>
    </row>
    <row r="14" spans="2:16" x14ac:dyDescent="0.2">
      <c r="B14" s="1" t="str">
        <f>_xlfn.XLOOKUP(Total[[#This Row],[Metodo]],TbSolver[Metodo],TbSolver[Solver])</f>
        <v>RungeKutta</v>
      </c>
      <c r="C14" s="1" t="str">
        <f>_xlfn.XLOOKUP(Total[[#This Row],[Hebras]],TbTecnologia[Hebras],TbTecnologia[Tecnología])</f>
        <v>OMP</v>
      </c>
      <c r="D14" s="1" t="str" cm="1">
        <f t="array" ref="D14">_xlfn.XLOOKUP(Total[[#This Row],[Tecnología]]&amp;Total[[#This Row],[Metodo]],TbTipos[Tecnología]&amp;TbTipos[Metodo],TbTipos[Tipo])</f>
        <v>OMP Elementos</v>
      </c>
      <c r="E14" s="1" t="str" cm="1">
        <f t="array" ref="E14">_xlfn.XLOOKUP(Total[[#This Row],[Tecnología]]&amp;Total[[#This Row],[Problema]],TbNombres[Tecnología]&amp;TbNombres[Problema],TbNombres[Nombre])</f>
        <v>Simple Advdiff</v>
      </c>
      <c r="F14" s="1">
        <v>2</v>
      </c>
      <c r="G14" s="1">
        <v>1</v>
      </c>
      <c r="H14" s="1">
        <v>1</v>
      </c>
      <c r="I14" s="1">
        <v>200</v>
      </c>
      <c r="J14" s="1">
        <v>200</v>
      </c>
      <c r="K14" s="1">
        <v>6.65367</v>
      </c>
      <c r="N14" s="27"/>
      <c r="O14" s="28" t="s">
        <v>27</v>
      </c>
      <c r="P14" s="29">
        <f>COUNTIF(Total[Nombre],$O14)</f>
        <v>190</v>
      </c>
    </row>
    <row r="15" spans="2:16" x14ac:dyDescent="0.2">
      <c r="B15" s="1" t="str">
        <f>_xlfn.XLOOKUP(Total[[#This Row],[Metodo]],TbSolver[Metodo],TbSolver[Solver])</f>
        <v>RungeKutta</v>
      </c>
      <c r="C15" s="1" t="str">
        <f>_xlfn.XLOOKUP(Total[[#This Row],[Hebras]],TbTecnologia[Hebras],TbTecnologia[Tecnología])</f>
        <v>OMP</v>
      </c>
      <c r="D15" s="1" t="str" cm="1">
        <f t="array" ref="D15">_xlfn.XLOOKUP(Total[[#This Row],[Tecnología]]&amp;Total[[#This Row],[Metodo]],TbTipos[Tecnología]&amp;TbTipos[Metodo],TbTipos[Tipo])</f>
        <v>OMP Elementos</v>
      </c>
      <c r="E15" s="1" t="str" cm="1">
        <f t="array" ref="E15">_xlfn.XLOOKUP(Total[[#This Row],[Tecnología]]&amp;Total[[#This Row],[Problema]],TbNombres[Tecnología]&amp;TbNombres[Problema],TbNombres[Nombre])</f>
        <v>Simple Advdiff</v>
      </c>
      <c r="F15" s="1">
        <v>2</v>
      </c>
      <c r="G15" s="1">
        <v>1</v>
      </c>
      <c r="H15" s="1">
        <v>4</v>
      </c>
      <c r="I15" s="1">
        <v>200</v>
      </c>
      <c r="J15" s="1">
        <v>200</v>
      </c>
      <c r="K15" s="1">
        <v>8.3852899999999995</v>
      </c>
      <c r="N15" s="27"/>
      <c r="O15" s="28" t="s">
        <v>28</v>
      </c>
      <c r="P15" s="29">
        <f>COUNTIF(Total[Nombre],$O15)</f>
        <v>243</v>
      </c>
    </row>
    <row r="16" spans="2:16" x14ac:dyDescent="0.2">
      <c r="B16" s="1" t="str">
        <f>_xlfn.XLOOKUP(Total[[#This Row],[Metodo]],TbSolver[Metodo],TbSolver[Solver])</f>
        <v>RungeKutta</v>
      </c>
      <c r="C16" s="1" t="str">
        <f>_xlfn.XLOOKUP(Total[[#This Row],[Hebras]],TbTecnologia[Hebras],TbTecnologia[Tecnología])</f>
        <v>CUDA</v>
      </c>
      <c r="D16" s="1" t="str" cm="1">
        <f t="array" ref="D16">_xlfn.XLOOKUP(Total[[#This Row],[Tecnología]]&amp;Total[[#This Row],[Metodo]],TbTipos[Tecnología]&amp;TbTipos[Metodo],TbTipos[Tipo])</f>
        <v>CUDA con graph</v>
      </c>
      <c r="E16" s="1" t="str" cm="1">
        <f t="array" ref="E16">_xlfn.XLOOKUP(Total[[#This Row],[Tecnología]]&amp;Total[[#This Row],[Problema]],TbNombres[Tecnología]&amp;TbNombres[Problema],TbNombres[Nombre])</f>
        <v>Simple Advdiff</v>
      </c>
      <c r="F16" s="1">
        <v>2</v>
      </c>
      <c r="G16" s="1">
        <v>1</v>
      </c>
      <c r="H16" s="1">
        <v>256</v>
      </c>
      <c r="I16" s="1">
        <v>200</v>
      </c>
      <c r="J16" s="1">
        <v>200</v>
      </c>
      <c r="K16" s="1">
        <v>12.125500000000001</v>
      </c>
      <c r="N16" s="30"/>
      <c r="O16" s="31" t="s">
        <v>29</v>
      </c>
      <c r="P16" s="32">
        <f>COUNTIF(Total[Nombre],$O16)</f>
        <v>121</v>
      </c>
    </row>
    <row r="17" spans="2:16" x14ac:dyDescent="0.2">
      <c r="B17" s="1" t="str">
        <f>_xlfn.XLOOKUP(Total[[#This Row],[Metodo]],TbSolver[Metodo],TbSolver[Solver])</f>
        <v>RungeKutta</v>
      </c>
      <c r="C17" s="1" t="str">
        <f>_xlfn.XLOOKUP(Total[[#This Row],[Hebras]],TbTecnologia[Hebras],TbTecnologia[Tecnología])</f>
        <v>CUDA</v>
      </c>
      <c r="D17" s="1" t="str" cm="1">
        <f t="array" ref="D17">_xlfn.XLOOKUP(Total[[#This Row],[Tecnología]]&amp;Total[[#This Row],[Metodo]],TbTipos[Tecnología]&amp;TbTipos[Metodo],TbTipos[Tipo])</f>
        <v>CUDA con graph</v>
      </c>
      <c r="E17" s="1" t="str" cm="1">
        <f t="array" ref="E17">_xlfn.XLOOKUP(Total[[#This Row],[Tecnología]]&amp;Total[[#This Row],[Problema]],TbNombres[Tecnología]&amp;TbNombres[Problema],TbNombres[Nombre])</f>
        <v>Simple Advdiff</v>
      </c>
      <c r="F17" s="1">
        <v>2</v>
      </c>
      <c r="G17" s="1">
        <v>2</v>
      </c>
      <c r="H17" s="1">
        <v>256</v>
      </c>
      <c r="I17" s="1">
        <v>200</v>
      </c>
      <c r="J17" s="1">
        <v>200</v>
      </c>
      <c r="K17" s="1">
        <v>12.1938</v>
      </c>
      <c r="N17" s="24" t="s">
        <v>1</v>
      </c>
      <c r="O17" s="25">
        <v>1</v>
      </c>
      <c r="P17" s="26">
        <f>COUNTIF(Total[Metodo],$O17)</f>
        <v>143</v>
      </c>
    </row>
    <row r="18" spans="2:16" x14ac:dyDescent="0.2">
      <c r="B18" s="1" t="str">
        <f>_xlfn.XLOOKUP(Total[[#This Row],[Metodo]],TbSolver[Metodo],TbSolver[Solver])</f>
        <v>RungeKutta</v>
      </c>
      <c r="C18" s="1" t="str">
        <f>_xlfn.XLOOKUP(Total[[#This Row],[Hebras]],TbTecnologia[Hebras],TbTecnologia[Tecnología])</f>
        <v>CUDA</v>
      </c>
      <c r="D18" s="1" t="str" cm="1">
        <f t="array" ref="D18">_xlfn.XLOOKUP(Total[[#This Row],[Tecnología]]&amp;Total[[#This Row],[Metodo]],TbTipos[Tecnología]&amp;TbTipos[Metodo],TbTipos[Tipo])</f>
        <v>CUDA sin graph</v>
      </c>
      <c r="E18" s="1" t="str" cm="1">
        <f t="array" ref="E18">_xlfn.XLOOKUP(Total[[#This Row],[Tecnología]]&amp;Total[[#This Row],[Problema]],TbNombres[Tecnología]&amp;TbNombres[Problema],TbNombres[Nombre])</f>
        <v>Simple Advdiff</v>
      </c>
      <c r="F18" s="1">
        <v>1</v>
      </c>
      <c r="G18" s="1">
        <v>1</v>
      </c>
      <c r="H18" s="1">
        <v>256</v>
      </c>
      <c r="I18" s="1">
        <v>200</v>
      </c>
      <c r="J18" s="1">
        <v>200</v>
      </c>
      <c r="K18" s="1">
        <v>15.0952</v>
      </c>
      <c r="N18" s="27"/>
      <c r="O18" s="28">
        <v>2</v>
      </c>
      <c r="P18" s="29">
        <f>COUNTIF(Total[Metodo],$O18)</f>
        <v>143</v>
      </c>
    </row>
    <row r="19" spans="2:16" x14ac:dyDescent="0.2">
      <c r="B19" s="1" t="str">
        <f>_xlfn.XLOOKUP(Total[[#This Row],[Metodo]],TbSolver[Metodo],TbSolver[Solver])</f>
        <v>RungeKutta</v>
      </c>
      <c r="C19" s="1" t="str">
        <f>_xlfn.XLOOKUP(Total[[#This Row],[Hebras]],TbTecnologia[Hebras],TbTecnologia[Tecnología])</f>
        <v>CUDA</v>
      </c>
      <c r="D19" s="1" t="str" cm="1">
        <f t="array" ref="D19">_xlfn.XLOOKUP(Total[[#This Row],[Tecnología]]&amp;Total[[#This Row],[Metodo]],TbTipos[Tecnología]&amp;TbTipos[Metodo],TbTipos[Tipo])</f>
        <v>CUDA sin graph</v>
      </c>
      <c r="E19" s="1" t="str" cm="1">
        <f t="array" ref="E19">_xlfn.XLOOKUP(Total[[#This Row],[Tecnología]]&amp;Total[[#This Row],[Problema]],TbNombres[Tecnología]&amp;TbNombres[Problema],TbNombres[Nombre])</f>
        <v>Simple Advdiff</v>
      </c>
      <c r="F19" s="1">
        <v>1</v>
      </c>
      <c r="G19" s="1">
        <v>2</v>
      </c>
      <c r="H19" s="1">
        <v>256</v>
      </c>
      <c r="I19" s="1">
        <v>200</v>
      </c>
      <c r="J19" s="1">
        <v>200</v>
      </c>
      <c r="K19" s="1">
        <v>18.799099999999999</v>
      </c>
      <c r="N19" s="27"/>
      <c r="O19" s="28">
        <v>3</v>
      </c>
      <c r="P19" s="29">
        <f>COUNTIF(Total[Metodo],$O19)</f>
        <v>148</v>
      </c>
    </row>
    <row r="20" spans="2:16" x14ac:dyDescent="0.2">
      <c r="B20" s="1" t="str">
        <f>_xlfn.XLOOKUP(Total[[#This Row],[Metodo]],TbSolver[Metodo],TbSolver[Solver])</f>
        <v>RungeKutta</v>
      </c>
      <c r="C20" s="1" t="str">
        <f>_xlfn.XLOOKUP(Total[[#This Row],[Hebras]],TbTecnologia[Hebras],TbTecnologia[Tecnología])</f>
        <v>OMP</v>
      </c>
      <c r="D20" s="1" t="str" cm="1">
        <f t="array" ref="D20">_xlfn.XLOOKUP(Total[[#This Row],[Tecnología]]&amp;Total[[#This Row],[Metodo]],TbTipos[Tecnología]&amp;TbTipos[Metodo],TbTipos[Tipo])</f>
        <v>OMP Operaciones</v>
      </c>
      <c r="E20" s="1" t="str" cm="1">
        <f t="array" ref="E20">_xlfn.XLOOKUP(Total[[#This Row],[Tecnología]]&amp;Total[[#This Row],[Problema]],TbNombres[Tecnología]&amp;TbNombres[Problema],TbNombres[Nombre])</f>
        <v>Simple Advdiff</v>
      </c>
      <c r="F20" s="1">
        <v>1</v>
      </c>
      <c r="G20" s="1">
        <v>1</v>
      </c>
      <c r="H20" s="1">
        <v>4</v>
      </c>
      <c r="I20" s="1">
        <v>200</v>
      </c>
      <c r="J20" s="1">
        <v>200</v>
      </c>
      <c r="K20" s="1">
        <v>23.6295</v>
      </c>
      <c r="N20" s="27"/>
      <c r="O20" s="28">
        <v>4</v>
      </c>
      <c r="P20" s="29">
        <f>COUNTIF(Total[Metodo],$O20)</f>
        <v>98</v>
      </c>
    </row>
    <row r="21" spans="2:16" x14ac:dyDescent="0.2">
      <c r="B21" s="1" t="str">
        <f>_xlfn.XLOOKUP(Total[[#This Row],[Metodo]],TbSolver[Metodo],TbSolver[Solver])</f>
        <v>RungeKutta</v>
      </c>
      <c r="C21" s="1" t="str">
        <f>_xlfn.XLOOKUP(Total[[#This Row],[Hebras]],TbTecnologia[Hebras],TbTecnologia[Tecnología])</f>
        <v>OMP</v>
      </c>
      <c r="D21" s="1" t="str" cm="1">
        <f t="array" ref="D21">_xlfn.XLOOKUP(Total[[#This Row],[Tecnología]]&amp;Total[[#This Row],[Metodo]],TbTipos[Tecnología]&amp;TbTipos[Metodo],TbTipos[Tipo])</f>
        <v>OMP Elementos</v>
      </c>
      <c r="E21" s="1" t="str" cm="1">
        <f t="array" ref="E21">_xlfn.XLOOKUP(Total[[#This Row],[Tecnología]]&amp;Total[[#This Row],[Problema]],TbNombres[Tecnología]&amp;TbNombres[Problema],TbNombres[Nombre])</f>
        <v>Simple Advdiff</v>
      </c>
      <c r="F21" s="1">
        <v>2</v>
      </c>
      <c r="G21" s="1">
        <v>1</v>
      </c>
      <c r="H21" s="1">
        <v>16</v>
      </c>
      <c r="I21" s="1">
        <v>200</v>
      </c>
      <c r="J21" s="1">
        <v>200</v>
      </c>
      <c r="K21" s="1">
        <v>25.333300000000001</v>
      </c>
      <c r="N21" s="27"/>
      <c r="O21" s="28">
        <v>5</v>
      </c>
      <c r="P21" s="29">
        <f>COUNTIF(Total[Metodo],$O21)</f>
        <v>113</v>
      </c>
    </row>
    <row r="22" spans="2:16" x14ac:dyDescent="0.2">
      <c r="B22" s="1" t="str">
        <f>_xlfn.XLOOKUP(Total[[#This Row],[Metodo]],TbSolver[Metodo],TbSolver[Solver])</f>
        <v>RungeKutta</v>
      </c>
      <c r="C22" s="1" t="str">
        <f>_xlfn.XLOOKUP(Total[[#This Row],[Hebras]],TbTecnologia[Hebras],TbTecnologia[Tecnología])</f>
        <v>OMP</v>
      </c>
      <c r="D22" s="1" t="str" cm="1">
        <f t="array" ref="D22">_xlfn.XLOOKUP(Total[[#This Row],[Tecnología]]&amp;Total[[#This Row],[Metodo]],TbTipos[Tecnología]&amp;TbTipos[Metodo],TbTipos[Tipo])</f>
        <v>OMP Operaciones</v>
      </c>
      <c r="E22" s="1" t="str" cm="1">
        <f t="array" ref="E22">_xlfn.XLOOKUP(Total[[#This Row],[Tecnología]]&amp;Total[[#This Row],[Problema]],TbNombres[Tecnología]&amp;TbNombres[Problema],TbNombres[Nombre])</f>
        <v>Simple Advdiff</v>
      </c>
      <c r="F22" s="1">
        <v>1</v>
      </c>
      <c r="G22" s="1">
        <v>1</v>
      </c>
      <c r="H22" s="1">
        <v>16</v>
      </c>
      <c r="I22" s="1">
        <v>200</v>
      </c>
      <c r="J22" s="1">
        <v>200</v>
      </c>
      <c r="K22" s="1">
        <v>63.666400000000003</v>
      </c>
      <c r="N22" s="30"/>
      <c r="O22" s="31">
        <v>6</v>
      </c>
      <c r="P22" s="32">
        <f>COUNTIF(Total[Metodo],$O22)</f>
        <v>99</v>
      </c>
    </row>
    <row r="23" spans="2:16" x14ac:dyDescent="0.2">
      <c r="B23" s="1" t="str">
        <f>_xlfn.XLOOKUP(Total[[#This Row],[Metodo]],TbSolver[Metodo],TbSolver[Solver])</f>
        <v>RungeKutta</v>
      </c>
      <c r="C23" s="1" t="str">
        <f>_xlfn.XLOOKUP(Total[[#This Row],[Hebras]],TbTecnologia[Hebras],TbTecnologia[Tecnología])</f>
        <v>OMP</v>
      </c>
      <c r="D23" s="1" t="str" cm="1">
        <f t="array" ref="D23">_xlfn.XLOOKUP(Total[[#This Row],[Tecnología]]&amp;Total[[#This Row],[Metodo]],TbTipos[Tecnología]&amp;TbTipos[Metodo],TbTipos[Tipo])</f>
        <v>OMP Operaciones</v>
      </c>
      <c r="E23" s="1" t="str" cm="1">
        <f t="array" ref="E23">_xlfn.XLOOKUP(Total[[#This Row],[Tecnología]]&amp;Total[[#This Row],[Problema]],TbNombres[Tecnología]&amp;TbNombres[Problema],TbNombres[Nombre])</f>
        <v>Simple Advdiff</v>
      </c>
      <c r="F23" s="1">
        <v>1</v>
      </c>
      <c r="G23" s="1">
        <v>1</v>
      </c>
      <c r="H23" s="1">
        <v>1</v>
      </c>
      <c r="I23" s="1">
        <v>500</v>
      </c>
      <c r="J23" s="1">
        <v>500</v>
      </c>
      <c r="K23" s="1">
        <v>4.8437700000000001</v>
      </c>
      <c r="N23" s="24" t="s">
        <v>2</v>
      </c>
      <c r="O23" s="25">
        <v>1</v>
      </c>
      <c r="P23" s="26">
        <f>COUNTIF(Total[Problema],$O23)</f>
        <v>149</v>
      </c>
    </row>
    <row r="24" spans="2:16" x14ac:dyDescent="0.2">
      <c r="B24" s="1" t="str">
        <f>_xlfn.XLOOKUP(Total[[#This Row],[Metodo]],TbSolver[Metodo],TbSolver[Solver])</f>
        <v>RungeKutta</v>
      </c>
      <c r="C24" s="1" t="str">
        <f>_xlfn.XLOOKUP(Total[[#This Row],[Hebras]],TbTecnologia[Hebras],TbTecnologia[Tecnología])</f>
        <v>OMP</v>
      </c>
      <c r="D24" s="1" t="str" cm="1">
        <f t="array" ref="D24">_xlfn.XLOOKUP(Total[[#This Row],[Tecnología]]&amp;Total[[#This Row],[Metodo]],TbTipos[Tecnología]&amp;TbTipos[Metodo],TbTipos[Tipo])</f>
        <v>OMP Elementos</v>
      </c>
      <c r="E24" s="1" t="str" cm="1">
        <f t="array" ref="E24">_xlfn.XLOOKUP(Total[[#This Row],[Tecnología]]&amp;Total[[#This Row],[Problema]],TbNombres[Tecnología]&amp;TbNombres[Problema],TbNombres[Nombre])</f>
        <v>Simple Advdiff</v>
      </c>
      <c r="F24" s="1">
        <v>2</v>
      </c>
      <c r="G24" s="1">
        <v>1</v>
      </c>
      <c r="H24" s="1">
        <v>4</v>
      </c>
      <c r="I24" s="1">
        <v>500</v>
      </c>
      <c r="J24" s="1">
        <v>500</v>
      </c>
      <c r="K24" s="1">
        <v>9.5966100000000001</v>
      </c>
      <c r="N24" s="27"/>
      <c r="O24" s="28">
        <v>2</v>
      </c>
      <c r="P24" s="29">
        <f>COUNTIF(Total[Problema],$O24)</f>
        <v>113</v>
      </c>
    </row>
    <row r="25" spans="2:16" x14ac:dyDescent="0.2">
      <c r="B25" s="1" t="str">
        <f>_xlfn.XLOOKUP(Total[[#This Row],[Metodo]],TbSolver[Metodo],TbSolver[Solver])</f>
        <v>RungeKutta</v>
      </c>
      <c r="C25" s="1" t="str">
        <f>_xlfn.XLOOKUP(Total[[#This Row],[Hebras]],TbTecnologia[Hebras],TbTecnologia[Tecnología])</f>
        <v>CUDA</v>
      </c>
      <c r="D25" s="1" t="str" cm="1">
        <f t="array" ref="D25">_xlfn.XLOOKUP(Total[[#This Row],[Tecnología]]&amp;Total[[#This Row],[Metodo]],TbTipos[Tecnología]&amp;TbTipos[Metodo],TbTipos[Tipo])</f>
        <v>CUDA con graph</v>
      </c>
      <c r="E25" s="1" t="str" cm="1">
        <f t="array" ref="E25">_xlfn.XLOOKUP(Total[[#This Row],[Tecnología]]&amp;Total[[#This Row],[Problema]],TbNombres[Tecnología]&amp;TbNombres[Problema],TbNombres[Nombre])</f>
        <v>Simple Advdiff</v>
      </c>
      <c r="F25" s="1">
        <v>2</v>
      </c>
      <c r="G25" s="1">
        <v>1</v>
      </c>
      <c r="H25" s="1">
        <v>256</v>
      </c>
      <c r="I25" s="1">
        <v>500</v>
      </c>
      <c r="J25" s="1">
        <v>500</v>
      </c>
      <c r="K25" s="1">
        <v>12.6839</v>
      </c>
      <c r="N25" s="27"/>
      <c r="O25" s="28">
        <v>3</v>
      </c>
      <c r="P25" s="29">
        <f>COUNTIF(Total[Problema],$O25)</f>
        <v>149</v>
      </c>
    </row>
    <row r="26" spans="2:16" x14ac:dyDescent="0.2">
      <c r="B26" s="1" t="str">
        <f>_xlfn.XLOOKUP(Total[[#This Row],[Metodo]],TbSolver[Metodo],TbSolver[Solver])</f>
        <v>RungeKutta</v>
      </c>
      <c r="C26" s="1" t="str">
        <f>_xlfn.XLOOKUP(Total[[#This Row],[Hebras]],TbTecnologia[Hebras],TbTecnologia[Tecnología])</f>
        <v>CUDA</v>
      </c>
      <c r="D26" s="1" t="str" cm="1">
        <f t="array" ref="D26">_xlfn.XLOOKUP(Total[[#This Row],[Tecnología]]&amp;Total[[#This Row],[Metodo]],TbTipos[Tecnología]&amp;TbTipos[Metodo],TbTipos[Tipo])</f>
        <v>CUDA con graph</v>
      </c>
      <c r="E26" s="1" t="str" cm="1">
        <f t="array" ref="E26">_xlfn.XLOOKUP(Total[[#This Row],[Tecnología]]&amp;Total[[#This Row],[Problema]],TbNombres[Tecnología]&amp;TbNombres[Problema],TbNombres[Nombre])</f>
        <v>Simple Advdiff</v>
      </c>
      <c r="F26" s="1">
        <v>2</v>
      </c>
      <c r="G26" s="1">
        <v>2</v>
      </c>
      <c r="H26" s="1">
        <v>256</v>
      </c>
      <c r="I26" s="1">
        <v>500</v>
      </c>
      <c r="J26" s="1">
        <v>500</v>
      </c>
      <c r="K26" s="1">
        <v>12.726599999999999</v>
      </c>
      <c r="N26" s="27"/>
      <c r="O26" s="28">
        <v>4</v>
      </c>
      <c r="P26" s="29">
        <f>COUNTIF(Total[Problema],$O26)</f>
        <v>114</v>
      </c>
    </row>
    <row r="27" spans="2:16" x14ac:dyDescent="0.2">
      <c r="B27" s="1" t="str">
        <f>_xlfn.XLOOKUP(Total[[#This Row],[Metodo]],TbSolver[Metodo],TbSolver[Solver])</f>
        <v>RungeKutta</v>
      </c>
      <c r="C27" s="1" t="str">
        <f>_xlfn.XLOOKUP(Total[[#This Row],[Hebras]],TbTecnologia[Hebras],TbTecnologia[Tecnología])</f>
        <v>OMP</v>
      </c>
      <c r="D27" s="1" t="str" cm="1">
        <f t="array" ref="D27">_xlfn.XLOOKUP(Total[[#This Row],[Tecnología]]&amp;Total[[#This Row],[Metodo]],TbTipos[Tecnología]&amp;TbTipos[Metodo],TbTipos[Tipo])</f>
        <v>OMP Elementos</v>
      </c>
      <c r="E27" s="1" t="str" cm="1">
        <f t="array" ref="E27">_xlfn.XLOOKUP(Total[[#This Row],[Tecnología]]&amp;Total[[#This Row],[Problema]],TbNombres[Tecnología]&amp;TbNombres[Problema],TbNombres[Nombre])</f>
        <v>Simple Advdiff</v>
      </c>
      <c r="F27" s="1">
        <v>2</v>
      </c>
      <c r="G27" s="1">
        <v>1</v>
      </c>
      <c r="H27" s="1">
        <v>1</v>
      </c>
      <c r="I27" s="1">
        <v>500</v>
      </c>
      <c r="J27" s="1">
        <v>500</v>
      </c>
      <c r="K27" s="1">
        <v>15.7828</v>
      </c>
      <c r="N27" s="27"/>
      <c r="O27" s="28">
        <v>5</v>
      </c>
      <c r="P27" s="29">
        <f>COUNTIF(Total[Problema],$O27)</f>
        <v>77</v>
      </c>
    </row>
    <row r="28" spans="2:16" x14ac:dyDescent="0.2">
      <c r="B28" s="1" t="str">
        <f>_xlfn.XLOOKUP(Total[[#This Row],[Metodo]],TbSolver[Metodo],TbSolver[Solver])</f>
        <v>RungeKutta</v>
      </c>
      <c r="C28" s="1" t="str">
        <f>_xlfn.XLOOKUP(Total[[#This Row],[Hebras]],TbTecnologia[Hebras],TbTecnologia[Tecnología])</f>
        <v>CUDA</v>
      </c>
      <c r="D28" s="1" t="str" cm="1">
        <f t="array" ref="D28">_xlfn.XLOOKUP(Total[[#This Row],[Tecnología]]&amp;Total[[#This Row],[Metodo]],TbTipos[Tecnología]&amp;TbTipos[Metodo],TbTipos[Tipo])</f>
        <v>CUDA sin graph</v>
      </c>
      <c r="E28" s="1" t="str" cm="1">
        <f t="array" ref="E28">_xlfn.XLOOKUP(Total[[#This Row],[Tecnología]]&amp;Total[[#This Row],[Problema]],TbNombres[Tecnología]&amp;TbNombres[Problema],TbNombres[Nombre])</f>
        <v>Simple Advdiff</v>
      </c>
      <c r="F28" s="1">
        <v>1</v>
      </c>
      <c r="G28" s="1">
        <v>1</v>
      </c>
      <c r="H28" s="1">
        <v>256</v>
      </c>
      <c r="I28" s="1">
        <v>500</v>
      </c>
      <c r="J28" s="1">
        <v>500</v>
      </c>
      <c r="K28" s="1">
        <v>16.130500000000001</v>
      </c>
      <c r="N28" s="27"/>
      <c r="O28" s="28">
        <v>6</v>
      </c>
      <c r="P28" s="29">
        <f>COUNTIF(Total[Problema],$O28)</f>
        <v>41</v>
      </c>
    </row>
    <row r="29" spans="2:16" x14ac:dyDescent="0.2">
      <c r="B29" s="1" t="str">
        <f>_xlfn.XLOOKUP(Total[[#This Row],[Metodo]],TbSolver[Metodo],TbSolver[Solver])</f>
        <v>RungeKutta</v>
      </c>
      <c r="C29" s="1" t="str">
        <f>_xlfn.XLOOKUP(Total[[#This Row],[Hebras]],TbTecnologia[Hebras],TbTecnologia[Tecnología])</f>
        <v>CUDA</v>
      </c>
      <c r="D29" s="1" t="str" cm="1">
        <f t="array" ref="D29">_xlfn.XLOOKUP(Total[[#This Row],[Tecnología]]&amp;Total[[#This Row],[Metodo]],TbTipos[Tecnología]&amp;TbTipos[Metodo],TbTipos[Tipo])</f>
        <v>CUDA sin graph</v>
      </c>
      <c r="E29" s="1" t="str" cm="1">
        <f t="array" ref="E29">_xlfn.XLOOKUP(Total[[#This Row],[Tecnología]]&amp;Total[[#This Row],[Problema]],TbNombres[Tecnología]&amp;TbNombres[Problema],TbNombres[Nombre])</f>
        <v>Simple Advdiff</v>
      </c>
      <c r="F29" s="1">
        <v>1</v>
      </c>
      <c r="G29" s="1">
        <v>2</v>
      </c>
      <c r="H29" s="1">
        <v>256</v>
      </c>
      <c r="I29" s="1">
        <v>500</v>
      </c>
      <c r="J29" s="1">
        <v>500</v>
      </c>
      <c r="K29" s="1">
        <v>16.178000000000001</v>
      </c>
      <c r="N29" s="27"/>
      <c r="O29" s="28">
        <v>7</v>
      </c>
      <c r="P29" s="29">
        <f>COUNTIF(Total[Problema],$O29)</f>
        <v>53</v>
      </c>
    </row>
    <row r="30" spans="2:16" x14ac:dyDescent="0.2">
      <c r="B30" s="1" t="str">
        <f>_xlfn.XLOOKUP(Total[[#This Row],[Metodo]],TbSolver[Metodo],TbSolver[Solver])</f>
        <v>RungeKutta</v>
      </c>
      <c r="C30" s="1" t="str">
        <f>_xlfn.XLOOKUP(Total[[#This Row],[Hebras]],TbTecnologia[Hebras],TbTecnologia[Tecnología])</f>
        <v>OMP</v>
      </c>
      <c r="D30" s="1" t="str" cm="1">
        <f t="array" ref="D30">_xlfn.XLOOKUP(Total[[#This Row],[Tecnología]]&amp;Total[[#This Row],[Metodo]],TbTipos[Tecnología]&amp;TbTipos[Metodo],TbTipos[Tipo])</f>
        <v>OMP Elementos</v>
      </c>
      <c r="E30" s="1" t="str" cm="1">
        <f t="array" ref="E30">_xlfn.XLOOKUP(Total[[#This Row],[Tecnología]]&amp;Total[[#This Row],[Problema]],TbNombres[Tecnología]&amp;TbNombres[Problema],TbNombres[Nombre])</f>
        <v>Simple Advdiff</v>
      </c>
      <c r="F30" s="1">
        <v>2</v>
      </c>
      <c r="G30" s="1">
        <v>1</v>
      </c>
      <c r="H30" s="1">
        <v>16</v>
      </c>
      <c r="I30" s="1">
        <v>500</v>
      </c>
      <c r="J30" s="1">
        <v>500</v>
      </c>
      <c r="K30" s="1">
        <v>16.979199999999999</v>
      </c>
      <c r="N30" s="27"/>
      <c r="O30" s="28">
        <v>8</v>
      </c>
      <c r="P30" s="29">
        <f>COUNTIF(Total[Problema],$O30)</f>
        <v>24</v>
      </c>
    </row>
    <row r="31" spans="2:16" x14ac:dyDescent="0.2">
      <c r="B31" s="1" t="str">
        <f>_xlfn.XLOOKUP(Total[[#This Row],[Metodo]],TbSolver[Metodo],TbSolver[Solver])</f>
        <v>RungeKutta</v>
      </c>
      <c r="C31" s="1" t="str">
        <f>_xlfn.XLOOKUP(Total[[#This Row],[Hebras]],TbTecnologia[Hebras],TbTecnologia[Tecnología])</f>
        <v>OMP</v>
      </c>
      <c r="D31" s="1" t="str" cm="1">
        <f t="array" ref="D31">_xlfn.XLOOKUP(Total[[#This Row],[Tecnología]]&amp;Total[[#This Row],[Metodo]],TbTipos[Tecnología]&amp;TbTipos[Metodo],TbTipos[Tipo])</f>
        <v>OMP Operaciones</v>
      </c>
      <c r="E31" s="1" t="str" cm="1">
        <f t="array" ref="E31">_xlfn.XLOOKUP(Total[[#This Row],[Tecnología]]&amp;Total[[#This Row],[Problema]],TbNombres[Tecnología]&amp;TbNombres[Problema],TbNombres[Nombre])</f>
        <v>Simple Advdiff</v>
      </c>
      <c r="F31" s="1">
        <v>1</v>
      </c>
      <c r="G31" s="1">
        <v>1</v>
      </c>
      <c r="H31" s="1">
        <v>4</v>
      </c>
      <c r="I31" s="1">
        <v>500</v>
      </c>
      <c r="J31" s="1">
        <v>500</v>
      </c>
      <c r="K31" s="1">
        <v>24.8307</v>
      </c>
      <c r="N31" s="30"/>
      <c r="O31" s="31">
        <v>9</v>
      </c>
      <c r="P31" s="32">
        <f>COUNTIF(Total[Problema],$O31)</f>
        <v>24</v>
      </c>
    </row>
    <row r="32" spans="2:16" x14ac:dyDescent="0.2">
      <c r="B32" s="1" t="str">
        <f>_xlfn.XLOOKUP(Total[[#This Row],[Metodo]],TbSolver[Metodo],TbSolver[Solver])</f>
        <v>RungeKutta</v>
      </c>
      <c r="C32" s="1" t="str">
        <f>_xlfn.XLOOKUP(Total[[#This Row],[Hebras]],TbTecnologia[Hebras],TbTecnologia[Tecnología])</f>
        <v>OMP</v>
      </c>
      <c r="D32" s="1" t="str" cm="1">
        <f t="array" ref="D32">_xlfn.XLOOKUP(Total[[#This Row],[Tecnología]]&amp;Total[[#This Row],[Metodo]],TbTipos[Tecnología]&amp;TbTipos[Metodo],TbTipos[Tipo])</f>
        <v>OMP Operaciones</v>
      </c>
      <c r="E32" s="1" t="str" cm="1">
        <f t="array" ref="E32">_xlfn.XLOOKUP(Total[[#This Row],[Tecnología]]&amp;Total[[#This Row],[Problema]],TbNombres[Tecnología]&amp;TbNombres[Problema],TbNombres[Nombre])</f>
        <v>Simple Advdiff</v>
      </c>
      <c r="F32" s="1">
        <v>1</v>
      </c>
      <c r="G32" s="1">
        <v>1</v>
      </c>
      <c r="H32" s="1">
        <v>16</v>
      </c>
      <c r="I32" s="1">
        <v>500</v>
      </c>
      <c r="J32" s="1">
        <v>500</v>
      </c>
      <c r="K32" s="1">
        <v>58.3352</v>
      </c>
      <c r="N32" s="24" t="s">
        <v>3</v>
      </c>
      <c r="O32" s="25">
        <v>1</v>
      </c>
      <c r="P32" s="26">
        <f>COUNTIF(Total[Hebras],$O32)</f>
        <v>97</v>
      </c>
    </row>
    <row r="33" spans="2:16" x14ac:dyDescent="0.2">
      <c r="B33" s="1" t="str">
        <f>_xlfn.XLOOKUP(Total[[#This Row],[Metodo]],TbSolver[Metodo],TbSolver[Solver])</f>
        <v>RungeKutta</v>
      </c>
      <c r="C33" s="1" t="str">
        <f>_xlfn.XLOOKUP(Total[[#This Row],[Hebras]],TbTecnologia[Hebras],TbTecnologia[Tecnología])</f>
        <v>OMP</v>
      </c>
      <c r="D33" s="1" t="str" cm="1">
        <f t="array" ref="D33">_xlfn.XLOOKUP(Total[[#This Row],[Tecnología]]&amp;Total[[#This Row],[Metodo]],TbTipos[Tecnología]&amp;TbTipos[Metodo],TbTipos[Tipo])</f>
        <v>OMP Operaciones</v>
      </c>
      <c r="E33" s="1" t="str" cm="1">
        <f t="array" ref="E33">_xlfn.XLOOKUP(Total[[#This Row],[Tecnología]]&amp;Total[[#This Row],[Problema]],TbNombres[Tecnología]&amp;TbNombres[Problema],TbNombres[Nombre])</f>
        <v>Simple Advdiff</v>
      </c>
      <c r="F33" s="1">
        <v>1</v>
      </c>
      <c r="G33" s="1">
        <v>1</v>
      </c>
      <c r="H33" s="1">
        <v>1</v>
      </c>
      <c r="I33" s="1">
        <v>1000</v>
      </c>
      <c r="J33" s="1">
        <v>1000</v>
      </c>
      <c r="K33" s="1">
        <v>7.3040399999999996</v>
      </c>
      <c r="N33" s="27"/>
      <c r="O33" s="28">
        <v>4</v>
      </c>
      <c r="P33" s="29">
        <f>COUNTIF(Total[Hebras],$O33)</f>
        <v>96</v>
      </c>
    </row>
    <row r="34" spans="2:16" x14ac:dyDescent="0.2">
      <c r="B34" s="1" t="str">
        <f>_xlfn.XLOOKUP(Total[[#This Row],[Metodo]],TbSolver[Metodo],TbSolver[Solver])</f>
        <v>RungeKutta</v>
      </c>
      <c r="C34" s="1" t="str">
        <f>_xlfn.XLOOKUP(Total[[#This Row],[Hebras]],TbTecnologia[Hebras],TbTecnologia[Tecnología])</f>
        <v>CUDA</v>
      </c>
      <c r="D34" s="1" t="str" cm="1">
        <f t="array" ref="D34">_xlfn.XLOOKUP(Total[[#This Row],[Tecnología]]&amp;Total[[#This Row],[Metodo]],TbTipos[Tecnología]&amp;TbTipos[Metodo],TbTipos[Tipo])</f>
        <v>CUDA con graph</v>
      </c>
      <c r="E34" s="1" t="str" cm="1">
        <f t="array" ref="E34">_xlfn.XLOOKUP(Total[[#This Row],[Tecnología]]&amp;Total[[#This Row],[Problema]],TbNombres[Tecnología]&amp;TbNombres[Problema],TbNombres[Nombre])</f>
        <v>Simple Advdiff</v>
      </c>
      <c r="F34" s="1">
        <v>2</v>
      </c>
      <c r="G34" s="1">
        <v>1</v>
      </c>
      <c r="H34" s="1">
        <v>256</v>
      </c>
      <c r="I34" s="1">
        <v>1000</v>
      </c>
      <c r="J34" s="1">
        <v>1000</v>
      </c>
      <c r="K34" s="1">
        <v>12.7447</v>
      </c>
      <c r="N34" s="27"/>
      <c r="O34" s="28">
        <v>16</v>
      </c>
      <c r="P34" s="29">
        <f>COUNTIF(Total[Hebras],$O34)</f>
        <v>96</v>
      </c>
    </row>
    <row r="35" spans="2:16" x14ac:dyDescent="0.2">
      <c r="B35" s="1" t="str">
        <f>_xlfn.XLOOKUP(Total[[#This Row],[Metodo]],TbSolver[Metodo],TbSolver[Solver])</f>
        <v>RungeKutta</v>
      </c>
      <c r="C35" s="1" t="str">
        <f>_xlfn.XLOOKUP(Total[[#This Row],[Hebras]],TbTecnologia[Hebras],TbTecnologia[Tecnología])</f>
        <v>CUDA</v>
      </c>
      <c r="D35" s="1" t="str" cm="1">
        <f t="array" ref="D35">_xlfn.XLOOKUP(Total[[#This Row],[Tecnología]]&amp;Total[[#This Row],[Metodo]],TbTipos[Tecnología]&amp;TbTipos[Metodo],TbTipos[Tipo])</f>
        <v>CUDA con graph</v>
      </c>
      <c r="E35" s="1" t="str" cm="1">
        <f t="array" ref="E35">_xlfn.XLOOKUP(Total[[#This Row],[Tecnología]]&amp;Total[[#This Row],[Problema]],TbNombres[Tecnología]&amp;TbNombres[Problema],TbNombres[Nombre])</f>
        <v>Simple Advdiff</v>
      </c>
      <c r="F35" s="1">
        <v>2</v>
      </c>
      <c r="G35" s="1">
        <v>2</v>
      </c>
      <c r="H35" s="1">
        <v>256</v>
      </c>
      <c r="I35" s="1">
        <v>1000</v>
      </c>
      <c r="J35" s="1">
        <v>1000</v>
      </c>
      <c r="K35" s="1">
        <v>12.8184</v>
      </c>
      <c r="N35" s="30"/>
      <c r="O35" s="31">
        <v>256</v>
      </c>
      <c r="P35" s="32">
        <f>COUNTIF(Total[Hebras],$O35)</f>
        <v>455</v>
      </c>
    </row>
    <row r="36" spans="2:16" x14ac:dyDescent="0.2">
      <c r="B36" s="1" t="str">
        <f>_xlfn.XLOOKUP(Total[[#This Row],[Metodo]],TbSolver[Metodo],TbSolver[Solver])</f>
        <v>RungeKutta</v>
      </c>
      <c r="C36" s="1" t="str">
        <f>_xlfn.XLOOKUP(Total[[#This Row],[Hebras]],TbTecnologia[Hebras],TbTecnologia[Tecnología])</f>
        <v>OMP</v>
      </c>
      <c r="D36" s="1" t="str" cm="1">
        <f t="array" ref="D36">_xlfn.XLOOKUP(Total[[#This Row],[Tecnología]]&amp;Total[[#This Row],[Metodo]],TbTipos[Tecnología]&amp;TbTipos[Metodo],TbTipos[Tipo])</f>
        <v>OMP Elementos</v>
      </c>
      <c r="E36" s="1" t="str" cm="1">
        <f t="array" ref="E36">_xlfn.XLOOKUP(Total[[#This Row],[Tecnología]]&amp;Total[[#This Row],[Problema]],TbNombres[Tecnología]&amp;TbNombres[Problema],TbNombres[Nombre])</f>
        <v>Simple Advdiff</v>
      </c>
      <c r="F36" s="1">
        <v>2</v>
      </c>
      <c r="G36" s="1">
        <v>1</v>
      </c>
      <c r="H36" s="1">
        <v>4</v>
      </c>
      <c r="I36" s="1">
        <v>1000</v>
      </c>
      <c r="J36" s="1">
        <v>1000</v>
      </c>
      <c r="K36" s="1">
        <v>13.587999999999999</v>
      </c>
    </row>
    <row r="37" spans="2:16" x14ac:dyDescent="0.2">
      <c r="B37" s="1" t="str">
        <f>_xlfn.XLOOKUP(Total[[#This Row],[Metodo]],TbSolver[Metodo],TbSolver[Solver])</f>
        <v>RungeKutta</v>
      </c>
      <c r="C37" s="1" t="str">
        <f>_xlfn.XLOOKUP(Total[[#This Row],[Hebras]],TbTecnologia[Hebras],TbTecnologia[Tecnología])</f>
        <v>OMP</v>
      </c>
      <c r="D37" s="1" t="str" cm="1">
        <f t="array" ref="D37">_xlfn.XLOOKUP(Total[[#This Row],[Tecnología]]&amp;Total[[#This Row],[Metodo]],TbTipos[Tecnología]&amp;TbTipos[Metodo],TbTipos[Tipo])</f>
        <v>OMP Elementos</v>
      </c>
      <c r="E37" s="1" t="str" cm="1">
        <f t="array" ref="E37">_xlfn.XLOOKUP(Total[[#This Row],[Tecnología]]&amp;Total[[#This Row],[Problema]],TbNombres[Tecnología]&amp;TbNombres[Problema],TbNombres[Nombre])</f>
        <v>Simple Advdiff</v>
      </c>
      <c r="F37" s="1">
        <v>2</v>
      </c>
      <c r="G37" s="1">
        <v>1</v>
      </c>
      <c r="H37" s="1">
        <v>16</v>
      </c>
      <c r="I37" s="1">
        <v>1000</v>
      </c>
      <c r="J37" s="1">
        <v>1000</v>
      </c>
      <c r="K37" s="1">
        <v>14.6022</v>
      </c>
    </row>
    <row r="38" spans="2:16" x14ac:dyDescent="0.2">
      <c r="B38" s="1" t="str">
        <f>_xlfn.XLOOKUP(Total[[#This Row],[Metodo]],TbSolver[Metodo],TbSolver[Solver])</f>
        <v>RungeKutta</v>
      </c>
      <c r="C38" s="1" t="str">
        <f>_xlfn.XLOOKUP(Total[[#This Row],[Hebras]],TbTecnologia[Hebras],TbTecnologia[Tecnología])</f>
        <v>CUDA</v>
      </c>
      <c r="D38" s="1" t="str" cm="1">
        <f t="array" ref="D38">_xlfn.XLOOKUP(Total[[#This Row],[Tecnología]]&amp;Total[[#This Row],[Metodo]],TbTipos[Tecnología]&amp;TbTipos[Metodo],TbTipos[Tipo])</f>
        <v>CUDA sin graph</v>
      </c>
      <c r="E38" s="1" t="str" cm="1">
        <f t="array" ref="E38">_xlfn.XLOOKUP(Total[[#This Row],[Tecnología]]&amp;Total[[#This Row],[Problema]],TbNombres[Tecnología]&amp;TbNombres[Problema],TbNombres[Nombre])</f>
        <v>Simple Advdiff</v>
      </c>
      <c r="F38" s="1">
        <v>1</v>
      </c>
      <c r="G38" s="1">
        <v>1</v>
      </c>
      <c r="H38" s="1">
        <v>256</v>
      </c>
      <c r="I38" s="1">
        <v>1000</v>
      </c>
      <c r="J38" s="1">
        <v>1000</v>
      </c>
      <c r="K38" s="1">
        <v>15.9902</v>
      </c>
    </row>
    <row r="39" spans="2:16" x14ac:dyDescent="0.2">
      <c r="B39" s="1" t="str">
        <f>_xlfn.XLOOKUP(Total[[#This Row],[Metodo]],TbSolver[Metodo],TbSolver[Solver])</f>
        <v>RungeKutta</v>
      </c>
      <c r="C39" s="1" t="str">
        <f>_xlfn.XLOOKUP(Total[[#This Row],[Hebras]],TbTecnologia[Hebras],TbTecnologia[Tecnología])</f>
        <v>CUDA</v>
      </c>
      <c r="D39" s="1" t="str" cm="1">
        <f t="array" ref="D39">_xlfn.XLOOKUP(Total[[#This Row],[Tecnología]]&amp;Total[[#This Row],[Metodo]],TbTipos[Tecnología]&amp;TbTipos[Metodo],TbTipos[Tipo])</f>
        <v>CUDA sin graph</v>
      </c>
      <c r="E39" s="1" t="str" cm="1">
        <f t="array" ref="E39">_xlfn.XLOOKUP(Total[[#This Row],[Tecnología]]&amp;Total[[#This Row],[Problema]],TbNombres[Tecnología]&amp;TbNombres[Problema],TbNombres[Nombre])</f>
        <v>Simple Advdiff</v>
      </c>
      <c r="F39" s="1">
        <v>1</v>
      </c>
      <c r="G39" s="1">
        <v>2</v>
      </c>
      <c r="H39" s="1">
        <v>256</v>
      </c>
      <c r="I39" s="1">
        <v>1000</v>
      </c>
      <c r="J39" s="1">
        <v>1000</v>
      </c>
      <c r="K39" s="1">
        <v>16.2043</v>
      </c>
    </row>
    <row r="40" spans="2:16" x14ac:dyDescent="0.2">
      <c r="B40" s="1" t="str">
        <f>_xlfn.XLOOKUP(Total[[#This Row],[Metodo]],TbSolver[Metodo],TbSolver[Solver])</f>
        <v>RungeKutta</v>
      </c>
      <c r="C40" s="1" t="str">
        <f>_xlfn.XLOOKUP(Total[[#This Row],[Hebras]],TbTecnologia[Hebras],TbTecnologia[Tecnología])</f>
        <v>OMP</v>
      </c>
      <c r="D40" s="1" t="str" cm="1">
        <f t="array" ref="D40">_xlfn.XLOOKUP(Total[[#This Row],[Tecnología]]&amp;Total[[#This Row],[Metodo]],TbTipos[Tecnología]&amp;TbTipos[Metodo],TbTipos[Tipo])</f>
        <v>OMP Operaciones</v>
      </c>
      <c r="E40" s="1" t="str" cm="1">
        <f t="array" ref="E40">_xlfn.XLOOKUP(Total[[#This Row],[Tecnología]]&amp;Total[[#This Row],[Problema]],TbNombres[Tecnología]&amp;TbNombres[Problema],TbNombres[Nombre])</f>
        <v>Simple Advdiff</v>
      </c>
      <c r="F40" s="1">
        <v>1</v>
      </c>
      <c r="G40" s="1">
        <v>1</v>
      </c>
      <c r="H40" s="1">
        <v>4</v>
      </c>
      <c r="I40" s="1">
        <v>1000</v>
      </c>
      <c r="J40" s="1">
        <v>1000</v>
      </c>
      <c r="K40" s="1">
        <v>25.951699999999999</v>
      </c>
    </row>
    <row r="41" spans="2:16" x14ac:dyDescent="0.2">
      <c r="B41" s="1" t="str">
        <f>_xlfn.XLOOKUP(Total[[#This Row],[Metodo]],TbSolver[Metodo],TbSolver[Solver])</f>
        <v>RungeKutta</v>
      </c>
      <c r="C41" s="1" t="str">
        <f>_xlfn.XLOOKUP(Total[[#This Row],[Hebras]],TbTecnologia[Hebras],TbTecnologia[Tecnología])</f>
        <v>OMP</v>
      </c>
      <c r="D41" s="1" t="str" cm="1">
        <f t="array" ref="D41">_xlfn.XLOOKUP(Total[[#This Row],[Tecnología]]&amp;Total[[#This Row],[Metodo]],TbTipos[Tecnología]&amp;TbTipos[Metodo],TbTipos[Tipo])</f>
        <v>OMP Elementos</v>
      </c>
      <c r="E41" s="1" t="str" cm="1">
        <f t="array" ref="E41">_xlfn.XLOOKUP(Total[[#This Row],[Tecnología]]&amp;Total[[#This Row],[Problema]],TbNombres[Tecnología]&amp;TbNombres[Problema],TbNombres[Nombre])</f>
        <v>Simple Advdiff</v>
      </c>
      <c r="F41" s="1">
        <v>2</v>
      </c>
      <c r="G41" s="1">
        <v>1</v>
      </c>
      <c r="H41" s="1">
        <v>1</v>
      </c>
      <c r="I41" s="1">
        <v>1000</v>
      </c>
      <c r="J41" s="1">
        <v>1000</v>
      </c>
      <c r="K41" s="1">
        <v>30.9483</v>
      </c>
    </row>
    <row r="42" spans="2:16" x14ac:dyDescent="0.2">
      <c r="B42" s="1" t="str">
        <f>_xlfn.XLOOKUP(Total[[#This Row],[Metodo]],TbSolver[Metodo],TbSolver[Solver])</f>
        <v>RungeKutta</v>
      </c>
      <c r="C42" s="1" t="str">
        <f>_xlfn.XLOOKUP(Total[[#This Row],[Hebras]],TbTecnologia[Hebras],TbTecnologia[Tecnología])</f>
        <v>OMP</v>
      </c>
      <c r="D42" s="1" t="str" cm="1">
        <f t="array" ref="D42">_xlfn.XLOOKUP(Total[[#This Row],[Tecnología]]&amp;Total[[#This Row],[Metodo]],TbTipos[Tecnología]&amp;TbTipos[Metodo],TbTipos[Tipo])</f>
        <v>OMP Operaciones</v>
      </c>
      <c r="E42" s="1" t="str" cm="1">
        <f t="array" ref="E42">_xlfn.XLOOKUP(Total[[#This Row],[Tecnología]]&amp;Total[[#This Row],[Problema]],TbNombres[Tecnología]&amp;TbNombres[Problema],TbNombres[Nombre])</f>
        <v>Simple Advdiff</v>
      </c>
      <c r="F42" s="1">
        <v>1</v>
      </c>
      <c r="G42" s="1">
        <v>1</v>
      </c>
      <c r="H42" s="1">
        <v>16</v>
      </c>
      <c r="I42" s="1">
        <v>1000</v>
      </c>
      <c r="J42" s="1">
        <v>1000</v>
      </c>
      <c r="K42" s="1">
        <v>61.305300000000003</v>
      </c>
    </row>
    <row r="43" spans="2:16" x14ac:dyDescent="0.2">
      <c r="B43" s="1" t="str">
        <f>_xlfn.XLOOKUP(Total[[#This Row],[Metodo]],TbSolver[Metodo],TbSolver[Solver])</f>
        <v>RungeKutta</v>
      </c>
      <c r="C43" s="1" t="str">
        <f>_xlfn.XLOOKUP(Total[[#This Row],[Hebras]],TbTecnologia[Hebras],TbTecnologia[Tecnología])</f>
        <v>CUDA</v>
      </c>
      <c r="D43" s="1" t="str" cm="1">
        <f t="array" ref="D43">_xlfn.XLOOKUP(Total[[#This Row],[Tecnología]]&amp;Total[[#This Row],[Metodo]],TbTipos[Tecnología]&amp;TbTipos[Metodo],TbTipos[Tipo])</f>
        <v>CUDA con graph</v>
      </c>
      <c r="E43" s="1" t="str" cm="1">
        <f t="array" ref="E43">_xlfn.XLOOKUP(Total[[#This Row],[Tecnología]]&amp;Total[[#This Row],[Problema]],TbNombres[Tecnología]&amp;TbNombres[Problema],TbNombres[Nombre])</f>
        <v>Simple Advdiff</v>
      </c>
      <c r="F43" s="1">
        <v>2</v>
      </c>
      <c r="G43" s="1">
        <v>1</v>
      </c>
      <c r="H43" s="1">
        <v>256</v>
      </c>
      <c r="I43" s="1">
        <v>2000</v>
      </c>
      <c r="J43" s="1">
        <v>2000</v>
      </c>
      <c r="K43" s="1">
        <v>12.811299999999999</v>
      </c>
    </row>
    <row r="44" spans="2:16" x14ac:dyDescent="0.2">
      <c r="B44" s="1" t="str">
        <f>_xlfn.XLOOKUP(Total[[#This Row],[Metodo]],TbSolver[Metodo],TbSolver[Solver])</f>
        <v>RungeKutta</v>
      </c>
      <c r="C44" s="1" t="str">
        <f>_xlfn.XLOOKUP(Total[[#This Row],[Hebras]],TbTecnologia[Hebras],TbTecnologia[Tecnología])</f>
        <v>CUDA</v>
      </c>
      <c r="D44" s="1" t="str" cm="1">
        <f t="array" ref="D44">_xlfn.XLOOKUP(Total[[#This Row],[Tecnología]]&amp;Total[[#This Row],[Metodo]],TbTipos[Tecnología]&amp;TbTipos[Metodo],TbTipos[Tipo])</f>
        <v>CUDA con graph</v>
      </c>
      <c r="E44" s="1" t="str" cm="1">
        <f t="array" ref="E44">_xlfn.XLOOKUP(Total[[#This Row],[Tecnología]]&amp;Total[[#This Row],[Problema]],TbNombres[Tecnología]&amp;TbNombres[Problema],TbNombres[Nombre])</f>
        <v>Simple Advdiff</v>
      </c>
      <c r="F44" s="1">
        <v>2</v>
      </c>
      <c r="G44" s="1">
        <v>2</v>
      </c>
      <c r="H44" s="1">
        <v>256</v>
      </c>
      <c r="I44" s="1">
        <v>2000</v>
      </c>
      <c r="J44" s="1">
        <v>2000</v>
      </c>
      <c r="K44" s="1">
        <v>12.8325</v>
      </c>
    </row>
    <row r="45" spans="2:16" x14ac:dyDescent="0.2">
      <c r="B45" s="1" t="str">
        <f>_xlfn.XLOOKUP(Total[[#This Row],[Metodo]],TbSolver[Metodo],TbSolver[Solver])</f>
        <v>RungeKutta</v>
      </c>
      <c r="C45" s="1" t="str">
        <f>_xlfn.XLOOKUP(Total[[#This Row],[Hebras]],TbTecnologia[Hebras],TbTecnologia[Tecnología])</f>
        <v>CUDA</v>
      </c>
      <c r="D45" s="1" t="str" cm="1">
        <f t="array" ref="D45">_xlfn.XLOOKUP(Total[[#This Row],[Tecnología]]&amp;Total[[#This Row],[Metodo]],TbTipos[Tecnología]&amp;TbTipos[Metodo],TbTipos[Tipo])</f>
        <v>CUDA sin graph</v>
      </c>
      <c r="E45" s="1" t="str" cm="1">
        <f t="array" ref="E45">_xlfn.XLOOKUP(Total[[#This Row],[Tecnología]]&amp;Total[[#This Row],[Problema]],TbNombres[Tecnología]&amp;TbNombres[Problema],TbNombres[Nombre])</f>
        <v>Simple Advdiff</v>
      </c>
      <c r="F45" s="1">
        <v>1</v>
      </c>
      <c r="G45" s="1">
        <v>1</v>
      </c>
      <c r="H45" s="1">
        <v>256</v>
      </c>
      <c r="I45" s="1">
        <v>2000</v>
      </c>
      <c r="J45" s="1">
        <v>2000</v>
      </c>
      <c r="K45" s="1">
        <v>16.205400000000001</v>
      </c>
    </row>
    <row r="46" spans="2:16" x14ac:dyDescent="0.2">
      <c r="B46" s="1" t="str">
        <f>_xlfn.XLOOKUP(Total[[#This Row],[Metodo]],TbSolver[Metodo],TbSolver[Solver])</f>
        <v>RungeKutta</v>
      </c>
      <c r="C46" s="1" t="str">
        <f>_xlfn.XLOOKUP(Total[[#This Row],[Hebras]],TbTecnologia[Hebras],TbTecnologia[Tecnología])</f>
        <v>CUDA</v>
      </c>
      <c r="D46" s="1" t="str" cm="1">
        <f t="array" ref="D46">_xlfn.XLOOKUP(Total[[#This Row],[Tecnología]]&amp;Total[[#This Row],[Metodo]],TbTipos[Tecnología]&amp;TbTipos[Metodo],TbTipos[Tipo])</f>
        <v>CUDA sin graph</v>
      </c>
      <c r="E46" s="1" t="str" cm="1">
        <f t="array" ref="E46">_xlfn.XLOOKUP(Total[[#This Row],[Tecnología]]&amp;Total[[#This Row],[Problema]],TbNombres[Tecnología]&amp;TbNombres[Problema],TbNombres[Nombre])</f>
        <v>Simple Advdiff</v>
      </c>
      <c r="F46" s="1">
        <v>1</v>
      </c>
      <c r="G46" s="1">
        <v>2</v>
      </c>
      <c r="H46" s="1">
        <v>256</v>
      </c>
      <c r="I46" s="1">
        <v>2000</v>
      </c>
      <c r="J46" s="1">
        <v>2000</v>
      </c>
      <c r="K46" s="1">
        <v>17.6327</v>
      </c>
    </row>
    <row r="47" spans="2:16" x14ac:dyDescent="0.2">
      <c r="B47" s="1" t="str">
        <f>_xlfn.XLOOKUP(Total[[#This Row],[Metodo]],TbSolver[Metodo],TbSolver[Solver])</f>
        <v>RungeKutta</v>
      </c>
      <c r="C47" s="1" t="str">
        <f>_xlfn.XLOOKUP(Total[[#This Row],[Hebras]],TbTecnologia[Hebras],TbTecnologia[Tecnología])</f>
        <v>CUDA</v>
      </c>
      <c r="D47" s="1" t="str" cm="1">
        <f t="array" ref="D47">_xlfn.XLOOKUP(Total[[#This Row],[Tecnología]]&amp;Total[[#This Row],[Metodo]],TbTipos[Tecnología]&amp;TbTipos[Metodo],TbTipos[Tipo])</f>
        <v>CUDA con graph</v>
      </c>
      <c r="E47" s="1" t="str" cm="1">
        <f t="array" ref="E47">_xlfn.XLOOKUP(Total[[#This Row],[Tecnología]]&amp;Total[[#This Row],[Problema]],TbNombres[Tecnología]&amp;TbNombres[Problema],TbNombres[Nombre])</f>
        <v>Simple Advdiff</v>
      </c>
      <c r="F47" s="1">
        <v>2</v>
      </c>
      <c r="G47" s="1">
        <v>2</v>
      </c>
      <c r="H47" s="1">
        <v>256</v>
      </c>
      <c r="I47" s="1">
        <v>5000</v>
      </c>
      <c r="J47" s="1">
        <v>5000</v>
      </c>
      <c r="K47" s="1">
        <v>13.033099999999999</v>
      </c>
    </row>
    <row r="48" spans="2:16" x14ac:dyDescent="0.2">
      <c r="B48" s="1" t="str">
        <f>_xlfn.XLOOKUP(Total[[#This Row],[Metodo]],TbSolver[Metodo],TbSolver[Solver])</f>
        <v>RungeKutta</v>
      </c>
      <c r="C48" s="1" t="str">
        <f>_xlfn.XLOOKUP(Total[[#This Row],[Hebras]],TbTecnologia[Hebras],TbTecnologia[Tecnología])</f>
        <v>CUDA</v>
      </c>
      <c r="D48" s="1" t="str" cm="1">
        <f t="array" ref="D48">_xlfn.XLOOKUP(Total[[#This Row],[Tecnología]]&amp;Total[[#This Row],[Metodo]],TbTipos[Tecnología]&amp;TbTipos[Metodo],TbTipos[Tipo])</f>
        <v>CUDA con graph</v>
      </c>
      <c r="E48" s="1" t="str" cm="1">
        <f t="array" ref="E48">_xlfn.XLOOKUP(Total[[#This Row],[Tecnología]]&amp;Total[[#This Row],[Problema]],TbNombres[Tecnología]&amp;TbNombres[Problema],TbNombres[Nombre])</f>
        <v>Simple Advdiff</v>
      </c>
      <c r="F48" s="1">
        <v>2</v>
      </c>
      <c r="G48" s="1">
        <v>1</v>
      </c>
      <c r="H48" s="1">
        <v>256</v>
      </c>
      <c r="I48" s="1">
        <v>5000</v>
      </c>
      <c r="J48" s="1">
        <v>5000</v>
      </c>
      <c r="K48" s="1">
        <v>13.042</v>
      </c>
    </row>
    <row r="49" spans="2:11" x14ac:dyDescent="0.2">
      <c r="B49" s="1" t="str">
        <f>_xlfn.XLOOKUP(Total[[#This Row],[Metodo]],TbSolver[Metodo],TbSolver[Solver])</f>
        <v>RungeKutta</v>
      </c>
      <c r="C49" s="1" t="str">
        <f>_xlfn.XLOOKUP(Total[[#This Row],[Hebras]],TbTecnologia[Hebras],TbTecnologia[Tecnología])</f>
        <v>CUDA</v>
      </c>
      <c r="D49" s="1" t="str" cm="1">
        <f t="array" ref="D49">_xlfn.XLOOKUP(Total[[#This Row],[Tecnología]]&amp;Total[[#This Row],[Metodo]],TbTipos[Tecnología]&amp;TbTipos[Metodo],TbTipos[Tipo])</f>
        <v>CUDA sin graph</v>
      </c>
      <c r="E49" s="1" t="str" cm="1">
        <f t="array" ref="E49">_xlfn.XLOOKUP(Total[[#This Row],[Tecnología]]&amp;Total[[#This Row],[Problema]],TbNombres[Tecnología]&amp;TbNombres[Problema],TbNombres[Nombre])</f>
        <v>Simple Advdiff</v>
      </c>
      <c r="F49" s="1">
        <v>1</v>
      </c>
      <c r="G49" s="1">
        <v>1</v>
      </c>
      <c r="H49" s="1">
        <v>256</v>
      </c>
      <c r="I49" s="1">
        <v>5000</v>
      </c>
      <c r="J49" s="1">
        <v>5000</v>
      </c>
      <c r="K49" s="1">
        <v>16.254300000000001</v>
      </c>
    </row>
    <row r="50" spans="2:11" x14ac:dyDescent="0.2">
      <c r="B50" s="1" t="str">
        <f>_xlfn.XLOOKUP(Total[[#This Row],[Metodo]],TbSolver[Metodo],TbSolver[Solver])</f>
        <v>RungeKutta</v>
      </c>
      <c r="C50" s="1" t="str">
        <f>_xlfn.XLOOKUP(Total[[#This Row],[Hebras]],TbTecnologia[Hebras],TbTecnologia[Tecnología])</f>
        <v>CUDA</v>
      </c>
      <c r="D50" s="1" t="str" cm="1">
        <f t="array" ref="D50">_xlfn.XLOOKUP(Total[[#This Row],[Tecnología]]&amp;Total[[#This Row],[Metodo]],TbTipos[Tecnología]&amp;TbTipos[Metodo],TbTipos[Tipo])</f>
        <v>CUDA sin graph</v>
      </c>
      <c r="E50" s="1" t="str" cm="1">
        <f t="array" ref="E50">_xlfn.XLOOKUP(Total[[#This Row],[Tecnología]]&amp;Total[[#This Row],[Problema]],TbNombres[Tecnología]&amp;TbNombres[Problema],TbNombres[Nombre])</f>
        <v>Simple Advdiff</v>
      </c>
      <c r="F50" s="1">
        <v>1</v>
      </c>
      <c r="G50" s="1">
        <v>2</v>
      </c>
      <c r="H50" s="1">
        <v>256</v>
      </c>
      <c r="I50" s="1">
        <v>5000</v>
      </c>
      <c r="J50" s="1">
        <v>5000</v>
      </c>
      <c r="K50" s="1">
        <v>16.41</v>
      </c>
    </row>
    <row r="51" spans="2:11" x14ac:dyDescent="0.2">
      <c r="B51" s="1" t="str">
        <f>_xlfn.XLOOKUP(Total[[#This Row],[Metodo]],TbSolver[Metodo],TbSolver[Solver])</f>
        <v>RungeKutta</v>
      </c>
      <c r="C51" s="1" t="str">
        <f>_xlfn.XLOOKUP(Total[[#This Row],[Hebras]],TbTecnologia[Hebras],TbTecnologia[Tecnología])</f>
        <v>CUDA</v>
      </c>
      <c r="D51" s="1" t="str" cm="1">
        <f t="array" ref="D51">_xlfn.XLOOKUP(Total[[#This Row],[Tecnología]]&amp;Total[[#This Row],[Metodo]],TbTipos[Tecnología]&amp;TbTipos[Metodo],TbTipos[Tipo])</f>
        <v>CUDA sin graph</v>
      </c>
      <c r="E51" s="1" t="str" cm="1">
        <f t="array" ref="E51">_xlfn.XLOOKUP(Total[[#This Row],[Tecnología]]&amp;Total[[#This Row],[Problema]],TbNombres[Tecnología]&amp;TbNombres[Problema],TbNombres[Nombre])</f>
        <v>Simple Advdiff</v>
      </c>
      <c r="F51" s="1">
        <v>1</v>
      </c>
      <c r="G51" s="1">
        <v>1</v>
      </c>
      <c r="H51" s="1">
        <v>256</v>
      </c>
      <c r="I51" s="1">
        <v>10000</v>
      </c>
      <c r="J51" s="1">
        <v>10000</v>
      </c>
      <c r="K51" s="1">
        <v>19.186399999999999</v>
      </c>
    </row>
    <row r="52" spans="2:11" x14ac:dyDescent="0.2">
      <c r="B52" s="1" t="str">
        <f>_xlfn.XLOOKUP(Total[[#This Row],[Metodo]],TbSolver[Metodo],TbSolver[Solver])</f>
        <v>RungeKutta</v>
      </c>
      <c r="C52" s="1" t="str">
        <f>_xlfn.XLOOKUP(Total[[#This Row],[Hebras]],TbTecnologia[Hebras],TbTecnologia[Tecnología])</f>
        <v>CUDA</v>
      </c>
      <c r="D52" s="1" t="str" cm="1">
        <f t="array" ref="D52">_xlfn.XLOOKUP(Total[[#This Row],[Tecnología]]&amp;Total[[#This Row],[Metodo]],TbTipos[Tecnología]&amp;TbTipos[Metodo],TbTipos[Tipo])</f>
        <v>CUDA sin graph</v>
      </c>
      <c r="E52" s="1" t="str" cm="1">
        <f t="array" ref="E52">_xlfn.XLOOKUP(Total[[#This Row],[Tecnología]]&amp;Total[[#This Row],[Problema]],TbNombres[Tecnología]&amp;TbNombres[Problema],TbNombres[Nombre])</f>
        <v>Simple Advdiff</v>
      </c>
      <c r="F52" s="1">
        <v>1</v>
      </c>
      <c r="G52" s="1">
        <v>1</v>
      </c>
      <c r="H52" s="1">
        <v>256</v>
      </c>
      <c r="I52" s="1">
        <v>20000</v>
      </c>
      <c r="J52" s="1">
        <v>20000</v>
      </c>
      <c r="K52" s="1">
        <v>20.569500000000001</v>
      </c>
    </row>
    <row r="53" spans="2:11" x14ac:dyDescent="0.2">
      <c r="B53" s="1" t="str">
        <f>_xlfn.XLOOKUP(Total[[#This Row],[Metodo]],TbSolver[Metodo],TbSolver[Solver])</f>
        <v>RungeKutta</v>
      </c>
      <c r="C53" s="1" t="str">
        <f>_xlfn.XLOOKUP(Total[[#This Row],[Hebras]],TbTecnologia[Hebras],TbTecnologia[Tecnología])</f>
        <v>CUDA</v>
      </c>
      <c r="D53" s="1" t="str" cm="1">
        <f t="array" ref="D53">_xlfn.XLOOKUP(Total[[#This Row],[Tecnología]]&amp;Total[[#This Row],[Metodo]],TbTipos[Tecnología]&amp;TbTipos[Metodo],TbTipos[Tipo])</f>
        <v>CUDA sin graph</v>
      </c>
      <c r="E53" s="1" t="str" cm="1">
        <f t="array" ref="E53">_xlfn.XLOOKUP(Total[[#This Row],[Tecnología]]&amp;Total[[#This Row],[Problema]],TbNombres[Tecnología]&amp;TbNombres[Problema],TbNombres[Nombre])</f>
        <v>Simple Advdiff</v>
      </c>
      <c r="F53" s="1">
        <v>1</v>
      </c>
      <c r="G53" s="1">
        <v>1</v>
      </c>
      <c r="H53" s="1">
        <v>256</v>
      </c>
      <c r="I53" s="1">
        <v>50000</v>
      </c>
      <c r="J53" s="1">
        <v>50000</v>
      </c>
      <c r="K53" s="1">
        <v>25.6021</v>
      </c>
    </row>
    <row r="54" spans="2:11" x14ac:dyDescent="0.2">
      <c r="B54" s="1" t="str">
        <f>_xlfn.XLOOKUP(Total[[#This Row],[Metodo]],TbSolver[Metodo],TbSolver[Solver])</f>
        <v>RungeKutta</v>
      </c>
      <c r="C54" s="1" t="str">
        <f>_xlfn.XLOOKUP(Total[[#This Row],[Hebras]],TbTecnologia[Hebras],TbTecnologia[Tecnología])</f>
        <v>CUDA</v>
      </c>
      <c r="D54" s="1" t="str" cm="1">
        <f t="array" ref="D54">_xlfn.XLOOKUP(Total[[#This Row],[Tecnología]]&amp;Total[[#This Row],[Metodo]],TbTipos[Tecnología]&amp;TbTipos[Metodo],TbTipos[Tipo])</f>
        <v>CUDA sin graph</v>
      </c>
      <c r="E54" s="1" t="str" cm="1">
        <f t="array" ref="E54">_xlfn.XLOOKUP(Total[[#This Row],[Tecnología]]&amp;Total[[#This Row],[Problema]],TbNombres[Tecnología]&amp;TbNombres[Problema],TbNombres[Nombre])</f>
        <v>Simple Advdiff</v>
      </c>
      <c r="F54" s="1">
        <v>1</v>
      </c>
      <c r="G54" s="1">
        <v>1</v>
      </c>
      <c r="H54" s="1">
        <v>256</v>
      </c>
      <c r="I54" s="1">
        <v>100000</v>
      </c>
      <c r="J54" s="1">
        <v>100000</v>
      </c>
      <c r="K54" s="1">
        <v>36.124099999999999</v>
      </c>
    </row>
    <row r="55" spans="2:11" x14ac:dyDescent="0.2">
      <c r="B55" s="1" t="str">
        <f>_xlfn.XLOOKUP(Total[[#This Row],[Metodo]],TbSolver[Metodo],TbSolver[Solver])</f>
        <v>RungeKutta</v>
      </c>
      <c r="C55" s="1" t="str">
        <f>_xlfn.XLOOKUP(Total[[#This Row],[Hebras]],TbTecnologia[Hebras],TbTecnologia[Tecnología])</f>
        <v>CUDA</v>
      </c>
      <c r="D55" s="1" t="str" cm="1">
        <f t="array" ref="D55">_xlfn.XLOOKUP(Total[[#This Row],[Tecnología]]&amp;Total[[#This Row],[Metodo]],TbTipos[Tecnología]&amp;TbTipos[Metodo],TbTipos[Tipo])</f>
        <v>CUDA sin graph</v>
      </c>
      <c r="E55" s="1" t="str" cm="1">
        <f t="array" ref="E55">_xlfn.XLOOKUP(Total[[#This Row],[Tecnología]]&amp;Total[[#This Row],[Problema]],TbNombres[Tecnología]&amp;TbNombres[Problema],TbNombres[Nombre])</f>
        <v>Simple Advdiff</v>
      </c>
      <c r="F55" s="1">
        <v>1</v>
      </c>
      <c r="G55" s="1">
        <v>1</v>
      </c>
      <c r="H55" s="1">
        <v>256</v>
      </c>
      <c r="I55" s="1">
        <v>200000</v>
      </c>
      <c r="J55" s="1">
        <v>200000</v>
      </c>
      <c r="K55" s="1">
        <v>72.234200000000001</v>
      </c>
    </row>
    <row r="56" spans="2:11" x14ac:dyDescent="0.2">
      <c r="B56" s="5" t="str">
        <f>_xlfn.XLOOKUP(Total[[#This Row],[Metodo]],TbSolver[Metodo],TbSolver[Solver])</f>
        <v>RungeKutta</v>
      </c>
      <c r="C56" s="5" t="str">
        <f>_xlfn.XLOOKUP(Total[[#This Row],[Hebras]],TbTecnologia[Hebras],TbTecnologia[Tecnología])</f>
        <v>OMP</v>
      </c>
      <c r="D56" s="7" t="str" cm="1">
        <f t="array" ref="D56">_xlfn.XLOOKUP(Total[[#This Row],[Tecnología]]&amp;Total[[#This Row],[Metodo]],TbTipos[Tecnología]&amp;TbTipos[Metodo],TbTipos[Tipo])</f>
        <v>OMP Elementos</v>
      </c>
      <c r="E56" s="6" t="str" cm="1">
        <f t="array" ref="E56">_xlfn.XLOOKUP(Total[[#This Row],[Tecnología]]&amp;Total[[#This Row],[Problema]],TbNombres[Tecnología]&amp;TbNombres[Problema],TbNombres[Nombre])</f>
        <v>Advdiff1d</v>
      </c>
      <c r="F56" s="6">
        <v>2</v>
      </c>
      <c r="G56" s="6">
        <v>2</v>
      </c>
      <c r="H56" s="6">
        <v>4</v>
      </c>
      <c r="I56" s="6">
        <v>100</v>
      </c>
      <c r="J56" s="6">
        <v>100</v>
      </c>
      <c r="K56" s="6">
        <v>11.9709</v>
      </c>
    </row>
    <row r="57" spans="2:11" x14ac:dyDescent="0.2">
      <c r="B57" s="5" t="str">
        <f>_xlfn.XLOOKUP(Total[[#This Row],[Metodo]],TbSolver[Metodo],TbSolver[Solver])</f>
        <v>RungeKutta</v>
      </c>
      <c r="C57" s="5" t="str">
        <f>_xlfn.XLOOKUP(Total[[#This Row],[Hebras]],TbTecnologia[Hebras],TbTecnologia[Tecnología])</f>
        <v>OMP</v>
      </c>
      <c r="D57" s="7" t="str" cm="1">
        <f t="array" ref="D57">_xlfn.XLOOKUP(Total[[#This Row],[Tecnología]]&amp;Total[[#This Row],[Metodo]],TbTipos[Tecnología]&amp;TbTipos[Metodo],TbTipos[Tipo])</f>
        <v>OMP Elementos</v>
      </c>
      <c r="E57" s="6" t="str" cm="1">
        <f t="array" ref="E57">_xlfn.XLOOKUP(Total[[#This Row],[Tecnología]]&amp;Total[[#This Row],[Problema]],TbNombres[Tecnología]&amp;TbNombres[Problema],TbNombres[Nombre])</f>
        <v>Advdiff1d</v>
      </c>
      <c r="F57" s="6">
        <v>2</v>
      </c>
      <c r="G57" s="6">
        <v>2</v>
      </c>
      <c r="H57" s="6">
        <v>1</v>
      </c>
      <c r="I57" s="6">
        <v>100</v>
      </c>
      <c r="J57" s="6">
        <v>100</v>
      </c>
      <c r="K57" s="6">
        <v>12.3429</v>
      </c>
    </row>
    <row r="58" spans="2:11" x14ac:dyDescent="0.2">
      <c r="B58" s="5" t="str">
        <f>_xlfn.XLOOKUP(Total[[#This Row],[Metodo]],TbSolver[Metodo],TbSolver[Solver])</f>
        <v>RungeKutta</v>
      </c>
      <c r="C58" s="5" t="str">
        <f>_xlfn.XLOOKUP(Total[[#This Row],[Hebras]],TbTecnologia[Hebras],TbTecnologia[Tecnología])</f>
        <v>OMP</v>
      </c>
      <c r="D58" s="7" t="str" cm="1">
        <f t="array" ref="D58">_xlfn.XLOOKUP(Total[[#This Row],[Tecnología]]&amp;Total[[#This Row],[Metodo]],TbTipos[Tecnología]&amp;TbTipos[Metodo],TbTipos[Tipo])</f>
        <v>OMP Operaciones</v>
      </c>
      <c r="E58" s="6" t="str" cm="1">
        <f t="array" ref="E58">_xlfn.XLOOKUP(Total[[#This Row],[Tecnología]]&amp;Total[[#This Row],[Problema]],TbNombres[Tecnología]&amp;TbNombres[Problema],TbNombres[Nombre])</f>
        <v>Advdiff1d</v>
      </c>
      <c r="F58" s="6">
        <v>1</v>
      </c>
      <c r="G58" s="6">
        <v>2</v>
      </c>
      <c r="H58" s="6">
        <v>1</v>
      </c>
      <c r="I58" s="6">
        <v>100</v>
      </c>
      <c r="J58" s="6">
        <v>100</v>
      </c>
      <c r="K58" s="6">
        <v>12.4354</v>
      </c>
    </row>
    <row r="59" spans="2:11" x14ac:dyDescent="0.2">
      <c r="B59" s="5" t="str">
        <f>_xlfn.XLOOKUP(Total[[#This Row],[Metodo]],TbSolver[Metodo],TbSolver[Solver])</f>
        <v>RungeKutta</v>
      </c>
      <c r="C59" s="5" t="str">
        <f>_xlfn.XLOOKUP(Total[[#This Row],[Hebras]],TbTecnologia[Hebras],TbTecnologia[Tecnología])</f>
        <v>CUDA</v>
      </c>
      <c r="D59" s="2" t="str" cm="1">
        <f t="array" ref="D59">_xlfn.XLOOKUP(Total[[#This Row],[Tecnología]]&amp;Total[[#This Row],[Metodo]],TbTipos[Tecnología]&amp;TbTipos[Metodo],TbTipos[Tipo])</f>
        <v>CUDA con graph</v>
      </c>
      <c r="E59" s="2" t="str" cm="1">
        <f t="array" ref="E59">_xlfn.XLOOKUP(Total[[#This Row],[Tecnología]]&amp;Total[[#This Row],[Problema]],TbNombres[Tecnología]&amp;TbNombres[Problema],TbNombres[Nombre])</f>
        <v>Advdiff1d</v>
      </c>
      <c r="F59" s="2">
        <v>2</v>
      </c>
      <c r="G59" s="2">
        <v>3</v>
      </c>
      <c r="H59" s="2">
        <v>256</v>
      </c>
      <c r="I59" s="2">
        <v>100</v>
      </c>
      <c r="J59" s="2">
        <v>100</v>
      </c>
      <c r="K59" s="2">
        <v>18.482600000000001</v>
      </c>
    </row>
    <row r="60" spans="2:11" x14ac:dyDescent="0.2">
      <c r="B60" s="5" t="str">
        <f>_xlfn.XLOOKUP(Total[[#This Row],[Metodo]],TbSolver[Metodo],TbSolver[Solver])</f>
        <v>RungeKutta</v>
      </c>
      <c r="C60" s="5" t="str">
        <f>_xlfn.XLOOKUP(Total[[#This Row],[Hebras]],TbTecnologia[Hebras],TbTecnologia[Tecnología])</f>
        <v>CUDA</v>
      </c>
      <c r="D60" s="2" t="str" cm="1">
        <f t="array" ref="D60">_xlfn.XLOOKUP(Total[[#This Row],[Tecnología]]&amp;Total[[#This Row],[Metodo]],TbTipos[Tecnología]&amp;TbTipos[Metodo],TbTipos[Tipo])</f>
        <v>CUDA con graph</v>
      </c>
      <c r="E60" s="2" t="str" cm="1">
        <f t="array" ref="E60">_xlfn.XLOOKUP(Total[[#This Row],[Tecnología]]&amp;Total[[#This Row],[Problema]],TbNombres[Tecnología]&amp;TbNombres[Problema],TbNombres[Nombre])</f>
        <v>Advdiff1d</v>
      </c>
      <c r="F60" s="2">
        <v>2</v>
      </c>
      <c r="G60" s="2">
        <v>4</v>
      </c>
      <c r="H60" s="2">
        <v>256</v>
      </c>
      <c r="I60" s="2">
        <v>100</v>
      </c>
      <c r="J60" s="2">
        <v>100</v>
      </c>
      <c r="K60" s="2">
        <v>18.9876</v>
      </c>
    </row>
    <row r="61" spans="2:11" x14ac:dyDescent="0.2">
      <c r="B61" s="5" t="str">
        <f>_xlfn.XLOOKUP(Total[[#This Row],[Metodo]],TbSolver[Metodo],TbSolver[Solver])</f>
        <v>RungeKutta</v>
      </c>
      <c r="C61" s="5" t="str">
        <f>_xlfn.XLOOKUP(Total[[#This Row],[Hebras]],TbTecnologia[Hebras],TbTecnologia[Tecnología])</f>
        <v>OMP</v>
      </c>
      <c r="D61" s="7" t="str" cm="1">
        <f t="array" ref="D61">_xlfn.XLOOKUP(Total[[#This Row],[Tecnología]]&amp;Total[[#This Row],[Metodo]],TbTipos[Tecnología]&amp;TbTipos[Metodo],TbTipos[Tipo])</f>
        <v>OMP Elementos</v>
      </c>
      <c r="E61" s="6" t="str" cm="1">
        <f t="array" ref="E61">_xlfn.XLOOKUP(Total[[#This Row],[Tecnología]]&amp;Total[[#This Row],[Problema]],TbNombres[Tecnología]&amp;TbNombres[Problema],TbNombres[Nombre])</f>
        <v>Advdiff1d</v>
      </c>
      <c r="F61" s="6">
        <v>2</v>
      </c>
      <c r="G61" s="6">
        <v>2</v>
      </c>
      <c r="H61" s="6">
        <v>16</v>
      </c>
      <c r="I61" s="6">
        <v>100</v>
      </c>
      <c r="J61" s="6">
        <v>100</v>
      </c>
      <c r="K61" s="6">
        <v>21.2547</v>
      </c>
    </row>
    <row r="62" spans="2:11" x14ac:dyDescent="0.2">
      <c r="B62" s="5" t="str">
        <f>_xlfn.XLOOKUP(Total[[#This Row],[Metodo]],TbSolver[Metodo],TbSolver[Solver])</f>
        <v>RungeKutta</v>
      </c>
      <c r="C62" s="5" t="str">
        <f>_xlfn.XLOOKUP(Total[[#This Row],[Hebras]],TbTecnologia[Hebras],TbTecnologia[Tecnología])</f>
        <v>CUDA</v>
      </c>
      <c r="D62" s="2" t="str" cm="1">
        <f t="array" ref="D62">_xlfn.XLOOKUP(Total[[#This Row],[Tecnología]]&amp;Total[[#This Row],[Metodo]],TbTipos[Tecnología]&amp;TbTipos[Metodo],TbTipos[Tipo])</f>
        <v>CUDA sin graph</v>
      </c>
      <c r="E62" s="2" t="str" cm="1">
        <f t="array" ref="E62">_xlfn.XLOOKUP(Total[[#This Row],[Tecnología]]&amp;Total[[#This Row],[Problema]],TbNombres[Tecnología]&amp;TbNombres[Problema],TbNombres[Nombre])</f>
        <v>Advdiff1d</v>
      </c>
      <c r="F62" s="2">
        <v>1</v>
      </c>
      <c r="G62" s="2">
        <v>3</v>
      </c>
      <c r="H62" s="2">
        <v>256</v>
      </c>
      <c r="I62" s="2">
        <v>100</v>
      </c>
      <c r="J62" s="2">
        <v>100</v>
      </c>
      <c r="K62" s="2">
        <v>21.426300000000001</v>
      </c>
    </row>
    <row r="63" spans="2:11" x14ac:dyDescent="0.2">
      <c r="B63" s="5" t="str">
        <f>_xlfn.XLOOKUP(Total[[#This Row],[Metodo]],TbSolver[Metodo],TbSolver[Solver])</f>
        <v>RungeKutta</v>
      </c>
      <c r="C63" s="5" t="str">
        <f>_xlfn.XLOOKUP(Total[[#This Row],[Hebras]],TbTecnologia[Hebras],TbTecnologia[Tecnología])</f>
        <v>CUDA</v>
      </c>
      <c r="D63" s="2" t="str" cm="1">
        <f t="array" ref="D63">_xlfn.XLOOKUP(Total[[#This Row],[Tecnología]]&amp;Total[[#This Row],[Metodo]],TbTipos[Tecnología]&amp;TbTipos[Metodo],TbTipos[Tipo])</f>
        <v>CUDA sin graph</v>
      </c>
      <c r="E63" s="2" t="str" cm="1">
        <f t="array" ref="E63">_xlfn.XLOOKUP(Total[[#This Row],[Tecnología]]&amp;Total[[#This Row],[Problema]],TbNombres[Tecnología]&amp;TbNombres[Problema],TbNombres[Nombre])</f>
        <v>Advdiff1d</v>
      </c>
      <c r="F63" s="2">
        <v>1</v>
      </c>
      <c r="G63" s="2">
        <v>4</v>
      </c>
      <c r="H63" s="2">
        <v>256</v>
      </c>
      <c r="I63" s="2">
        <v>100</v>
      </c>
      <c r="J63" s="2">
        <v>100</v>
      </c>
      <c r="K63" s="2">
        <v>22.0703</v>
      </c>
    </row>
    <row r="64" spans="2:11" x14ac:dyDescent="0.2">
      <c r="B64" s="5" t="str">
        <f>_xlfn.XLOOKUP(Total[[#This Row],[Metodo]],TbSolver[Metodo],TbSolver[Solver])</f>
        <v>RungeKutta</v>
      </c>
      <c r="C64" s="5" t="str">
        <f>_xlfn.XLOOKUP(Total[[#This Row],[Hebras]],TbTecnologia[Hebras],TbTecnologia[Tecnología])</f>
        <v>OMP</v>
      </c>
      <c r="D64" s="7" t="str" cm="1">
        <f t="array" ref="D64">_xlfn.XLOOKUP(Total[[#This Row],[Tecnología]]&amp;Total[[#This Row],[Metodo]],TbTipos[Tecnología]&amp;TbTipos[Metodo],TbTipos[Tipo])</f>
        <v>OMP Operaciones</v>
      </c>
      <c r="E64" s="6" t="str" cm="1">
        <f t="array" ref="E64">_xlfn.XLOOKUP(Total[[#This Row],[Tecnología]]&amp;Total[[#This Row],[Problema]],TbNombres[Tecnología]&amp;TbNombres[Problema],TbNombres[Nombre])</f>
        <v>Advdiff1d</v>
      </c>
      <c r="F64" s="6">
        <v>1</v>
      </c>
      <c r="G64" s="6">
        <v>2</v>
      </c>
      <c r="H64" s="6">
        <v>4</v>
      </c>
      <c r="I64" s="6">
        <v>100</v>
      </c>
      <c r="J64" s="6">
        <v>100</v>
      </c>
      <c r="K64" s="6">
        <v>39.386400000000002</v>
      </c>
    </row>
    <row r="65" spans="2:11" x14ac:dyDescent="0.2">
      <c r="B65" s="5" t="str">
        <f>_xlfn.XLOOKUP(Total[[#This Row],[Metodo]],TbSolver[Metodo],TbSolver[Solver])</f>
        <v>RungeKutta</v>
      </c>
      <c r="C65" s="5" t="str">
        <f>_xlfn.XLOOKUP(Total[[#This Row],[Hebras]],TbTecnologia[Hebras],TbTecnologia[Tecnología])</f>
        <v>OMP</v>
      </c>
      <c r="D65" s="7" t="str" cm="1">
        <f t="array" ref="D65">_xlfn.XLOOKUP(Total[[#This Row],[Tecnología]]&amp;Total[[#This Row],[Metodo]],TbTipos[Tecnología]&amp;TbTipos[Metodo],TbTipos[Tipo])</f>
        <v>OMP Operaciones</v>
      </c>
      <c r="E65" s="6" t="str" cm="1">
        <f t="array" ref="E65">_xlfn.XLOOKUP(Total[[#This Row],[Tecnología]]&amp;Total[[#This Row],[Problema]],TbNombres[Tecnología]&amp;TbNombres[Problema],TbNombres[Nombre])</f>
        <v>Advdiff1d</v>
      </c>
      <c r="F65" s="6">
        <v>1</v>
      </c>
      <c r="G65" s="6">
        <v>2</v>
      </c>
      <c r="H65" s="6">
        <v>16</v>
      </c>
      <c r="I65" s="6">
        <v>100</v>
      </c>
      <c r="J65" s="6">
        <v>100</v>
      </c>
      <c r="K65" s="6">
        <v>94.412800000000004</v>
      </c>
    </row>
    <row r="66" spans="2:11" x14ac:dyDescent="0.2">
      <c r="B66" s="5" t="str">
        <f>_xlfn.XLOOKUP(Total[[#This Row],[Metodo]],TbSolver[Metodo],TbSolver[Solver])</f>
        <v>RungeKutta</v>
      </c>
      <c r="C66" s="5" t="str">
        <f>_xlfn.XLOOKUP(Total[[#This Row],[Hebras]],TbTecnologia[Hebras],TbTecnologia[Tecnología])</f>
        <v>OMP</v>
      </c>
      <c r="D66" s="7" t="str" cm="1">
        <f t="array" ref="D66">_xlfn.XLOOKUP(Total[[#This Row],[Tecnología]]&amp;Total[[#This Row],[Metodo]],TbTipos[Tecnología]&amp;TbTipos[Metodo],TbTipos[Tipo])</f>
        <v>OMP Elementos</v>
      </c>
      <c r="E66" s="6" t="str" cm="1">
        <f t="array" ref="E66">_xlfn.XLOOKUP(Total[[#This Row],[Tecnología]]&amp;Total[[#This Row],[Problema]],TbNombres[Tecnología]&amp;TbNombres[Problema],TbNombres[Nombre])</f>
        <v>Advdiff1d</v>
      </c>
      <c r="F66" s="6">
        <v>2</v>
      </c>
      <c r="G66" s="6">
        <v>2</v>
      </c>
      <c r="H66" s="6">
        <v>4</v>
      </c>
      <c r="I66" s="6">
        <v>200</v>
      </c>
      <c r="J66" s="6">
        <v>200</v>
      </c>
      <c r="K66" s="6">
        <v>14.2638</v>
      </c>
    </row>
    <row r="67" spans="2:11" x14ac:dyDescent="0.2">
      <c r="B67" s="5" t="str">
        <f>_xlfn.XLOOKUP(Total[[#This Row],[Metodo]],TbSolver[Metodo],TbSolver[Solver])</f>
        <v>RungeKutta</v>
      </c>
      <c r="C67" s="5" t="str">
        <f>_xlfn.XLOOKUP(Total[[#This Row],[Hebras]],TbTecnologia[Hebras],TbTecnologia[Tecnología])</f>
        <v>OMP</v>
      </c>
      <c r="D67" s="7" t="str" cm="1">
        <f t="array" ref="D67">_xlfn.XLOOKUP(Total[[#This Row],[Tecnología]]&amp;Total[[#This Row],[Metodo]],TbTipos[Tecnología]&amp;TbTipos[Metodo],TbTipos[Tipo])</f>
        <v>OMP Elementos</v>
      </c>
      <c r="E67" s="6" t="str" cm="1">
        <f t="array" ref="E67">_xlfn.XLOOKUP(Total[[#This Row],[Tecnología]]&amp;Total[[#This Row],[Problema]],TbNombres[Tecnología]&amp;TbNombres[Problema],TbNombres[Nombre])</f>
        <v>Advdiff1d</v>
      </c>
      <c r="F67" s="6">
        <v>2</v>
      </c>
      <c r="G67" s="6">
        <v>2</v>
      </c>
      <c r="H67" s="6">
        <v>16</v>
      </c>
      <c r="I67" s="6">
        <v>200</v>
      </c>
      <c r="J67" s="6">
        <v>200</v>
      </c>
      <c r="K67" s="6">
        <v>20.928599999999999</v>
      </c>
    </row>
    <row r="68" spans="2:11" x14ac:dyDescent="0.2">
      <c r="B68" s="5" t="str">
        <f>_xlfn.XLOOKUP(Total[[#This Row],[Metodo]],TbSolver[Metodo],TbSolver[Solver])</f>
        <v>RungeKutta</v>
      </c>
      <c r="C68" s="5" t="str">
        <f>_xlfn.XLOOKUP(Total[[#This Row],[Hebras]],TbTecnologia[Hebras],TbTecnologia[Tecnología])</f>
        <v>OMP</v>
      </c>
      <c r="D68" s="7" t="str" cm="1">
        <f t="array" ref="D68">_xlfn.XLOOKUP(Total[[#This Row],[Tecnología]]&amp;Total[[#This Row],[Metodo]],TbTipos[Tecnología]&amp;TbTipos[Metodo],TbTipos[Tipo])</f>
        <v>OMP Operaciones</v>
      </c>
      <c r="E68" s="6" t="str" cm="1">
        <f t="array" ref="E68">_xlfn.XLOOKUP(Total[[#This Row],[Tecnología]]&amp;Total[[#This Row],[Problema]],TbNombres[Tecnología]&amp;TbNombres[Problema],TbNombres[Nombre])</f>
        <v>Advdiff1d</v>
      </c>
      <c r="F68" s="6">
        <v>1</v>
      </c>
      <c r="G68" s="6">
        <v>2</v>
      </c>
      <c r="H68" s="6">
        <v>1</v>
      </c>
      <c r="I68" s="6">
        <v>200</v>
      </c>
      <c r="J68" s="6">
        <v>200</v>
      </c>
      <c r="K68" s="6">
        <v>21.302299999999999</v>
      </c>
    </row>
    <row r="69" spans="2:11" x14ac:dyDescent="0.2">
      <c r="B69" s="5" t="str">
        <f>_xlfn.XLOOKUP(Total[[#This Row],[Metodo]],TbSolver[Metodo],TbSolver[Solver])</f>
        <v>RungeKutta</v>
      </c>
      <c r="C69" s="5" t="str">
        <f>_xlfn.XLOOKUP(Total[[#This Row],[Hebras]],TbTecnologia[Hebras],TbTecnologia[Tecnología])</f>
        <v>OMP</v>
      </c>
      <c r="D69" s="7" t="str" cm="1">
        <f t="array" ref="D69">_xlfn.XLOOKUP(Total[[#This Row],[Tecnología]]&amp;Total[[#This Row],[Metodo]],TbTipos[Tecnología]&amp;TbTipos[Metodo],TbTipos[Tipo])</f>
        <v>OMP Elementos</v>
      </c>
      <c r="E69" s="6" t="str" cm="1">
        <f t="array" ref="E69">_xlfn.XLOOKUP(Total[[#This Row],[Tecnología]]&amp;Total[[#This Row],[Problema]],TbNombres[Tecnología]&amp;TbNombres[Problema],TbNombres[Nombre])</f>
        <v>Advdiff1d</v>
      </c>
      <c r="F69" s="6">
        <v>2</v>
      </c>
      <c r="G69" s="6">
        <v>2</v>
      </c>
      <c r="H69" s="6">
        <v>1</v>
      </c>
      <c r="I69" s="6">
        <v>200</v>
      </c>
      <c r="J69" s="6">
        <v>200</v>
      </c>
      <c r="K69" s="6">
        <v>23.9864</v>
      </c>
    </row>
    <row r="70" spans="2:11" x14ac:dyDescent="0.2">
      <c r="B70" s="5" t="str">
        <f>_xlfn.XLOOKUP(Total[[#This Row],[Metodo]],TbSolver[Metodo],TbSolver[Solver])</f>
        <v>RungeKutta</v>
      </c>
      <c r="C70" s="5" t="str">
        <f>_xlfn.XLOOKUP(Total[[#This Row],[Hebras]],TbTecnologia[Hebras],TbTecnologia[Tecnología])</f>
        <v>CUDA</v>
      </c>
      <c r="D70" s="2" t="str" cm="1">
        <f t="array" ref="D70">_xlfn.XLOOKUP(Total[[#This Row],[Tecnología]]&amp;Total[[#This Row],[Metodo]],TbTipos[Tecnología]&amp;TbTipos[Metodo],TbTipos[Tipo])</f>
        <v>CUDA con graph</v>
      </c>
      <c r="E70" s="2" t="str" cm="1">
        <f t="array" ref="E70">_xlfn.XLOOKUP(Total[[#This Row],[Tecnología]]&amp;Total[[#This Row],[Problema]],TbNombres[Tecnología]&amp;TbNombres[Problema],TbNombres[Nombre])</f>
        <v>Advdiff1d</v>
      </c>
      <c r="F70" s="2">
        <v>2</v>
      </c>
      <c r="G70" s="2">
        <v>3</v>
      </c>
      <c r="H70" s="2">
        <v>256</v>
      </c>
      <c r="I70" s="2">
        <v>200</v>
      </c>
      <c r="J70" s="2">
        <v>200</v>
      </c>
      <c r="K70" s="2">
        <v>25.8079</v>
      </c>
    </row>
    <row r="71" spans="2:11" x14ac:dyDescent="0.2">
      <c r="B71" s="5" t="str">
        <f>_xlfn.XLOOKUP(Total[[#This Row],[Metodo]],TbSolver[Metodo],TbSolver[Solver])</f>
        <v>RungeKutta</v>
      </c>
      <c r="C71" s="5" t="str">
        <f>_xlfn.XLOOKUP(Total[[#This Row],[Hebras]],TbTecnologia[Hebras],TbTecnologia[Tecnología])</f>
        <v>CUDA</v>
      </c>
      <c r="D71" s="2" t="str" cm="1">
        <f t="array" ref="D71">_xlfn.XLOOKUP(Total[[#This Row],[Tecnología]]&amp;Total[[#This Row],[Metodo]],TbTipos[Tecnología]&amp;TbTipos[Metodo],TbTipos[Tipo])</f>
        <v>CUDA con graph</v>
      </c>
      <c r="E71" s="2" t="str" cm="1">
        <f t="array" ref="E71">_xlfn.XLOOKUP(Total[[#This Row],[Tecnología]]&amp;Total[[#This Row],[Problema]],TbNombres[Tecnología]&amp;TbNombres[Problema],TbNombres[Nombre])</f>
        <v>Advdiff1d</v>
      </c>
      <c r="F71" s="2">
        <v>2</v>
      </c>
      <c r="G71" s="2">
        <v>4</v>
      </c>
      <c r="H71" s="2">
        <v>256</v>
      </c>
      <c r="I71" s="2">
        <v>200</v>
      </c>
      <c r="J71" s="2">
        <v>200</v>
      </c>
      <c r="K71" s="2">
        <v>26.537299999999998</v>
      </c>
    </row>
    <row r="72" spans="2:11" x14ac:dyDescent="0.2">
      <c r="B72" s="5" t="str">
        <f>_xlfn.XLOOKUP(Total[[#This Row],[Metodo]],TbSolver[Metodo],TbSolver[Solver])</f>
        <v>RungeKutta</v>
      </c>
      <c r="C72" s="5" t="str">
        <f>_xlfn.XLOOKUP(Total[[#This Row],[Hebras]],TbTecnologia[Hebras],TbTecnologia[Tecnología])</f>
        <v>CUDA</v>
      </c>
      <c r="D72" s="2" t="str" cm="1">
        <f t="array" ref="D72">_xlfn.XLOOKUP(Total[[#This Row],[Tecnología]]&amp;Total[[#This Row],[Metodo]],TbTipos[Tecnología]&amp;TbTipos[Metodo],TbTipos[Tipo])</f>
        <v>CUDA sin graph</v>
      </c>
      <c r="E72" s="2" t="str" cm="1">
        <f t="array" ref="E72">_xlfn.XLOOKUP(Total[[#This Row],[Tecnología]]&amp;Total[[#This Row],[Problema]],TbNombres[Tecnología]&amp;TbNombres[Problema],TbNombres[Nombre])</f>
        <v>Advdiff1d</v>
      </c>
      <c r="F72" s="2">
        <v>1</v>
      </c>
      <c r="G72" s="2">
        <v>3</v>
      </c>
      <c r="H72" s="2">
        <v>256</v>
      </c>
      <c r="I72" s="2">
        <v>200</v>
      </c>
      <c r="J72" s="2">
        <v>200</v>
      </c>
      <c r="K72" s="2">
        <v>28.723600000000001</v>
      </c>
    </row>
    <row r="73" spans="2:11" x14ac:dyDescent="0.2">
      <c r="B73" s="5" t="str">
        <f>_xlfn.XLOOKUP(Total[[#This Row],[Metodo]],TbSolver[Metodo],TbSolver[Solver])</f>
        <v>RungeKutta</v>
      </c>
      <c r="C73" s="5" t="str">
        <f>_xlfn.XLOOKUP(Total[[#This Row],[Hebras]],TbTecnologia[Hebras],TbTecnologia[Tecnología])</f>
        <v>CUDA</v>
      </c>
      <c r="D73" s="2" t="str" cm="1">
        <f t="array" ref="D73">_xlfn.XLOOKUP(Total[[#This Row],[Tecnología]]&amp;Total[[#This Row],[Metodo]],TbTipos[Tecnología]&amp;TbTipos[Metodo],TbTipos[Tipo])</f>
        <v>CUDA sin graph</v>
      </c>
      <c r="E73" s="2" t="str" cm="1">
        <f t="array" ref="E73">_xlfn.XLOOKUP(Total[[#This Row],[Tecnología]]&amp;Total[[#This Row],[Problema]],TbNombres[Tecnología]&amp;TbNombres[Problema],TbNombres[Nombre])</f>
        <v>Advdiff1d</v>
      </c>
      <c r="F73" s="2">
        <v>1</v>
      </c>
      <c r="G73" s="2">
        <v>4</v>
      </c>
      <c r="H73" s="2">
        <v>256</v>
      </c>
      <c r="I73" s="2">
        <v>200</v>
      </c>
      <c r="J73" s="2">
        <v>200</v>
      </c>
      <c r="K73" s="2">
        <v>29.5016</v>
      </c>
    </row>
    <row r="74" spans="2:11" x14ac:dyDescent="0.2">
      <c r="B74" s="5" t="str">
        <f>_xlfn.XLOOKUP(Total[[#This Row],[Metodo]],TbSolver[Metodo],TbSolver[Solver])</f>
        <v>RungeKutta</v>
      </c>
      <c r="C74" s="5" t="str">
        <f>_xlfn.XLOOKUP(Total[[#This Row],[Hebras]],TbTecnologia[Hebras],TbTecnologia[Tecnología])</f>
        <v>OMP</v>
      </c>
      <c r="D74" s="7" t="str" cm="1">
        <f t="array" ref="D74">_xlfn.XLOOKUP(Total[[#This Row],[Tecnología]]&amp;Total[[#This Row],[Metodo]],TbTipos[Tecnología]&amp;TbTipos[Metodo],TbTipos[Tipo])</f>
        <v>OMP Operaciones</v>
      </c>
      <c r="E74" s="6" t="str" cm="1">
        <f t="array" ref="E74">_xlfn.XLOOKUP(Total[[#This Row],[Tecnología]]&amp;Total[[#This Row],[Problema]],TbNombres[Tecnología]&amp;TbNombres[Problema],TbNombres[Nombre])</f>
        <v>Advdiff1d</v>
      </c>
      <c r="F74" s="6">
        <v>1</v>
      </c>
      <c r="G74" s="6">
        <v>2</v>
      </c>
      <c r="H74" s="6">
        <v>4</v>
      </c>
      <c r="I74" s="6">
        <v>200</v>
      </c>
      <c r="J74" s="6">
        <v>200</v>
      </c>
      <c r="K74" s="6">
        <v>41.730200000000004</v>
      </c>
    </row>
    <row r="75" spans="2:11" x14ac:dyDescent="0.2">
      <c r="B75" s="5" t="str">
        <f>_xlfn.XLOOKUP(Total[[#This Row],[Metodo]],TbSolver[Metodo],TbSolver[Solver])</f>
        <v>RungeKutta</v>
      </c>
      <c r="C75" s="5" t="str">
        <f>_xlfn.XLOOKUP(Total[[#This Row],[Hebras]],TbTecnologia[Hebras],TbTecnologia[Tecnología])</f>
        <v>OMP</v>
      </c>
      <c r="D75" s="7" t="str" cm="1">
        <f t="array" ref="D75">_xlfn.XLOOKUP(Total[[#This Row],[Tecnología]]&amp;Total[[#This Row],[Metodo]],TbTipos[Tecnología]&amp;TbTipos[Metodo],TbTipos[Tipo])</f>
        <v>OMP Operaciones</v>
      </c>
      <c r="E75" s="6" t="str" cm="1">
        <f t="array" ref="E75">_xlfn.XLOOKUP(Total[[#This Row],[Tecnología]]&amp;Total[[#This Row],[Problema]],TbNombres[Tecnología]&amp;TbNombres[Problema],TbNombres[Nombre])</f>
        <v>Advdiff1d</v>
      </c>
      <c r="F75" s="6">
        <v>1</v>
      </c>
      <c r="G75" s="6">
        <v>2</v>
      </c>
      <c r="H75" s="6">
        <v>16</v>
      </c>
      <c r="I75" s="6">
        <v>200</v>
      </c>
      <c r="J75" s="6">
        <v>200</v>
      </c>
      <c r="K75" s="6">
        <v>97.440100000000001</v>
      </c>
    </row>
    <row r="76" spans="2:11" x14ac:dyDescent="0.2">
      <c r="B76" s="5" t="str">
        <f>_xlfn.XLOOKUP(Total[[#This Row],[Metodo]],TbSolver[Metodo],TbSolver[Solver])</f>
        <v>RungeKutta</v>
      </c>
      <c r="C76" s="5" t="str">
        <f>_xlfn.XLOOKUP(Total[[#This Row],[Hebras]],TbTecnologia[Hebras],TbTecnologia[Tecnología])</f>
        <v>OMP</v>
      </c>
      <c r="D76" s="7" t="str" cm="1">
        <f t="array" ref="D76">_xlfn.XLOOKUP(Total[[#This Row],[Tecnología]]&amp;Total[[#This Row],[Metodo]],TbTipos[Tecnología]&amp;TbTipos[Metodo],TbTipos[Tipo])</f>
        <v>OMP Elementos</v>
      </c>
      <c r="E76" s="6" t="str" cm="1">
        <f t="array" ref="E76">_xlfn.XLOOKUP(Total[[#This Row],[Tecnología]]&amp;Total[[#This Row],[Problema]],TbNombres[Tecnología]&amp;TbNombres[Problema],TbNombres[Nombre])</f>
        <v>Advdiff1d</v>
      </c>
      <c r="F76" s="6">
        <v>2</v>
      </c>
      <c r="G76" s="6">
        <v>2</v>
      </c>
      <c r="H76" s="6">
        <v>16</v>
      </c>
      <c r="I76" s="6">
        <v>500</v>
      </c>
      <c r="J76" s="6">
        <v>500</v>
      </c>
      <c r="K76" s="6">
        <v>18.952200000000001</v>
      </c>
    </row>
    <row r="77" spans="2:11" x14ac:dyDescent="0.2">
      <c r="B77" s="5" t="str">
        <f>_xlfn.XLOOKUP(Total[[#This Row],[Metodo]],TbSolver[Metodo],TbSolver[Solver])</f>
        <v>RungeKutta</v>
      </c>
      <c r="C77" s="5" t="str">
        <f>_xlfn.XLOOKUP(Total[[#This Row],[Hebras]],TbTecnologia[Hebras],TbTecnologia[Tecnología])</f>
        <v>OMP</v>
      </c>
      <c r="D77" s="7" t="str" cm="1">
        <f t="array" ref="D77">_xlfn.XLOOKUP(Total[[#This Row],[Tecnología]]&amp;Total[[#This Row],[Metodo]],TbTipos[Tecnología]&amp;TbTipos[Metodo],TbTipos[Tipo])</f>
        <v>OMP Elementos</v>
      </c>
      <c r="E77" s="6" t="str" cm="1">
        <f t="array" ref="E77">_xlfn.XLOOKUP(Total[[#This Row],[Tecnología]]&amp;Total[[#This Row],[Problema]],TbNombres[Tecnología]&amp;TbNombres[Problema],TbNombres[Nombre])</f>
        <v>Advdiff1d</v>
      </c>
      <c r="F77" s="6">
        <v>2</v>
      </c>
      <c r="G77" s="6">
        <v>2</v>
      </c>
      <c r="H77" s="6">
        <v>4</v>
      </c>
      <c r="I77" s="6">
        <v>500</v>
      </c>
      <c r="J77" s="6">
        <v>500</v>
      </c>
      <c r="K77" s="6">
        <v>21.177099999999999</v>
      </c>
    </row>
    <row r="78" spans="2:11" x14ac:dyDescent="0.2">
      <c r="B78" s="5" t="str">
        <f>_xlfn.XLOOKUP(Total[[#This Row],[Metodo]],TbSolver[Metodo],TbSolver[Solver])</f>
        <v>RungeKutta</v>
      </c>
      <c r="C78" s="5" t="str">
        <f>_xlfn.XLOOKUP(Total[[#This Row],[Hebras]],TbTecnologia[Hebras],TbTecnologia[Tecnología])</f>
        <v>CUDA</v>
      </c>
      <c r="D78" s="2" t="str" cm="1">
        <f t="array" ref="D78">_xlfn.XLOOKUP(Total[[#This Row],[Tecnología]]&amp;Total[[#This Row],[Metodo]],TbTipos[Tecnología]&amp;TbTipos[Metodo],TbTipos[Tipo])</f>
        <v>CUDA con graph</v>
      </c>
      <c r="E78" s="2" t="str" cm="1">
        <f t="array" ref="E78">_xlfn.XLOOKUP(Total[[#This Row],[Tecnología]]&amp;Total[[#This Row],[Problema]],TbNombres[Tecnología]&amp;TbNombres[Problema],TbNombres[Nombre])</f>
        <v>Advdiff1d</v>
      </c>
      <c r="F78" s="2">
        <v>2</v>
      </c>
      <c r="G78" s="2">
        <v>3</v>
      </c>
      <c r="H78" s="2">
        <v>256</v>
      </c>
      <c r="I78" s="2">
        <v>500</v>
      </c>
      <c r="J78" s="2">
        <v>500</v>
      </c>
      <c r="K78" s="2">
        <v>28.0899</v>
      </c>
    </row>
    <row r="79" spans="2:11" x14ac:dyDescent="0.2">
      <c r="B79" s="5" t="str">
        <f>_xlfn.XLOOKUP(Total[[#This Row],[Metodo]],TbSolver[Metodo],TbSolver[Solver])</f>
        <v>RungeKutta</v>
      </c>
      <c r="C79" s="5" t="str">
        <f>_xlfn.XLOOKUP(Total[[#This Row],[Hebras]],TbTecnologia[Hebras],TbTecnologia[Tecnología])</f>
        <v>CUDA</v>
      </c>
      <c r="D79" s="2" t="str" cm="1">
        <f t="array" ref="D79">_xlfn.XLOOKUP(Total[[#This Row],[Tecnología]]&amp;Total[[#This Row],[Metodo]],TbTipos[Tecnología]&amp;TbTipos[Metodo],TbTipos[Tipo])</f>
        <v>CUDA con graph</v>
      </c>
      <c r="E79" s="2" t="str" cm="1">
        <f t="array" ref="E79">_xlfn.XLOOKUP(Total[[#This Row],[Tecnología]]&amp;Total[[#This Row],[Problema]],TbNombres[Tecnología]&amp;TbNombres[Problema],TbNombres[Nombre])</f>
        <v>Advdiff1d</v>
      </c>
      <c r="F79" s="2">
        <v>2</v>
      </c>
      <c r="G79" s="2">
        <v>4</v>
      </c>
      <c r="H79" s="2">
        <v>256</v>
      </c>
      <c r="I79" s="2">
        <v>500</v>
      </c>
      <c r="J79" s="2">
        <v>500</v>
      </c>
      <c r="K79" s="2">
        <v>28.9773</v>
      </c>
    </row>
    <row r="80" spans="2:11" x14ac:dyDescent="0.2">
      <c r="B80" s="5" t="str">
        <f>_xlfn.XLOOKUP(Total[[#This Row],[Metodo]],TbSolver[Metodo],TbSolver[Solver])</f>
        <v>RungeKutta</v>
      </c>
      <c r="C80" s="5" t="str">
        <f>_xlfn.XLOOKUP(Total[[#This Row],[Hebras]],TbTecnologia[Hebras],TbTecnologia[Tecnología])</f>
        <v>CUDA</v>
      </c>
      <c r="D80" s="2" t="str" cm="1">
        <f t="array" ref="D80">_xlfn.XLOOKUP(Total[[#This Row],[Tecnología]]&amp;Total[[#This Row],[Metodo]],TbTipos[Tecnología]&amp;TbTipos[Metodo],TbTipos[Tipo])</f>
        <v>CUDA sin graph</v>
      </c>
      <c r="E80" s="2" t="str" cm="1">
        <f t="array" ref="E80">_xlfn.XLOOKUP(Total[[#This Row],[Tecnología]]&amp;Total[[#This Row],[Problema]],TbNombres[Tecnología]&amp;TbNombres[Problema],TbNombres[Nombre])</f>
        <v>Advdiff1d</v>
      </c>
      <c r="F80" s="2">
        <v>1</v>
      </c>
      <c r="G80" s="2">
        <v>3</v>
      </c>
      <c r="H80" s="2">
        <v>256</v>
      </c>
      <c r="I80" s="2">
        <v>500</v>
      </c>
      <c r="J80" s="2">
        <v>500</v>
      </c>
      <c r="K80" s="2">
        <v>31.041499999999999</v>
      </c>
    </row>
    <row r="81" spans="2:11" x14ac:dyDescent="0.2">
      <c r="B81" s="5" t="str">
        <f>_xlfn.XLOOKUP(Total[[#This Row],[Metodo]],TbSolver[Metodo],TbSolver[Solver])</f>
        <v>RungeKutta</v>
      </c>
      <c r="C81" s="5" t="str">
        <f>_xlfn.XLOOKUP(Total[[#This Row],[Hebras]],TbTecnologia[Hebras],TbTecnologia[Tecnología])</f>
        <v>CUDA</v>
      </c>
      <c r="D81" s="2" t="str" cm="1">
        <f t="array" ref="D81">_xlfn.XLOOKUP(Total[[#This Row],[Tecnología]]&amp;Total[[#This Row],[Metodo]],TbTipos[Tecnología]&amp;TbTipos[Metodo],TbTipos[Tipo])</f>
        <v>CUDA sin graph</v>
      </c>
      <c r="E81" s="2" t="str" cm="1">
        <f t="array" ref="E81">_xlfn.XLOOKUP(Total[[#This Row],[Tecnología]]&amp;Total[[#This Row],[Problema]],TbNombres[Tecnología]&amp;TbNombres[Problema],TbNombres[Nombre])</f>
        <v>Advdiff1d</v>
      </c>
      <c r="F81" s="2">
        <v>1</v>
      </c>
      <c r="G81" s="2">
        <v>4</v>
      </c>
      <c r="H81" s="2">
        <v>256</v>
      </c>
      <c r="I81" s="2">
        <v>500</v>
      </c>
      <c r="J81" s="2">
        <v>500</v>
      </c>
      <c r="K81" s="2">
        <v>32.172199999999997</v>
      </c>
    </row>
    <row r="82" spans="2:11" x14ac:dyDescent="0.2">
      <c r="B82" s="5" t="str">
        <f>_xlfn.XLOOKUP(Total[[#This Row],[Metodo]],TbSolver[Metodo],TbSolver[Solver])</f>
        <v>RungeKutta</v>
      </c>
      <c r="C82" s="5" t="str">
        <f>_xlfn.XLOOKUP(Total[[#This Row],[Hebras]],TbTecnologia[Hebras],TbTecnologia[Tecnología])</f>
        <v>OMP</v>
      </c>
      <c r="D82" s="7" t="str" cm="1">
        <f t="array" ref="D82">_xlfn.XLOOKUP(Total[[#This Row],[Tecnología]]&amp;Total[[#This Row],[Metodo]],TbTipos[Tecnología]&amp;TbTipos[Metodo],TbTipos[Tipo])</f>
        <v>OMP Operaciones</v>
      </c>
      <c r="E82" s="6" t="str" cm="1">
        <f t="array" ref="E82">_xlfn.XLOOKUP(Total[[#This Row],[Tecnología]]&amp;Total[[#This Row],[Problema]],TbNombres[Tecnología]&amp;TbNombres[Problema],TbNombres[Nombre])</f>
        <v>Advdiff1d</v>
      </c>
      <c r="F82" s="6">
        <v>1</v>
      </c>
      <c r="G82" s="6">
        <v>2</v>
      </c>
      <c r="H82" s="6">
        <v>4</v>
      </c>
      <c r="I82" s="6">
        <v>500</v>
      </c>
      <c r="J82" s="6">
        <v>500</v>
      </c>
      <c r="K82" s="6">
        <v>46.340800000000002</v>
      </c>
    </row>
    <row r="83" spans="2:11" x14ac:dyDescent="0.2">
      <c r="B83" s="5" t="str">
        <f>_xlfn.XLOOKUP(Total[[#This Row],[Metodo]],TbSolver[Metodo],TbSolver[Solver])</f>
        <v>RungeKutta</v>
      </c>
      <c r="C83" s="5" t="str">
        <f>_xlfn.XLOOKUP(Total[[#This Row],[Hebras]],TbTecnologia[Hebras],TbTecnologia[Tecnología])</f>
        <v>OMP</v>
      </c>
      <c r="D83" s="7" t="str" cm="1">
        <f t="array" ref="D83">_xlfn.XLOOKUP(Total[[#This Row],[Tecnología]]&amp;Total[[#This Row],[Metodo]],TbTipos[Tecnología]&amp;TbTipos[Metodo],TbTipos[Tipo])</f>
        <v>OMP Operaciones</v>
      </c>
      <c r="E83" s="6" t="str" cm="1">
        <f t="array" ref="E83">_xlfn.XLOOKUP(Total[[#This Row],[Tecnología]]&amp;Total[[#This Row],[Problema]],TbNombres[Tecnología]&amp;TbNombres[Problema],TbNombres[Nombre])</f>
        <v>Advdiff1d</v>
      </c>
      <c r="F83" s="6">
        <v>1</v>
      </c>
      <c r="G83" s="6">
        <v>2</v>
      </c>
      <c r="H83" s="6">
        <v>1</v>
      </c>
      <c r="I83" s="6">
        <v>500</v>
      </c>
      <c r="J83" s="6">
        <v>500</v>
      </c>
      <c r="K83" s="6">
        <v>47.666899999999998</v>
      </c>
    </row>
    <row r="84" spans="2:11" x14ac:dyDescent="0.2">
      <c r="B84" s="5" t="str">
        <f>_xlfn.XLOOKUP(Total[[#This Row],[Metodo]],TbSolver[Metodo],TbSolver[Solver])</f>
        <v>RungeKutta</v>
      </c>
      <c r="C84" s="5" t="str">
        <f>_xlfn.XLOOKUP(Total[[#This Row],[Hebras]],TbTecnologia[Hebras],TbTecnologia[Tecnología])</f>
        <v>OMP</v>
      </c>
      <c r="D84" s="7" t="str" cm="1">
        <f t="array" ref="D84">_xlfn.XLOOKUP(Total[[#This Row],[Tecnología]]&amp;Total[[#This Row],[Metodo]],TbTipos[Tecnología]&amp;TbTipos[Metodo],TbTipos[Tipo])</f>
        <v>OMP Elementos</v>
      </c>
      <c r="E84" s="6" t="str" cm="1">
        <f t="array" ref="E84">_xlfn.XLOOKUP(Total[[#This Row],[Tecnología]]&amp;Total[[#This Row],[Problema]],TbNombres[Tecnología]&amp;TbNombres[Problema],TbNombres[Nombre])</f>
        <v>Advdiff1d</v>
      </c>
      <c r="F84" s="6">
        <v>2</v>
      </c>
      <c r="G84" s="6">
        <v>2</v>
      </c>
      <c r="H84" s="6">
        <v>1</v>
      </c>
      <c r="I84" s="6">
        <v>500</v>
      </c>
      <c r="J84" s="6">
        <v>500</v>
      </c>
      <c r="K84" s="6">
        <v>59.217599999999997</v>
      </c>
    </row>
    <row r="85" spans="2:11" x14ac:dyDescent="0.2">
      <c r="B85" s="5" t="str">
        <f>_xlfn.XLOOKUP(Total[[#This Row],[Metodo]],TbSolver[Metodo],TbSolver[Solver])</f>
        <v>RungeKutta</v>
      </c>
      <c r="C85" s="5" t="str">
        <f>_xlfn.XLOOKUP(Total[[#This Row],[Hebras]],TbTecnologia[Hebras],TbTecnologia[Tecnología])</f>
        <v>OMP</v>
      </c>
      <c r="D85" s="7" t="str" cm="1">
        <f t="array" ref="D85">_xlfn.XLOOKUP(Total[[#This Row],[Tecnología]]&amp;Total[[#This Row],[Metodo]],TbTipos[Tecnología]&amp;TbTipos[Metodo],TbTipos[Tipo])</f>
        <v>OMP Operaciones</v>
      </c>
      <c r="E85" s="6" t="str" cm="1">
        <f t="array" ref="E85">_xlfn.XLOOKUP(Total[[#This Row],[Tecnología]]&amp;Total[[#This Row],[Problema]],TbNombres[Tecnología]&amp;TbNombres[Problema],TbNombres[Nombre])</f>
        <v>Advdiff1d</v>
      </c>
      <c r="F85" s="6">
        <v>1</v>
      </c>
      <c r="G85" s="6">
        <v>2</v>
      </c>
      <c r="H85" s="6">
        <v>16</v>
      </c>
      <c r="I85" s="6">
        <v>500</v>
      </c>
      <c r="J85" s="6">
        <v>500</v>
      </c>
      <c r="K85" s="6">
        <v>97.687299999999993</v>
      </c>
    </row>
    <row r="86" spans="2:11" x14ac:dyDescent="0.2">
      <c r="B86" s="5" t="str">
        <f>_xlfn.XLOOKUP(Total[[#This Row],[Metodo]],TbSolver[Metodo],TbSolver[Solver])</f>
        <v>RungeKutta</v>
      </c>
      <c r="C86" s="5" t="str">
        <f>_xlfn.XLOOKUP(Total[[#This Row],[Hebras]],TbTecnologia[Hebras],TbTecnologia[Tecnología])</f>
        <v>OMP</v>
      </c>
      <c r="D86" s="7" t="str" cm="1">
        <f t="array" ref="D86">_xlfn.XLOOKUP(Total[[#This Row],[Tecnología]]&amp;Total[[#This Row],[Metodo]],TbTipos[Tecnología]&amp;TbTipos[Metodo],TbTipos[Tipo])</f>
        <v>OMP Elementos</v>
      </c>
      <c r="E86" s="6" t="str" cm="1">
        <f t="array" ref="E86">_xlfn.XLOOKUP(Total[[#This Row],[Tecnología]]&amp;Total[[#This Row],[Problema]],TbNombres[Tecnología]&amp;TbNombres[Problema],TbNombres[Nombre])</f>
        <v>Advdiff1d</v>
      </c>
      <c r="F86" s="6">
        <v>2</v>
      </c>
      <c r="G86" s="6">
        <v>2</v>
      </c>
      <c r="H86" s="6">
        <v>16</v>
      </c>
      <c r="I86" s="6">
        <v>1000</v>
      </c>
      <c r="J86" s="6">
        <v>1000</v>
      </c>
      <c r="K86" s="6">
        <v>21.362100000000002</v>
      </c>
    </row>
    <row r="87" spans="2:11" x14ac:dyDescent="0.2">
      <c r="B87" s="5" t="str">
        <f>_xlfn.XLOOKUP(Total[[#This Row],[Metodo]],TbSolver[Metodo],TbSolver[Solver])</f>
        <v>RungeKutta</v>
      </c>
      <c r="C87" s="5" t="str">
        <f>_xlfn.XLOOKUP(Total[[#This Row],[Hebras]],TbTecnologia[Hebras],TbTecnologia[Tecnología])</f>
        <v>CUDA</v>
      </c>
      <c r="D87" s="2" t="str" cm="1">
        <f t="array" ref="D87">_xlfn.XLOOKUP(Total[[#This Row],[Tecnología]]&amp;Total[[#This Row],[Metodo]],TbTipos[Tecnología]&amp;TbTipos[Metodo],TbTipos[Tipo])</f>
        <v>CUDA con graph</v>
      </c>
      <c r="E87" s="2" t="str" cm="1">
        <f t="array" ref="E87">_xlfn.XLOOKUP(Total[[#This Row],[Tecnología]]&amp;Total[[#This Row],[Problema]],TbNombres[Tecnología]&amp;TbNombres[Problema],TbNombres[Nombre])</f>
        <v>Advdiff1d</v>
      </c>
      <c r="F87" s="2">
        <v>2</v>
      </c>
      <c r="G87" s="2">
        <v>3</v>
      </c>
      <c r="H87" s="2">
        <v>256</v>
      </c>
      <c r="I87" s="2">
        <v>1000</v>
      </c>
      <c r="J87" s="2">
        <v>1000</v>
      </c>
      <c r="K87" s="2">
        <v>28.155000000000001</v>
      </c>
    </row>
    <row r="88" spans="2:11" x14ac:dyDescent="0.2">
      <c r="B88" s="5" t="str">
        <f>_xlfn.XLOOKUP(Total[[#This Row],[Metodo]],TbSolver[Metodo],TbSolver[Solver])</f>
        <v>RungeKutta</v>
      </c>
      <c r="C88" s="5" t="str">
        <f>_xlfn.XLOOKUP(Total[[#This Row],[Hebras]],TbTecnologia[Hebras],TbTecnologia[Tecnología])</f>
        <v>CUDA</v>
      </c>
      <c r="D88" s="2" t="str" cm="1">
        <f t="array" ref="D88">_xlfn.XLOOKUP(Total[[#This Row],[Tecnología]]&amp;Total[[#This Row],[Metodo]],TbTipos[Tecnología]&amp;TbTipos[Metodo],TbTipos[Tipo])</f>
        <v>CUDA con graph</v>
      </c>
      <c r="E88" s="2" t="str" cm="1">
        <f t="array" ref="E88">_xlfn.XLOOKUP(Total[[#This Row],[Tecnología]]&amp;Total[[#This Row],[Problema]],TbNombres[Tecnología]&amp;TbNombres[Problema],TbNombres[Nombre])</f>
        <v>Advdiff1d</v>
      </c>
      <c r="F88" s="2">
        <v>2</v>
      </c>
      <c r="G88" s="2">
        <v>4</v>
      </c>
      <c r="H88" s="2">
        <v>256</v>
      </c>
      <c r="I88" s="2">
        <v>1000</v>
      </c>
      <c r="J88" s="2">
        <v>1000</v>
      </c>
      <c r="K88" s="2">
        <v>29.179400000000001</v>
      </c>
    </row>
    <row r="89" spans="2:11" x14ac:dyDescent="0.2">
      <c r="B89" s="5" t="str">
        <f>_xlfn.XLOOKUP(Total[[#This Row],[Metodo]],TbSolver[Metodo],TbSolver[Solver])</f>
        <v>RungeKutta</v>
      </c>
      <c r="C89" s="5" t="str">
        <f>_xlfn.XLOOKUP(Total[[#This Row],[Hebras]],TbTecnologia[Hebras],TbTecnologia[Tecnología])</f>
        <v>CUDA</v>
      </c>
      <c r="D89" s="2" t="str" cm="1">
        <f t="array" ref="D89">_xlfn.XLOOKUP(Total[[#This Row],[Tecnología]]&amp;Total[[#This Row],[Metodo]],TbTipos[Tecnología]&amp;TbTipos[Metodo],TbTipos[Tipo])</f>
        <v>CUDA sin graph</v>
      </c>
      <c r="E89" s="2" t="str" cm="1">
        <f t="array" ref="E89">_xlfn.XLOOKUP(Total[[#This Row],[Tecnología]]&amp;Total[[#This Row],[Problema]],TbNombres[Tecnología]&amp;TbNombres[Problema],TbNombres[Nombre])</f>
        <v>Advdiff1d</v>
      </c>
      <c r="F89" s="2">
        <v>1</v>
      </c>
      <c r="G89" s="2">
        <v>3</v>
      </c>
      <c r="H89" s="2">
        <v>256</v>
      </c>
      <c r="I89" s="2">
        <v>1000</v>
      </c>
      <c r="J89" s="2">
        <v>1000</v>
      </c>
      <c r="K89" s="2">
        <v>30.878</v>
      </c>
    </row>
    <row r="90" spans="2:11" x14ac:dyDescent="0.2">
      <c r="B90" s="5" t="str">
        <f>_xlfn.XLOOKUP(Total[[#This Row],[Metodo]],TbSolver[Metodo],TbSolver[Solver])</f>
        <v>RungeKutta</v>
      </c>
      <c r="C90" s="5" t="str">
        <f>_xlfn.XLOOKUP(Total[[#This Row],[Hebras]],TbTecnologia[Hebras],TbTecnologia[Tecnología])</f>
        <v>CUDA</v>
      </c>
      <c r="D90" s="2" t="str" cm="1">
        <f t="array" ref="D90">_xlfn.XLOOKUP(Total[[#This Row],[Tecnología]]&amp;Total[[#This Row],[Metodo]],TbTipos[Tecnología]&amp;TbTipos[Metodo],TbTipos[Tipo])</f>
        <v>CUDA sin graph</v>
      </c>
      <c r="E90" s="2" t="str" cm="1">
        <f t="array" ref="E90">_xlfn.XLOOKUP(Total[[#This Row],[Tecnología]]&amp;Total[[#This Row],[Problema]],TbNombres[Tecnología]&amp;TbNombres[Problema],TbNombres[Nombre])</f>
        <v>Advdiff1d</v>
      </c>
      <c r="F90" s="2">
        <v>1</v>
      </c>
      <c r="G90" s="2">
        <v>4</v>
      </c>
      <c r="H90" s="2">
        <v>256</v>
      </c>
      <c r="I90" s="2">
        <v>1000</v>
      </c>
      <c r="J90" s="2">
        <v>1000</v>
      </c>
      <c r="K90" s="2">
        <v>31.9133</v>
      </c>
    </row>
    <row r="91" spans="2:11" x14ac:dyDescent="0.2">
      <c r="B91" s="5" t="str">
        <f>_xlfn.XLOOKUP(Total[[#This Row],[Metodo]],TbSolver[Metodo],TbSolver[Solver])</f>
        <v>RungeKutta</v>
      </c>
      <c r="C91" s="5" t="str">
        <f>_xlfn.XLOOKUP(Total[[#This Row],[Hebras]],TbTecnologia[Hebras],TbTecnologia[Tecnología])</f>
        <v>OMP</v>
      </c>
      <c r="D91" s="7" t="str" cm="1">
        <f t="array" ref="D91">_xlfn.XLOOKUP(Total[[#This Row],[Tecnología]]&amp;Total[[#This Row],[Metodo]],TbTipos[Tecnología]&amp;TbTipos[Metodo],TbTipos[Tipo])</f>
        <v>OMP Elementos</v>
      </c>
      <c r="E91" s="6" t="str" cm="1">
        <f t="array" ref="E91">_xlfn.XLOOKUP(Total[[#This Row],[Tecnología]]&amp;Total[[#This Row],[Problema]],TbNombres[Tecnología]&amp;TbNombres[Problema],TbNombres[Nombre])</f>
        <v>Advdiff1d</v>
      </c>
      <c r="F91" s="6">
        <v>2</v>
      </c>
      <c r="G91" s="6">
        <v>2</v>
      </c>
      <c r="H91" s="6">
        <v>4</v>
      </c>
      <c r="I91" s="6">
        <v>1000</v>
      </c>
      <c r="J91" s="6">
        <v>1000</v>
      </c>
      <c r="K91" s="6">
        <v>36.563499999999998</v>
      </c>
    </row>
    <row r="92" spans="2:11" x14ac:dyDescent="0.2">
      <c r="B92" s="5" t="str">
        <f>_xlfn.XLOOKUP(Total[[#This Row],[Metodo]],TbSolver[Metodo],TbSolver[Solver])</f>
        <v>RungeKutta</v>
      </c>
      <c r="C92" s="5" t="str">
        <f>_xlfn.XLOOKUP(Total[[#This Row],[Hebras]],TbTecnologia[Hebras],TbTecnologia[Tecnología])</f>
        <v>OMP</v>
      </c>
      <c r="D92" s="7" t="str" cm="1">
        <f t="array" ref="D92">_xlfn.XLOOKUP(Total[[#This Row],[Tecnología]]&amp;Total[[#This Row],[Metodo]],TbTipos[Tecnología]&amp;TbTipos[Metodo],TbTipos[Tipo])</f>
        <v>OMP Operaciones</v>
      </c>
      <c r="E92" s="6" t="str" cm="1">
        <f t="array" ref="E92">_xlfn.XLOOKUP(Total[[#This Row],[Tecnología]]&amp;Total[[#This Row],[Problema]],TbNombres[Tecnología]&amp;TbNombres[Problema],TbNombres[Nombre])</f>
        <v>Advdiff1d</v>
      </c>
      <c r="F92" s="6">
        <v>1</v>
      </c>
      <c r="G92" s="6">
        <v>2</v>
      </c>
      <c r="H92" s="6">
        <v>4</v>
      </c>
      <c r="I92" s="6">
        <v>1000</v>
      </c>
      <c r="J92" s="6">
        <v>1000</v>
      </c>
      <c r="K92" s="6">
        <v>60.924799999999998</v>
      </c>
    </row>
    <row r="93" spans="2:11" x14ac:dyDescent="0.2">
      <c r="B93" s="5" t="str">
        <f>_xlfn.XLOOKUP(Total[[#This Row],[Metodo]],TbSolver[Metodo],TbSolver[Solver])</f>
        <v>RungeKutta</v>
      </c>
      <c r="C93" s="5" t="str">
        <f>_xlfn.XLOOKUP(Total[[#This Row],[Hebras]],TbTecnologia[Hebras],TbTecnologia[Tecnología])</f>
        <v>OMP</v>
      </c>
      <c r="D93" s="7" t="str" cm="1">
        <f t="array" ref="D93">_xlfn.XLOOKUP(Total[[#This Row],[Tecnología]]&amp;Total[[#This Row],[Metodo]],TbTipos[Tecnología]&amp;TbTipos[Metodo],TbTipos[Tipo])</f>
        <v>OMP Operaciones</v>
      </c>
      <c r="E93" s="6" t="str" cm="1">
        <f t="array" ref="E93">_xlfn.XLOOKUP(Total[[#This Row],[Tecnología]]&amp;Total[[#This Row],[Problema]],TbNombres[Tecnología]&amp;TbNombres[Problema],TbNombres[Nombre])</f>
        <v>Advdiff1d</v>
      </c>
      <c r="F93" s="6">
        <v>1</v>
      </c>
      <c r="G93" s="6">
        <v>2</v>
      </c>
      <c r="H93" s="6">
        <v>16</v>
      </c>
      <c r="I93" s="6">
        <v>1000</v>
      </c>
      <c r="J93" s="6">
        <v>1000</v>
      </c>
      <c r="K93" s="6">
        <v>89.934100000000001</v>
      </c>
    </row>
    <row r="94" spans="2:11" x14ac:dyDescent="0.2">
      <c r="B94" s="5" t="str">
        <f>_xlfn.XLOOKUP(Total[[#This Row],[Metodo]],TbSolver[Metodo],TbSolver[Solver])</f>
        <v>RungeKutta</v>
      </c>
      <c r="C94" s="5" t="str">
        <f>_xlfn.XLOOKUP(Total[[#This Row],[Hebras]],TbTecnologia[Hebras],TbTecnologia[Tecnología])</f>
        <v>OMP</v>
      </c>
      <c r="D94" s="7" t="str" cm="1">
        <f t="array" ref="D94">_xlfn.XLOOKUP(Total[[#This Row],[Tecnología]]&amp;Total[[#This Row],[Metodo]],TbTipos[Tecnología]&amp;TbTipos[Metodo],TbTipos[Tipo])</f>
        <v>OMP Operaciones</v>
      </c>
      <c r="E94" s="6" t="str" cm="1">
        <f t="array" ref="E94">_xlfn.XLOOKUP(Total[[#This Row],[Tecnología]]&amp;Total[[#This Row],[Problema]],TbNombres[Tecnología]&amp;TbNombres[Problema],TbNombres[Nombre])</f>
        <v>Advdiff1d</v>
      </c>
      <c r="F94" s="6">
        <v>1</v>
      </c>
      <c r="G94" s="6">
        <v>2</v>
      </c>
      <c r="H94" s="6">
        <v>1</v>
      </c>
      <c r="I94" s="6">
        <v>1000</v>
      </c>
      <c r="J94" s="6">
        <v>1000</v>
      </c>
      <c r="K94" s="6">
        <v>92.846000000000004</v>
      </c>
    </row>
    <row r="95" spans="2:11" x14ac:dyDescent="0.2">
      <c r="B95" s="5" t="str">
        <f>_xlfn.XLOOKUP(Total[[#This Row],[Metodo]],TbSolver[Metodo],TbSolver[Solver])</f>
        <v>RungeKutta</v>
      </c>
      <c r="C95" s="5" t="str">
        <f>_xlfn.XLOOKUP(Total[[#This Row],[Hebras]],TbTecnologia[Hebras],TbTecnologia[Tecnología])</f>
        <v>OMP</v>
      </c>
      <c r="D95" s="7" t="str" cm="1">
        <f t="array" ref="D95">_xlfn.XLOOKUP(Total[[#This Row],[Tecnología]]&amp;Total[[#This Row],[Metodo]],TbTipos[Tecnología]&amp;TbTipos[Metodo],TbTipos[Tipo])</f>
        <v>OMP Elementos</v>
      </c>
      <c r="E95" s="6" t="str" cm="1">
        <f t="array" ref="E95">_xlfn.XLOOKUP(Total[[#This Row],[Tecnología]]&amp;Total[[#This Row],[Problema]],TbNombres[Tecnología]&amp;TbNombres[Problema],TbNombres[Nombre])</f>
        <v>Advdiff1d</v>
      </c>
      <c r="F95" s="6">
        <v>2</v>
      </c>
      <c r="G95" s="6">
        <v>2</v>
      </c>
      <c r="H95" s="6">
        <v>1</v>
      </c>
      <c r="I95" s="6">
        <v>1000</v>
      </c>
      <c r="J95" s="6">
        <v>1000</v>
      </c>
      <c r="K95" s="6">
        <v>115.922</v>
      </c>
    </row>
    <row r="96" spans="2:11" x14ac:dyDescent="0.2">
      <c r="B96" s="5" t="str">
        <f>_xlfn.XLOOKUP(Total[[#This Row],[Metodo]],TbSolver[Metodo],TbSolver[Solver])</f>
        <v>RungeKutta</v>
      </c>
      <c r="C96" s="5" t="str">
        <f>_xlfn.XLOOKUP(Total[[#This Row],[Hebras]],TbTecnologia[Hebras],TbTecnologia[Tecnología])</f>
        <v>CUDA</v>
      </c>
      <c r="D96" s="2" t="str" cm="1">
        <f t="array" ref="D96">_xlfn.XLOOKUP(Total[[#This Row],[Tecnología]]&amp;Total[[#This Row],[Metodo]],TbTipos[Tecnología]&amp;TbTipos[Metodo],TbTipos[Tipo])</f>
        <v>CUDA con graph</v>
      </c>
      <c r="E96" s="2" t="str" cm="1">
        <f t="array" ref="E96">_xlfn.XLOOKUP(Total[[#This Row],[Tecnología]]&amp;Total[[#This Row],[Problema]],TbNombres[Tecnología]&amp;TbNombres[Problema],TbNombres[Nombre])</f>
        <v>Advdiff1d</v>
      </c>
      <c r="F96" s="2">
        <v>2</v>
      </c>
      <c r="G96" s="2">
        <v>3</v>
      </c>
      <c r="H96" s="2">
        <v>256</v>
      </c>
      <c r="I96" s="2">
        <v>2000</v>
      </c>
      <c r="J96" s="2">
        <v>2000</v>
      </c>
      <c r="K96" s="2">
        <v>28.197199999999999</v>
      </c>
    </row>
    <row r="97" spans="2:11" x14ac:dyDescent="0.2">
      <c r="B97" s="5" t="str">
        <f>_xlfn.XLOOKUP(Total[[#This Row],[Metodo]],TbSolver[Metodo],TbSolver[Solver])</f>
        <v>RungeKutta</v>
      </c>
      <c r="C97" s="5" t="str">
        <f>_xlfn.XLOOKUP(Total[[#This Row],[Hebras]],TbTecnologia[Hebras],TbTecnologia[Tecnología])</f>
        <v>CUDA</v>
      </c>
      <c r="D97" s="2" t="str" cm="1">
        <f t="array" ref="D97">_xlfn.XLOOKUP(Total[[#This Row],[Tecnología]]&amp;Total[[#This Row],[Metodo]],TbTipos[Tecnología]&amp;TbTipos[Metodo],TbTipos[Tipo])</f>
        <v>CUDA con graph</v>
      </c>
      <c r="E97" s="2" t="str" cm="1">
        <f t="array" ref="E97">_xlfn.XLOOKUP(Total[[#This Row],[Tecnología]]&amp;Total[[#This Row],[Problema]],TbNombres[Tecnología]&amp;TbNombres[Problema],TbNombres[Nombre])</f>
        <v>Advdiff1d</v>
      </c>
      <c r="F97" s="2">
        <v>2</v>
      </c>
      <c r="G97" s="2">
        <v>4</v>
      </c>
      <c r="H97" s="2">
        <v>256</v>
      </c>
      <c r="I97" s="2">
        <v>2000</v>
      </c>
      <c r="J97" s="2">
        <v>2000</v>
      </c>
      <c r="K97" s="2">
        <v>29.2395</v>
      </c>
    </row>
    <row r="98" spans="2:11" x14ac:dyDescent="0.2">
      <c r="B98" s="5" t="str">
        <f>_xlfn.XLOOKUP(Total[[#This Row],[Metodo]],TbSolver[Metodo],TbSolver[Solver])</f>
        <v>RungeKutta</v>
      </c>
      <c r="C98" s="5" t="str">
        <f>_xlfn.XLOOKUP(Total[[#This Row],[Hebras]],TbTecnologia[Hebras],TbTecnologia[Tecnología])</f>
        <v>CUDA</v>
      </c>
      <c r="D98" s="2" t="str" cm="1">
        <f t="array" ref="D98">_xlfn.XLOOKUP(Total[[#This Row],[Tecnología]]&amp;Total[[#This Row],[Metodo]],TbTipos[Tecnología]&amp;TbTipos[Metodo],TbTipos[Tipo])</f>
        <v>CUDA sin graph</v>
      </c>
      <c r="E98" s="2" t="str" cm="1">
        <f t="array" ref="E98">_xlfn.XLOOKUP(Total[[#This Row],[Tecnología]]&amp;Total[[#This Row],[Problema]],TbNombres[Tecnología]&amp;TbNombres[Problema],TbNombres[Nombre])</f>
        <v>Advdiff1d</v>
      </c>
      <c r="F98" s="2">
        <v>1</v>
      </c>
      <c r="G98" s="2">
        <v>3</v>
      </c>
      <c r="H98" s="2">
        <v>256</v>
      </c>
      <c r="I98" s="2">
        <v>2000</v>
      </c>
      <c r="J98" s="2">
        <v>2000</v>
      </c>
      <c r="K98" s="2">
        <v>31.2256</v>
      </c>
    </row>
    <row r="99" spans="2:11" x14ac:dyDescent="0.2">
      <c r="B99" s="5" t="str">
        <f>_xlfn.XLOOKUP(Total[[#This Row],[Metodo]],TbSolver[Metodo],TbSolver[Solver])</f>
        <v>RungeKutta</v>
      </c>
      <c r="C99" s="5" t="str">
        <f>_xlfn.XLOOKUP(Total[[#This Row],[Hebras]],TbTecnologia[Hebras],TbTecnologia[Tecnología])</f>
        <v>CUDA</v>
      </c>
      <c r="D99" s="2" t="str" cm="1">
        <f t="array" ref="D99">_xlfn.XLOOKUP(Total[[#This Row],[Tecnología]]&amp;Total[[#This Row],[Metodo]],TbTipos[Tecnología]&amp;TbTipos[Metodo],TbTipos[Tipo])</f>
        <v>CUDA sin graph</v>
      </c>
      <c r="E99" s="2" t="str" cm="1">
        <f t="array" ref="E99">_xlfn.XLOOKUP(Total[[#This Row],[Tecnología]]&amp;Total[[#This Row],[Problema]],TbNombres[Tecnología]&amp;TbNombres[Problema],TbNombres[Nombre])</f>
        <v>Advdiff1d</v>
      </c>
      <c r="F99" s="2">
        <v>1</v>
      </c>
      <c r="G99" s="2">
        <v>4</v>
      </c>
      <c r="H99" s="2">
        <v>256</v>
      </c>
      <c r="I99" s="2">
        <v>2000</v>
      </c>
      <c r="J99" s="2">
        <v>2000</v>
      </c>
      <c r="K99" s="2">
        <v>32.1464</v>
      </c>
    </row>
    <row r="100" spans="2:11" x14ac:dyDescent="0.2">
      <c r="B100" s="5" t="str">
        <f>_xlfn.XLOOKUP(Total[[#This Row],[Metodo]],TbSolver[Metodo],TbSolver[Solver])</f>
        <v>RungeKutta</v>
      </c>
      <c r="C100" s="5" t="str">
        <f>_xlfn.XLOOKUP(Total[[#This Row],[Hebras]],TbTecnologia[Hebras],TbTecnologia[Tecnología])</f>
        <v>CUDA</v>
      </c>
      <c r="D100" s="2" t="str" cm="1">
        <f t="array" ref="D100">_xlfn.XLOOKUP(Total[[#This Row],[Tecnología]]&amp;Total[[#This Row],[Metodo]],TbTipos[Tecnología]&amp;TbTipos[Metodo],TbTipos[Tipo])</f>
        <v>CUDA con graph</v>
      </c>
      <c r="E100" s="2" t="str" cm="1">
        <f t="array" ref="E100">_xlfn.XLOOKUP(Total[[#This Row],[Tecnología]]&amp;Total[[#This Row],[Problema]],TbNombres[Tecnología]&amp;TbNombres[Problema],TbNombres[Nombre])</f>
        <v>Advdiff1d</v>
      </c>
      <c r="F100" s="2">
        <v>2</v>
      </c>
      <c r="G100" s="2">
        <v>3</v>
      </c>
      <c r="H100" s="2">
        <v>256</v>
      </c>
      <c r="I100" s="2">
        <v>5000</v>
      </c>
      <c r="J100" s="2">
        <v>5000</v>
      </c>
      <c r="K100" s="2">
        <v>28.538799999999998</v>
      </c>
    </row>
    <row r="101" spans="2:11" x14ac:dyDescent="0.2">
      <c r="B101" s="5" t="str">
        <f>_xlfn.XLOOKUP(Total[[#This Row],[Metodo]],TbSolver[Metodo],TbSolver[Solver])</f>
        <v>RungeKutta</v>
      </c>
      <c r="C101" s="5" t="str">
        <f>_xlfn.XLOOKUP(Total[[#This Row],[Hebras]],TbTecnologia[Hebras],TbTecnologia[Tecnología])</f>
        <v>CUDA</v>
      </c>
      <c r="D101" s="2" t="str" cm="1">
        <f t="array" ref="D101">_xlfn.XLOOKUP(Total[[#This Row],[Tecnología]]&amp;Total[[#This Row],[Metodo]],TbTipos[Tecnología]&amp;TbTipos[Metodo],TbTipos[Tipo])</f>
        <v>CUDA con graph</v>
      </c>
      <c r="E101" s="2" t="str" cm="1">
        <f t="array" ref="E101">_xlfn.XLOOKUP(Total[[#This Row],[Tecnología]]&amp;Total[[#This Row],[Problema]],TbNombres[Tecnología]&amp;TbNombres[Problema],TbNombres[Nombre])</f>
        <v>Advdiff1d</v>
      </c>
      <c r="F101" s="2">
        <v>2</v>
      </c>
      <c r="G101" s="2">
        <v>4</v>
      </c>
      <c r="H101" s="2">
        <v>256</v>
      </c>
      <c r="I101" s="2">
        <v>5000</v>
      </c>
      <c r="J101" s="2">
        <v>5000</v>
      </c>
      <c r="K101" s="2">
        <v>29.455300000000001</v>
      </c>
    </row>
    <row r="102" spans="2:11" x14ac:dyDescent="0.2">
      <c r="B102" s="5" t="str">
        <f>_xlfn.XLOOKUP(Total[[#This Row],[Metodo]],TbSolver[Metodo],TbSolver[Solver])</f>
        <v>RungeKutta</v>
      </c>
      <c r="C102" s="5" t="str">
        <f>_xlfn.XLOOKUP(Total[[#This Row],[Hebras]],TbTecnologia[Hebras],TbTecnologia[Tecnología])</f>
        <v>CUDA</v>
      </c>
      <c r="D102" s="2" t="str" cm="1">
        <f t="array" ref="D102">_xlfn.XLOOKUP(Total[[#This Row],[Tecnología]]&amp;Total[[#This Row],[Metodo]],TbTipos[Tecnología]&amp;TbTipos[Metodo],TbTipos[Tipo])</f>
        <v>CUDA sin graph</v>
      </c>
      <c r="E102" s="2" t="str" cm="1">
        <f t="array" ref="E102">_xlfn.XLOOKUP(Total[[#This Row],[Tecnología]]&amp;Total[[#This Row],[Problema]],TbNombres[Tecnología]&amp;TbNombres[Problema],TbNombres[Nombre])</f>
        <v>Advdiff1d</v>
      </c>
      <c r="F102" s="2">
        <v>1</v>
      </c>
      <c r="G102" s="2">
        <v>3</v>
      </c>
      <c r="H102" s="2">
        <v>256</v>
      </c>
      <c r="I102" s="2">
        <v>5000</v>
      </c>
      <c r="J102" s="2">
        <v>5000</v>
      </c>
      <c r="K102" s="2">
        <v>31.218399999999999</v>
      </c>
    </row>
    <row r="103" spans="2:11" x14ac:dyDescent="0.2">
      <c r="B103" s="5" t="str">
        <f>_xlfn.XLOOKUP(Total[[#This Row],[Metodo]],TbSolver[Metodo],TbSolver[Solver])</f>
        <v>RungeKutta</v>
      </c>
      <c r="C103" s="5" t="str">
        <f>_xlfn.XLOOKUP(Total[[#This Row],[Hebras]],TbTecnologia[Hebras],TbTecnologia[Tecnología])</f>
        <v>CUDA</v>
      </c>
      <c r="D103" s="2" t="str" cm="1">
        <f t="array" ref="D103">_xlfn.XLOOKUP(Total[[#This Row],[Tecnología]]&amp;Total[[#This Row],[Metodo]],TbTipos[Tecnología]&amp;TbTipos[Metodo],TbTipos[Tipo])</f>
        <v>CUDA sin graph</v>
      </c>
      <c r="E103" s="2" t="str" cm="1">
        <f t="array" ref="E103">_xlfn.XLOOKUP(Total[[#This Row],[Tecnología]]&amp;Total[[#This Row],[Problema]],TbNombres[Tecnología]&amp;TbNombres[Problema],TbNombres[Nombre])</f>
        <v>Advdiff1d</v>
      </c>
      <c r="F103" s="2">
        <v>1</v>
      </c>
      <c r="G103" s="2">
        <v>4</v>
      </c>
      <c r="H103" s="2">
        <v>256</v>
      </c>
      <c r="I103" s="2">
        <v>5000</v>
      </c>
      <c r="J103" s="2">
        <v>5000</v>
      </c>
      <c r="K103" s="2">
        <v>32.3249</v>
      </c>
    </row>
    <row r="104" spans="2:11" x14ac:dyDescent="0.2">
      <c r="B104" s="5" t="str">
        <f>_xlfn.XLOOKUP(Total[[#This Row],[Metodo]],TbSolver[Metodo],TbSolver[Solver])</f>
        <v>RungeKutta</v>
      </c>
      <c r="C104" s="5" t="str">
        <f>_xlfn.XLOOKUP(Total[[#This Row],[Hebras]],TbTecnologia[Hebras],TbTecnologia[Tecnología])</f>
        <v>CUDA</v>
      </c>
      <c r="D104" s="2" t="str" cm="1">
        <f t="array" ref="D104">_xlfn.XLOOKUP(Total[[#This Row],[Tecnología]]&amp;Total[[#This Row],[Metodo]],TbTipos[Tecnología]&amp;TbTipos[Metodo],TbTipos[Tipo])</f>
        <v>CUDA sin graph</v>
      </c>
      <c r="E104" s="2" t="str" cm="1">
        <f t="array" ref="E104">_xlfn.XLOOKUP(Total[[#This Row],[Tecnología]]&amp;Total[[#This Row],[Problema]],TbNombres[Tecnología]&amp;TbNombres[Problema],TbNombres[Nombre])</f>
        <v>Advdiff1d</v>
      </c>
      <c r="F104" s="2">
        <v>1</v>
      </c>
      <c r="G104" s="2">
        <v>3</v>
      </c>
      <c r="H104" s="2">
        <v>256</v>
      </c>
      <c r="I104" s="2">
        <v>10000</v>
      </c>
      <c r="J104" s="2">
        <v>10000</v>
      </c>
      <c r="K104" s="2">
        <v>31.145700000000001</v>
      </c>
    </row>
    <row r="105" spans="2:11" x14ac:dyDescent="0.2">
      <c r="B105" s="5" t="str">
        <f>_xlfn.XLOOKUP(Total[[#This Row],[Metodo]],TbSolver[Metodo],TbSolver[Solver])</f>
        <v>RungeKutta</v>
      </c>
      <c r="C105" s="5" t="str">
        <f>_xlfn.XLOOKUP(Total[[#This Row],[Hebras]],TbTecnologia[Hebras],TbTecnologia[Tecnología])</f>
        <v>CUDA</v>
      </c>
      <c r="D105" s="2" t="str" cm="1">
        <f t="array" ref="D105">_xlfn.XLOOKUP(Total[[#This Row],[Tecnología]]&amp;Total[[#This Row],[Metodo]],TbTipos[Tecnología]&amp;TbTipos[Metodo],TbTipos[Tipo])</f>
        <v>CUDA sin graph</v>
      </c>
      <c r="E105" s="2" t="str" cm="1">
        <f t="array" ref="E105">_xlfn.XLOOKUP(Total[[#This Row],[Tecnología]]&amp;Total[[#This Row],[Problema]],TbNombres[Tecnología]&amp;TbNombres[Problema],TbNombres[Nombre])</f>
        <v>Advdiff1d</v>
      </c>
      <c r="F105" s="2">
        <v>1</v>
      </c>
      <c r="G105" s="2">
        <v>3</v>
      </c>
      <c r="H105" s="2">
        <v>256</v>
      </c>
      <c r="I105" s="2">
        <v>20000</v>
      </c>
      <c r="J105" s="2">
        <v>20000</v>
      </c>
      <c r="K105" s="2">
        <v>51.704099999999997</v>
      </c>
    </row>
    <row r="106" spans="2:11" x14ac:dyDescent="0.2">
      <c r="B106" s="5" t="str">
        <f>_xlfn.XLOOKUP(Total[[#This Row],[Metodo]],TbSolver[Metodo],TbSolver[Solver])</f>
        <v>RungeKutta</v>
      </c>
      <c r="C106" s="5" t="str">
        <f>_xlfn.XLOOKUP(Total[[#This Row],[Hebras]],TbTecnologia[Hebras],TbTecnologia[Tecnología])</f>
        <v>CUDA</v>
      </c>
      <c r="D106" s="2" t="str" cm="1">
        <f t="array" ref="D106">_xlfn.XLOOKUP(Total[[#This Row],[Tecnología]]&amp;Total[[#This Row],[Metodo]],TbTipos[Tecnología]&amp;TbTipos[Metodo],TbTipos[Tipo])</f>
        <v>CUDA sin graph</v>
      </c>
      <c r="E106" s="2" t="str" cm="1">
        <f t="array" ref="E106">_xlfn.XLOOKUP(Total[[#This Row],[Tecnología]]&amp;Total[[#This Row],[Problema]],TbNombres[Tecnología]&amp;TbNombres[Problema],TbNombres[Nombre])</f>
        <v>Advdiff1d</v>
      </c>
      <c r="F106" s="2">
        <v>1</v>
      </c>
      <c r="G106" s="2">
        <v>3</v>
      </c>
      <c r="H106" s="2">
        <v>256</v>
      </c>
      <c r="I106" s="2">
        <v>50000</v>
      </c>
      <c r="J106" s="2">
        <v>50000</v>
      </c>
      <c r="K106" s="2">
        <v>73.457300000000004</v>
      </c>
    </row>
    <row r="107" spans="2:11" x14ac:dyDescent="0.2">
      <c r="B107" s="5" t="str">
        <f>_xlfn.XLOOKUP(Total[[#This Row],[Metodo]],TbSolver[Metodo],TbSolver[Solver])</f>
        <v>RungeKutta</v>
      </c>
      <c r="C107" s="5" t="str">
        <f>_xlfn.XLOOKUP(Total[[#This Row],[Hebras]],TbTecnologia[Hebras],TbTecnologia[Tecnología])</f>
        <v>CUDA</v>
      </c>
      <c r="D107" s="2" t="str" cm="1">
        <f t="array" ref="D107">_xlfn.XLOOKUP(Total[[#This Row],[Tecnología]]&amp;Total[[#This Row],[Metodo]],TbTipos[Tecnología]&amp;TbTipos[Metodo],TbTipos[Tipo])</f>
        <v>CUDA sin graph</v>
      </c>
      <c r="E107" s="2" t="str" cm="1">
        <f t="array" ref="E107">_xlfn.XLOOKUP(Total[[#This Row],[Tecnología]]&amp;Total[[#This Row],[Problema]],TbNombres[Tecnología]&amp;TbNombres[Problema],TbNombres[Nombre])</f>
        <v>Advdiff1d</v>
      </c>
      <c r="F107" s="2">
        <v>1</v>
      </c>
      <c r="G107" s="2">
        <v>3</v>
      </c>
      <c r="H107" s="2">
        <v>256</v>
      </c>
      <c r="I107" s="2">
        <v>100000</v>
      </c>
      <c r="J107" s="2">
        <v>100000</v>
      </c>
      <c r="K107" s="2">
        <v>134.52500000000001</v>
      </c>
    </row>
    <row r="108" spans="2:11" x14ac:dyDescent="0.2">
      <c r="B108" s="5" t="str">
        <f>_xlfn.XLOOKUP(Total[[#This Row],[Metodo]],TbSolver[Metodo],TbSolver[Solver])</f>
        <v>RungeKutta</v>
      </c>
      <c r="C108" s="5" t="str">
        <f>_xlfn.XLOOKUP(Total[[#This Row],[Hebras]],TbTecnologia[Hebras],TbTecnologia[Tecnología])</f>
        <v>CUDA</v>
      </c>
      <c r="D108" s="2" t="str" cm="1">
        <f t="array" ref="D108">_xlfn.XLOOKUP(Total[[#This Row],[Tecnología]]&amp;Total[[#This Row],[Metodo]],TbTipos[Tecnología]&amp;TbTipos[Metodo],TbTipos[Tipo])</f>
        <v>CUDA sin graph</v>
      </c>
      <c r="E108" s="2" t="str" cm="1">
        <f t="array" ref="E108">_xlfn.XLOOKUP(Total[[#This Row],[Tecnología]]&amp;Total[[#This Row],[Problema]],TbNombres[Tecnología]&amp;TbNombres[Problema],TbNombres[Nombre])</f>
        <v>Advdiff1d</v>
      </c>
      <c r="F108" s="2">
        <v>1</v>
      </c>
      <c r="G108" s="2">
        <v>3</v>
      </c>
      <c r="H108" s="2">
        <v>256</v>
      </c>
      <c r="I108" s="2">
        <v>200000</v>
      </c>
      <c r="J108" s="2">
        <v>200000</v>
      </c>
      <c r="K108" s="2">
        <v>270.13499999999999</v>
      </c>
    </row>
    <row r="109" spans="2:11" x14ac:dyDescent="0.2">
      <c r="B109" s="5" t="str">
        <f>_xlfn.XLOOKUP(Total[[#This Row],[Metodo]],TbSolver[Metodo],TbSolver[Solver])</f>
        <v>RungeKutta</v>
      </c>
      <c r="C109" s="5" t="str">
        <f>_xlfn.XLOOKUP(Total[[#This Row],[Hebras]],TbTecnologia[Hebras],TbTecnologia[Tecnología])</f>
        <v>OMP</v>
      </c>
      <c r="D109" s="7" t="str" cm="1">
        <f t="array" ref="D109">_xlfn.XLOOKUP(Total[[#This Row],[Tecnología]]&amp;Total[[#This Row],[Metodo]],TbTipos[Tecnología]&amp;TbTipos[Metodo],TbTipos[Tipo])</f>
        <v>OMP Elementos</v>
      </c>
      <c r="E109" s="6" t="str" cm="1">
        <f t="array" ref="E109">_xlfn.XLOOKUP(Total[[#This Row],[Tecnología]]&amp;Total[[#This Row],[Problema]],TbNombres[Tecnología]&amp;TbNombres[Problema],TbNombres[Nombre])</f>
        <v>Brusselator1d</v>
      </c>
      <c r="F109" s="6">
        <v>2</v>
      </c>
      <c r="G109" s="6">
        <v>3</v>
      </c>
      <c r="H109" s="6">
        <v>1</v>
      </c>
      <c r="I109" s="6">
        <v>100</v>
      </c>
      <c r="J109" s="6">
        <v>200</v>
      </c>
      <c r="K109" s="6">
        <v>5.33148</v>
      </c>
    </row>
    <row r="110" spans="2:11" x14ac:dyDescent="0.2">
      <c r="B110" s="5" t="str">
        <f>_xlfn.XLOOKUP(Total[[#This Row],[Metodo]],TbSolver[Metodo],TbSolver[Solver])</f>
        <v>RungeKutta</v>
      </c>
      <c r="C110" s="5" t="str">
        <f>_xlfn.XLOOKUP(Total[[#This Row],[Hebras]],TbTecnologia[Hebras],TbTecnologia[Tecnología])</f>
        <v>OMP</v>
      </c>
      <c r="D110" s="7" t="str" cm="1">
        <f t="array" ref="D110">_xlfn.XLOOKUP(Total[[#This Row],[Tecnología]]&amp;Total[[#This Row],[Metodo]],TbTipos[Tecnología]&amp;TbTipos[Metodo],TbTipos[Tipo])</f>
        <v>OMP Operaciones</v>
      </c>
      <c r="E110" s="6" t="str" cm="1">
        <f t="array" ref="E110">_xlfn.XLOOKUP(Total[[#This Row],[Tecnología]]&amp;Total[[#This Row],[Problema]],TbNombres[Tecnología]&amp;TbNombres[Problema],TbNombres[Nombre])</f>
        <v>Brusselator1d</v>
      </c>
      <c r="F110" s="6">
        <v>1</v>
      </c>
      <c r="G110" s="6">
        <v>3</v>
      </c>
      <c r="H110" s="6">
        <v>1</v>
      </c>
      <c r="I110" s="6">
        <v>100</v>
      </c>
      <c r="J110" s="6">
        <v>200</v>
      </c>
      <c r="K110" s="6">
        <v>5.4470700000000001</v>
      </c>
    </row>
    <row r="111" spans="2:11" x14ac:dyDescent="0.2">
      <c r="B111" s="5" t="str">
        <f>_xlfn.XLOOKUP(Total[[#This Row],[Metodo]],TbSolver[Metodo],TbSolver[Solver])</f>
        <v>RungeKutta</v>
      </c>
      <c r="C111" s="5" t="str">
        <f>_xlfn.XLOOKUP(Total[[#This Row],[Hebras]],TbTecnologia[Hebras],TbTecnologia[Tecnología])</f>
        <v>OMP</v>
      </c>
      <c r="D111" s="7" t="str" cm="1">
        <f t="array" ref="D111">_xlfn.XLOOKUP(Total[[#This Row],[Tecnología]]&amp;Total[[#This Row],[Metodo]],TbTipos[Tecnología]&amp;TbTipos[Metodo],TbTipos[Tipo])</f>
        <v>OMP Elementos</v>
      </c>
      <c r="E111" s="6" t="str" cm="1">
        <f t="array" ref="E111">_xlfn.XLOOKUP(Total[[#This Row],[Tecnología]]&amp;Total[[#This Row],[Problema]],TbNombres[Tecnología]&amp;TbNombres[Problema],TbNombres[Nombre])</f>
        <v>Brusselator1d</v>
      </c>
      <c r="F111" s="6">
        <v>2</v>
      </c>
      <c r="G111" s="6">
        <v>3</v>
      </c>
      <c r="H111" s="6">
        <v>4</v>
      </c>
      <c r="I111" s="6">
        <v>100</v>
      </c>
      <c r="J111" s="6">
        <v>200</v>
      </c>
      <c r="K111" s="6">
        <v>8.7904599999999995</v>
      </c>
    </row>
    <row r="112" spans="2:11" x14ac:dyDescent="0.2">
      <c r="B112" s="5" t="str">
        <f>_xlfn.XLOOKUP(Total[[#This Row],[Metodo]],TbSolver[Metodo],TbSolver[Solver])</f>
        <v>RungeKutta</v>
      </c>
      <c r="C112" s="5" t="str">
        <f>_xlfn.XLOOKUP(Total[[#This Row],[Hebras]],TbTecnologia[Hebras],TbTecnologia[Tecnología])</f>
        <v>CUDA</v>
      </c>
      <c r="D112" s="2" t="str" cm="1">
        <f t="array" ref="D112">_xlfn.XLOOKUP(Total[[#This Row],[Tecnología]]&amp;Total[[#This Row],[Metodo]],TbTipos[Tecnología]&amp;TbTipos[Metodo],TbTipos[Tipo])</f>
        <v>CUDA con graph</v>
      </c>
      <c r="E112" s="2" t="str" cm="1">
        <f t="array" ref="E112">_xlfn.XLOOKUP(Total[[#This Row],[Tecnología]]&amp;Total[[#This Row],[Problema]],TbNombres[Tecnología]&amp;TbNombres[Problema],TbNombres[Nombre])</f>
        <v>Brusselator1d</v>
      </c>
      <c r="F112" s="2">
        <v>2</v>
      </c>
      <c r="G112" s="2">
        <v>5</v>
      </c>
      <c r="H112" s="2">
        <v>256</v>
      </c>
      <c r="I112" s="2">
        <v>100</v>
      </c>
      <c r="J112" s="2">
        <v>200</v>
      </c>
      <c r="K112" s="2">
        <v>13.028600000000001</v>
      </c>
    </row>
    <row r="113" spans="2:11" x14ac:dyDescent="0.2">
      <c r="B113" s="5" t="str">
        <f>_xlfn.XLOOKUP(Total[[#This Row],[Metodo]],TbSolver[Metodo],TbSolver[Solver])</f>
        <v>RungeKutta</v>
      </c>
      <c r="C113" s="5" t="str">
        <f>_xlfn.XLOOKUP(Total[[#This Row],[Hebras]],TbTecnologia[Hebras],TbTecnologia[Tecnología])</f>
        <v>CUDA</v>
      </c>
      <c r="D113" s="2" t="str" cm="1">
        <f t="array" ref="D113">_xlfn.XLOOKUP(Total[[#This Row],[Tecnología]]&amp;Total[[#This Row],[Metodo]],TbTipos[Tecnología]&amp;TbTipos[Metodo],TbTipos[Tipo])</f>
        <v>CUDA con graph</v>
      </c>
      <c r="E113" s="2" t="str" cm="1">
        <f t="array" ref="E113">_xlfn.XLOOKUP(Total[[#This Row],[Tecnología]]&amp;Total[[#This Row],[Problema]],TbNombres[Tecnología]&amp;TbNombres[Problema],TbNombres[Nombre])</f>
        <v>Brusselator1d</v>
      </c>
      <c r="F113" s="2">
        <v>2</v>
      </c>
      <c r="G113" s="2">
        <v>6</v>
      </c>
      <c r="H113" s="2">
        <v>256</v>
      </c>
      <c r="I113" s="2">
        <v>100</v>
      </c>
      <c r="J113" s="2">
        <v>200</v>
      </c>
      <c r="K113" s="2">
        <v>13.157400000000001</v>
      </c>
    </row>
    <row r="114" spans="2:11" x14ac:dyDescent="0.2">
      <c r="B114" s="5" t="str">
        <f>_xlfn.XLOOKUP(Total[[#This Row],[Metodo]],TbSolver[Metodo],TbSolver[Solver])</f>
        <v>RungeKutta</v>
      </c>
      <c r="C114" s="5" t="str">
        <f>_xlfn.XLOOKUP(Total[[#This Row],[Hebras]],TbTecnologia[Hebras],TbTecnologia[Tecnología])</f>
        <v>CUDA</v>
      </c>
      <c r="D114" s="2" t="str" cm="1">
        <f t="array" ref="D114">_xlfn.XLOOKUP(Total[[#This Row],[Tecnología]]&amp;Total[[#This Row],[Metodo]],TbTipos[Tecnología]&amp;TbTipos[Metodo],TbTipos[Tipo])</f>
        <v>CUDA con graph</v>
      </c>
      <c r="E114" s="2" t="str" cm="1">
        <f t="array" ref="E114">_xlfn.XLOOKUP(Total[[#This Row],[Tecnología]]&amp;Total[[#This Row],[Problema]],TbNombres[Tecnología]&amp;TbNombres[Problema],TbNombres[Nombre])</f>
        <v>Brusselator1d</v>
      </c>
      <c r="F114" s="2">
        <v>2</v>
      </c>
      <c r="G114" s="2">
        <v>7</v>
      </c>
      <c r="H114" s="2">
        <v>256</v>
      </c>
      <c r="I114" s="2">
        <v>100</v>
      </c>
      <c r="J114" s="2">
        <v>200</v>
      </c>
      <c r="K114" s="2">
        <v>13.540100000000001</v>
      </c>
    </row>
    <row r="115" spans="2:11" x14ac:dyDescent="0.2">
      <c r="B115" s="5" t="str">
        <f>_xlfn.XLOOKUP(Total[[#This Row],[Metodo]],TbSolver[Metodo],TbSolver[Solver])</f>
        <v>RungeKutta</v>
      </c>
      <c r="C115" s="5" t="str">
        <f>_xlfn.XLOOKUP(Total[[#This Row],[Hebras]],TbTecnologia[Hebras],TbTecnologia[Tecnología])</f>
        <v>CUDA</v>
      </c>
      <c r="D115" s="2" t="str" cm="1">
        <f t="array" ref="D115">_xlfn.XLOOKUP(Total[[#This Row],[Tecnología]]&amp;Total[[#This Row],[Metodo]],TbTipos[Tecnología]&amp;TbTipos[Metodo],TbTipos[Tipo])</f>
        <v>CUDA sin graph</v>
      </c>
      <c r="E115" s="2" t="str" cm="1">
        <f t="array" ref="E115">_xlfn.XLOOKUP(Total[[#This Row],[Tecnología]]&amp;Total[[#This Row],[Problema]],TbNombres[Tecnología]&amp;TbNombres[Problema],TbNombres[Nombre])</f>
        <v>Brusselator1d</v>
      </c>
      <c r="F115" s="2">
        <v>1</v>
      </c>
      <c r="G115" s="2">
        <v>6</v>
      </c>
      <c r="H115" s="2">
        <v>256</v>
      </c>
      <c r="I115" s="2">
        <v>100</v>
      </c>
      <c r="J115" s="2">
        <v>200</v>
      </c>
      <c r="K115" s="2">
        <v>16.420000000000002</v>
      </c>
    </row>
    <row r="116" spans="2:11" x14ac:dyDescent="0.2">
      <c r="B116" s="5" t="str">
        <f>_xlfn.XLOOKUP(Total[[#This Row],[Metodo]],TbSolver[Metodo],TbSolver[Solver])</f>
        <v>RungeKutta</v>
      </c>
      <c r="C116" s="5" t="str">
        <f>_xlfn.XLOOKUP(Total[[#This Row],[Hebras]],TbTecnologia[Hebras],TbTecnologia[Tecnología])</f>
        <v>CUDA</v>
      </c>
      <c r="D116" s="2" t="str" cm="1">
        <f t="array" ref="D116">_xlfn.XLOOKUP(Total[[#This Row],[Tecnología]]&amp;Total[[#This Row],[Metodo]],TbTipos[Tecnología]&amp;TbTipos[Metodo],TbTipos[Tipo])</f>
        <v>CUDA sin graph</v>
      </c>
      <c r="E116" s="2" t="str" cm="1">
        <f t="array" ref="E116">_xlfn.XLOOKUP(Total[[#This Row],[Tecnología]]&amp;Total[[#This Row],[Problema]],TbNombres[Tecnología]&amp;TbNombres[Problema],TbNombres[Nombre])</f>
        <v>Brusselator1d</v>
      </c>
      <c r="F116" s="2">
        <v>1</v>
      </c>
      <c r="G116" s="2">
        <v>7</v>
      </c>
      <c r="H116" s="2">
        <v>256</v>
      </c>
      <c r="I116" s="2">
        <v>100</v>
      </c>
      <c r="J116" s="2">
        <v>200</v>
      </c>
      <c r="K116" s="2">
        <v>16.6784</v>
      </c>
    </row>
    <row r="117" spans="2:11" x14ac:dyDescent="0.2">
      <c r="B117" s="5" t="str">
        <f>_xlfn.XLOOKUP(Total[[#This Row],[Metodo]],TbSolver[Metodo],TbSolver[Solver])</f>
        <v>RungeKutta</v>
      </c>
      <c r="C117" s="5" t="str">
        <f>_xlfn.XLOOKUP(Total[[#This Row],[Hebras]],TbTecnologia[Hebras],TbTecnologia[Tecnología])</f>
        <v>CUDA</v>
      </c>
      <c r="D117" s="2" t="str" cm="1">
        <f t="array" ref="D117">_xlfn.XLOOKUP(Total[[#This Row],[Tecnología]]&amp;Total[[#This Row],[Metodo]],TbTipos[Tecnología]&amp;TbTipos[Metodo],TbTipos[Tipo])</f>
        <v>CUDA sin graph</v>
      </c>
      <c r="E117" s="2" t="str" cm="1">
        <f t="array" ref="E117">_xlfn.XLOOKUP(Total[[#This Row],[Tecnología]]&amp;Total[[#This Row],[Problema]],TbNombres[Tecnología]&amp;TbNombres[Problema],TbNombres[Nombre])</f>
        <v>Brusselator1d</v>
      </c>
      <c r="F117" s="2">
        <v>1</v>
      </c>
      <c r="G117" s="2">
        <v>5</v>
      </c>
      <c r="H117" s="2">
        <v>256</v>
      </c>
      <c r="I117" s="2">
        <v>100</v>
      </c>
      <c r="J117" s="2">
        <v>200</v>
      </c>
      <c r="K117" s="2">
        <v>18.841999999999999</v>
      </c>
    </row>
    <row r="118" spans="2:11" x14ac:dyDescent="0.2">
      <c r="B118" s="5" t="str">
        <f>_xlfn.XLOOKUP(Total[[#This Row],[Metodo]],TbSolver[Metodo],TbSolver[Solver])</f>
        <v>RungeKutta</v>
      </c>
      <c r="C118" s="5" t="str">
        <f>_xlfn.XLOOKUP(Total[[#This Row],[Hebras]],TbTecnologia[Hebras],TbTecnologia[Tecnología])</f>
        <v>OMP</v>
      </c>
      <c r="D118" s="7" t="str" cm="1">
        <f t="array" ref="D118">_xlfn.XLOOKUP(Total[[#This Row],[Tecnología]]&amp;Total[[#This Row],[Metodo]],TbTipos[Tecnología]&amp;TbTipos[Metodo],TbTipos[Tipo])</f>
        <v>OMP Elementos</v>
      </c>
      <c r="E118" s="6" t="str" cm="1">
        <f t="array" ref="E118">_xlfn.XLOOKUP(Total[[#This Row],[Tecnología]]&amp;Total[[#This Row],[Problema]],TbNombres[Tecnología]&amp;TbNombres[Problema],TbNombres[Nombre])</f>
        <v>Brusselator1d</v>
      </c>
      <c r="F118" s="6">
        <v>2</v>
      </c>
      <c r="G118" s="6">
        <v>3</v>
      </c>
      <c r="H118" s="6">
        <v>16</v>
      </c>
      <c r="I118" s="6">
        <v>100</v>
      </c>
      <c r="J118" s="6">
        <v>200</v>
      </c>
      <c r="K118" s="6">
        <v>23.809799999999999</v>
      </c>
    </row>
    <row r="119" spans="2:11" x14ac:dyDescent="0.2">
      <c r="B119" s="5" t="str">
        <f>_xlfn.XLOOKUP(Total[[#This Row],[Metodo]],TbSolver[Metodo],TbSolver[Solver])</f>
        <v>RungeKutta</v>
      </c>
      <c r="C119" s="5" t="str">
        <f>_xlfn.XLOOKUP(Total[[#This Row],[Hebras]],TbTecnologia[Hebras],TbTecnologia[Tecnología])</f>
        <v>OMP</v>
      </c>
      <c r="D119" s="7" t="str" cm="1">
        <f t="array" ref="D119">_xlfn.XLOOKUP(Total[[#This Row],[Tecnología]]&amp;Total[[#This Row],[Metodo]],TbTipos[Tecnología]&amp;TbTipos[Metodo],TbTipos[Tipo])</f>
        <v>OMP Operaciones</v>
      </c>
      <c r="E119" s="6" t="str" cm="1">
        <f t="array" ref="E119">_xlfn.XLOOKUP(Total[[#This Row],[Tecnología]]&amp;Total[[#This Row],[Problema]],TbNombres[Tecnología]&amp;TbNombres[Problema],TbNombres[Nombre])</f>
        <v>Brusselator1d</v>
      </c>
      <c r="F119" s="6">
        <v>1</v>
      </c>
      <c r="G119" s="6">
        <v>3</v>
      </c>
      <c r="H119" s="6">
        <v>4</v>
      </c>
      <c r="I119" s="6">
        <v>100</v>
      </c>
      <c r="J119" s="6">
        <v>200</v>
      </c>
      <c r="K119" s="6">
        <v>34.713299999999997</v>
      </c>
    </row>
    <row r="120" spans="2:11" x14ac:dyDescent="0.2">
      <c r="B120" s="5" t="str">
        <f>_xlfn.XLOOKUP(Total[[#This Row],[Metodo]],TbSolver[Metodo],TbSolver[Solver])</f>
        <v>RungeKutta</v>
      </c>
      <c r="C120" s="5" t="str">
        <f>_xlfn.XLOOKUP(Total[[#This Row],[Hebras]],TbTecnologia[Hebras],TbTecnologia[Tecnología])</f>
        <v>OMP</v>
      </c>
      <c r="D120" s="7" t="str" cm="1">
        <f t="array" ref="D120">_xlfn.XLOOKUP(Total[[#This Row],[Tecnología]]&amp;Total[[#This Row],[Metodo]],TbTipos[Tecnología]&amp;TbTipos[Metodo],TbTipos[Tipo])</f>
        <v>OMP Operaciones</v>
      </c>
      <c r="E120" s="6" t="str" cm="1">
        <f t="array" ref="E120">_xlfn.XLOOKUP(Total[[#This Row],[Tecnología]]&amp;Total[[#This Row],[Problema]],TbNombres[Tecnología]&amp;TbNombres[Problema],TbNombres[Nombre])</f>
        <v>Brusselator1d</v>
      </c>
      <c r="F120" s="6">
        <v>1</v>
      </c>
      <c r="G120" s="6">
        <v>3</v>
      </c>
      <c r="H120" s="6">
        <v>16</v>
      </c>
      <c r="I120" s="6">
        <v>100</v>
      </c>
      <c r="J120" s="6">
        <v>200</v>
      </c>
      <c r="K120" s="6">
        <v>95.696600000000004</v>
      </c>
    </row>
    <row r="121" spans="2:11" x14ac:dyDescent="0.2">
      <c r="B121" s="5" t="str">
        <f>_xlfn.XLOOKUP(Total[[#This Row],[Metodo]],TbSolver[Metodo],TbSolver[Solver])</f>
        <v>RungeKutta</v>
      </c>
      <c r="C121" s="5" t="str">
        <f>_xlfn.XLOOKUP(Total[[#This Row],[Hebras]],TbTecnologia[Hebras],TbTecnologia[Tecnología])</f>
        <v>OMP</v>
      </c>
      <c r="D121" s="7" t="str" cm="1">
        <f t="array" ref="D121">_xlfn.XLOOKUP(Total[[#This Row],[Tecnología]]&amp;Total[[#This Row],[Metodo]],TbTipos[Tecnología]&amp;TbTipos[Metodo],TbTipos[Tipo])</f>
        <v>OMP Operaciones</v>
      </c>
      <c r="E121" s="6" t="str" cm="1">
        <f t="array" ref="E121">_xlfn.XLOOKUP(Total[[#This Row],[Tecnología]]&amp;Total[[#This Row],[Problema]],TbNombres[Tecnología]&amp;TbNombres[Problema],TbNombres[Nombre])</f>
        <v>Brusselator1d</v>
      </c>
      <c r="F121" s="6">
        <v>1</v>
      </c>
      <c r="G121" s="6">
        <v>3</v>
      </c>
      <c r="H121" s="6">
        <v>1</v>
      </c>
      <c r="I121" s="6">
        <v>200</v>
      </c>
      <c r="J121" s="6">
        <v>400</v>
      </c>
      <c r="K121" s="6">
        <v>7.2618</v>
      </c>
    </row>
    <row r="122" spans="2:11" x14ac:dyDescent="0.2">
      <c r="B122" s="5" t="str">
        <f>_xlfn.XLOOKUP(Total[[#This Row],[Metodo]],TbSolver[Metodo],TbSolver[Solver])</f>
        <v>RungeKutta</v>
      </c>
      <c r="C122" s="5" t="str">
        <f>_xlfn.XLOOKUP(Total[[#This Row],[Hebras]],TbTecnologia[Hebras],TbTecnologia[Tecnología])</f>
        <v>OMP</v>
      </c>
      <c r="D122" s="7" t="str" cm="1">
        <f t="array" ref="D122">_xlfn.XLOOKUP(Total[[#This Row],[Tecnología]]&amp;Total[[#This Row],[Metodo]],TbTipos[Tecnología]&amp;TbTipos[Metodo],TbTipos[Tipo])</f>
        <v>OMP Elementos</v>
      </c>
      <c r="E122" s="6" t="str" cm="1">
        <f t="array" ref="E122">_xlfn.XLOOKUP(Total[[#This Row],[Tecnología]]&amp;Total[[#This Row],[Problema]],TbNombres[Tecnología]&amp;TbNombres[Problema],TbNombres[Nombre])</f>
        <v>Brusselator1d</v>
      </c>
      <c r="F122" s="6">
        <v>2</v>
      </c>
      <c r="G122" s="6">
        <v>3</v>
      </c>
      <c r="H122" s="6">
        <v>4</v>
      </c>
      <c r="I122" s="6">
        <v>200</v>
      </c>
      <c r="J122" s="6">
        <v>400</v>
      </c>
      <c r="K122" s="6">
        <v>9.9756999999999998</v>
      </c>
    </row>
    <row r="123" spans="2:11" x14ac:dyDescent="0.2">
      <c r="B123" s="5" t="str">
        <f>_xlfn.XLOOKUP(Total[[#This Row],[Metodo]],TbSolver[Metodo],TbSolver[Solver])</f>
        <v>RungeKutta</v>
      </c>
      <c r="C123" s="5" t="str">
        <f>_xlfn.XLOOKUP(Total[[#This Row],[Hebras]],TbTecnologia[Hebras],TbTecnologia[Tecnología])</f>
        <v>OMP</v>
      </c>
      <c r="D123" s="7" t="str" cm="1">
        <f t="array" ref="D123">_xlfn.XLOOKUP(Total[[#This Row],[Tecnología]]&amp;Total[[#This Row],[Metodo]],TbTipos[Tecnología]&amp;TbTipos[Metodo],TbTipos[Tipo])</f>
        <v>OMP Elementos</v>
      </c>
      <c r="E123" s="6" t="str" cm="1">
        <f t="array" ref="E123">_xlfn.XLOOKUP(Total[[#This Row],[Tecnología]]&amp;Total[[#This Row],[Problema]],TbNombres[Tecnología]&amp;TbNombres[Problema],TbNombres[Nombre])</f>
        <v>Brusselator1d</v>
      </c>
      <c r="F123" s="6">
        <v>2</v>
      </c>
      <c r="G123" s="6">
        <v>3</v>
      </c>
      <c r="H123" s="6">
        <v>1</v>
      </c>
      <c r="I123" s="6">
        <v>200</v>
      </c>
      <c r="J123" s="6">
        <v>400</v>
      </c>
      <c r="K123" s="6">
        <v>9.9896200000000004</v>
      </c>
    </row>
    <row r="124" spans="2:11" x14ac:dyDescent="0.2">
      <c r="B124" s="5" t="str">
        <f>_xlfn.XLOOKUP(Total[[#This Row],[Metodo]],TbSolver[Metodo],TbSolver[Solver])</f>
        <v>RungeKutta</v>
      </c>
      <c r="C124" s="5" t="str">
        <f>_xlfn.XLOOKUP(Total[[#This Row],[Hebras]],TbTecnologia[Hebras],TbTecnologia[Tecnología])</f>
        <v>CUDA</v>
      </c>
      <c r="D124" s="2" t="str" cm="1">
        <f t="array" ref="D124">_xlfn.XLOOKUP(Total[[#This Row],[Tecnología]]&amp;Total[[#This Row],[Metodo]],TbTipos[Tecnología]&amp;TbTipos[Metodo],TbTipos[Tipo])</f>
        <v>CUDA con graph</v>
      </c>
      <c r="E124" s="2" t="str" cm="1">
        <f t="array" ref="E124">_xlfn.XLOOKUP(Total[[#This Row],[Tecnología]]&amp;Total[[#This Row],[Problema]],TbNombres[Tecnología]&amp;TbNombres[Problema],TbNombres[Nombre])</f>
        <v>Brusselator1d</v>
      </c>
      <c r="F124" s="2">
        <v>2</v>
      </c>
      <c r="G124" s="2">
        <v>5</v>
      </c>
      <c r="H124" s="2">
        <v>256</v>
      </c>
      <c r="I124" s="2">
        <v>200</v>
      </c>
      <c r="J124" s="2">
        <v>400</v>
      </c>
      <c r="K124" s="2">
        <v>13.7011</v>
      </c>
    </row>
    <row r="125" spans="2:11" x14ac:dyDescent="0.2">
      <c r="B125" s="5" t="str">
        <f>_xlfn.XLOOKUP(Total[[#This Row],[Metodo]],TbSolver[Metodo],TbSolver[Solver])</f>
        <v>RungeKutta</v>
      </c>
      <c r="C125" s="5" t="str">
        <f>_xlfn.XLOOKUP(Total[[#This Row],[Hebras]],TbTecnologia[Hebras],TbTecnologia[Tecnología])</f>
        <v>CUDA</v>
      </c>
      <c r="D125" s="2" t="str" cm="1">
        <f t="array" ref="D125">_xlfn.XLOOKUP(Total[[#This Row],[Tecnología]]&amp;Total[[#This Row],[Metodo]],TbTipos[Tecnología]&amp;TbTipos[Metodo],TbTipos[Tipo])</f>
        <v>CUDA con graph</v>
      </c>
      <c r="E125" s="2" t="str" cm="1">
        <f t="array" ref="E125">_xlfn.XLOOKUP(Total[[#This Row],[Tecnología]]&amp;Total[[#This Row],[Problema]],TbNombres[Tecnología]&amp;TbNombres[Problema],TbNombres[Nombre])</f>
        <v>Brusselator1d</v>
      </c>
      <c r="F125" s="2">
        <v>2</v>
      </c>
      <c r="G125" s="2">
        <v>6</v>
      </c>
      <c r="H125" s="2">
        <v>256</v>
      </c>
      <c r="I125" s="2">
        <v>200</v>
      </c>
      <c r="J125" s="2">
        <v>400</v>
      </c>
      <c r="K125" s="2">
        <v>13.7067</v>
      </c>
    </row>
    <row r="126" spans="2:11" x14ac:dyDescent="0.2">
      <c r="B126" s="5" t="str">
        <f>_xlfn.XLOOKUP(Total[[#This Row],[Metodo]],TbSolver[Metodo],TbSolver[Solver])</f>
        <v>RungeKutta</v>
      </c>
      <c r="C126" s="5" t="str">
        <f>_xlfn.XLOOKUP(Total[[#This Row],[Hebras]],TbTecnologia[Hebras],TbTecnologia[Tecnología])</f>
        <v>CUDA</v>
      </c>
      <c r="D126" s="2" t="str" cm="1">
        <f t="array" ref="D126">_xlfn.XLOOKUP(Total[[#This Row],[Tecnología]]&amp;Total[[#This Row],[Metodo]],TbTipos[Tecnología]&amp;TbTipos[Metodo],TbTipos[Tipo])</f>
        <v>CUDA con graph</v>
      </c>
      <c r="E126" s="2" t="str" cm="1">
        <f t="array" ref="E126">_xlfn.XLOOKUP(Total[[#This Row],[Tecnología]]&amp;Total[[#This Row],[Problema]],TbNombres[Tecnología]&amp;TbNombres[Problema],TbNombres[Nombre])</f>
        <v>Brusselator1d</v>
      </c>
      <c r="F126" s="2">
        <v>2</v>
      </c>
      <c r="G126" s="2">
        <v>7</v>
      </c>
      <c r="H126" s="2">
        <v>256</v>
      </c>
      <c r="I126" s="2">
        <v>200</v>
      </c>
      <c r="J126" s="2">
        <v>400</v>
      </c>
      <c r="K126" s="2">
        <v>13.7905</v>
      </c>
    </row>
    <row r="127" spans="2:11" x14ac:dyDescent="0.2">
      <c r="B127" s="5" t="str">
        <f>_xlfn.XLOOKUP(Total[[#This Row],[Metodo]],TbSolver[Metodo],TbSolver[Solver])</f>
        <v>RungeKutta</v>
      </c>
      <c r="C127" s="5" t="str">
        <f>_xlfn.XLOOKUP(Total[[#This Row],[Hebras]],TbTecnologia[Hebras],TbTecnologia[Tecnología])</f>
        <v>CUDA</v>
      </c>
      <c r="D127" s="2" t="str" cm="1">
        <f t="array" ref="D127">_xlfn.XLOOKUP(Total[[#This Row],[Tecnología]]&amp;Total[[#This Row],[Metodo]],TbTipos[Tecnología]&amp;TbTipos[Metodo],TbTipos[Tipo])</f>
        <v>CUDA sin graph</v>
      </c>
      <c r="E127" s="2" t="str" cm="1">
        <f t="array" ref="E127">_xlfn.XLOOKUP(Total[[#This Row],[Tecnología]]&amp;Total[[#This Row],[Problema]],TbNombres[Tecnología]&amp;TbNombres[Problema],TbNombres[Nombre])</f>
        <v>Brusselator1d</v>
      </c>
      <c r="F127" s="2">
        <v>1</v>
      </c>
      <c r="G127" s="2">
        <v>6</v>
      </c>
      <c r="H127" s="2">
        <v>256</v>
      </c>
      <c r="I127" s="2">
        <v>200</v>
      </c>
      <c r="J127" s="2">
        <v>400</v>
      </c>
      <c r="K127" s="2">
        <v>16.845500000000001</v>
      </c>
    </row>
    <row r="128" spans="2:11" x14ac:dyDescent="0.2">
      <c r="B128" s="5" t="str">
        <f>_xlfn.XLOOKUP(Total[[#This Row],[Metodo]],TbSolver[Metodo],TbSolver[Solver])</f>
        <v>RungeKutta</v>
      </c>
      <c r="C128" s="5" t="str">
        <f>_xlfn.XLOOKUP(Total[[#This Row],[Hebras]],TbTecnologia[Hebras],TbTecnologia[Tecnología])</f>
        <v>OMP</v>
      </c>
      <c r="D128" s="7" t="str" cm="1">
        <f t="array" ref="D128">_xlfn.XLOOKUP(Total[[#This Row],[Tecnología]]&amp;Total[[#This Row],[Metodo]],TbTipos[Tecnología]&amp;TbTipos[Metodo],TbTipos[Tipo])</f>
        <v>OMP Elementos</v>
      </c>
      <c r="E128" s="6" t="str" cm="1">
        <f t="array" ref="E128">_xlfn.XLOOKUP(Total[[#This Row],[Tecnología]]&amp;Total[[#This Row],[Problema]],TbNombres[Tecnología]&amp;TbNombres[Problema],TbNombres[Nombre])</f>
        <v>Brusselator1d</v>
      </c>
      <c r="F128" s="6">
        <v>2</v>
      </c>
      <c r="G128" s="6">
        <v>3</v>
      </c>
      <c r="H128" s="6">
        <v>16</v>
      </c>
      <c r="I128" s="6">
        <v>200</v>
      </c>
      <c r="J128" s="6">
        <v>400</v>
      </c>
      <c r="K128" s="6">
        <v>17.2044</v>
      </c>
    </row>
    <row r="129" spans="2:11" x14ac:dyDescent="0.2">
      <c r="B129" s="5" t="str">
        <f>_xlfn.XLOOKUP(Total[[#This Row],[Metodo]],TbSolver[Metodo],TbSolver[Solver])</f>
        <v>RungeKutta</v>
      </c>
      <c r="C129" s="5" t="str">
        <f>_xlfn.XLOOKUP(Total[[#This Row],[Hebras]],TbTecnologia[Hebras],TbTecnologia[Tecnología])</f>
        <v>CUDA</v>
      </c>
      <c r="D129" s="2" t="str" cm="1">
        <f t="array" ref="D129">_xlfn.XLOOKUP(Total[[#This Row],[Tecnología]]&amp;Total[[#This Row],[Metodo]],TbTipos[Tecnología]&amp;TbTipos[Metodo],TbTipos[Tipo])</f>
        <v>CUDA sin graph</v>
      </c>
      <c r="E129" s="2" t="str" cm="1">
        <f t="array" ref="E129">_xlfn.XLOOKUP(Total[[#This Row],[Tecnología]]&amp;Total[[#This Row],[Problema]],TbNombres[Tecnología]&amp;TbNombres[Problema],TbNombres[Nombre])</f>
        <v>Brusselator1d</v>
      </c>
      <c r="F129" s="2">
        <v>1</v>
      </c>
      <c r="G129" s="2">
        <v>5</v>
      </c>
      <c r="H129" s="2">
        <v>256</v>
      </c>
      <c r="I129" s="2">
        <v>200</v>
      </c>
      <c r="J129" s="2">
        <v>400</v>
      </c>
      <c r="K129" s="2">
        <v>19.164300000000001</v>
      </c>
    </row>
    <row r="130" spans="2:11" x14ac:dyDescent="0.2">
      <c r="B130" s="5" t="str">
        <f>_xlfn.XLOOKUP(Total[[#This Row],[Metodo]],TbSolver[Metodo],TbSolver[Solver])</f>
        <v>RungeKutta</v>
      </c>
      <c r="C130" s="5" t="str">
        <f>_xlfn.XLOOKUP(Total[[#This Row],[Hebras]],TbTecnologia[Hebras],TbTecnologia[Tecnología])</f>
        <v>CUDA</v>
      </c>
      <c r="D130" s="2" t="str" cm="1">
        <f t="array" ref="D130">_xlfn.XLOOKUP(Total[[#This Row],[Tecnología]]&amp;Total[[#This Row],[Metodo]],TbTipos[Tecnología]&amp;TbTipos[Metodo],TbTipos[Tipo])</f>
        <v>CUDA sin graph</v>
      </c>
      <c r="E130" s="2" t="str" cm="1">
        <f t="array" ref="E130">_xlfn.XLOOKUP(Total[[#This Row],[Tecnología]]&amp;Total[[#This Row],[Problema]],TbNombres[Tecnología]&amp;TbNombres[Problema],TbNombres[Nombre])</f>
        <v>Brusselator1d</v>
      </c>
      <c r="F130" s="2">
        <v>1</v>
      </c>
      <c r="G130" s="2">
        <v>7</v>
      </c>
      <c r="H130" s="2">
        <v>256</v>
      </c>
      <c r="I130" s="2">
        <v>200</v>
      </c>
      <c r="J130" s="2">
        <v>400</v>
      </c>
      <c r="K130" s="2">
        <v>19.444700000000001</v>
      </c>
    </row>
    <row r="131" spans="2:11" x14ac:dyDescent="0.2">
      <c r="B131" s="5" t="str">
        <f>_xlfn.XLOOKUP(Total[[#This Row],[Metodo]],TbSolver[Metodo],TbSolver[Solver])</f>
        <v>RungeKutta</v>
      </c>
      <c r="C131" s="5" t="str">
        <f>_xlfn.XLOOKUP(Total[[#This Row],[Hebras]],TbTecnologia[Hebras],TbTecnologia[Tecnología])</f>
        <v>OMP</v>
      </c>
      <c r="D131" s="7" t="str" cm="1">
        <f t="array" ref="D131">_xlfn.XLOOKUP(Total[[#This Row],[Tecnología]]&amp;Total[[#This Row],[Metodo]],TbTipos[Tecnología]&amp;TbTipos[Metodo],TbTipos[Tipo])</f>
        <v>OMP Operaciones</v>
      </c>
      <c r="E131" s="6" t="str" cm="1">
        <f t="array" ref="E131">_xlfn.XLOOKUP(Total[[#This Row],[Tecnología]]&amp;Total[[#This Row],[Problema]],TbNombres[Tecnología]&amp;TbNombres[Problema],TbNombres[Nombre])</f>
        <v>Brusselator1d</v>
      </c>
      <c r="F131" s="6">
        <v>1</v>
      </c>
      <c r="G131" s="6">
        <v>3</v>
      </c>
      <c r="H131" s="6">
        <v>4</v>
      </c>
      <c r="I131" s="6">
        <v>200</v>
      </c>
      <c r="J131" s="6">
        <v>400</v>
      </c>
      <c r="K131" s="6">
        <v>36.188600000000001</v>
      </c>
    </row>
    <row r="132" spans="2:11" x14ac:dyDescent="0.2">
      <c r="B132" s="5" t="str">
        <f>_xlfn.XLOOKUP(Total[[#This Row],[Metodo]],TbSolver[Metodo],TbSolver[Solver])</f>
        <v>RungeKutta</v>
      </c>
      <c r="C132" s="5" t="str">
        <f>_xlfn.XLOOKUP(Total[[#This Row],[Hebras]],TbTecnologia[Hebras],TbTecnologia[Tecnología])</f>
        <v>OMP</v>
      </c>
      <c r="D132" s="7" t="str" cm="1">
        <f t="array" ref="D132">_xlfn.XLOOKUP(Total[[#This Row],[Tecnología]]&amp;Total[[#This Row],[Metodo]],TbTipos[Tecnología]&amp;TbTipos[Metodo],TbTipos[Tipo])</f>
        <v>OMP Operaciones</v>
      </c>
      <c r="E132" s="6" t="str" cm="1">
        <f t="array" ref="E132">_xlfn.XLOOKUP(Total[[#This Row],[Tecnología]]&amp;Total[[#This Row],[Problema]],TbNombres[Tecnología]&amp;TbNombres[Problema],TbNombres[Nombre])</f>
        <v>Brusselator1d</v>
      </c>
      <c r="F132" s="6">
        <v>1</v>
      </c>
      <c r="G132" s="6">
        <v>3</v>
      </c>
      <c r="H132" s="6">
        <v>16</v>
      </c>
      <c r="I132" s="6">
        <v>200</v>
      </c>
      <c r="J132" s="6">
        <v>400</v>
      </c>
      <c r="K132" s="6">
        <v>89.827600000000004</v>
      </c>
    </row>
    <row r="133" spans="2:11" x14ac:dyDescent="0.2">
      <c r="B133" s="5" t="str">
        <f>_xlfn.XLOOKUP(Total[[#This Row],[Metodo]],TbSolver[Metodo],TbSolver[Solver])</f>
        <v>RungeKutta</v>
      </c>
      <c r="C133" s="5" t="str">
        <f>_xlfn.XLOOKUP(Total[[#This Row],[Hebras]],TbTecnologia[Hebras],TbTecnologia[Tecnología])</f>
        <v>OMP</v>
      </c>
      <c r="D133" s="7" t="str" cm="1">
        <f t="array" ref="D133">_xlfn.XLOOKUP(Total[[#This Row],[Tecnología]]&amp;Total[[#This Row],[Metodo]],TbTipos[Tecnología]&amp;TbTipos[Metodo],TbTipos[Tipo])</f>
        <v>OMP Elementos</v>
      </c>
      <c r="E133" s="6" t="str" cm="1">
        <f t="array" ref="E133">_xlfn.XLOOKUP(Total[[#This Row],[Tecnología]]&amp;Total[[#This Row],[Problema]],TbNombres[Tecnología]&amp;TbNombres[Problema],TbNombres[Nombre])</f>
        <v>Brusselator1d</v>
      </c>
      <c r="F133" s="6">
        <v>2</v>
      </c>
      <c r="G133" s="6">
        <v>3</v>
      </c>
      <c r="H133" s="6">
        <v>4</v>
      </c>
      <c r="I133" s="6">
        <v>500</v>
      </c>
      <c r="J133" s="6">
        <v>1000</v>
      </c>
      <c r="K133" s="6">
        <v>12.1547</v>
      </c>
    </row>
    <row r="134" spans="2:11" x14ac:dyDescent="0.2">
      <c r="B134" s="5" t="str">
        <f>_xlfn.XLOOKUP(Total[[#This Row],[Metodo]],TbSolver[Metodo],TbSolver[Solver])</f>
        <v>RungeKutta</v>
      </c>
      <c r="C134" s="5" t="str">
        <f>_xlfn.XLOOKUP(Total[[#This Row],[Hebras]],TbTecnologia[Hebras],TbTecnologia[Tecnología])</f>
        <v>OMP</v>
      </c>
      <c r="D134" s="7" t="str" cm="1">
        <f t="array" ref="D134">_xlfn.XLOOKUP(Total[[#This Row],[Tecnología]]&amp;Total[[#This Row],[Metodo]],TbTipos[Tecnología]&amp;TbTipos[Metodo],TbTipos[Tipo])</f>
        <v>OMP Operaciones</v>
      </c>
      <c r="E134" s="6" t="str" cm="1">
        <f t="array" ref="E134">_xlfn.XLOOKUP(Total[[#This Row],[Tecnología]]&amp;Total[[#This Row],[Problema]],TbNombres[Tecnología]&amp;TbNombres[Problema],TbNombres[Nombre])</f>
        <v>Brusselator1d</v>
      </c>
      <c r="F134" s="6">
        <v>1</v>
      </c>
      <c r="G134" s="6">
        <v>3</v>
      </c>
      <c r="H134" s="6">
        <v>1</v>
      </c>
      <c r="I134" s="6">
        <v>500</v>
      </c>
      <c r="J134" s="6">
        <v>1000</v>
      </c>
      <c r="K134" s="6">
        <v>12.882199999999999</v>
      </c>
    </row>
    <row r="135" spans="2:11" x14ac:dyDescent="0.2">
      <c r="B135" s="5" t="str">
        <f>_xlfn.XLOOKUP(Total[[#This Row],[Metodo]],TbSolver[Metodo],TbSolver[Solver])</f>
        <v>RungeKutta</v>
      </c>
      <c r="C135" s="5" t="str">
        <f>_xlfn.XLOOKUP(Total[[#This Row],[Hebras]],TbTecnologia[Hebras],TbTecnologia[Tecnología])</f>
        <v>CUDA</v>
      </c>
      <c r="D135" s="2" t="str" cm="1">
        <f t="array" ref="D135">_xlfn.XLOOKUP(Total[[#This Row],[Tecnología]]&amp;Total[[#This Row],[Metodo]],TbTipos[Tecnología]&amp;TbTipos[Metodo],TbTipos[Tipo])</f>
        <v>CUDA con graph</v>
      </c>
      <c r="E135" s="2" t="str" cm="1">
        <f t="array" ref="E135">_xlfn.XLOOKUP(Total[[#This Row],[Tecnología]]&amp;Total[[#This Row],[Problema]],TbNombres[Tecnología]&amp;TbNombres[Problema],TbNombres[Nombre])</f>
        <v>Brusselator1d</v>
      </c>
      <c r="F135" s="2">
        <v>2</v>
      </c>
      <c r="G135" s="2">
        <v>5</v>
      </c>
      <c r="H135" s="2">
        <v>256</v>
      </c>
      <c r="I135" s="2">
        <v>500</v>
      </c>
      <c r="J135" s="2">
        <v>1000</v>
      </c>
      <c r="K135" s="2">
        <v>13.7845</v>
      </c>
    </row>
    <row r="136" spans="2:11" x14ac:dyDescent="0.2">
      <c r="B136" s="5" t="str">
        <f>_xlfn.XLOOKUP(Total[[#This Row],[Metodo]],TbSolver[Metodo],TbSolver[Solver])</f>
        <v>RungeKutta</v>
      </c>
      <c r="C136" s="5" t="str">
        <f>_xlfn.XLOOKUP(Total[[#This Row],[Hebras]],TbTecnologia[Hebras],TbTecnologia[Tecnología])</f>
        <v>CUDA</v>
      </c>
      <c r="D136" s="2" t="str" cm="1">
        <f t="array" ref="D136">_xlfn.XLOOKUP(Total[[#This Row],[Tecnología]]&amp;Total[[#This Row],[Metodo]],TbTipos[Tecnología]&amp;TbTipos[Metodo],TbTipos[Tipo])</f>
        <v>CUDA con graph</v>
      </c>
      <c r="E136" s="2" t="str" cm="1">
        <f t="array" ref="E136">_xlfn.XLOOKUP(Total[[#This Row],[Tecnología]]&amp;Total[[#This Row],[Problema]],TbNombres[Tecnología]&amp;TbNombres[Problema],TbNombres[Nombre])</f>
        <v>Brusselator1d</v>
      </c>
      <c r="F136" s="2">
        <v>2</v>
      </c>
      <c r="G136" s="2">
        <v>7</v>
      </c>
      <c r="H136" s="2">
        <v>256</v>
      </c>
      <c r="I136" s="2">
        <v>500</v>
      </c>
      <c r="J136" s="2">
        <v>1000</v>
      </c>
      <c r="K136" s="2">
        <v>13.8317</v>
      </c>
    </row>
    <row r="137" spans="2:11" x14ac:dyDescent="0.2">
      <c r="B137" s="5" t="str">
        <f>_xlfn.XLOOKUP(Total[[#This Row],[Metodo]],TbSolver[Metodo],TbSolver[Solver])</f>
        <v>RungeKutta</v>
      </c>
      <c r="C137" s="5" t="str">
        <f>_xlfn.XLOOKUP(Total[[#This Row],[Hebras]],TbTecnologia[Hebras],TbTecnologia[Tecnología])</f>
        <v>CUDA</v>
      </c>
      <c r="D137" s="2" t="str" cm="1">
        <f t="array" ref="D137">_xlfn.XLOOKUP(Total[[#This Row],[Tecnología]]&amp;Total[[#This Row],[Metodo]],TbTipos[Tecnología]&amp;TbTipos[Metodo],TbTipos[Tipo])</f>
        <v>CUDA con graph</v>
      </c>
      <c r="E137" s="2" t="str" cm="1">
        <f t="array" ref="E137">_xlfn.XLOOKUP(Total[[#This Row],[Tecnología]]&amp;Total[[#This Row],[Problema]],TbNombres[Tecnología]&amp;TbNombres[Problema],TbNombres[Nombre])</f>
        <v>Brusselator1d</v>
      </c>
      <c r="F137" s="2">
        <v>2</v>
      </c>
      <c r="G137" s="2">
        <v>6</v>
      </c>
      <c r="H137" s="2">
        <v>256</v>
      </c>
      <c r="I137" s="2">
        <v>500</v>
      </c>
      <c r="J137" s="2">
        <v>1000</v>
      </c>
      <c r="K137" s="2">
        <v>13.8804</v>
      </c>
    </row>
    <row r="138" spans="2:11" x14ac:dyDescent="0.2">
      <c r="B138" s="5" t="str">
        <f>_xlfn.XLOOKUP(Total[[#This Row],[Metodo]],TbSolver[Metodo],TbSolver[Solver])</f>
        <v>RungeKutta</v>
      </c>
      <c r="C138" s="5" t="str">
        <f>_xlfn.XLOOKUP(Total[[#This Row],[Hebras]],TbTecnologia[Hebras],TbTecnologia[Tecnología])</f>
        <v>OMP</v>
      </c>
      <c r="D138" s="7" t="str" cm="1">
        <f t="array" ref="D138">_xlfn.XLOOKUP(Total[[#This Row],[Tecnología]]&amp;Total[[#This Row],[Metodo]],TbTipos[Tecnología]&amp;TbTipos[Metodo],TbTipos[Tipo])</f>
        <v>OMP Elementos</v>
      </c>
      <c r="E138" s="6" t="str" cm="1">
        <f t="array" ref="E138">_xlfn.XLOOKUP(Total[[#This Row],[Tecnología]]&amp;Total[[#This Row],[Problema]],TbNombres[Tecnología]&amp;TbNombres[Problema],TbNombres[Nombre])</f>
        <v>Brusselator1d</v>
      </c>
      <c r="F138" s="6">
        <v>2</v>
      </c>
      <c r="G138" s="6">
        <v>3</v>
      </c>
      <c r="H138" s="6">
        <v>16</v>
      </c>
      <c r="I138" s="6">
        <v>500</v>
      </c>
      <c r="J138" s="6">
        <v>1000</v>
      </c>
      <c r="K138" s="6">
        <v>15.1356</v>
      </c>
    </row>
    <row r="139" spans="2:11" x14ac:dyDescent="0.2">
      <c r="B139" s="5" t="str">
        <f>_xlfn.XLOOKUP(Total[[#This Row],[Metodo]],TbSolver[Metodo],TbSolver[Solver])</f>
        <v>RungeKutta</v>
      </c>
      <c r="C139" s="5" t="str">
        <f>_xlfn.XLOOKUP(Total[[#This Row],[Hebras]],TbTecnologia[Hebras],TbTecnologia[Tecnología])</f>
        <v>CUDA</v>
      </c>
      <c r="D139" s="2" t="str" cm="1">
        <f t="array" ref="D139">_xlfn.XLOOKUP(Total[[#This Row],[Tecnología]]&amp;Total[[#This Row],[Metodo]],TbTipos[Tecnología]&amp;TbTipos[Metodo],TbTipos[Tipo])</f>
        <v>CUDA sin graph</v>
      </c>
      <c r="E139" s="2" t="str" cm="1">
        <f t="array" ref="E139">_xlfn.XLOOKUP(Total[[#This Row],[Tecnología]]&amp;Total[[#This Row],[Problema]],TbNombres[Tecnología]&amp;TbNombres[Problema],TbNombres[Nombre])</f>
        <v>Brusselator1d</v>
      </c>
      <c r="F139" s="2">
        <v>1</v>
      </c>
      <c r="G139" s="2">
        <v>7</v>
      </c>
      <c r="H139" s="2">
        <v>256</v>
      </c>
      <c r="I139" s="2">
        <v>500</v>
      </c>
      <c r="J139" s="2">
        <v>1000</v>
      </c>
      <c r="K139" s="2">
        <v>16.8781</v>
      </c>
    </row>
    <row r="140" spans="2:11" x14ac:dyDescent="0.2">
      <c r="B140" s="5" t="str">
        <f>_xlfn.XLOOKUP(Total[[#This Row],[Metodo]],TbSolver[Metodo],TbSolver[Solver])</f>
        <v>RungeKutta</v>
      </c>
      <c r="C140" s="5" t="str">
        <f>_xlfn.XLOOKUP(Total[[#This Row],[Hebras]],TbTecnologia[Hebras],TbTecnologia[Tecnología])</f>
        <v>CUDA</v>
      </c>
      <c r="D140" s="2" t="str" cm="1">
        <f t="array" ref="D140">_xlfn.XLOOKUP(Total[[#This Row],[Tecnología]]&amp;Total[[#This Row],[Metodo]],TbTipos[Tecnología]&amp;TbTipos[Metodo],TbTipos[Tipo])</f>
        <v>CUDA sin graph</v>
      </c>
      <c r="E140" s="2" t="str" cm="1">
        <f t="array" ref="E140">_xlfn.XLOOKUP(Total[[#This Row],[Tecnología]]&amp;Total[[#This Row],[Problema]],TbNombres[Tecnología]&amp;TbNombres[Problema],TbNombres[Nombre])</f>
        <v>Brusselator1d</v>
      </c>
      <c r="F140" s="2">
        <v>1</v>
      </c>
      <c r="G140" s="2">
        <v>6</v>
      </c>
      <c r="H140" s="2">
        <v>256</v>
      </c>
      <c r="I140" s="2">
        <v>500</v>
      </c>
      <c r="J140" s="2">
        <v>1000</v>
      </c>
      <c r="K140" s="2">
        <v>16.9712</v>
      </c>
    </row>
    <row r="141" spans="2:11" x14ac:dyDescent="0.2">
      <c r="B141" s="5" t="str">
        <f>_xlfn.XLOOKUP(Total[[#This Row],[Metodo]],TbSolver[Metodo],TbSolver[Solver])</f>
        <v>RungeKutta</v>
      </c>
      <c r="C141" s="5" t="str">
        <f>_xlfn.XLOOKUP(Total[[#This Row],[Hebras]],TbTecnologia[Hebras],TbTecnologia[Tecnología])</f>
        <v>CUDA</v>
      </c>
      <c r="D141" s="2" t="str" cm="1">
        <f t="array" ref="D141">_xlfn.XLOOKUP(Total[[#This Row],[Tecnología]]&amp;Total[[#This Row],[Metodo]],TbTipos[Tecnología]&amp;TbTipos[Metodo],TbTipos[Tipo])</f>
        <v>CUDA sin graph</v>
      </c>
      <c r="E141" s="2" t="str" cm="1">
        <f t="array" ref="E141">_xlfn.XLOOKUP(Total[[#This Row],[Tecnología]]&amp;Total[[#This Row],[Problema]],TbNombres[Tecnología]&amp;TbNombres[Problema],TbNombres[Nombre])</f>
        <v>Brusselator1d</v>
      </c>
      <c r="F141" s="2">
        <v>1</v>
      </c>
      <c r="G141" s="2">
        <v>5</v>
      </c>
      <c r="H141" s="2">
        <v>256</v>
      </c>
      <c r="I141" s="2">
        <v>500</v>
      </c>
      <c r="J141" s="2">
        <v>1000</v>
      </c>
      <c r="K141" s="2">
        <v>17.084399999999999</v>
      </c>
    </row>
    <row r="142" spans="2:11" x14ac:dyDescent="0.2">
      <c r="B142" s="5" t="str">
        <f>_xlfn.XLOOKUP(Total[[#This Row],[Metodo]],TbSolver[Metodo],TbSolver[Solver])</f>
        <v>RungeKutta</v>
      </c>
      <c r="C142" s="5" t="str">
        <f>_xlfn.XLOOKUP(Total[[#This Row],[Hebras]],TbTecnologia[Hebras],TbTecnologia[Tecnología])</f>
        <v>OMP</v>
      </c>
      <c r="D142" s="7" t="str" cm="1">
        <f t="array" ref="D142">_xlfn.XLOOKUP(Total[[#This Row],[Tecnología]]&amp;Total[[#This Row],[Metodo]],TbTipos[Tecnología]&amp;TbTipos[Metodo],TbTipos[Tipo])</f>
        <v>OMP Elementos</v>
      </c>
      <c r="E142" s="6" t="str" cm="1">
        <f t="array" ref="E142">_xlfn.XLOOKUP(Total[[#This Row],[Tecnología]]&amp;Total[[#This Row],[Problema]],TbNombres[Tecnología]&amp;TbNombres[Problema],TbNombres[Nombre])</f>
        <v>Brusselator1d</v>
      </c>
      <c r="F142" s="6">
        <v>2</v>
      </c>
      <c r="G142" s="6">
        <v>3</v>
      </c>
      <c r="H142" s="6">
        <v>1</v>
      </c>
      <c r="I142" s="6">
        <v>500</v>
      </c>
      <c r="J142" s="6">
        <v>1000</v>
      </c>
      <c r="K142" s="6">
        <v>24.2197</v>
      </c>
    </row>
    <row r="143" spans="2:11" x14ac:dyDescent="0.2">
      <c r="B143" s="5" t="str">
        <f>_xlfn.XLOOKUP(Total[[#This Row],[Metodo]],TbSolver[Metodo],TbSolver[Solver])</f>
        <v>RungeKutta</v>
      </c>
      <c r="C143" s="5" t="str">
        <f>_xlfn.XLOOKUP(Total[[#This Row],[Hebras]],TbTecnologia[Hebras],TbTecnologia[Tecnología])</f>
        <v>OMP</v>
      </c>
      <c r="D143" s="7" t="str" cm="1">
        <f t="array" ref="D143">_xlfn.XLOOKUP(Total[[#This Row],[Tecnología]]&amp;Total[[#This Row],[Metodo]],TbTipos[Tecnología]&amp;TbTipos[Metodo],TbTipos[Tipo])</f>
        <v>OMP Operaciones</v>
      </c>
      <c r="E143" s="6" t="str" cm="1">
        <f t="array" ref="E143">_xlfn.XLOOKUP(Total[[#This Row],[Tecnología]]&amp;Total[[#This Row],[Problema]],TbNombres[Tecnología]&amp;TbNombres[Problema],TbNombres[Nombre])</f>
        <v>Brusselator1d</v>
      </c>
      <c r="F143" s="6">
        <v>1</v>
      </c>
      <c r="G143" s="6">
        <v>3</v>
      </c>
      <c r="H143" s="6">
        <v>4</v>
      </c>
      <c r="I143" s="6">
        <v>500</v>
      </c>
      <c r="J143" s="6">
        <v>1000</v>
      </c>
      <c r="K143" s="6">
        <v>36.987299999999998</v>
      </c>
    </row>
    <row r="144" spans="2:11" x14ac:dyDescent="0.2">
      <c r="B144" s="5" t="str">
        <f>_xlfn.XLOOKUP(Total[[#This Row],[Metodo]],TbSolver[Metodo],TbSolver[Solver])</f>
        <v>RungeKutta</v>
      </c>
      <c r="C144" s="5" t="str">
        <f>_xlfn.XLOOKUP(Total[[#This Row],[Hebras]],TbTecnologia[Hebras],TbTecnologia[Tecnología])</f>
        <v>OMP</v>
      </c>
      <c r="D144" s="7" t="str" cm="1">
        <f t="array" ref="D144">_xlfn.XLOOKUP(Total[[#This Row],[Tecnología]]&amp;Total[[#This Row],[Metodo]],TbTipos[Tecnología]&amp;TbTipos[Metodo],TbTipos[Tipo])</f>
        <v>OMP Operaciones</v>
      </c>
      <c r="E144" s="6" t="str" cm="1">
        <f t="array" ref="E144">_xlfn.XLOOKUP(Total[[#This Row],[Tecnología]]&amp;Total[[#This Row],[Problema]],TbNombres[Tecnología]&amp;TbNombres[Problema],TbNombres[Nombre])</f>
        <v>Brusselator1d</v>
      </c>
      <c r="F144" s="6">
        <v>1</v>
      </c>
      <c r="G144" s="6">
        <v>3</v>
      </c>
      <c r="H144" s="6">
        <v>16</v>
      </c>
      <c r="I144" s="6">
        <v>500</v>
      </c>
      <c r="J144" s="6">
        <v>1000</v>
      </c>
      <c r="K144" s="6">
        <v>91.450400000000002</v>
      </c>
    </row>
    <row r="145" spans="2:11" x14ac:dyDescent="0.2">
      <c r="B145" s="5" t="str">
        <f>_xlfn.XLOOKUP(Total[[#This Row],[Metodo]],TbSolver[Metodo],TbSolver[Solver])</f>
        <v>RungeKutta</v>
      </c>
      <c r="C145" s="5" t="str">
        <f>_xlfn.XLOOKUP(Total[[#This Row],[Hebras]],TbTecnologia[Hebras],TbTecnologia[Tecnología])</f>
        <v>CUDA</v>
      </c>
      <c r="D145" s="2" t="str" cm="1">
        <f t="array" ref="D145">_xlfn.XLOOKUP(Total[[#This Row],[Tecnología]]&amp;Total[[#This Row],[Metodo]],TbTipos[Tecnología]&amp;TbTipos[Metodo],TbTipos[Tipo])</f>
        <v>CUDA con graph</v>
      </c>
      <c r="E145" s="2" t="str" cm="1">
        <f t="array" ref="E145">_xlfn.XLOOKUP(Total[[#This Row],[Tecnología]]&amp;Total[[#This Row],[Problema]],TbNombres[Tecnología]&amp;TbNombres[Problema],TbNombres[Nombre])</f>
        <v>Brusselator1d</v>
      </c>
      <c r="F145" s="2">
        <v>2</v>
      </c>
      <c r="G145" s="2">
        <v>5</v>
      </c>
      <c r="H145" s="2">
        <v>256</v>
      </c>
      <c r="I145" s="2">
        <v>1000</v>
      </c>
      <c r="J145" s="2">
        <v>2000</v>
      </c>
      <c r="K145" s="2">
        <v>13.797800000000001</v>
      </c>
    </row>
    <row r="146" spans="2:11" x14ac:dyDescent="0.2">
      <c r="B146" s="5" t="str">
        <f>_xlfn.XLOOKUP(Total[[#This Row],[Metodo]],TbSolver[Metodo],TbSolver[Solver])</f>
        <v>RungeKutta</v>
      </c>
      <c r="C146" s="5" t="str">
        <f>_xlfn.XLOOKUP(Total[[#This Row],[Hebras]],TbTecnologia[Hebras],TbTecnologia[Tecnología])</f>
        <v>CUDA</v>
      </c>
      <c r="D146" s="2" t="str" cm="1">
        <f t="array" ref="D146">_xlfn.XLOOKUP(Total[[#This Row],[Tecnología]]&amp;Total[[#This Row],[Metodo]],TbTipos[Tecnología]&amp;TbTipos[Metodo],TbTipos[Tipo])</f>
        <v>CUDA con graph</v>
      </c>
      <c r="E146" s="2" t="str" cm="1">
        <f t="array" ref="E146">_xlfn.XLOOKUP(Total[[#This Row],[Tecnología]]&amp;Total[[#This Row],[Problema]],TbNombres[Tecnología]&amp;TbNombres[Problema],TbNombres[Nombre])</f>
        <v>Brusselator1d</v>
      </c>
      <c r="F146" s="2">
        <v>2</v>
      </c>
      <c r="G146" s="2">
        <v>7</v>
      </c>
      <c r="H146" s="2">
        <v>256</v>
      </c>
      <c r="I146" s="2">
        <v>1000</v>
      </c>
      <c r="J146" s="2">
        <v>2000</v>
      </c>
      <c r="K146" s="2">
        <v>13.9056</v>
      </c>
    </row>
    <row r="147" spans="2:11" x14ac:dyDescent="0.2">
      <c r="B147" s="5" t="str">
        <f>_xlfn.XLOOKUP(Total[[#This Row],[Metodo]],TbSolver[Metodo],TbSolver[Solver])</f>
        <v>RungeKutta</v>
      </c>
      <c r="C147" s="5" t="str">
        <f>_xlfn.XLOOKUP(Total[[#This Row],[Hebras]],TbTecnologia[Hebras],TbTecnologia[Tecnología])</f>
        <v>CUDA</v>
      </c>
      <c r="D147" s="2" t="str" cm="1">
        <f t="array" ref="D147">_xlfn.XLOOKUP(Total[[#This Row],[Tecnología]]&amp;Total[[#This Row],[Metodo]],TbTipos[Tecnología]&amp;TbTipos[Metodo],TbTipos[Tipo])</f>
        <v>CUDA con graph</v>
      </c>
      <c r="E147" s="2" t="str" cm="1">
        <f t="array" ref="E147">_xlfn.XLOOKUP(Total[[#This Row],[Tecnología]]&amp;Total[[#This Row],[Problema]],TbNombres[Tecnología]&amp;TbNombres[Problema],TbNombres[Nombre])</f>
        <v>Brusselator1d</v>
      </c>
      <c r="F147" s="2">
        <v>2</v>
      </c>
      <c r="G147" s="2">
        <v>6</v>
      </c>
      <c r="H147" s="2">
        <v>256</v>
      </c>
      <c r="I147" s="2">
        <v>1000</v>
      </c>
      <c r="J147" s="2">
        <v>2000</v>
      </c>
      <c r="K147" s="2">
        <v>13.928100000000001</v>
      </c>
    </row>
    <row r="148" spans="2:11" x14ac:dyDescent="0.2">
      <c r="B148" s="5" t="str">
        <f>_xlfn.XLOOKUP(Total[[#This Row],[Metodo]],TbSolver[Metodo],TbSolver[Solver])</f>
        <v>RungeKutta</v>
      </c>
      <c r="C148" s="5" t="str">
        <f>_xlfn.XLOOKUP(Total[[#This Row],[Hebras]],TbTecnologia[Hebras],TbTecnologia[Tecnología])</f>
        <v>CUDA</v>
      </c>
      <c r="D148" s="2" t="str" cm="1">
        <f t="array" ref="D148">_xlfn.XLOOKUP(Total[[#This Row],[Tecnología]]&amp;Total[[#This Row],[Metodo]],TbTipos[Tecnología]&amp;TbTipos[Metodo],TbTipos[Tipo])</f>
        <v>CUDA sin graph</v>
      </c>
      <c r="E148" s="2" t="str" cm="1">
        <f t="array" ref="E148">_xlfn.XLOOKUP(Total[[#This Row],[Tecnología]]&amp;Total[[#This Row],[Problema]],TbNombres[Tecnología]&amp;TbNombres[Problema],TbNombres[Nombre])</f>
        <v>Brusselator1d</v>
      </c>
      <c r="F148" s="2">
        <v>1</v>
      </c>
      <c r="G148" s="2">
        <v>7</v>
      </c>
      <c r="H148" s="2">
        <v>256</v>
      </c>
      <c r="I148" s="2">
        <v>1000</v>
      </c>
      <c r="J148" s="2">
        <v>2000</v>
      </c>
      <c r="K148" s="2">
        <v>16.9695</v>
      </c>
    </row>
    <row r="149" spans="2:11" x14ac:dyDescent="0.2">
      <c r="B149" s="5" t="str">
        <f>_xlfn.XLOOKUP(Total[[#This Row],[Metodo]],TbSolver[Metodo],TbSolver[Solver])</f>
        <v>RungeKutta</v>
      </c>
      <c r="C149" s="5" t="str">
        <f>_xlfn.XLOOKUP(Total[[#This Row],[Hebras]],TbTecnologia[Hebras],TbTecnologia[Tecnología])</f>
        <v>CUDA</v>
      </c>
      <c r="D149" s="2" t="str" cm="1">
        <f t="array" ref="D149">_xlfn.XLOOKUP(Total[[#This Row],[Tecnología]]&amp;Total[[#This Row],[Metodo]],TbTipos[Tecnología]&amp;TbTipos[Metodo],TbTipos[Tipo])</f>
        <v>CUDA sin graph</v>
      </c>
      <c r="E149" s="2" t="str" cm="1">
        <f t="array" ref="E149">_xlfn.XLOOKUP(Total[[#This Row],[Tecnología]]&amp;Total[[#This Row],[Problema]],TbNombres[Tecnología]&amp;TbNombres[Problema],TbNombres[Nombre])</f>
        <v>Brusselator1d</v>
      </c>
      <c r="F149" s="2">
        <v>1</v>
      </c>
      <c r="G149" s="2">
        <v>6</v>
      </c>
      <c r="H149" s="2">
        <v>256</v>
      </c>
      <c r="I149" s="2">
        <v>1000</v>
      </c>
      <c r="J149" s="2">
        <v>2000</v>
      </c>
      <c r="K149" s="2">
        <v>16.985800000000001</v>
      </c>
    </row>
    <row r="150" spans="2:11" x14ac:dyDescent="0.2">
      <c r="B150" s="5" t="str">
        <f>_xlfn.XLOOKUP(Total[[#This Row],[Metodo]],TbSolver[Metodo],TbSolver[Solver])</f>
        <v>RungeKutta</v>
      </c>
      <c r="C150" s="5" t="str">
        <f>_xlfn.XLOOKUP(Total[[#This Row],[Hebras]],TbTecnologia[Hebras],TbTecnologia[Tecnología])</f>
        <v>CUDA</v>
      </c>
      <c r="D150" s="2" t="str" cm="1">
        <f t="array" ref="D150">_xlfn.XLOOKUP(Total[[#This Row],[Tecnología]]&amp;Total[[#This Row],[Metodo]],TbTipos[Tecnología]&amp;TbTipos[Metodo],TbTipos[Tipo])</f>
        <v>CUDA sin graph</v>
      </c>
      <c r="E150" s="2" t="str" cm="1">
        <f t="array" ref="E150">_xlfn.XLOOKUP(Total[[#This Row],[Tecnología]]&amp;Total[[#This Row],[Problema]],TbNombres[Tecnología]&amp;TbNombres[Problema],TbNombres[Nombre])</f>
        <v>Brusselator1d</v>
      </c>
      <c r="F150" s="2">
        <v>1</v>
      </c>
      <c r="G150" s="2">
        <v>5</v>
      </c>
      <c r="H150" s="2">
        <v>256</v>
      </c>
      <c r="I150" s="2">
        <v>1000</v>
      </c>
      <c r="J150" s="2">
        <v>2000</v>
      </c>
      <c r="K150" s="2">
        <v>17.097100000000001</v>
      </c>
    </row>
    <row r="151" spans="2:11" x14ac:dyDescent="0.2">
      <c r="B151" s="5" t="str">
        <f>_xlfn.XLOOKUP(Total[[#This Row],[Metodo]],TbSolver[Metodo],TbSolver[Solver])</f>
        <v>RungeKutta</v>
      </c>
      <c r="C151" s="5" t="str">
        <f>_xlfn.XLOOKUP(Total[[#This Row],[Hebras]],TbTecnologia[Hebras],TbTecnologia[Tecnología])</f>
        <v>OMP</v>
      </c>
      <c r="D151" s="7" t="str" cm="1">
        <f t="array" ref="D151">_xlfn.XLOOKUP(Total[[#This Row],[Tecnología]]&amp;Total[[#This Row],[Metodo]],TbTipos[Tecnología]&amp;TbTipos[Metodo],TbTipos[Tipo])</f>
        <v>OMP Elementos</v>
      </c>
      <c r="E151" s="6" t="str" cm="1">
        <f t="array" ref="E151">_xlfn.XLOOKUP(Total[[#This Row],[Tecnología]]&amp;Total[[#This Row],[Problema]],TbNombres[Tecnología]&amp;TbNombres[Problema],TbNombres[Nombre])</f>
        <v>Brusselator1d</v>
      </c>
      <c r="F151" s="6">
        <v>2</v>
      </c>
      <c r="G151" s="6">
        <v>3</v>
      </c>
      <c r="H151" s="6">
        <v>4</v>
      </c>
      <c r="I151" s="6">
        <v>1000</v>
      </c>
      <c r="J151" s="6">
        <v>2000</v>
      </c>
      <c r="K151" s="6">
        <v>17.784600000000001</v>
      </c>
    </row>
    <row r="152" spans="2:11" x14ac:dyDescent="0.2">
      <c r="B152" s="5" t="str">
        <f>_xlfn.XLOOKUP(Total[[#This Row],[Metodo]],TbSolver[Metodo],TbSolver[Solver])</f>
        <v>RungeKutta</v>
      </c>
      <c r="C152" s="5" t="str">
        <f>_xlfn.XLOOKUP(Total[[#This Row],[Hebras]],TbTecnologia[Hebras],TbTecnologia[Tecnología])</f>
        <v>OMP</v>
      </c>
      <c r="D152" s="7" t="str" cm="1">
        <f t="array" ref="D152">_xlfn.XLOOKUP(Total[[#This Row],[Tecnología]]&amp;Total[[#This Row],[Metodo]],TbTipos[Tecnología]&amp;TbTipos[Metodo],TbTipos[Tipo])</f>
        <v>OMP Elementos</v>
      </c>
      <c r="E152" s="6" t="str" cm="1">
        <f t="array" ref="E152">_xlfn.XLOOKUP(Total[[#This Row],[Tecnología]]&amp;Total[[#This Row],[Problema]],TbNombres[Tecnología]&amp;TbNombres[Problema],TbNombres[Nombre])</f>
        <v>Brusselator1d</v>
      </c>
      <c r="F152" s="6">
        <v>2</v>
      </c>
      <c r="G152" s="6">
        <v>3</v>
      </c>
      <c r="H152" s="6">
        <v>16</v>
      </c>
      <c r="I152" s="6">
        <v>1000</v>
      </c>
      <c r="J152" s="6">
        <v>2000</v>
      </c>
      <c r="K152" s="6">
        <v>19.337499999999999</v>
      </c>
    </row>
    <row r="153" spans="2:11" x14ac:dyDescent="0.2">
      <c r="B153" s="5" t="str">
        <f>_xlfn.XLOOKUP(Total[[#This Row],[Metodo]],TbSolver[Metodo],TbSolver[Solver])</f>
        <v>RungeKutta</v>
      </c>
      <c r="C153" s="5" t="str">
        <f>_xlfn.XLOOKUP(Total[[#This Row],[Hebras]],TbTecnologia[Hebras],TbTecnologia[Tecnología])</f>
        <v>OMP</v>
      </c>
      <c r="D153" s="7" t="str" cm="1">
        <f t="array" ref="D153">_xlfn.XLOOKUP(Total[[#This Row],[Tecnología]]&amp;Total[[#This Row],[Metodo]],TbTipos[Tecnología]&amp;TbTipos[Metodo],TbTipos[Tipo])</f>
        <v>OMP Operaciones</v>
      </c>
      <c r="E153" s="6" t="str" cm="1">
        <f t="array" ref="E153">_xlfn.XLOOKUP(Total[[#This Row],[Tecnología]]&amp;Total[[#This Row],[Problema]],TbNombres[Tecnología]&amp;TbNombres[Problema],TbNombres[Nombre])</f>
        <v>Brusselator1d</v>
      </c>
      <c r="F153" s="6">
        <v>1</v>
      </c>
      <c r="G153" s="6">
        <v>3</v>
      </c>
      <c r="H153" s="6">
        <v>1</v>
      </c>
      <c r="I153" s="6">
        <v>1000</v>
      </c>
      <c r="J153" s="6">
        <v>2000</v>
      </c>
      <c r="K153" s="6">
        <v>22.602</v>
      </c>
    </row>
    <row r="154" spans="2:11" x14ac:dyDescent="0.2">
      <c r="B154" s="5" t="str">
        <f>_xlfn.XLOOKUP(Total[[#This Row],[Metodo]],TbSolver[Metodo],TbSolver[Solver])</f>
        <v>RungeKutta</v>
      </c>
      <c r="C154" s="5" t="str">
        <f>_xlfn.XLOOKUP(Total[[#This Row],[Hebras]],TbTecnologia[Hebras],TbTecnologia[Tecnología])</f>
        <v>OMP</v>
      </c>
      <c r="D154" s="7" t="str" cm="1">
        <f t="array" ref="D154">_xlfn.XLOOKUP(Total[[#This Row],[Tecnología]]&amp;Total[[#This Row],[Metodo]],TbTipos[Tecnología]&amp;TbTipos[Metodo],TbTipos[Tipo])</f>
        <v>OMP Operaciones</v>
      </c>
      <c r="E154" s="6" t="str" cm="1">
        <f t="array" ref="E154">_xlfn.XLOOKUP(Total[[#This Row],[Tecnología]]&amp;Total[[#This Row],[Problema]],TbNombres[Tecnología]&amp;TbNombres[Problema],TbNombres[Nombre])</f>
        <v>Brusselator1d</v>
      </c>
      <c r="F154" s="6">
        <v>1</v>
      </c>
      <c r="G154" s="6">
        <v>3</v>
      </c>
      <c r="H154" s="6">
        <v>4</v>
      </c>
      <c r="I154" s="6">
        <v>1000</v>
      </c>
      <c r="J154" s="6">
        <v>2000</v>
      </c>
      <c r="K154" s="6">
        <v>39.355499999999999</v>
      </c>
    </row>
    <row r="155" spans="2:11" x14ac:dyDescent="0.2">
      <c r="B155" s="5" t="str">
        <f>_xlfn.XLOOKUP(Total[[#This Row],[Metodo]],TbSolver[Metodo],TbSolver[Solver])</f>
        <v>RungeKutta</v>
      </c>
      <c r="C155" s="5" t="str">
        <f>_xlfn.XLOOKUP(Total[[#This Row],[Hebras]],TbTecnologia[Hebras],TbTecnologia[Tecnología])</f>
        <v>OMP</v>
      </c>
      <c r="D155" s="7" t="str" cm="1">
        <f t="array" ref="D155">_xlfn.XLOOKUP(Total[[#This Row],[Tecnología]]&amp;Total[[#This Row],[Metodo]],TbTipos[Tecnología]&amp;TbTipos[Metodo],TbTipos[Tipo])</f>
        <v>OMP Elementos</v>
      </c>
      <c r="E155" s="6" t="str" cm="1">
        <f t="array" ref="E155">_xlfn.XLOOKUP(Total[[#This Row],[Tecnología]]&amp;Total[[#This Row],[Problema]],TbNombres[Tecnología]&amp;TbNombres[Problema],TbNombres[Nombre])</f>
        <v>Brusselator1d</v>
      </c>
      <c r="F155" s="6">
        <v>2</v>
      </c>
      <c r="G155" s="6">
        <v>3</v>
      </c>
      <c r="H155" s="6">
        <v>1</v>
      </c>
      <c r="I155" s="6">
        <v>1000</v>
      </c>
      <c r="J155" s="6">
        <v>2000</v>
      </c>
      <c r="K155" s="6">
        <v>47.749899999999997</v>
      </c>
    </row>
    <row r="156" spans="2:11" x14ac:dyDescent="0.2">
      <c r="B156" s="5" t="str">
        <f>_xlfn.XLOOKUP(Total[[#This Row],[Metodo]],TbSolver[Metodo],TbSolver[Solver])</f>
        <v>RungeKutta</v>
      </c>
      <c r="C156" s="5" t="str">
        <f>_xlfn.XLOOKUP(Total[[#This Row],[Hebras]],TbTecnologia[Hebras],TbTecnologia[Tecnología])</f>
        <v>OMP</v>
      </c>
      <c r="D156" s="7" t="str" cm="1">
        <f t="array" ref="D156">_xlfn.XLOOKUP(Total[[#This Row],[Tecnología]]&amp;Total[[#This Row],[Metodo]],TbTipos[Tecnología]&amp;TbTipos[Metodo],TbTipos[Tipo])</f>
        <v>OMP Operaciones</v>
      </c>
      <c r="E156" s="6" t="str" cm="1">
        <f t="array" ref="E156">_xlfn.XLOOKUP(Total[[#This Row],[Tecnología]]&amp;Total[[#This Row],[Problema]],TbNombres[Tecnología]&amp;TbNombres[Problema],TbNombres[Nombre])</f>
        <v>Brusselator1d</v>
      </c>
      <c r="F156" s="6">
        <v>1</v>
      </c>
      <c r="G156" s="6">
        <v>3</v>
      </c>
      <c r="H156" s="6">
        <v>16</v>
      </c>
      <c r="I156" s="6">
        <v>1000</v>
      </c>
      <c r="J156" s="6">
        <v>2000</v>
      </c>
      <c r="K156" s="6">
        <v>96.912199999999999</v>
      </c>
    </row>
    <row r="157" spans="2:11" x14ac:dyDescent="0.2">
      <c r="B157" s="5" t="str">
        <f>_xlfn.XLOOKUP(Total[[#This Row],[Metodo]],TbSolver[Metodo],TbSolver[Solver])</f>
        <v>RungeKutta</v>
      </c>
      <c r="C157" s="5" t="str">
        <f>_xlfn.XLOOKUP(Total[[#This Row],[Hebras]],TbTecnologia[Hebras],TbTecnologia[Tecnología])</f>
        <v>CUDA</v>
      </c>
      <c r="D157" s="2" t="str" cm="1">
        <f t="array" ref="D157">_xlfn.XLOOKUP(Total[[#This Row],[Tecnología]]&amp;Total[[#This Row],[Metodo]],TbTipos[Tecnología]&amp;TbTipos[Metodo],TbTipos[Tipo])</f>
        <v>CUDA con graph</v>
      </c>
      <c r="E157" s="2" t="str" cm="1">
        <f t="array" ref="E157">_xlfn.XLOOKUP(Total[[#This Row],[Tecnología]]&amp;Total[[#This Row],[Problema]],TbNombres[Tecnología]&amp;TbNombres[Problema],TbNombres[Nombre])</f>
        <v>Brusselator1d</v>
      </c>
      <c r="F157" s="2">
        <v>2</v>
      </c>
      <c r="G157" s="2">
        <v>5</v>
      </c>
      <c r="H157" s="2">
        <v>256</v>
      </c>
      <c r="I157" s="2">
        <v>2000</v>
      </c>
      <c r="J157" s="2">
        <v>4000</v>
      </c>
      <c r="K157" s="2">
        <v>13.908799999999999</v>
      </c>
    </row>
    <row r="158" spans="2:11" x14ac:dyDescent="0.2">
      <c r="B158" s="5" t="str">
        <f>_xlfn.XLOOKUP(Total[[#This Row],[Metodo]],TbSolver[Metodo],TbSolver[Solver])</f>
        <v>RungeKutta</v>
      </c>
      <c r="C158" s="5" t="str">
        <f>_xlfn.XLOOKUP(Total[[#This Row],[Hebras]],TbTecnologia[Hebras],TbTecnologia[Tecnología])</f>
        <v>CUDA</v>
      </c>
      <c r="D158" s="2" t="str" cm="1">
        <f t="array" ref="D158">_xlfn.XLOOKUP(Total[[#This Row],[Tecnología]]&amp;Total[[#This Row],[Metodo]],TbTipos[Tecnología]&amp;TbTipos[Metodo],TbTipos[Tipo])</f>
        <v>CUDA con graph</v>
      </c>
      <c r="E158" s="2" t="str" cm="1">
        <f t="array" ref="E158">_xlfn.XLOOKUP(Total[[#This Row],[Tecnología]]&amp;Total[[#This Row],[Problema]],TbNombres[Tecnología]&amp;TbNombres[Problema],TbNombres[Nombre])</f>
        <v>Brusselator1d</v>
      </c>
      <c r="F158" s="2">
        <v>2</v>
      </c>
      <c r="G158" s="2">
        <v>7</v>
      </c>
      <c r="H158" s="2">
        <v>256</v>
      </c>
      <c r="I158" s="2">
        <v>2000</v>
      </c>
      <c r="J158" s="2">
        <v>4000</v>
      </c>
      <c r="K158" s="2">
        <v>13.9933</v>
      </c>
    </row>
    <row r="159" spans="2:11" x14ac:dyDescent="0.2">
      <c r="B159" s="5" t="str">
        <f>_xlfn.XLOOKUP(Total[[#This Row],[Metodo]],TbSolver[Metodo],TbSolver[Solver])</f>
        <v>RungeKutta</v>
      </c>
      <c r="C159" s="5" t="str">
        <f>_xlfn.XLOOKUP(Total[[#This Row],[Hebras]],TbTecnologia[Hebras],TbTecnologia[Tecnología])</f>
        <v>CUDA</v>
      </c>
      <c r="D159" s="2" t="str" cm="1">
        <f t="array" ref="D159">_xlfn.XLOOKUP(Total[[#This Row],[Tecnología]]&amp;Total[[#This Row],[Metodo]],TbTipos[Tecnología]&amp;TbTipos[Metodo],TbTipos[Tipo])</f>
        <v>CUDA con graph</v>
      </c>
      <c r="E159" s="2" t="str" cm="1">
        <f t="array" ref="E159">_xlfn.XLOOKUP(Total[[#This Row],[Tecnología]]&amp;Total[[#This Row],[Problema]],TbNombres[Tecnología]&amp;TbNombres[Problema],TbNombres[Nombre])</f>
        <v>Brusselator1d</v>
      </c>
      <c r="F159" s="2">
        <v>2</v>
      </c>
      <c r="G159" s="2">
        <v>6</v>
      </c>
      <c r="H159" s="2">
        <v>256</v>
      </c>
      <c r="I159" s="2">
        <v>2000</v>
      </c>
      <c r="J159" s="2">
        <v>4000</v>
      </c>
      <c r="K159" s="2">
        <v>14.0442</v>
      </c>
    </row>
    <row r="160" spans="2:11" x14ac:dyDescent="0.2">
      <c r="B160" s="5" t="str">
        <f>_xlfn.XLOOKUP(Total[[#This Row],[Metodo]],TbSolver[Metodo],TbSolver[Solver])</f>
        <v>RungeKutta</v>
      </c>
      <c r="C160" s="5" t="str">
        <f>_xlfn.XLOOKUP(Total[[#This Row],[Hebras]],TbTecnologia[Hebras],TbTecnologia[Tecnología])</f>
        <v>CUDA</v>
      </c>
      <c r="D160" s="2" t="str" cm="1">
        <f t="array" ref="D160">_xlfn.XLOOKUP(Total[[#This Row],[Tecnología]]&amp;Total[[#This Row],[Metodo]],TbTipos[Tecnología]&amp;TbTipos[Metodo],TbTipos[Tipo])</f>
        <v>CUDA sin graph</v>
      </c>
      <c r="E160" s="2" t="str" cm="1">
        <f t="array" ref="E160">_xlfn.XLOOKUP(Total[[#This Row],[Tecnología]]&amp;Total[[#This Row],[Problema]],TbNombres[Tecnología]&amp;TbNombres[Problema],TbNombres[Nombre])</f>
        <v>Brusselator1d</v>
      </c>
      <c r="F160" s="2">
        <v>1</v>
      </c>
      <c r="G160" s="2">
        <v>6</v>
      </c>
      <c r="H160" s="2">
        <v>256</v>
      </c>
      <c r="I160" s="2">
        <v>2000</v>
      </c>
      <c r="J160" s="2">
        <v>4000</v>
      </c>
      <c r="K160" s="2">
        <v>17.095600000000001</v>
      </c>
    </row>
    <row r="161" spans="2:11" x14ac:dyDescent="0.2">
      <c r="B161" s="5" t="str">
        <f>_xlfn.XLOOKUP(Total[[#This Row],[Metodo]],TbSolver[Metodo],TbSolver[Solver])</f>
        <v>RungeKutta</v>
      </c>
      <c r="C161" s="5" t="str">
        <f>_xlfn.XLOOKUP(Total[[#This Row],[Hebras]],TbTecnologia[Hebras],TbTecnologia[Tecnología])</f>
        <v>CUDA</v>
      </c>
      <c r="D161" s="2" t="str" cm="1">
        <f t="array" ref="D161">_xlfn.XLOOKUP(Total[[#This Row],[Tecnología]]&amp;Total[[#This Row],[Metodo]],TbTipos[Tecnología]&amp;TbTipos[Metodo],TbTipos[Tipo])</f>
        <v>CUDA sin graph</v>
      </c>
      <c r="E161" s="2" t="str" cm="1">
        <f t="array" ref="E161">_xlfn.XLOOKUP(Total[[#This Row],[Tecnología]]&amp;Total[[#This Row],[Problema]],TbNombres[Tecnología]&amp;TbNombres[Problema],TbNombres[Nombre])</f>
        <v>Brusselator1d</v>
      </c>
      <c r="F161" s="2">
        <v>1</v>
      </c>
      <c r="G161" s="2">
        <v>5</v>
      </c>
      <c r="H161" s="2">
        <v>256</v>
      </c>
      <c r="I161" s="2">
        <v>2000</v>
      </c>
      <c r="J161" s="2">
        <v>4000</v>
      </c>
      <c r="K161" s="2">
        <v>17.201499999999999</v>
      </c>
    </row>
    <row r="162" spans="2:11" x14ac:dyDescent="0.2">
      <c r="B162" s="5" t="str">
        <f>_xlfn.XLOOKUP(Total[[#This Row],[Metodo]],TbSolver[Metodo],TbSolver[Solver])</f>
        <v>RungeKutta</v>
      </c>
      <c r="C162" s="5" t="str">
        <f>_xlfn.XLOOKUP(Total[[#This Row],[Hebras]],TbTecnologia[Hebras],TbTecnologia[Tecnología])</f>
        <v>CUDA</v>
      </c>
      <c r="D162" s="2" t="str" cm="1">
        <f t="array" ref="D162">_xlfn.XLOOKUP(Total[[#This Row],[Tecnología]]&amp;Total[[#This Row],[Metodo]],TbTipos[Tecnología]&amp;TbTipos[Metodo],TbTipos[Tipo])</f>
        <v>CUDA sin graph</v>
      </c>
      <c r="E162" s="2" t="str" cm="1">
        <f t="array" ref="E162">_xlfn.XLOOKUP(Total[[#This Row],[Tecnología]]&amp;Total[[#This Row],[Problema]],TbNombres[Tecnología]&amp;TbNombres[Problema],TbNombres[Nombre])</f>
        <v>Brusselator1d</v>
      </c>
      <c r="F162" s="2">
        <v>1</v>
      </c>
      <c r="G162" s="2">
        <v>7</v>
      </c>
      <c r="H162" s="2">
        <v>256</v>
      </c>
      <c r="I162" s="2">
        <v>2000</v>
      </c>
      <c r="J162" s="2">
        <v>4000</v>
      </c>
      <c r="K162" s="2">
        <v>17.2821</v>
      </c>
    </row>
    <row r="163" spans="2:11" x14ac:dyDescent="0.2">
      <c r="B163" s="5" t="str">
        <f>_xlfn.XLOOKUP(Total[[#This Row],[Metodo]],TbSolver[Metodo],TbSolver[Solver])</f>
        <v>RungeKutta</v>
      </c>
      <c r="C163" s="5" t="str">
        <f>_xlfn.XLOOKUP(Total[[#This Row],[Hebras]],TbTecnologia[Hebras],TbTecnologia[Tecnología])</f>
        <v>CUDA</v>
      </c>
      <c r="D163" s="2" t="str" cm="1">
        <f t="array" ref="D163">_xlfn.XLOOKUP(Total[[#This Row],[Tecnología]]&amp;Total[[#This Row],[Metodo]],TbTipos[Tecnología]&amp;TbTipos[Metodo],TbTipos[Tipo])</f>
        <v>CUDA con graph</v>
      </c>
      <c r="E163" s="2" t="str" cm="1">
        <f t="array" ref="E163">_xlfn.XLOOKUP(Total[[#This Row],[Tecnología]]&amp;Total[[#This Row],[Problema]],TbNombres[Tecnología]&amp;TbNombres[Problema],TbNombres[Nombre])</f>
        <v>Brusselator1d</v>
      </c>
      <c r="F163" s="2">
        <v>2</v>
      </c>
      <c r="G163" s="2">
        <v>5</v>
      </c>
      <c r="H163" s="2">
        <v>256</v>
      </c>
      <c r="I163" s="2">
        <v>5000</v>
      </c>
      <c r="J163" s="2">
        <v>10000</v>
      </c>
      <c r="K163" s="2">
        <v>14.1684</v>
      </c>
    </row>
    <row r="164" spans="2:11" x14ac:dyDescent="0.2">
      <c r="B164" s="5" t="str">
        <f>_xlfn.XLOOKUP(Total[[#This Row],[Metodo]],TbSolver[Metodo],TbSolver[Solver])</f>
        <v>RungeKutta</v>
      </c>
      <c r="C164" s="5" t="str">
        <f>_xlfn.XLOOKUP(Total[[#This Row],[Hebras]],TbTecnologia[Hebras],TbTecnologia[Tecnología])</f>
        <v>CUDA</v>
      </c>
      <c r="D164" s="2" t="str" cm="1">
        <f t="array" ref="D164">_xlfn.XLOOKUP(Total[[#This Row],[Tecnología]]&amp;Total[[#This Row],[Metodo]],TbTipos[Tecnología]&amp;TbTipos[Metodo],TbTipos[Tipo])</f>
        <v>CUDA con graph</v>
      </c>
      <c r="E164" s="2" t="str" cm="1">
        <f t="array" ref="E164">_xlfn.XLOOKUP(Total[[#This Row],[Tecnología]]&amp;Total[[#This Row],[Problema]],TbNombres[Tecnología]&amp;TbNombres[Problema],TbNombres[Nombre])</f>
        <v>Brusselator1d</v>
      </c>
      <c r="F164" s="2">
        <v>2</v>
      </c>
      <c r="G164" s="2">
        <v>6</v>
      </c>
      <c r="H164" s="2">
        <v>256</v>
      </c>
      <c r="I164" s="2">
        <v>5000</v>
      </c>
      <c r="J164" s="2">
        <v>10000</v>
      </c>
      <c r="K164" s="2">
        <v>14.3065</v>
      </c>
    </row>
    <row r="165" spans="2:11" x14ac:dyDescent="0.2">
      <c r="B165" s="5" t="str">
        <f>_xlfn.XLOOKUP(Total[[#This Row],[Metodo]],TbSolver[Metodo],TbSolver[Solver])</f>
        <v>RungeKutta</v>
      </c>
      <c r="C165" s="5" t="str">
        <f>_xlfn.XLOOKUP(Total[[#This Row],[Hebras]],TbTecnologia[Hebras],TbTecnologia[Tecnología])</f>
        <v>CUDA</v>
      </c>
      <c r="D165" s="2" t="str" cm="1">
        <f t="array" ref="D165">_xlfn.XLOOKUP(Total[[#This Row],[Tecnología]]&amp;Total[[#This Row],[Metodo]],TbTipos[Tecnología]&amp;TbTipos[Metodo],TbTipos[Tipo])</f>
        <v>CUDA con graph</v>
      </c>
      <c r="E165" s="2" t="str" cm="1">
        <f t="array" ref="E165">_xlfn.XLOOKUP(Total[[#This Row],[Tecnología]]&amp;Total[[#This Row],[Problema]],TbNombres[Tecnología]&amp;TbNombres[Problema],TbNombres[Nombre])</f>
        <v>Brusselator1d</v>
      </c>
      <c r="F165" s="2">
        <v>2</v>
      </c>
      <c r="G165" s="2">
        <v>7</v>
      </c>
      <c r="H165" s="2">
        <v>256</v>
      </c>
      <c r="I165" s="2">
        <v>5000</v>
      </c>
      <c r="J165" s="2">
        <v>10000</v>
      </c>
      <c r="K165" s="2">
        <v>14.404299999999999</v>
      </c>
    </row>
    <row r="166" spans="2:11" x14ac:dyDescent="0.2">
      <c r="B166" s="5" t="str">
        <f>_xlfn.XLOOKUP(Total[[#This Row],[Metodo]],TbSolver[Metodo],TbSolver[Solver])</f>
        <v>RungeKutta</v>
      </c>
      <c r="C166" s="5" t="str">
        <f>_xlfn.XLOOKUP(Total[[#This Row],[Hebras]],TbTecnologia[Hebras],TbTecnologia[Tecnología])</f>
        <v>CUDA</v>
      </c>
      <c r="D166" s="2" t="str" cm="1">
        <f t="array" ref="D166">_xlfn.XLOOKUP(Total[[#This Row],[Tecnología]]&amp;Total[[#This Row],[Metodo]],TbTipos[Tecnología]&amp;TbTipos[Metodo],TbTipos[Tipo])</f>
        <v>CUDA sin graph</v>
      </c>
      <c r="E166" s="2" t="str" cm="1">
        <f t="array" ref="E166">_xlfn.XLOOKUP(Total[[#This Row],[Tecnología]]&amp;Total[[#This Row],[Problema]],TbNombres[Tecnología]&amp;TbNombres[Problema],TbNombres[Nombre])</f>
        <v>Brusselator1d</v>
      </c>
      <c r="F166" s="2">
        <v>1</v>
      </c>
      <c r="G166" s="2">
        <v>5</v>
      </c>
      <c r="H166" s="2">
        <v>256</v>
      </c>
      <c r="I166" s="2">
        <v>5000</v>
      </c>
      <c r="J166" s="2">
        <v>10000</v>
      </c>
      <c r="K166" s="2">
        <v>17.438700000000001</v>
      </c>
    </row>
    <row r="167" spans="2:11" x14ac:dyDescent="0.2">
      <c r="B167" s="5" t="str">
        <f>_xlfn.XLOOKUP(Total[[#This Row],[Metodo]],TbSolver[Metodo],TbSolver[Solver])</f>
        <v>RungeKutta</v>
      </c>
      <c r="C167" s="5" t="str">
        <f>_xlfn.XLOOKUP(Total[[#This Row],[Hebras]],TbTecnologia[Hebras],TbTecnologia[Tecnología])</f>
        <v>CUDA</v>
      </c>
      <c r="D167" s="2" t="str" cm="1">
        <f t="array" ref="D167">_xlfn.XLOOKUP(Total[[#This Row],[Tecnología]]&amp;Total[[#This Row],[Metodo]],TbTipos[Tecnología]&amp;TbTipos[Metodo],TbTipos[Tipo])</f>
        <v>CUDA sin graph</v>
      </c>
      <c r="E167" s="2" t="str" cm="1">
        <f t="array" ref="E167">_xlfn.XLOOKUP(Total[[#This Row],[Tecnología]]&amp;Total[[#This Row],[Problema]],TbNombres[Tecnología]&amp;TbNombres[Problema],TbNombres[Nombre])</f>
        <v>Brusselator1d</v>
      </c>
      <c r="F167" s="2">
        <v>1</v>
      </c>
      <c r="G167" s="2">
        <v>7</v>
      </c>
      <c r="H167" s="2">
        <v>256</v>
      </c>
      <c r="I167" s="2">
        <v>5000</v>
      </c>
      <c r="J167" s="2">
        <v>10000</v>
      </c>
      <c r="K167" s="2">
        <v>17.483899999999998</v>
      </c>
    </row>
    <row r="168" spans="2:11" x14ac:dyDescent="0.2">
      <c r="B168" s="5" t="str">
        <f>_xlfn.XLOOKUP(Total[[#This Row],[Metodo]],TbSolver[Metodo],TbSolver[Solver])</f>
        <v>RungeKutta</v>
      </c>
      <c r="C168" s="5" t="str">
        <f>_xlfn.XLOOKUP(Total[[#This Row],[Hebras]],TbTecnologia[Hebras],TbTecnologia[Tecnología])</f>
        <v>CUDA</v>
      </c>
      <c r="D168" s="2" t="str" cm="1">
        <f t="array" ref="D168">_xlfn.XLOOKUP(Total[[#This Row],[Tecnología]]&amp;Total[[#This Row],[Metodo]],TbTipos[Tecnología]&amp;TbTipos[Metodo],TbTipos[Tipo])</f>
        <v>CUDA sin graph</v>
      </c>
      <c r="E168" s="2" t="str" cm="1">
        <f t="array" ref="E168">_xlfn.XLOOKUP(Total[[#This Row],[Tecnología]]&amp;Total[[#This Row],[Problema]],TbNombres[Tecnología]&amp;TbNombres[Problema],TbNombres[Nombre])</f>
        <v>Brusselator1d</v>
      </c>
      <c r="F168" s="2">
        <v>1</v>
      </c>
      <c r="G168" s="2">
        <v>6</v>
      </c>
      <c r="H168" s="2">
        <v>256</v>
      </c>
      <c r="I168" s="2">
        <v>5000</v>
      </c>
      <c r="J168" s="2">
        <v>10000</v>
      </c>
      <c r="K168" s="2">
        <v>17.822700000000001</v>
      </c>
    </row>
    <row r="169" spans="2:11" x14ac:dyDescent="0.2">
      <c r="B169" s="5" t="str">
        <f>_xlfn.XLOOKUP(Total[[#This Row],[Metodo]],TbSolver[Metodo],TbSolver[Solver])</f>
        <v>RungeKutta</v>
      </c>
      <c r="C169" s="5" t="str">
        <f>_xlfn.XLOOKUP(Total[[#This Row],[Hebras]],TbTecnologia[Hebras],TbTecnologia[Tecnología])</f>
        <v>CUDA</v>
      </c>
      <c r="D169" s="2" t="str" cm="1">
        <f t="array" ref="D169">_xlfn.XLOOKUP(Total[[#This Row],[Tecnología]]&amp;Total[[#This Row],[Metodo]],TbTipos[Tecnología]&amp;TbTipos[Metodo],TbTipos[Tipo])</f>
        <v>CUDA sin graph</v>
      </c>
      <c r="E169" s="2" t="str" cm="1">
        <f t="array" ref="E169">_xlfn.XLOOKUP(Total[[#This Row],[Tecnología]]&amp;Total[[#This Row],[Problema]],TbNombres[Tecnología]&amp;TbNombres[Problema],TbNombres[Nombre])</f>
        <v>Brusselator1d</v>
      </c>
      <c r="F169" s="2">
        <v>1</v>
      </c>
      <c r="G169" s="2">
        <v>5</v>
      </c>
      <c r="H169" s="2">
        <v>256</v>
      </c>
      <c r="I169" s="2">
        <v>10000</v>
      </c>
      <c r="J169" s="2">
        <v>20000</v>
      </c>
      <c r="K169" s="2">
        <v>22.3018</v>
      </c>
    </row>
    <row r="170" spans="2:11" x14ac:dyDescent="0.2">
      <c r="B170" s="5" t="str">
        <f>_xlfn.XLOOKUP(Total[[#This Row],[Metodo]],TbSolver[Metodo],TbSolver[Solver])</f>
        <v>RungeKutta</v>
      </c>
      <c r="C170" s="5" t="str">
        <f>_xlfn.XLOOKUP(Total[[#This Row],[Hebras]],TbTecnologia[Hebras],TbTecnologia[Tecnología])</f>
        <v>CUDA</v>
      </c>
      <c r="D170" s="2" t="str" cm="1">
        <f t="array" ref="D170">_xlfn.XLOOKUP(Total[[#This Row],[Tecnología]]&amp;Total[[#This Row],[Metodo]],TbTipos[Tecnología]&amp;TbTipos[Metodo],TbTipos[Tipo])</f>
        <v>CUDA sin graph</v>
      </c>
      <c r="E170" s="2" t="str" cm="1">
        <f t="array" ref="E170">_xlfn.XLOOKUP(Total[[#This Row],[Tecnología]]&amp;Total[[#This Row],[Problema]],TbNombres[Tecnología]&amp;TbNombres[Problema],TbNombres[Nombre])</f>
        <v>Brusselator1d</v>
      </c>
      <c r="F170" s="2">
        <v>1</v>
      </c>
      <c r="G170" s="2">
        <v>5</v>
      </c>
      <c r="H170" s="2">
        <v>256</v>
      </c>
      <c r="I170" s="2">
        <v>20000</v>
      </c>
      <c r="J170" s="2">
        <v>40000</v>
      </c>
      <c r="K170" s="2">
        <v>28.273800000000001</v>
      </c>
    </row>
    <row r="171" spans="2:11" x14ac:dyDescent="0.2">
      <c r="B171" s="5" t="str">
        <f>_xlfn.XLOOKUP(Total[[#This Row],[Metodo]],TbSolver[Metodo],TbSolver[Solver])</f>
        <v>RungeKutta</v>
      </c>
      <c r="C171" s="5" t="str">
        <f>_xlfn.XLOOKUP(Total[[#This Row],[Hebras]],TbTecnologia[Hebras],TbTecnologia[Tecnología])</f>
        <v>CUDA</v>
      </c>
      <c r="D171" s="2" t="str" cm="1">
        <f t="array" ref="D171">_xlfn.XLOOKUP(Total[[#This Row],[Tecnología]]&amp;Total[[#This Row],[Metodo]],TbTipos[Tecnología]&amp;TbTipos[Metodo],TbTipos[Tipo])</f>
        <v>CUDA sin graph</v>
      </c>
      <c r="E171" s="2" t="str" cm="1">
        <f t="array" ref="E171">_xlfn.XLOOKUP(Total[[#This Row],[Tecnología]]&amp;Total[[#This Row],[Problema]],TbNombres[Tecnología]&amp;TbNombres[Problema],TbNombres[Nombre])</f>
        <v>Brusselator1d</v>
      </c>
      <c r="F171" s="2">
        <v>1</v>
      </c>
      <c r="G171" s="2">
        <v>5</v>
      </c>
      <c r="H171" s="2">
        <v>256</v>
      </c>
      <c r="I171" s="2">
        <v>50000</v>
      </c>
      <c r="J171" s="2">
        <v>100000</v>
      </c>
      <c r="K171" s="2">
        <v>43.403700000000001</v>
      </c>
    </row>
    <row r="172" spans="2:11" x14ac:dyDescent="0.2">
      <c r="B172" s="5" t="str">
        <f>_xlfn.XLOOKUP(Total[[#This Row],[Metodo]],TbSolver[Metodo],TbSolver[Solver])</f>
        <v>RungeKutta</v>
      </c>
      <c r="C172" s="5" t="str">
        <f>_xlfn.XLOOKUP(Total[[#This Row],[Hebras]],TbTecnologia[Hebras],TbTecnologia[Tecnología])</f>
        <v>CUDA</v>
      </c>
      <c r="D172" s="2" t="str" cm="1">
        <f t="array" ref="D172">_xlfn.XLOOKUP(Total[[#This Row],[Tecnología]]&amp;Total[[#This Row],[Metodo]],TbTipos[Tecnología]&amp;TbTipos[Metodo],TbTipos[Tipo])</f>
        <v>CUDA sin graph</v>
      </c>
      <c r="E172" s="2" t="str" cm="1">
        <f t="array" ref="E172">_xlfn.XLOOKUP(Total[[#This Row],[Tecnología]]&amp;Total[[#This Row],[Problema]],TbNombres[Tecnología]&amp;TbNombres[Problema],TbNombres[Nombre])</f>
        <v>Brusselator1d</v>
      </c>
      <c r="F172" s="2">
        <v>1</v>
      </c>
      <c r="G172" s="2">
        <v>5</v>
      </c>
      <c r="H172" s="2">
        <v>256</v>
      </c>
      <c r="I172" s="2">
        <v>100000</v>
      </c>
      <c r="J172" s="2">
        <v>200000</v>
      </c>
      <c r="K172" s="2">
        <v>89.162099999999995</v>
      </c>
    </row>
    <row r="173" spans="2:11" x14ac:dyDescent="0.2">
      <c r="B173" s="5" t="str">
        <f>_xlfn.XLOOKUP(Total[[#This Row],[Metodo]],TbSolver[Metodo],TbSolver[Solver])</f>
        <v>RungeKutta</v>
      </c>
      <c r="C173" s="5" t="str">
        <f>_xlfn.XLOOKUP(Total[[#This Row],[Hebras]],TbTecnologia[Hebras],TbTecnologia[Tecnología])</f>
        <v>CUDA</v>
      </c>
      <c r="D173" s="2" t="str" cm="1">
        <f t="array" ref="D173">_xlfn.XLOOKUP(Total[[#This Row],[Tecnología]]&amp;Total[[#This Row],[Metodo]],TbTipos[Tecnología]&amp;TbTipos[Metodo],TbTipos[Tipo])</f>
        <v>CUDA sin graph</v>
      </c>
      <c r="E173" s="2" t="str" cm="1">
        <f t="array" ref="E173">_xlfn.XLOOKUP(Total[[#This Row],[Tecnología]]&amp;Total[[#This Row],[Problema]],TbNombres[Tecnología]&amp;TbNombres[Problema],TbNombres[Nombre])</f>
        <v>Brusselator1d</v>
      </c>
      <c r="F173" s="2">
        <v>1</v>
      </c>
      <c r="G173" s="2">
        <v>5</v>
      </c>
      <c r="H173" s="2">
        <v>256</v>
      </c>
      <c r="I173" s="2">
        <v>200000</v>
      </c>
      <c r="J173" s="2">
        <v>400000</v>
      </c>
      <c r="K173" s="2">
        <v>195.79300000000001</v>
      </c>
    </row>
    <row r="174" spans="2:11" x14ac:dyDescent="0.2">
      <c r="B174" s="5" t="str">
        <f>_xlfn.XLOOKUP(Total[[#This Row],[Metodo]],TbSolver[Metodo],TbSolver[Solver])</f>
        <v>RungeKutta</v>
      </c>
      <c r="C174" s="5" t="str">
        <f>_xlfn.XLOOKUP(Total[[#This Row],[Hebras]],TbTecnologia[Hebras],TbTecnologia[Tecnología])</f>
        <v>CUDA</v>
      </c>
      <c r="D174" s="2" t="str" cm="1">
        <f t="array" ref="D174">_xlfn.XLOOKUP(Total[[#This Row],[Tecnología]]&amp;Total[[#This Row],[Metodo]],TbTipos[Tecnología]&amp;TbTipos[Metodo],TbTipos[Tipo])</f>
        <v>CUDA con graph</v>
      </c>
      <c r="E174" s="2" t="str" cm="1">
        <f t="array" ref="E174">_xlfn.XLOOKUP(Total[[#This Row],[Tecnología]]&amp;Total[[#This Row],[Problema]],TbNombres[Tecnología]&amp;TbNombres[Problema],TbNombres[Nombre])</f>
        <v>Brusselator2d</v>
      </c>
      <c r="F174" s="2">
        <v>2</v>
      </c>
      <c r="G174" s="2">
        <v>9</v>
      </c>
      <c r="H174" s="2">
        <v>256</v>
      </c>
      <c r="I174" s="2">
        <v>50</v>
      </c>
      <c r="J174" s="2">
        <v>5000</v>
      </c>
      <c r="K174" s="2">
        <v>16.983499999999999</v>
      </c>
    </row>
    <row r="175" spans="2:11" x14ac:dyDescent="0.2">
      <c r="B175" s="5" t="str">
        <f>_xlfn.XLOOKUP(Total[[#This Row],[Metodo]],TbSolver[Metodo],TbSolver[Solver])</f>
        <v>RungeKutta</v>
      </c>
      <c r="C175" s="5" t="str">
        <f>_xlfn.XLOOKUP(Total[[#This Row],[Hebras]],TbTecnologia[Hebras],TbTecnologia[Tecnología])</f>
        <v>CUDA</v>
      </c>
      <c r="D175" s="2" t="str" cm="1">
        <f t="array" ref="D175">_xlfn.XLOOKUP(Total[[#This Row],[Tecnología]]&amp;Total[[#This Row],[Metodo]],TbTipos[Tecnología]&amp;TbTipos[Metodo],TbTipos[Tipo])</f>
        <v>CUDA con graph</v>
      </c>
      <c r="E175" s="2" t="str" cm="1">
        <f t="array" ref="E175">_xlfn.XLOOKUP(Total[[#This Row],[Tecnología]]&amp;Total[[#This Row],[Problema]],TbNombres[Tecnología]&amp;TbNombres[Problema],TbNombres[Nombre])</f>
        <v>Brusselator2d</v>
      </c>
      <c r="F175" s="2">
        <v>2</v>
      </c>
      <c r="G175" s="2">
        <v>8</v>
      </c>
      <c r="H175" s="2">
        <v>256</v>
      </c>
      <c r="I175" s="2">
        <v>50</v>
      </c>
      <c r="J175" s="2">
        <v>5000</v>
      </c>
      <c r="K175" s="2">
        <v>17.009499999999999</v>
      </c>
    </row>
    <row r="176" spans="2:11" x14ac:dyDescent="0.2">
      <c r="B176" s="5" t="str">
        <f>_xlfn.XLOOKUP(Total[[#This Row],[Metodo]],TbSolver[Metodo],TbSolver[Solver])</f>
        <v>RungeKutta</v>
      </c>
      <c r="C176" s="5" t="str">
        <f>_xlfn.XLOOKUP(Total[[#This Row],[Hebras]],TbTecnologia[Hebras],TbTecnologia[Tecnología])</f>
        <v>CUDA</v>
      </c>
      <c r="D176" s="2" t="str" cm="1">
        <f t="array" ref="D176">_xlfn.XLOOKUP(Total[[#This Row],[Tecnología]]&amp;Total[[#This Row],[Metodo]],TbTipos[Tecnología]&amp;TbTipos[Metodo],TbTipos[Tipo])</f>
        <v>CUDA sin graph</v>
      </c>
      <c r="E176" s="2" t="str" cm="1">
        <f t="array" ref="E176">_xlfn.XLOOKUP(Total[[#This Row],[Tecnología]]&amp;Total[[#This Row],[Problema]],TbNombres[Tecnología]&amp;TbNombres[Problema],TbNombres[Nombre])</f>
        <v>Brusselator2d</v>
      </c>
      <c r="F176" s="2">
        <v>1</v>
      </c>
      <c r="G176" s="2">
        <v>8</v>
      </c>
      <c r="H176" s="2">
        <v>256</v>
      </c>
      <c r="I176" s="2">
        <v>50</v>
      </c>
      <c r="J176" s="2">
        <v>5000</v>
      </c>
      <c r="K176" s="2">
        <v>19.817399999999999</v>
      </c>
    </row>
    <row r="177" spans="2:11" x14ac:dyDescent="0.2">
      <c r="B177" s="5" t="str">
        <f>_xlfn.XLOOKUP(Total[[#This Row],[Metodo]],TbSolver[Metodo],TbSolver[Solver])</f>
        <v>RungeKutta</v>
      </c>
      <c r="C177" s="5" t="str">
        <f>_xlfn.XLOOKUP(Total[[#This Row],[Hebras]],TbTecnologia[Hebras],TbTecnologia[Tecnología])</f>
        <v>CUDA</v>
      </c>
      <c r="D177" s="2" t="str" cm="1">
        <f t="array" ref="D177">_xlfn.XLOOKUP(Total[[#This Row],[Tecnología]]&amp;Total[[#This Row],[Metodo]],TbTipos[Tecnología]&amp;TbTipos[Metodo],TbTipos[Tipo])</f>
        <v>CUDA sin graph</v>
      </c>
      <c r="E177" s="2" t="str" cm="1">
        <f t="array" ref="E177">_xlfn.XLOOKUP(Total[[#This Row],[Tecnología]]&amp;Total[[#This Row],[Problema]],TbNombres[Tecnología]&amp;TbNombres[Problema],TbNombres[Nombre])</f>
        <v>Brusselator2d</v>
      </c>
      <c r="F177" s="2">
        <v>1</v>
      </c>
      <c r="G177" s="2">
        <v>9</v>
      </c>
      <c r="H177" s="2">
        <v>256</v>
      </c>
      <c r="I177" s="2">
        <v>50</v>
      </c>
      <c r="J177" s="2">
        <v>5000</v>
      </c>
      <c r="K177" s="2">
        <v>20.053100000000001</v>
      </c>
    </row>
    <row r="178" spans="2:11" x14ac:dyDescent="0.2">
      <c r="B178" s="5" t="str">
        <f>_xlfn.XLOOKUP(Total[[#This Row],[Metodo]],TbSolver[Metodo],TbSolver[Solver])</f>
        <v>RungeKutta</v>
      </c>
      <c r="C178" s="5" t="str">
        <f>_xlfn.XLOOKUP(Total[[#This Row],[Hebras]],TbTecnologia[Hebras],TbTecnologia[Tecnología])</f>
        <v>OMP</v>
      </c>
      <c r="D178" s="10" t="str" cm="1">
        <f t="array" ref="D178">_xlfn.XLOOKUP(Total[[#This Row],[Tecnología]]&amp;Total[[#This Row],[Metodo]],TbTipos[Tecnología]&amp;TbTipos[Metodo],TbTipos[Tipo])</f>
        <v>OMP Elementos</v>
      </c>
      <c r="E178" s="9" t="str" cm="1">
        <f t="array" ref="E178">_xlfn.XLOOKUP(Total[[#This Row],[Tecnología]]&amp;Total[[#This Row],[Problema]],TbNombres[Tecnología]&amp;TbNombres[Problema],TbNombres[Nombre])</f>
        <v>Brusselator2d</v>
      </c>
      <c r="F178" s="9">
        <v>2</v>
      </c>
      <c r="G178" s="9">
        <v>4</v>
      </c>
      <c r="H178" s="9">
        <v>16</v>
      </c>
      <c r="I178" s="9">
        <v>50</v>
      </c>
      <c r="J178" s="9">
        <v>5000</v>
      </c>
      <c r="K178" s="9">
        <v>41.652000000000001</v>
      </c>
    </row>
    <row r="179" spans="2:11" x14ac:dyDescent="0.2">
      <c r="B179" s="5" t="str">
        <f>_xlfn.XLOOKUP(Total[[#This Row],[Metodo]],TbSolver[Metodo],TbSolver[Solver])</f>
        <v>RungeKutta</v>
      </c>
      <c r="C179" s="5" t="str">
        <f>_xlfn.XLOOKUP(Total[[#This Row],[Hebras]],TbTecnologia[Hebras],TbTecnologia[Tecnología])</f>
        <v>OMP</v>
      </c>
      <c r="D179" s="10" t="str" cm="1">
        <f t="array" ref="D179">_xlfn.XLOOKUP(Total[[#This Row],[Tecnología]]&amp;Total[[#This Row],[Metodo]],TbTipos[Tecnología]&amp;TbTipos[Metodo],TbTipos[Tipo])</f>
        <v>OMP Operaciones</v>
      </c>
      <c r="E179" s="9" t="str" cm="1">
        <f t="array" ref="E179">_xlfn.XLOOKUP(Total[[#This Row],[Tecnología]]&amp;Total[[#This Row],[Problema]],TbNombres[Tecnología]&amp;TbNombres[Problema],TbNombres[Nombre])</f>
        <v>Brusselator2d</v>
      </c>
      <c r="F179" s="9">
        <v>1</v>
      </c>
      <c r="G179" s="9">
        <v>4</v>
      </c>
      <c r="H179" s="9">
        <v>4</v>
      </c>
      <c r="I179" s="9">
        <v>50</v>
      </c>
      <c r="J179" s="9">
        <v>5000</v>
      </c>
      <c r="K179" s="9">
        <v>52.421599999999998</v>
      </c>
    </row>
    <row r="180" spans="2:11" x14ac:dyDescent="0.2">
      <c r="B180" s="5" t="str">
        <f>_xlfn.XLOOKUP(Total[[#This Row],[Metodo]],TbSolver[Metodo],TbSolver[Solver])</f>
        <v>RungeKutta</v>
      </c>
      <c r="C180" s="5" t="str">
        <f>_xlfn.XLOOKUP(Total[[#This Row],[Hebras]],TbTecnologia[Hebras],TbTecnologia[Tecnología])</f>
        <v>OMP</v>
      </c>
      <c r="D180" s="10" t="str" cm="1">
        <f t="array" ref="D180">_xlfn.XLOOKUP(Total[[#This Row],[Tecnología]]&amp;Total[[#This Row],[Metodo]],TbTipos[Tecnología]&amp;TbTipos[Metodo],TbTipos[Tipo])</f>
        <v>OMP Elementos</v>
      </c>
      <c r="E180" s="9" t="str" cm="1">
        <f t="array" ref="E180">_xlfn.XLOOKUP(Total[[#This Row],[Tecnología]]&amp;Total[[#This Row],[Problema]],TbNombres[Tecnología]&amp;TbNombres[Problema],TbNombres[Nombre])</f>
        <v>Brusselator2d</v>
      </c>
      <c r="F180" s="9">
        <v>2</v>
      </c>
      <c r="G180" s="9">
        <v>4</v>
      </c>
      <c r="H180" s="9">
        <v>4</v>
      </c>
      <c r="I180" s="9">
        <v>50</v>
      </c>
      <c r="J180" s="9">
        <v>5000</v>
      </c>
      <c r="K180" s="9">
        <v>76.856300000000005</v>
      </c>
    </row>
    <row r="181" spans="2:11" x14ac:dyDescent="0.2">
      <c r="B181" s="5" t="str">
        <f>_xlfn.XLOOKUP(Total[[#This Row],[Metodo]],TbSolver[Metodo],TbSolver[Solver])</f>
        <v>RungeKutta</v>
      </c>
      <c r="C181" s="5" t="str">
        <f>_xlfn.XLOOKUP(Total[[#This Row],[Hebras]],TbTecnologia[Hebras],TbTecnologia[Tecnología])</f>
        <v>OMP</v>
      </c>
      <c r="D181" s="10" t="str" cm="1">
        <f t="array" ref="D181">_xlfn.XLOOKUP(Total[[#This Row],[Tecnología]]&amp;Total[[#This Row],[Metodo]],TbTipos[Tecnología]&amp;TbTipos[Metodo],TbTipos[Tipo])</f>
        <v>OMP Operaciones</v>
      </c>
      <c r="E181" s="9" t="str" cm="1">
        <f t="array" ref="E181">_xlfn.XLOOKUP(Total[[#This Row],[Tecnología]]&amp;Total[[#This Row],[Problema]],TbNombres[Tecnología]&amp;TbNombres[Problema],TbNombres[Nombre])</f>
        <v>Brusselator2d</v>
      </c>
      <c r="F181" s="9">
        <v>1</v>
      </c>
      <c r="G181" s="9">
        <v>4</v>
      </c>
      <c r="H181" s="9">
        <v>16</v>
      </c>
      <c r="I181" s="9">
        <v>50</v>
      </c>
      <c r="J181" s="9">
        <v>5000</v>
      </c>
      <c r="K181" s="9">
        <v>81.611099999999993</v>
      </c>
    </row>
    <row r="182" spans="2:11" x14ac:dyDescent="0.2">
      <c r="B182" s="5" t="str">
        <f>_xlfn.XLOOKUP(Total[[#This Row],[Metodo]],TbSolver[Metodo],TbSolver[Solver])</f>
        <v>RungeKutta</v>
      </c>
      <c r="C182" s="5" t="str">
        <f>_xlfn.XLOOKUP(Total[[#This Row],[Hebras]],TbTecnologia[Hebras],TbTecnologia[Tecnología])</f>
        <v>OMP</v>
      </c>
      <c r="D182" s="10" t="str" cm="1">
        <f t="array" ref="D182">_xlfn.XLOOKUP(Total[[#This Row],[Tecnología]]&amp;Total[[#This Row],[Metodo]],TbTipos[Tecnología]&amp;TbTipos[Metodo],TbTipos[Tipo])</f>
        <v>OMP Operaciones</v>
      </c>
      <c r="E182" s="9" t="str" cm="1">
        <f t="array" ref="E182">_xlfn.XLOOKUP(Total[[#This Row],[Tecnología]]&amp;Total[[#This Row],[Problema]],TbNombres[Tecnología]&amp;TbNombres[Problema],TbNombres[Nombre])</f>
        <v>Brusselator2d</v>
      </c>
      <c r="F182" s="9">
        <v>1</v>
      </c>
      <c r="G182" s="9">
        <v>4</v>
      </c>
      <c r="H182" s="9">
        <v>1</v>
      </c>
      <c r="I182" s="9">
        <v>50</v>
      </c>
      <c r="J182" s="9">
        <v>5000</v>
      </c>
      <c r="K182" s="9">
        <v>104.01600000000001</v>
      </c>
    </row>
    <row r="183" spans="2:11" x14ac:dyDescent="0.2">
      <c r="B183" s="5" t="str">
        <f>_xlfn.XLOOKUP(Total[[#This Row],[Metodo]],TbSolver[Metodo],TbSolver[Solver])</f>
        <v>RungeKutta</v>
      </c>
      <c r="C183" s="5" t="str">
        <f>_xlfn.XLOOKUP(Total[[#This Row],[Hebras]],TbTecnologia[Hebras],TbTecnologia[Tecnología])</f>
        <v>OMP</v>
      </c>
      <c r="D183" s="10" t="str" cm="1">
        <f t="array" ref="D183">_xlfn.XLOOKUP(Total[[#This Row],[Tecnología]]&amp;Total[[#This Row],[Metodo]],TbTipos[Tecnología]&amp;TbTipos[Metodo],TbTipos[Tipo])</f>
        <v>OMP Elementos</v>
      </c>
      <c r="E183" s="9" t="str" cm="1">
        <f t="array" ref="E183">_xlfn.XLOOKUP(Total[[#This Row],[Tecnología]]&amp;Total[[#This Row],[Problema]],TbNombres[Tecnología]&amp;TbNombres[Problema],TbNombres[Nombre])</f>
        <v>Brusselator2d</v>
      </c>
      <c r="F183" s="9">
        <v>2</v>
      </c>
      <c r="G183" s="9">
        <v>4</v>
      </c>
      <c r="H183" s="9">
        <v>1</v>
      </c>
      <c r="I183" s="9">
        <v>50</v>
      </c>
      <c r="J183" s="9">
        <v>5000</v>
      </c>
      <c r="K183" s="9">
        <v>267.25799999999998</v>
      </c>
    </row>
    <row r="184" spans="2:11" x14ac:dyDescent="0.2">
      <c r="B184" s="5" t="str">
        <f>_xlfn.XLOOKUP(Total[[#This Row],[Metodo]],TbSolver[Metodo],TbSolver[Solver])</f>
        <v>RungeKutta</v>
      </c>
      <c r="C184" s="5" t="str">
        <f>_xlfn.XLOOKUP(Total[[#This Row],[Hebras]],TbTecnologia[Hebras],TbTecnologia[Tecnología])</f>
        <v>CUDA</v>
      </c>
      <c r="D184" s="2" t="str" cm="1">
        <f t="array" ref="D184">_xlfn.XLOOKUP(Total[[#This Row],[Tecnología]]&amp;Total[[#This Row],[Metodo]],TbTipos[Tecnología]&amp;TbTipos[Metodo],TbTipos[Tipo])</f>
        <v>CUDA con graph</v>
      </c>
      <c r="E184" s="2" t="str" cm="1">
        <f t="array" ref="E184">_xlfn.XLOOKUP(Total[[#This Row],[Tecnología]]&amp;Total[[#This Row],[Problema]],TbNombres[Tecnología]&amp;TbNombres[Problema],TbNombres[Nombre])</f>
        <v>Brusselator2d</v>
      </c>
      <c r="F184" s="2">
        <v>2</v>
      </c>
      <c r="G184" s="2">
        <v>9</v>
      </c>
      <c r="H184" s="2">
        <v>256</v>
      </c>
      <c r="I184" s="2">
        <v>100</v>
      </c>
      <c r="J184" s="2">
        <v>20000</v>
      </c>
      <c r="K184" s="2">
        <v>24.692</v>
      </c>
    </row>
    <row r="185" spans="2:11" x14ac:dyDescent="0.2">
      <c r="B185" s="5" t="str">
        <f>_xlfn.XLOOKUP(Total[[#This Row],[Metodo]],TbSolver[Metodo],TbSolver[Solver])</f>
        <v>RungeKutta</v>
      </c>
      <c r="C185" s="5" t="str">
        <f>_xlfn.XLOOKUP(Total[[#This Row],[Hebras]],TbTecnologia[Hebras],TbTecnologia[Tecnología])</f>
        <v>CUDA</v>
      </c>
      <c r="D185" s="2" t="str" cm="1">
        <f t="array" ref="D185">_xlfn.XLOOKUP(Total[[#This Row],[Tecnología]]&amp;Total[[#This Row],[Metodo]],TbTipos[Tecnología]&amp;TbTipos[Metodo],TbTipos[Tipo])</f>
        <v>CUDA con graph</v>
      </c>
      <c r="E185" s="2" t="str" cm="1">
        <f t="array" ref="E185">_xlfn.XLOOKUP(Total[[#This Row],[Tecnología]]&amp;Total[[#This Row],[Problema]],TbNombres[Tecnología]&amp;TbNombres[Problema],TbNombres[Nombre])</f>
        <v>Brusselator2d</v>
      </c>
      <c r="F185" s="2">
        <v>2</v>
      </c>
      <c r="G185" s="2">
        <v>8</v>
      </c>
      <c r="H185" s="2">
        <v>256</v>
      </c>
      <c r="I185" s="2">
        <v>100</v>
      </c>
      <c r="J185" s="2">
        <v>20000</v>
      </c>
      <c r="K185" s="2">
        <v>24.826599999999999</v>
      </c>
    </row>
    <row r="186" spans="2:11" x14ac:dyDescent="0.2">
      <c r="B186" s="5" t="str">
        <f>_xlfn.XLOOKUP(Total[[#This Row],[Metodo]],TbSolver[Metodo],TbSolver[Solver])</f>
        <v>RungeKutta</v>
      </c>
      <c r="C186" s="5" t="str">
        <f>_xlfn.XLOOKUP(Total[[#This Row],[Hebras]],TbTecnologia[Hebras],TbTecnologia[Tecnología])</f>
        <v>CUDA</v>
      </c>
      <c r="D186" s="2" t="str" cm="1">
        <f t="array" ref="D186">_xlfn.XLOOKUP(Total[[#This Row],[Tecnología]]&amp;Total[[#This Row],[Metodo]],TbTipos[Tecnología]&amp;TbTipos[Metodo],TbTipos[Tipo])</f>
        <v>CUDA sin graph</v>
      </c>
      <c r="E186" s="2" t="str" cm="1">
        <f t="array" ref="E186">_xlfn.XLOOKUP(Total[[#This Row],[Tecnología]]&amp;Total[[#This Row],[Problema]],TbNombres[Tecnología]&amp;TbNombres[Problema],TbNombres[Nombre])</f>
        <v>Brusselator2d</v>
      </c>
      <c r="F186" s="2">
        <v>1</v>
      </c>
      <c r="G186" s="2">
        <v>8</v>
      </c>
      <c r="H186" s="2">
        <v>256</v>
      </c>
      <c r="I186" s="2">
        <v>100</v>
      </c>
      <c r="J186" s="2">
        <v>20000</v>
      </c>
      <c r="K186" s="2">
        <v>27.382100000000001</v>
      </c>
    </row>
    <row r="187" spans="2:11" x14ac:dyDescent="0.2">
      <c r="B187" s="5" t="str">
        <f>_xlfn.XLOOKUP(Total[[#This Row],[Metodo]],TbSolver[Metodo],TbSolver[Solver])</f>
        <v>RungeKutta</v>
      </c>
      <c r="C187" s="5" t="str">
        <f>_xlfn.XLOOKUP(Total[[#This Row],[Hebras]],TbTecnologia[Hebras],TbTecnologia[Tecnología])</f>
        <v>CUDA</v>
      </c>
      <c r="D187" s="2" t="str" cm="1">
        <f t="array" ref="D187">_xlfn.XLOOKUP(Total[[#This Row],[Tecnología]]&amp;Total[[#This Row],[Metodo]],TbTipos[Tecnología]&amp;TbTipos[Metodo],TbTipos[Tipo])</f>
        <v>CUDA sin graph</v>
      </c>
      <c r="E187" s="2" t="str" cm="1">
        <f t="array" ref="E187">_xlfn.XLOOKUP(Total[[#This Row],[Tecnología]]&amp;Total[[#This Row],[Problema]],TbNombres[Tecnología]&amp;TbNombres[Problema],TbNombres[Nombre])</f>
        <v>Brusselator2d</v>
      </c>
      <c r="F187" s="2">
        <v>1</v>
      </c>
      <c r="G187" s="2">
        <v>9</v>
      </c>
      <c r="H187" s="2">
        <v>256</v>
      </c>
      <c r="I187" s="2">
        <v>100</v>
      </c>
      <c r="J187" s="2">
        <v>20000</v>
      </c>
      <c r="K187" s="2">
        <v>27.6431</v>
      </c>
    </row>
    <row r="188" spans="2:11" x14ac:dyDescent="0.2">
      <c r="B188" s="5" t="str">
        <f>_xlfn.XLOOKUP(Total[[#This Row],[Metodo]],TbSolver[Metodo],TbSolver[Solver])</f>
        <v>RungeKutta</v>
      </c>
      <c r="C188" s="5" t="str">
        <f>_xlfn.XLOOKUP(Total[[#This Row],[Hebras]],TbTecnologia[Hebras],TbTecnologia[Tecnología])</f>
        <v>OMP</v>
      </c>
      <c r="D188" s="10" t="str" cm="1">
        <f t="array" ref="D188">_xlfn.XLOOKUP(Total[[#This Row],[Tecnología]]&amp;Total[[#This Row],[Metodo]],TbTipos[Tecnología]&amp;TbTipos[Metodo],TbTipos[Tipo])</f>
        <v>OMP Elementos</v>
      </c>
      <c r="E188" s="9" t="str" cm="1">
        <f t="array" ref="E188">_xlfn.XLOOKUP(Total[[#This Row],[Tecnología]]&amp;Total[[#This Row],[Problema]],TbNombres[Tecnología]&amp;TbNombres[Problema],TbNombres[Nombre])</f>
        <v>Brusselator2d</v>
      </c>
      <c r="F188" s="9">
        <v>2</v>
      </c>
      <c r="G188" s="9">
        <v>4</v>
      </c>
      <c r="H188" s="9">
        <v>16</v>
      </c>
      <c r="I188" s="9">
        <v>100</v>
      </c>
      <c r="J188" s="9">
        <v>20000</v>
      </c>
      <c r="K188" s="9">
        <v>91.947000000000003</v>
      </c>
    </row>
    <row r="189" spans="2:11" x14ac:dyDescent="0.2">
      <c r="B189" s="5" t="str">
        <f>_xlfn.XLOOKUP(Total[[#This Row],[Metodo]],TbSolver[Metodo],TbSolver[Solver])</f>
        <v>RungeKutta</v>
      </c>
      <c r="C189" s="5" t="str">
        <f>_xlfn.XLOOKUP(Total[[#This Row],[Hebras]],TbTecnologia[Hebras],TbTecnologia[Tecnología])</f>
        <v>OMP</v>
      </c>
      <c r="D189" s="10" t="str" cm="1">
        <f t="array" ref="D189">_xlfn.XLOOKUP(Total[[#This Row],[Tecnología]]&amp;Total[[#This Row],[Metodo]],TbTipos[Tecnología]&amp;TbTipos[Metodo],TbTipos[Tipo])</f>
        <v>OMP Operaciones</v>
      </c>
      <c r="E189" s="9" t="str" cm="1">
        <f t="array" ref="E189">_xlfn.XLOOKUP(Total[[#This Row],[Tecnología]]&amp;Total[[#This Row],[Problema]],TbNombres[Tecnología]&amp;TbNombres[Problema],TbNombres[Nombre])</f>
        <v>Brusselator2d</v>
      </c>
      <c r="F189" s="9">
        <v>1</v>
      </c>
      <c r="G189" s="9">
        <v>4</v>
      </c>
      <c r="H189" s="9">
        <v>16</v>
      </c>
      <c r="I189" s="9">
        <v>100</v>
      </c>
      <c r="J189" s="9">
        <v>20000</v>
      </c>
      <c r="K189" s="9">
        <v>100.03700000000001</v>
      </c>
    </row>
    <row r="190" spans="2:11" x14ac:dyDescent="0.2">
      <c r="B190" s="5" t="str">
        <f>_xlfn.XLOOKUP(Total[[#This Row],[Metodo]],TbSolver[Metodo],TbSolver[Solver])</f>
        <v>RungeKutta</v>
      </c>
      <c r="C190" s="5" t="str">
        <f>_xlfn.XLOOKUP(Total[[#This Row],[Hebras]],TbTecnologia[Hebras],TbTecnologia[Tecnología])</f>
        <v>OMP</v>
      </c>
      <c r="D190" s="10" t="str" cm="1">
        <f t="array" ref="D190">_xlfn.XLOOKUP(Total[[#This Row],[Tecnología]]&amp;Total[[#This Row],[Metodo]],TbTipos[Tecnología]&amp;TbTipos[Metodo],TbTipos[Tipo])</f>
        <v>OMP Operaciones</v>
      </c>
      <c r="E190" s="9" t="str" cm="1">
        <f t="array" ref="E190">_xlfn.XLOOKUP(Total[[#This Row],[Tecnología]]&amp;Total[[#This Row],[Problema]],TbNombres[Tecnología]&amp;TbNombres[Problema],TbNombres[Nombre])</f>
        <v>Brusselator2d</v>
      </c>
      <c r="F190" s="9">
        <v>1</v>
      </c>
      <c r="G190" s="9">
        <v>4</v>
      </c>
      <c r="H190" s="9">
        <v>4</v>
      </c>
      <c r="I190" s="9">
        <v>100</v>
      </c>
      <c r="J190" s="9">
        <v>20000</v>
      </c>
      <c r="K190" s="9">
        <v>136.18899999999999</v>
      </c>
    </row>
    <row r="191" spans="2:11" x14ac:dyDescent="0.2">
      <c r="B191" s="5" t="str">
        <f>_xlfn.XLOOKUP(Total[[#This Row],[Metodo]],TbSolver[Metodo],TbSolver[Solver])</f>
        <v>RungeKutta</v>
      </c>
      <c r="C191" s="5" t="str">
        <f>_xlfn.XLOOKUP(Total[[#This Row],[Hebras]],TbTecnologia[Hebras],TbTecnologia[Tecnología])</f>
        <v>OMP</v>
      </c>
      <c r="D191" s="10" t="str" cm="1">
        <f t="array" ref="D191">_xlfn.XLOOKUP(Total[[#This Row],[Tecnología]]&amp;Total[[#This Row],[Metodo]],TbTipos[Tecnología]&amp;TbTipos[Metodo],TbTipos[Tipo])</f>
        <v>OMP Elementos</v>
      </c>
      <c r="E191" s="9" t="str" cm="1">
        <f t="array" ref="E191">_xlfn.XLOOKUP(Total[[#This Row],[Tecnología]]&amp;Total[[#This Row],[Problema]],TbNombres[Tecnología]&amp;TbNombres[Problema],TbNombres[Nombre])</f>
        <v>Brusselator2d</v>
      </c>
      <c r="F191" s="9">
        <v>2</v>
      </c>
      <c r="G191" s="9">
        <v>4</v>
      </c>
      <c r="H191" s="9">
        <v>4</v>
      </c>
      <c r="I191" s="9">
        <v>100</v>
      </c>
      <c r="J191" s="9">
        <v>20000</v>
      </c>
      <c r="K191" s="9">
        <v>284.08</v>
      </c>
    </row>
    <row r="192" spans="2:11" x14ac:dyDescent="0.2">
      <c r="B192" s="5" t="str">
        <f>_xlfn.XLOOKUP(Total[[#This Row],[Metodo]],TbSolver[Metodo],TbSolver[Solver])</f>
        <v>RungeKutta</v>
      </c>
      <c r="C192" s="5" t="str">
        <f>_xlfn.XLOOKUP(Total[[#This Row],[Hebras]],TbTecnologia[Hebras],TbTecnologia[Tecnología])</f>
        <v>OMP</v>
      </c>
      <c r="D192" s="10" t="str" cm="1">
        <f t="array" ref="D192">_xlfn.XLOOKUP(Total[[#This Row],[Tecnología]]&amp;Total[[#This Row],[Metodo]],TbTipos[Tecnología]&amp;TbTipos[Metodo],TbTipos[Tipo])</f>
        <v>OMP Operaciones</v>
      </c>
      <c r="E192" s="9" t="str" cm="1">
        <f t="array" ref="E192">_xlfn.XLOOKUP(Total[[#This Row],[Tecnología]]&amp;Total[[#This Row],[Problema]],TbNombres[Tecnología]&amp;TbNombres[Problema],TbNombres[Nombre])</f>
        <v>Brusselator2d</v>
      </c>
      <c r="F192" s="9">
        <v>1</v>
      </c>
      <c r="G192" s="9">
        <v>4</v>
      </c>
      <c r="H192" s="9">
        <v>1</v>
      </c>
      <c r="I192" s="9">
        <v>100</v>
      </c>
      <c r="J192" s="9">
        <v>20000</v>
      </c>
      <c r="K192" s="9">
        <v>410.04500000000002</v>
      </c>
    </row>
    <row r="193" spans="2:11" x14ac:dyDescent="0.2">
      <c r="B193" s="5" t="str">
        <f>_xlfn.XLOOKUP(Total[[#This Row],[Metodo]],TbSolver[Metodo],TbSolver[Solver])</f>
        <v>RungeKutta</v>
      </c>
      <c r="C193" s="5" t="str">
        <f>_xlfn.XLOOKUP(Total[[#This Row],[Hebras]],TbTecnologia[Hebras],TbTecnologia[Tecnología])</f>
        <v>OMP</v>
      </c>
      <c r="D193" s="10" t="str" cm="1">
        <f t="array" ref="D193">_xlfn.XLOOKUP(Total[[#This Row],[Tecnología]]&amp;Total[[#This Row],[Metodo]],TbTipos[Tecnología]&amp;TbTipos[Metodo],TbTipos[Tipo])</f>
        <v>OMP Elementos</v>
      </c>
      <c r="E193" s="9" t="str" cm="1">
        <f t="array" ref="E193">_xlfn.XLOOKUP(Total[[#This Row],[Tecnología]]&amp;Total[[#This Row],[Problema]],TbNombres[Tecnología]&amp;TbNombres[Problema],TbNombres[Nombre])</f>
        <v>Brusselator2d</v>
      </c>
      <c r="F193" s="9">
        <v>2</v>
      </c>
      <c r="G193" s="9">
        <v>4</v>
      </c>
      <c r="H193" s="9">
        <v>1</v>
      </c>
      <c r="I193" s="9">
        <v>100</v>
      </c>
      <c r="J193" s="9">
        <v>20000</v>
      </c>
      <c r="K193" s="9">
        <v>1071.46</v>
      </c>
    </row>
    <row r="194" spans="2:11" x14ac:dyDescent="0.2">
      <c r="B194" s="5" t="str">
        <f>_xlfn.XLOOKUP(Total[[#This Row],[Metodo]],TbSolver[Metodo],TbSolver[Solver])</f>
        <v>RungeKutta</v>
      </c>
      <c r="C194" s="5" t="str">
        <f>_xlfn.XLOOKUP(Total[[#This Row],[Hebras]],TbTecnologia[Hebras],TbTecnologia[Tecnología])</f>
        <v>OMP</v>
      </c>
      <c r="D194" s="10" t="str" cm="1">
        <f t="array" ref="D194">_xlfn.XLOOKUP(Total[[#This Row],[Tecnología]]&amp;Total[[#This Row],[Metodo]],TbTipos[Tecnología]&amp;TbTipos[Metodo],TbTipos[Tipo])</f>
        <v>OMP Operaciones</v>
      </c>
      <c r="E194" s="9" t="str" cm="1">
        <f t="array" ref="E194">_xlfn.XLOOKUP(Total[[#This Row],[Tecnología]]&amp;Total[[#This Row],[Problema]],TbNombres[Tecnología]&amp;TbNombres[Problema],TbNombres[Nombre])</f>
        <v>Brusselator2d</v>
      </c>
      <c r="F194" s="9">
        <v>1</v>
      </c>
      <c r="G194" s="9">
        <v>4</v>
      </c>
      <c r="H194" s="9">
        <v>16</v>
      </c>
      <c r="I194" s="9">
        <v>150</v>
      </c>
      <c r="J194" s="9">
        <v>45000</v>
      </c>
      <c r="K194" s="9">
        <v>140.703</v>
      </c>
    </row>
    <row r="195" spans="2:11" x14ac:dyDescent="0.2">
      <c r="B195" s="5" t="str">
        <f>_xlfn.XLOOKUP(Total[[#This Row],[Metodo]],TbSolver[Metodo],TbSolver[Solver])</f>
        <v>RungeKutta</v>
      </c>
      <c r="C195" s="5" t="str">
        <f>_xlfn.XLOOKUP(Total[[#This Row],[Hebras]],TbTecnologia[Hebras],TbTecnologia[Tecnología])</f>
        <v>OMP</v>
      </c>
      <c r="D195" s="10" t="str" cm="1">
        <f t="array" ref="D195">_xlfn.XLOOKUP(Total[[#This Row],[Tecnología]]&amp;Total[[#This Row],[Metodo]],TbTipos[Tecnología]&amp;TbTipos[Metodo],TbTipos[Tipo])</f>
        <v>OMP Elementos</v>
      </c>
      <c r="E195" s="9" t="str" cm="1">
        <f t="array" ref="E195">_xlfn.XLOOKUP(Total[[#This Row],[Tecnología]]&amp;Total[[#This Row],[Problema]],TbNombres[Tecnología]&amp;TbNombres[Problema],TbNombres[Nombre])</f>
        <v>Brusselator2d</v>
      </c>
      <c r="F195" s="9">
        <v>2</v>
      </c>
      <c r="G195" s="9">
        <v>4</v>
      </c>
      <c r="H195" s="9">
        <v>16</v>
      </c>
      <c r="I195" s="9">
        <v>150</v>
      </c>
      <c r="J195" s="9">
        <v>45000</v>
      </c>
      <c r="K195" s="9">
        <v>189.822</v>
      </c>
    </row>
    <row r="196" spans="2:11" x14ac:dyDescent="0.2">
      <c r="B196" s="5" t="str">
        <f>_xlfn.XLOOKUP(Total[[#This Row],[Metodo]],TbSolver[Metodo],TbSolver[Solver])</f>
        <v>RungeKutta</v>
      </c>
      <c r="C196" s="5" t="str">
        <f>_xlfn.XLOOKUP(Total[[#This Row],[Hebras]],TbTecnologia[Hebras],TbTecnologia[Tecnología])</f>
        <v>OMP</v>
      </c>
      <c r="D196" s="10" t="str" cm="1">
        <f t="array" ref="D196">_xlfn.XLOOKUP(Total[[#This Row],[Tecnología]]&amp;Total[[#This Row],[Metodo]],TbTipos[Tecnología]&amp;TbTipos[Metodo],TbTipos[Tipo])</f>
        <v>OMP Operaciones</v>
      </c>
      <c r="E196" s="9" t="str" cm="1">
        <f t="array" ref="E196">_xlfn.XLOOKUP(Total[[#This Row],[Tecnología]]&amp;Total[[#This Row],[Problema]],TbNombres[Tecnología]&amp;TbNombres[Problema],TbNombres[Nombre])</f>
        <v>Brusselator2d</v>
      </c>
      <c r="F196" s="9">
        <v>1</v>
      </c>
      <c r="G196" s="9">
        <v>4</v>
      </c>
      <c r="H196" s="9">
        <v>4</v>
      </c>
      <c r="I196" s="9">
        <v>150</v>
      </c>
      <c r="J196" s="9">
        <v>45000</v>
      </c>
      <c r="K196" s="9">
        <v>270.86099999999999</v>
      </c>
    </row>
    <row r="197" spans="2:11" x14ac:dyDescent="0.2">
      <c r="B197" s="5" t="str">
        <f>_xlfn.XLOOKUP(Total[[#This Row],[Metodo]],TbSolver[Metodo],TbSolver[Solver])</f>
        <v>RungeKutta</v>
      </c>
      <c r="C197" s="5" t="str">
        <f>_xlfn.XLOOKUP(Total[[#This Row],[Hebras]],TbTecnologia[Hebras],TbTecnologia[Tecnología])</f>
        <v>OMP</v>
      </c>
      <c r="D197" s="10" t="str" cm="1">
        <f t="array" ref="D197">_xlfn.XLOOKUP(Total[[#This Row],[Tecnología]]&amp;Total[[#This Row],[Metodo]],TbTipos[Tecnología]&amp;TbTipos[Metodo],TbTipos[Tipo])</f>
        <v>OMP Elementos</v>
      </c>
      <c r="E197" s="9" t="str" cm="1">
        <f t="array" ref="E197">_xlfn.XLOOKUP(Total[[#This Row],[Tecnología]]&amp;Total[[#This Row],[Problema]],TbNombres[Tecnología]&amp;TbNombres[Problema],TbNombres[Nombre])</f>
        <v>Brusselator2d</v>
      </c>
      <c r="F197" s="9">
        <v>2</v>
      </c>
      <c r="G197" s="9">
        <v>4</v>
      </c>
      <c r="H197" s="9">
        <v>4</v>
      </c>
      <c r="I197" s="9">
        <v>150</v>
      </c>
      <c r="J197" s="9">
        <v>45000</v>
      </c>
      <c r="K197" s="9">
        <v>646.80999999999995</v>
      </c>
    </row>
    <row r="198" spans="2:11" x14ac:dyDescent="0.2">
      <c r="B198" s="5" t="str">
        <f>_xlfn.XLOOKUP(Total[[#This Row],[Metodo]],TbSolver[Metodo],TbSolver[Solver])</f>
        <v>RungeKutta</v>
      </c>
      <c r="C198" s="5" t="str">
        <f>_xlfn.XLOOKUP(Total[[#This Row],[Hebras]],TbTecnologia[Hebras],TbTecnologia[Tecnología])</f>
        <v>OMP</v>
      </c>
      <c r="D198" s="10" t="str" cm="1">
        <f t="array" ref="D198">_xlfn.XLOOKUP(Total[[#This Row],[Tecnología]]&amp;Total[[#This Row],[Metodo]],TbTipos[Tecnología]&amp;TbTipos[Metodo],TbTipos[Tipo])</f>
        <v>OMP Operaciones</v>
      </c>
      <c r="E198" s="9" t="str" cm="1">
        <f t="array" ref="E198">_xlfn.XLOOKUP(Total[[#This Row],[Tecnología]]&amp;Total[[#This Row],[Problema]],TbNombres[Tecnología]&amp;TbNombres[Problema],TbNombres[Nombre])</f>
        <v>Brusselator2d</v>
      </c>
      <c r="F198" s="9">
        <v>1</v>
      </c>
      <c r="G198" s="9">
        <v>4</v>
      </c>
      <c r="H198" s="9">
        <v>1</v>
      </c>
      <c r="I198" s="9">
        <v>150</v>
      </c>
      <c r="J198" s="9">
        <v>45000</v>
      </c>
      <c r="K198" s="9">
        <v>963.83900000000006</v>
      </c>
    </row>
    <row r="199" spans="2:11" x14ac:dyDescent="0.2">
      <c r="B199" s="5" t="str">
        <f>_xlfn.XLOOKUP(Total[[#This Row],[Metodo]],TbSolver[Metodo],TbSolver[Solver])</f>
        <v>RungeKutta</v>
      </c>
      <c r="C199" s="5" t="str">
        <f>_xlfn.XLOOKUP(Total[[#This Row],[Hebras]],TbTecnologia[Hebras],TbTecnologia[Tecnología])</f>
        <v>OMP</v>
      </c>
      <c r="D199" s="10" t="str" cm="1">
        <f t="array" ref="D199">_xlfn.XLOOKUP(Total[[#This Row],[Tecnología]]&amp;Total[[#This Row],[Metodo]],TbTipos[Tecnología]&amp;TbTipos[Metodo],TbTipos[Tipo])</f>
        <v>OMP Elementos</v>
      </c>
      <c r="E199" s="9" t="str" cm="1">
        <f t="array" ref="E199">_xlfn.XLOOKUP(Total[[#This Row],[Tecnología]]&amp;Total[[#This Row],[Problema]],TbNombres[Tecnología]&amp;TbNombres[Problema],TbNombres[Nombre])</f>
        <v>Brusselator2d</v>
      </c>
      <c r="F199" s="9">
        <v>2</v>
      </c>
      <c r="G199" s="9">
        <v>4</v>
      </c>
      <c r="H199" s="9">
        <v>1</v>
      </c>
      <c r="I199" s="9">
        <v>150</v>
      </c>
      <c r="J199" s="9">
        <v>45000</v>
      </c>
      <c r="K199" s="9">
        <v>2420.3200000000002</v>
      </c>
    </row>
    <row r="200" spans="2:11" x14ac:dyDescent="0.2">
      <c r="B200" s="5" t="str">
        <f>_xlfn.XLOOKUP(Total[[#This Row],[Metodo]],TbSolver[Metodo],TbSolver[Solver])</f>
        <v>RungeKutta</v>
      </c>
      <c r="C200" s="5" t="str">
        <f>_xlfn.XLOOKUP(Total[[#This Row],[Hebras]],TbTecnologia[Hebras],TbTecnologia[Tecnología])</f>
        <v>CUDA</v>
      </c>
      <c r="D200" s="2" t="str" cm="1">
        <f t="array" ref="D200">_xlfn.XLOOKUP(Total[[#This Row],[Tecnología]]&amp;Total[[#This Row],[Metodo]],TbTipos[Tecnología]&amp;TbTipos[Metodo],TbTipos[Tipo])</f>
        <v>CUDA con graph</v>
      </c>
      <c r="E200" s="2" t="str" cm="1">
        <f t="array" ref="E200">_xlfn.XLOOKUP(Total[[#This Row],[Tecnología]]&amp;Total[[#This Row],[Problema]],TbNombres[Tecnología]&amp;TbNombres[Problema],TbNombres[Nombre])</f>
        <v>Brusselator2d</v>
      </c>
      <c r="F200" s="2">
        <v>2</v>
      </c>
      <c r="G200" s="2">
        <v>8</v>
      </c>
      <c r="H200" s="2">
        <v>256</v>
      </c>
      <c r="I200" s="2">
        <v>200</v>
      </c>
      <c r="J200" s="2">
        <v>80000</v>
      </c>
      <c r="K200" s="2">
        <v>48.7956</v>
      </c>
    </row>
    <row r="201" spans="2:11" x14ac:dyDescent="0.2">
      <c r="B201" s="5" t="str">
        <f>_xlfn.XLOOKUP(Total[[#This Row],[Metodo]],TbSolver[Metodo],TbSolver[Solver])</f>
        <v>RungeKutta</v>
      </c>
      <c r="C201" s="5" t="str">
        <f>_xlfn.XLOOKUP(Total[[#This Row],[Hebras]],TbTecnologia[Hebras],TbTecnologia[Tecnología])</f>
        <v>CUDA</v>
      </c>
      <c r="D201" s="2" t="str" cm="1">
        <f t="array" ref="D201">_xlfn.XLOOKUP(Total[[#This Row],[Tecnología]]&amp;Total[[#This Row],[Metodo]],TbTipos[Tecnología]&amp;TbTipos[Metodo],TbTipos[Tipo])</f>
        <v>CUDA con graph</v>
      </c>
      <c r="E201" s="2" t="str" cm="1">
        <f t="array" ref="E201">_xlfn.XLOOKUP(Total[[#This Row],[Tecnología]]&amp;Total[[#This Row],[Problema]],TbNombres[Tecnología]&amp;TbNombres[Problema],TbNombres[Nombre])</f>
        <v>Brusselator2d</v>
      </c>
      <c r="F201" s="2">
        <v>2</v>
      </c>
      <c r="G201" s="2">
        <v>9</v>
      </c>
      <c r="H201" s="2">
        <v>256</v>
      </c>
      <c r="I201" s="2">
        <v>200</v>
      </c>
      <c r="J201" s="2">
        <v>80000</v>
      </c>
      <c r="K201" s="2">
        <v>49.072600000000001</v>
      </c>
    </row>
    <row r="202" spans="2:11" x14ac:dyDescent="0.2">
      <c r="B202" s="5" t="str">
        <f>_xlfn.XLOOKUP(Total[[#This Row],[Metodo]],TbSolver[Metodo],TbSolver[Solver])</f>
        <v>RungeKutta</v>
      </c>
      <c r="C202" s="5" t="str">
        <f>_xlfn.XLOOKUP(Total[[#This Row],[Hebras]],TbTecnologia[Hebras],TbTecnologia[Tecnología])</f>
        <v>CUDA</v>
      </c>
      <c r="D202" s="2" t="str" cm="1">
        <f t="array" ref="D202">_xlfn.XLOOKUP(Total[[#This Row],[Tecnología]]&amp;Total[[#This Row],[Metodo]],TbTipos[Tecnología]&amp;TbTipos[Metodo],TbTipos[Tipo])</f>
        <v>CUDA sin graph</v>
      </c>
      <c r="E202" s="2" t="str" cm="1">
        <f t="array" ref="E202">_xlfn.XLOOKUP(Total[[#This Row],[Tecnología]]&amp;Total[[#This Row],[Problema]],TbNombres[Tecnología]&amp;TbNombres[Problema],TbNombres[Nombre])</f>
        <v>Brusselator2d</v>
      </c>
      <c r="F202" s="2">
        <v>1</v>
      </c>
      <c r="G202" s="2">
        <v>9</v>
      </c>
      <c r="H202" s="2">
        <v>256</v>
      </c>
      <c r="I202" s="2">
        <v>200</v>
      </c>
      <c r="J202" s="2">
        <v>80000</v>
      </c>
      <c r="K202" s="2">
        <v>50.024799999999999</v>
      </c>
    </row>
    <row r="203" spans="2:11" x14ac:dyDescent="0.2">
      <c r="B203" s="5" t="str">
        <f>_xlfn.XLOOKUP(Total[[#This Row],[Metodo]],TbSolver[Metodo],TbSolver[Solver])</f>
        <v>RungeKutta</v>
      </c>
      <c r="C203" s="5" t="str">
        <f>_xlfn.XLOOKUP(Total[[#This Row],[Hebras]],TbTecnologia[Hebras],TbTecnologia[Tecnología])</f>
        <v>CUDA</v>
      </c>
      <c r="D203" s="2" t="str" cm="1">
        <f t="array" ref="D203">_xlfn.XLOOKUP(Total[[#This Row],[Tecnología]]&amp;Total[[#This Row],[Metodo]],TbTipos[Tecnología]&amp;TbTipos[Metodo],TbTipos[Tipo])</f>
        <v>CUDA sin graph</v>
      </c>
      <c r="E203" s="2" t="str" cm="1">
        <f t="array" ref="E203">_xlfn.XLOOKUP(Total[[#This Row],[Tecnología]]&amp;Total[[#This Row],[Problema]],TbNombres[Tecnología]&amp;TbNombres[Problema],TbNombres[Nombre])</f>
        <v>Brusselator2d</v>
      </c>
      <c r="F203" s="2">
        <v>1</v>
      </c>
      <c r="G203" s="2">
        <v>8</v>
      </c>
      <c r="H203" s="2">
        <v>256</v>
      </c>
      <c r="I203" s="2">
        <v>200</v>
      </c>
      <c r="J203" s="2">
        <v>80000</v>
      </c>
      <c r="K203" s="2">
        <v>50.073500000000003</v>
      </c>
    </row>
    <row r="204" spans="2:11" x14ac:dyDescent="0.2">
      <c r="B204" s="5" t="str">
        <f>_xlfn.XLOOKUP(Total[[#This Row],[Metodo]],TbSolver[Metodo],TbSolver[Solver])</f>
        <v>RungeKutta</v>
      </c>
      <c r="C204" s="5" t="str">
        <f>_xlfn.XLOOKUP(Total[[#This Row],[Hebras]],TbTecnologia[Hebras],TbTecnologia[Tecnología])</f>
        <v>OMP</v>
      </c>
      <c r="D204" s="10" t="str" cm="1">
        <f t="array" ref="D204">_xlfn.XLOOKUP(Total[[#This Row],[Tecnología]]&amp;Total[[#This Row],[Metodo]],TbTipos[Tecnología]&amp;TbTipos[Metodo],TbTipos[Tipo])</f>
        <v>OMP Operaciones</v>
      </c>
      <c r="E204" s="9" t="str" cm="1">
        <f t="array" ref="E204">_xlfn.XLOOKUP(Total[[#This Row],[Tecnología]]&amp;Total[[#This Row],[Problema]],TbNombres[Tecnología]&amp;TbNombres[Problema],TbNombres[Nombre])</f>
        <v>Brusselator2d</v>
      </c>
      <c r="F204" s="9">
        <v>1</v>
      </c>
      <c r="G204" s="9">
        <v>4</v>
      </c>
      <c r="H204" s="9">
        <v>16</v>
      </c>
      <c r="I204" s="9">
        <v>200</v>
      </c>
      <c r="J204" s="9">
        <v>80000</v>
      </c>
      <c r="K204" s="9">
        <v>185.49299999999999</v>
      </c>
    </row>
    <row r="205" spans="2:11" x14ac:dyDescent="0.2">
      <c r="B205" s="5" t="str">
        <f>_xlfn.XLOOKUP(Total[[#This Row],[Metodo]],TbSolver[Metodo],TbSolver[Solver])</f>
        <v>RungeKutta</v>
      </c>
      <c r="C205" s="5" t="str">
        <f>_xlfn.XLOOKUP(Total[[#This Row],[Hebras]],TbTecnologia[Hebras],TbTecnologia[Tecnología])</f>
        <v>OMP</v>
      </c>
      <c r="D205" s="10" t="str" cm="1">
        <f t="array" ref="D205">_xlfn.XLOOKUP(Total[[#This Row],[Tecnología]]&amp;Total[[#This Row],[Metodo]],TbTipos[Tecnología]&amp;TbTipos[Metodo],TbTipos[Tipo])</f>
        <v>OMP Elementos</v>
      </c>
      <c r="E205" s="9" t="str" cm="1">
        <f t="array" ref="E205">_xlfn.XLOOKUP(Total[[#This Row],[Tecnología]]&amp;Total[[#This Row],[Problema]],TbNombres[Tecnología]&amp;TbNombres[Problema],TbNombres[Nombre])</f>
        <v>Brusselator2d</v>
      </c>
      <c r="F205" s="9">
        <v>2</v>
      </c>
      <c r="G205" s="9">
        <v>4</v>
      </c>
      <c r="H205" s="9">
        <v>16</v>
      </c>
      <c r="I205" s="9">
        <v>200</v>
      </c>
      <c r="J205" s="9">
        <v>80000</v>
      </c>
      <c r="K205" s="9">
        <v>337.33600000000001</v>
      </c>
    </row>
    <row r="206" spans="2:11" x14ac:dyDescent="0.2">
      <c r="B206" s="5" t="str">
        <f>_xlfn.XLOOKUP(Total[[#This Row],[Metodo]],TbSolver[Metodo],TbSolver[Solver])</f>
        <v>RungeKutta</v>
      </c>
      <c r="C206" s="5" t="str">
        <f>_xlfn.XLOOKUP(Total[[#This Row],[Hebras]],TbTecnologia[Hebras],TbTecnologia[Tecnología])</f>
        <v>OMP</v>
      </c>
      <c r="D206" s="10" t="str" cm="1">
        <f t="array" ref="D206">_xlfn.XLOOKUP(Total[[#This Row],[Tecnología]]&amp;Total[[#This Row],[Metodo]],TbTipos[Tecnología]&amp;TbTipos[Metodo],TbTipos[Tipo])</f>
        <v>OMP Operaciones</v>
      </c>
      <c r="E206" s="9" t="str" cm="1">
        <f t="array" ref="E206">_xlfn.XLOOKUP(Total[[#This Row],[Tecnología]]&amp;Total[[#This Row],[Problema]],TbNombres[Tecnología]&amp;TbNombres[Problema],TbNombres[Nombre])</f>
        <v>Brusselator2d</v>
      </c>
      <c r="F206" s="9">
        <v>1</v>
      </c>
      <c r="G206" s="9">
        <v>4</v>
      </c>
      <c r="H206" s="9">
        <v>4</v>
      </c>
      <c r="I206" s="9">
        <v>200</v>
      </c>
      <c r="J206" s="9">
        <v>80000</v>
      </c>
      <c r="K206" s="9">
        <v>468.233</v>
      </c>
    </row>
    <row r="207" spans="2:11" x14ac:dyDescent="0.2">
      <c r="B207" s="5" t="str">
        <f>_xlfn.XLOOKUP(Total[[#This Row],[Metodo]],TbSolver[Metodo],TbSolver[Solver])</f>
        <v>RungeKutta</v>
      </c>
      <c r="C207" s="5" t="str">
        <f>_xlfn.XLOOKUP(Total[[#This Row],[Hebras]],TbTecnologia[Hebras],TbTecnologia[Tecnología])</f>
        <v>OMP</v>
      </c>
      <c r="D207" s="10" t="str" cm="1">
        <f t="array" ref="D207">_xlfn.XLOOKUP(Total[[#This Row],[Tecnología]]&amp;Total[[#This Row],[Metodo]],TbTipos[Tecnología]&amp;TbTipos[Metodo],TbTipos[Tipo])</f>
        <v>OMP Elementos</v>
      </c>
      <c r="E207" s="9" t="str" cm="1">
        <f t="array" ref="E207">_xlfn.XLOOKUP(Total[[#This Row],[Tecnología]]&amp;Total[[#This Row],[Problema]],TbNombres[Tecnología]&amp;TbNombres[Problema],TbNombres[Nombre])</f>
        <v>Brusselator2d</v>
      </c>
      <c r="F207" s="9">
        <v>2</v>
      </c>
      <c r="G207" s="9">
        <v>4</v>
      </c>
      <c r="H207" s="9">
        <v>4</v>
      </c>
      <c r="I207" s="9">
        <v>200</v>
      </c>
      <c r="J207" s="9">
        <v>80000</v>
      </c>
      <c r="K207" s="9">
        <v>1145.17</v>
      </c>
    </row>
    <row r="208" spans="2:11" x14ac:dyDescent="0.2">
      <c r="B208" s="5" t="str">
        <f>_xlfn.XLOOKUP(Total[[#This Row],[Metodo]],TbSolver[Metodo],TbSolver[Solver])</f>
        <v>RungeKutta</v>
      </c>
      <c r="C208" s="5" t="str">
        <f>_xlfn.XLOOKUP(Total[[#This Row],[Hebras]],TbTecnologia[Hebras],TbTecnologia[Tecnología])</f>
        <v>OMP</v>
      </c>
      <c r="D208" s="10" t="str" cm="1">
        <f t="array" ref="D208">_xlfn.XLOOKUP(Total[[#This Row],[Tecnología]]&amp;Total[[#This Row],[Metodo]],TbTipos[Tecnología]&amp;TbTipos[Metodo],TbTipos[Tipo])</f>
        <v>OMP Operaciones</v>
      </c>
      <c r="E208" s="9" t="str" cm="1">
        <f t="array" ref="E208">_xlfn.XLOOKUP(Total[[#This Row],[Tecnología]]&amp;Total[[#This Row],[Problema]],TbNombres[Tecnología]&amp;TbNombres[Problema],TbNombres[Nombre])</f>
        <v>Brusselator2d</v>
      </c>
      <c r="F208" s="9">
        <v>1</v>
      </c>
      <c r="G208" s="9">
        <v>4</v>
      </c>
      <c r="H208" s="9">
        <v>1</v>
      </c>
      <c r="I208" s="9">
        <v>200</v>
      </c>
      <c r="J208" s="9">
        <v>80000</v>
      </c>
      <c r="K208" s="9">
        <v>1786.83</v>
      </c>
    </row>
    <row r="209" spans="2:11" x14ac:dyDescent="0.2">
      <c r="B209" s="5" t="str">
        <f>_xlfn.XLOOKUP(Total[[#This Row],[Metodo]],TbSolver[Metodo],TbSolver[Solver])</f>
        <v>RungeKutta</v>
      </c>
      <c r="C209" s="5" t="str">
        <f>_xlfn.XLOOKUP(Total[[#This Row],[Hebras]],TbTecnologia[Hebras],TbTecnologia[Tecnología])</f>
        <v>OMP</v>
      </c>
      <c r="D209" s="10" t="str" cm="1">
        <f t="array" ref="D209">_xlfn.XLOOKUP(Total[[#This Row],[Tecnología]]&amp;Total[[#This Row],[Metodo]],TbTipos[Tecnología]&amp;TbTipos[Metodo],TbTipos[Tipo])</f>
        <v>OMP Elementos</v>
      </c>
      <c r="E209" s="9" t="str" cm="1">
        <f t="array" ref="E209">_xlfn.XLOOKUP(Total[[#This Row],[Tecnología]]&amp;Total[[#This Row],[Problema]],TbNombres[Tecnología]&amp;TbNombres[Problema],TbNombres[Nombre])</f>
        <v>Brusselator2d</v>
      </c>
      <c r="F209" s="9">
        <v>2</v>
      </c>
      <c r="G209" s="9">
        <v>4</v>
      </c>
      <c r="H209" s="9">
        <v>1</v>
      </c>
      <c r="I209" s="9">
        <v>200</v>
      </c>
      <c r="J209" s="9">
        <v>80000</v>
      </c>
      <c r="K209" s="9">
        <v>4281.99</v>
      </c>
    </row>
    <row r="210" spans="2:11" x14ac:dyDescent="0.2">
      <c r="B210" s="5" t="str">
        <f>_xlfn.XLOOKUP(Total[[#This Row],[Metodo]],TbSolver[Metodo],TbSolver[Solver])</f>
        <v>RungeKutta</v>
      </c>
      <c r="C210" s="5" t="str">
        <f>_xlfn.XLOOKUP(Total[[#This Row],[Hebras]],TbTecnologia[Hebras],TbTecnologia[Tecnología])</f>
        <v>CUDA</v>
      </c>
      <c r="D210" s="2" t="str" cm="1">
        <f t="array" ref="D210">_xlfn.XLOOKUP(Total[[#This Row],[Tecnología]]&amp;Total[[#This Row],[Metodo]],TbTipos[Tecnología]&amp;TbTipos[Metodo],TbTipos[Tipo])</f>
        <v>CUDA sin graph</v>
      </c>
      <c r="E210" s="2" t="str" cm="1">
        <f t="array" ref="E210">_xlfn.XLOOKUP(Total[[#This Row],[Tecnología]]&amp;Total[[#This Row],[Problema]],TbNombres[Tecnología]&amp;TbNombres[Problema],TbNombres[Nombre])</f>
        <v>Brusselator2d</v>
      </c>
      <c r="F210" s="2">
        <v>1</v>
      </c>
      <c r="G210" s="2">
        <v>8</v>
      </c>
      <c r="H210" s="2">
        <v>256</v>
      </c>
      <c r="I210" s="2">
        <v>500</v>
      </c>
      <c r="J210" s="2">
        <v>500000</v>
      </c>
      <c r="K210" s="2">
        <v>319.90699999999998</v>
      </c>
    </row>
    <row r="211" spans="2:11" x14ac:dyDescent="0.2">
      <c r="B211" s="5" t="str">
        <f>_xlfn.XLOOKUP(Total[[#This Row],[Metodo]],TbSolver[Metodo],TbSolver[Solver])</f>
        <v>RungeKutta</v>
      </c>
      <c r="C211" s="5" t="str">
        <f>_xlfn.XLOOKUP(Total[[#This Row],[Hebras]],TbTecnologia[Hebras],TbTecnologia[Tecnología])</f>
        <v>CUDA</v>
      </c>
      <c r="D211" s="2" t="str" cm="1">
        <f t="array" ref="D211">_xlfn.XLOOKUP(Total[[#This Row],[Tecnología]]&amp;Total[[#This Row],[Metodo]],TbTipos[Tecnología]&amp;TbTipos[Metodo],TbTipos[Tipo])</f>
        <v>CUDA sin graph</v>
      </c>
      <c r="E211" s="2" t="str" cm="1">
        <f t="array" ref="E211">_xlfn.XLOOKUP(Total[[#This Row],[Tecnología]]&amp;Total[[#This Row],[Problema]],TbNombres[Tecnología]&amp;TbNombres[Problema],TbNombres[Nombre])</f>
        <v>Brusselator2d</v>
      </c>
      <c r="F211" s="2">
        <v>1</v>
      </c>
      <c r="G211" s="2">
        <v>9</v>
      </c>
      <c r="H211" s="2">
        <v>256</v>
      </c>
      <c r="I211" s="2">
        <v>500</v>
      </c>
      <c r="J211" s="2">
        <v>500000</v>
      </c>
      <c r="K211" s="2">
        <v>320.22000000000003</v>
      </c>
    </row>
    <row r="212" spans="2:11" x14ac:dyDescent="0.2">
      <c r="B212" s="5" t="str">
        <f>_xlfn.XLOOKUP(Total[[#This Row],[Metodo]],TbSolver[Metodo],TbSolver[Solver])</f>
        <v>RungeKutta</v>
      </c>
      <c r="C212" s="5" t="str">
        <f>_xlfn.XLOOKUP(Total[[#This Row],[Hebras]],TbTecnologia[Hebras],TbTecnologia[Tecnología])</f>
        <v>CUDA</v>
      </c>
      <c r="D212" s="2" t="str" cm="1">
        <f t="array" ref="D212">_xlfn.XLOOKUP(Total[[#This Row],[Tecnología]]&amp;Total[[#This Row],[Metodo]],TbTipos[Tecnología]&amp;TbTipos[Metodo],TbTipos[Tipo])</f>
        <v>CUDA con graph</v>
      </c>
      <c r="E212" s="2" t="str" cm="1">
        <f t="array" ref="E212">_xlfn.XLOOKUP(Total[[#This Row],[Tecnología]]&amp;Total[[#This Row],[Problema]],TbNombres[Tecnología]&amp;TbNombres[Problema],TbNombres[Nombre])</f>
        <v>Brusselator2d</v>
      </c>
      <c r="F212" s="2">
        <v>2</v>
      </c>
      <c r="G212" s="2">
        <v>8</v>
      </c>
      <c r="H212" s="2">
        <v>256</v>
      </c>
      <c r="I212" s="2">
        <v>500</v>
      </c>
      <c r="J212" s="2">
        <v>500000</v>
      </c>
      <c r="K212" s="2">
        <v>323.428</v>
      </c>
    </row>
    <row r="213" spans="2:11" x14ac:dyDescent="0.2">
      <c r="B213" s="5" t="str">
        <f>_xlfn.XLOOKUP(Total[[#This Row],[Metodo]],TbSolver[Metodo],TbSolver[Solver])</f>
        <v>RungeKutta</v>
      </c>
      <c r="C213" s="5" t="str">
        <f>_xlfn.XLOOKUP(Total[[#This Row],[Hebras]],TbTecnologia[Hebras],TbTecnologia[Tecnología])</f>
        <v>CUDA</v>
      </c>
      <c r="D213" s="2" t="str" cm="1">
        <f t="array" ref="D213">_xlfn.XLOOKUP(Total[[#This Row],[Tecnología]]&amp;Total[[#This Row],[Metodo]],TbTipos[Tecnología]&amp;TbTipos[Metodo],TbTipos[Tipo])</f>
        <v>CUDA con graph</v>
      </c>
      <c r="E213" s="2" t="str" cm="1">
        <f t="array" ref="E213">_xlfn.XLOOKUP(Total[[#This Row],[Tecnología]]&amp;Total[[#This Row],[Problema]],TbNombres[Tecnología]&amp;TbNombres[Problema],TbNombres[Nombre])</f>
        <v>Brusselator2d</v>
      </c>
      <c r="F213" s="2">
        <v>2</v>
      </c>
      <c r="G213" s="2">
        <v>9</v>
      </c>
      <c r="H213" s="2">
        <v>256</v>
      </c>
      <c r="I213" s="2">
        <v>500</v>
      </c>
      <c r="J213" s="2">
        <v>500000</v>
      </c>
      <c r="K213" s="2">
        <v>325.197</v>
      </c>
    </row>
    <row r="214" spans="2:11" x14ac:dyDescent="0.2">
      <c r="B214" s="5" t="str">
        <f>_xlfn.XLOOKUP(Total[[#This Row],[Metodo]],TbSolver[Metodo],TbSolver[Solver])</f>
        <v>AdamsBashford</v>
      </c>
      <c r="C214" s="5" t="str">
        <f>_xlfn.XLOOKUP(Total[[#This Row],[Hebras]],TbTecnologia[Hebras],TbTecnologia[Tecnología])</f>
        <v>CUDA</v>
      </c>
      <c r="D214" s="1" t="str" cm="1">
        <f t="array" ref="D214">_xlfn.XLOOKUP(Total[[#This Row],[Tecnología]]&amp;Total[[#This Row],[Metodo]],TbTipos[Tecnología]&amp;TbTipos[Metodo],TbTipos[Tipo])</f>
        <v>CUDA sin graph</v>
      </c>
      <c r="E214" s="1" t="str" cm="1">
        <f t="array" ref="E214">_xlfn.XLOOKUP(Total[[#This Row],[Tecnología]]&amp;Total[[#This Row],[Problema]],TbNombres[Tecnología]&amp;TbNombres[Problema],TbNombres[Nombre])</f>
        <v>Simple Advdiff</v>
      </c>
      <c r="F214" s="1">
        <v>3</v>
      </c>
      <c r="G214" s="1">
        <v>1</v>
      </c>
      <c r="H214" s="1">
        <v>256</v>
      </c>
      <c r="I214" s="1">
        <v>100</v>
      </c>
      <c r="J214" s="1">
        <v>100</v>
      </c>
      <c r="K214" s="1">
        <v>3.70452</v>
      </c>
    </row>
    <row r="215" spans="2:11" x14ac:dyDescent="0.2">
      <c r="B215" s="5" t="str">
        <f>_xlfn.XLOOKUP(Total[[#This Row],[Metodo]],TbSolver[Metodo],TbSolver[Solver])</f>
        <v>AdamsBashford</v>
      </c>
      <c r="C215" s="5" t="str">
        <f>_xlfn.XLOOKUP(Total[[#This Row],[Hebras]],TbTecnologia[Hebras],TbTecnologia[Tecnología])</f>
        <v>CUDA</v>
      </c>
      <c r="D215" s="1" t="str" cm="1">
        <f t="array" ref="D215">_xlfn.XLOOKUP(Total[[#This Row],[Tecnología]]&amp;Total[[#This Row],[Metodo]],TbTipos[Tecnología]&amp;TbTipos[Metodo],TbTipos[Tipo])</f>
        <v>CUDA sin graph</v>
      </c>
      <c r="E215" s="1" t="str" cm="1">
        <f t="array" ref="E215">_xlfn.XLOOKUP(Total[[#This Row],[Tecnología]]&amp;Total[[#This Row],[Problema]],TbNombres[Tecnología]&amp;TbNombres[Problema],TbNombres[Nombre])</f>
        <v>Simple Advdiff</v>
      </c>
      <c r="F215" s="1">
        <v>3</v>
      </c>
      <c r="G215" s="1">
        <v>2</v>
      </c>
      <c r="H215" s="1">
        <v>256</v>
      </c>
      <c r="I215" s="1">
        <v>100</v>
      </c>
      <c r="J215" s="1">
        <v>100</v>
      </c>
      <c r="K215" s="1">
        <v>3.7521300000000002</v>
      </c>
    </row>
    <row r="216" spans="2:11" x14ac:dyDescent="0.2">
      <c r="B216" s="5" t="str">
        <f>_xlfn.XLOOKUP(Total[[#This Row],[Metodo]],TbSolver[Metodo],TbSolver[Solver])</f>
        <v>AdamsBashford</v>
      </c>
      <c r="C216" s="5" t="str">
        <f>_xlfn.XLOOKUP(Total[[#This Row],[Hebras]],TbTecnologia[Hebras],TbTecnologia[Tecnología])</f>
        <v>CUDA</v>
      </c>
      <c r="D216" s="1" t="str" cm="1">
        <f t="array" ref="D216">_xlfn.XLOOKUP(Total[[#This Row],[Tecnología]]&amp;Total[[#This Row],[Metodo]],TbTipos[Tecnología]&amp;TbTipos[Metodo],TbTipos[Tipo])</f>
        <v>CUDA sin graph</v>
      </c>
      <c r="E216" s="1" t="str" cm="1">
        <f t="array" ref="E216">_xlfn.XLOOKUP(Total[[#This Row],[Tecnología]]&amp;Total[[#This Row],[Problema]],TbNombres[Tecnología]&amp;TbNombres[Problema],TbNombres[Nombre])</f>
        <v>Simple Advdiff</v>
      </c>
      <c r="F216" s="1">
        <v>3</v>
      </c>
      <c r="G216" s="1">
        <v>2</v>
      </c>
      <c r="H216" s="1">
        <v>256</v>
      </c>
      <c r="I216" s="1">
        <v>200</v>
      </c>
      <c r="J216" s="1">
        <v>200</v>
      </c>
      <c r="K216" s="1">
        <v>4.0783500000000004</v>
      </c>
    </row>
    <row r="217" spans="2:11" x14ac:dyDescent="0.2">
      <c r="B217" s="5" t="str">
        <f>_xlfn.XLOOKUP(Total[[#This Row],[Metodo]],TbSolver[Metodo],TbSolver[Solver])</f>
        <v>AdamsBashford</v>
      </c>
      <c r="C217" s="5" t="str">
        <f>_xlfn.XLOOKUP(Total[[#This Row],[Hebras]],TbTecnologia[Hebras],TbTecnologia[Tecnología])</f>
        <v>CUDA</v>
      </c>
      <c r="D217" s="1" t="str" cm="1">
        <f t="array" ref="D217">_xlfn.XLOOKUP(Total[[#This Row],[Tecnología]]&amp;Total[[#This Row],[Metodo]],TbTipos[Tecnología]&amp;TbTipos[Metodo],TbTipos[Tipo])</f>
        <v>CUDA sin graph</v>
      </c>
      <c r="E217" s="1" t="str" cm="1">
        <f t="array" ref="E217">_xlfn.XLOOKUP(Total[[#This Row],[Tecnología]]&amp;Total[[#This Row],[Problema]],TbNombres[Tecnología]&amp;TbNombres[Problema],TbNombres[Nombre])</f>
        <v>Simple Advdiff</v>
      </c>
      <c r="F217" s="1">
        <v>3</v>
      </c>
      <c r="G217" s="1">
        <v>1</v>
      </c>
      <c r="H217" s="1">
        <v>256</v>
      </c>
      <c r="I217" s="1">
        <v>1000</v>
      </c>
      <c r="J217" s="1">
        <v>1000</v>
      </c>
      <c r="K217" s="1">
        <v>4.1874200000000004</v>
      </c>
    </row>
    <row r="218" spans="2:11" x14ac:dyDescent="0.2">
      <c r="B218" s="5" t="str">
        <f>_xlfn.XLOOKUP(Total[[#This Row],[Metodo]],TbSolver[Metodo],TbSolver[Solver])</f>
        <v>AdamsBashford</v>
      </c>
      <c r="C218" s="5" t="str">
        <f>_xlfn.XLOOKUP(Total[[#This Row],[Hebras]],TbTecnologia[Hebras],TbTecnologia[Tecnología])</f>
        <v>CUDA</v>
      </c>
      <c r="D218" s="1" t="str" cm="1">
        <f t="array" ref="D218">_xlfn.XLOOKUP(Total[[#This Row],[Tecnología]]&amp;Total[[#This Row],[Metodo]],TbTipos[Tecnología]&amp;TbTipos[Metodo],TbTipos[Tipo])</f>
        <v>CUDA sin graph</v>
      </c>
      <c r="E218" s="1" t="str" cm="1">
        <f t="array" ref="E218">_xlfn.XLOOKUP(Total[[#This Row],[Tecnología]]&amp;Total[[#This Row],[Problema]],TbNombres[Tecnología]&amp;TbNombres[Problema],TbNombres[Nombre])</f>
        <v>Simple Advdiff</v>
      </c>
      <c r="F218" s="1">
        <v>3</v>
      </c>
      <c r="G218" s="1">
        <v>1</v>
      </c>
      <c r="H218" s="1">
        <v>256</v>
      </c>
      <c r="I218" s="1">
        <v>500</v>
      </c>
      <c r="J218" s="1">
        <v>500</v>
      </c>
      <c r="K218" s="1">
        <v>4.1970599999999996</v>
      </c>
    </row>
    <row r="219" spans="2:11" x14ac:dyDescent="0.2">
      <c r="B219" s="5" t="str">
        <f>_xlfn.XLOOKUP(Total[[#This Row],[Metodo]],TbSolver[Metodo],TbSolver[Solver])</f>
        <v>AdamsBashford</v>
      </c>
      <c r="C219" s="5" t="str">
        <f>_xlfn.XLOOKUP(Total[[#This Row],[Hebras]],TbTecnologia[Hebras],TbTecnologia[Tecnología])</f>
        <v>CUDA</v>
      </c>
      <c r="D219" s="1" t="str" cm="1">
        <f t="array" ref="D219">_xlfn.XLOOKUP(Total[[#This Row],[Tecnología]]&amp;Total[[#This Row],[Metodo]],TbTipos[Tecnología]&amp;TbTipos[Metodo],TbTipos[Tipo])</f>
        <v>CUDA sin graph</v>
      </c>
      <c r="E219" s="1" t="str" cm="1">
        <f t="array" ref="E219">_xlfn.XLOOKUP(Total[[#This Row],[Tecnología]]&amp;Total[[#This Row],[Problema]],TbNombres[Tecnología]&amp;TbNombres[Problema],TbNombres[Nombre])</f>
        <v>Simple Advdiff</v>
      </c>
      <c r="F219" s="1">
        <v>3</v>
      </c>
      <c r="G219" s="1">
        <v>1</v>
      </c>
      <c r="H219" s="1">
        <v>256</v>
      </c>
      <c r="I219" s="1">
        <v>2000</v>
      </c>
      <c r="J219" s="1">
        <v>2000</v>
      </c>
      <c r="K219" s="1">
        <v>4.21807</v>
      </c>
    </row>
    <row r="220" spans="2:11" x14ac:dyDescent="0.2">
      <c r="B220" s="5" t="str">
        <f>_xlfn.XLOOKUP(Total[[#This Row],[Metodo]],TbSolver[Metodo],TbSolver[Solver])</f>
        <v>AdamsBashford</v>
      </c>
      <c r="C220" s="5" t="str">
        <f>_xlfn.XLOOKUP(Total[[#This Row],[Hebras]],TbTecnologia[Hebras],TbTecnologia[Tecnología])</f>
        <v>CUDA</v>
      </c>
      <c r="D220" s="1" t="str" cm="1">
        <f t="array" ref="D220">_xlfn.XLOOKUP(Total[[#This Row],[Tecnología]]&amp;Total[[#This Row],[Metodo]],TbTipos[Tecnología]&amp;TbTipos[Metodo],TbTipos[Tipo])</f>
        <v>CUDA sin graph</v>
      </c>
      <c r="E220" s="1" t="str" cm="1">
        <f t="array" ref="E220">_xlfn.XLOOKUP(Total[[#This Row],[Tecnología]]&amp;Total[[#This Row],[Problema]],TbNombres[Tecnología]&amp;TbNombres[Problema],TbNombres[Nombre])</f>
        <v>Simple Advdiff</v>
      </c>
      <c r="F220" s="1">
        <v>3</v>
      </c>
      <c r="G220" s="1">
        <v>2</v>
      </c>
      <c r="H220" s="1">
        <v>256</v>
      </c>
      <c r="I220" s="1">
        <v>500</v>
      </c>
      <c r="J220" s="1">
        <v>500</v>
      </c>
      <c r="K220" s="1">
        <v>4.22342</v>
      </c>
    </row>
    <row r="221" spans="2:11" x14ac:dyDescent="0.2">
      <c r="B221" s="5" t="str">
        <f>_xlfn.XLOOKUP(Total[[#This Row],[Metodo]],TbSolver[Metodo],TbSolver[Solver])</f>
        <v>AdamsBashford</v>
      </c>
      <c r="C221" s="5" t="str">
        <f>_xlfn.XLOOKUP(Total[[#This Row],[Hebras]],TbTecnologia[Hebras],TbTecnologia[Tecnología])</f>
        <v>CUDA</v>
      </c>
      <c r="D221" s="1" t="str" cm="1">
        <f t="array" ref="D221">_xlfn.XLOOKUP(Total[[#This Row],[Tecnología]]&amp;Total[[#This Row],[Metodo]],TbTipos[Tecnología]&amp;TbTipos[Metodo],TbTipos[Tipo])</f>
        <v>CUDA sin graph</v>
      </c>
      <c r="E221" s="1" t="str" cm="1">
        <f t="array" ref="E221">_xlfn.XLOOKUP(Total[[#This Row],[Tecnología]]&amp;Total[[#This Row],[Problema]],TbNombres[Tecnología]&amp;TbNombres[Problema],TbNombres[Nombre])</f>
        <v>Simple Advdiff</v>
      </c>
      <c r="F221" s="1">
        <v>3</v>
      </c>
      <c r="G221" s="1">
        <v>2</v>
      </c>
      <c r="H221" s="1">
        <v>256</v>
      </c>
      <c r="I221" s="1">
        <v>2000</v>
      </c>
      <c r="J221" s="1">
        <v>2000</v>
      </c>
      <c r="K221" s="1">
        <v>4.2354700000000003</v>
      </c>
    </row>
    <row r="222" spans="2:11" x14ac:dyDescent="0.2">
      <c r="B222" s="5" t="str">
        <f>_xlfn.XLOOKUP(Total[[#This Row],[Metodo]],TbSolver[Metodo],TbSolver[Solver])</f>
        <v>AdamsBashford</v>
      </c>
      <c r="C222" s="5" t="str">
        <f>_xlfn.XLOOKUP(Total[[#This Row],[Hebras]],TbTecnologia[Hebras],TbTecnologia[Tecnología])</f>
        <v>CUDA</v>
      </c>
      <c r="D222" s="1" t="str" cm="1">
        <f t="array" ref="D222">_xlfn.XLOOKUP(Total[[#This Row],[Tecnología]]&amp;Total[[#This Row],[Metodo]],TbTipos[Tecnología]&amp;TbTipos[Metodo],TbTipos[Tipo])</f>
        <v>CUDA sin graph</v>
      </c>
      <c r="E222" s="1" t="str" cm="1">
        <f t="array" ref="E222">_xlfn.XLOOKUP(Total[[#This Row],[Tecnología]]&amp;Total[[#This Row],[Problema]],TbNombres[Tecnología]&amp;TbNombres[Problema],TbNombres[Nombre])</f>
        <v>Simple Advdiff</v>
      </c>
      <c r="F222" s="1">
        <v>3</v>
      </c>
      <c r="G222" s="1">
        <v>2</v>
      </c>
      <c r="H222" s="1">
        <v>256</v>
      </c>
      <c r="I222" s="1">
        <v>1000</v>
      </c>
      <c r="J222" s="1">
        <v>1000</v>
      </c>
      <c r="K222" s="1">
        <v>4.2945399999999996</v>
      </c>
    </row>
    <row r="223" spans="2:11" x14ac:dyDescent="0.2">
      <c r="B223" s="5" t="str">
        <f>_xlfn.XLOOKUP(Total[[#This Row],[Metodo]],TbSolver[Metodo],TbSolver[Solver])</f>
        <v>AdamsBashford</v>
      </c>
      <c r="C223" s="5" t="str">
        <f>_xlfn.XLOOKUP(Total[[#This Row],[Hebras]],TbTecnologia[Hebras],TbTecnologia[Tecnología])</f>
        <v>CUDA</v>
      </c>
      <c r="D223" s="1" t="str" cm="1">
        <f t="array" ref="D223">_xlfn.XLOOKUP(Total[[#This Row],[Tecnología]]&amp;Total[[#This Row],[Metodo]],TbTipos[Tecnología]&amp;TbTipos[Metodo],TbTipos[Tipo])</f>
        <v>CUDA sin graph</v>
      </c>
      <c r="E223" s="1" t="str" cm="1">
        <f t="array" ref="E223">_xlfn.XLOOKUP(Total[[#This Row],[Tecnología]]&amp;Total[[#This Row],[Problema]],TbNombres[Tecnología]&amp;TbNombres[Problema],TbNombres[Nombre])</f>
        <v>Simple Advdiff</v>
      </c>
      <c r="F223" s="1">
        <v>3</v>
      </c>
      <c r="G223" s="1">
        <v>1</v>
      </c>
      <c r="H223" s="1">
        <v>256</v>
      </c>
      <c r="I223" s="1">
        <v>200</v>
      </c>
      <c r="J223" s="1">
        <v>200</v>
      </c>
      <c r="K223" s="1">
        <v>4.3080800000000004</v>
      </c>
    </row>
    <row r="224" spans="2:11" x14ac:dyDescent="0.2">
      <c r="B224" s="5" t="str">
        <f>_xlfn.XLOOKUP(Total[[#This Row],[Metodo]],TbSolver[Metodo],TbSolver[Solver])</f>
        <v>AdamsBashford</v>
      </c>
      <c r="C224" s="5" t="str">
        <f>_xlfn.XLOOKUP(Total[[#This Row],[Hebras]],TbTecnologia[Hebras],TbTecnologia[Tecnología])</f>
        <v>CUDA</v>
      </c>
      <c r="D224" s="1" t="str" cm="1">
        <f t="array" ref="D224">_xlfn.XLOOKUP(Total[[#This Row],[Tecnología]]&amp;Total[[#This Row],[Metodo]],TbTipos[Tecnología]&amp;TbTipos[Metodo],TbTipos[Tipo])</f>
        <v>CUDA sin graph</v>
      </c>
      <c r="E224" s="1" t="str" cm="1">
        <f t="array" ref="E224">_xlfn.XLOOKUP(Total[[#This Row],[Tecnología]]&amp;Total[[#This Row],[Problema]],TbNombres[Tecnología]&amp;TbNombres[Problema],TbNombres[Nombre])</f>
        <v>Simple Advdiff</v>
      </c>
      <c r="F224" s="1">
        <v>3</v>
      </c>
      <c r="G224" s="1">
        <v>2</v>
      </c>
      <c r="H224" s="1">
        <v>256</v>
      </c>
      <c r="I224" s="1">
        <v>5000</v>
      </c>
      <c r="J224" s="1">
        <v>5000</v>
      </c>
      <c r="K224" s="1">
        <v>4.3283699999999996</v>
      </c>
    </row>
    <row r="225" spans="2:11" x14ac:dyDescent="0.2">
      <c r="B225" s="5" t="str">
        <f>_xlfn.XLOOKUP(Total[[#This Row],[Metodo]],TbSolver[Metodo],TbSolver[Solver])</f>
        <v>AdamsBashford</v>
      </c>
      <c r="C225" s="5" t="str">
        <f>_xlfn.XLOOKUP(Total[[#This Row],[Hebras]],TbTecnologia[Hebras],TbTecnologia[Tecnología])</f>
        <v>CUDA</v>
      </c>
      <c r="D225" s="1" t="str" cm="1">
        <f t="array" ref="D225">_xlfn.XLOOKUP(Total[[#This Row],[Tecnología]]&amp;Total[[#This Row],[Metodo]],TbTipos[Tecnología]&amp;TbTipos[Metodo],TbTipos[Tipo])</f>
        <v>CUDA sin graph</v>
      </c>
      <c r="E225" s="1" t="str" cm="1">
        <f t="array" ref="E225">_xlfn.XLOOKUP(Total[[#This Row],[Tecnología]]&amp;Total[[#This Row],[Problema]],TbNombres[Tecnología]&amp;TbNombres[Problema],TbNombres[Nombre])</f>
        <v>Simple Advdiff</v>
      </c>
      <c r="F225" s="1">
        <v>3</v>
      </c>
      <c r="G225" s="1">
        <v>1</v>
      </c>
      <c r="H225" s="1">
        <v>256</v>
      </c>
      <c r="I225" s="1">
        <v>5000</v>
      </c>
      <c r="J225" s="1">
        <v>5000</v>
      </c>
      <c r="K225" s="1">
        <v>4.3452799999999998</v>
      </c>
    </row>
    <row r="226" spans="2:11" x14ac:dyDescent="0.2">
      <c r="B226" s="5" t="str">
        <f>_xlfn.XLOOKUP(Total[[#This Row],[Metodo]],TbSolver[Metodo],TbSolver[Solver])</f>
        <v>AdamsBashford</v>
      </c>
      <c r="C226" s="5" t="str">
        <f>_xlfn.XLOOKUP(Total[[#This Row],[Hebras]],TbTecnologia[Hebras],TbTecnologia[Tecnología])</f>
        <v>CUDA</v>
      </c>
      <c r="D226" s="1" t="str" cm="1">
        <f t="array" ref="D226">_xlfn.XLOOKUP(Total[[#This Row],[Tecnología]]&amp;Total[[#This Row],[Metodo]],TbTipos[Tecnología]&amp;TbTipos[Metodo],TbTipos[Tipo])</f>
        <v>CUDA sin graph</v>
      </c>
      <c r="E226" s="1" t="str" cm="1">
        <f t="array" ref="E226">_xlfn.XLOOKUP(Total[[#This Row],[Tecnología]]&amp;Total[[#This Row],[Problema]],TbNombres[Tecnología]&amp;TbNombres[Problema],TbNombres[Nombre])</f>
        <v>Simple Advdiff</v>
      </c>
      <c r="F226" s="1">
        <v>3</v>
      </c>
      <c r="G226" s="1">
        <v>2</v>
      </c>
      <c r="H226" s="1">
        <v>256</v>
      </c>
      <c r="I226" s="1">
        <v>10000</v>
      </c>
      <c r="J226" s="1">
        <v>10000</v>
      </c>
      <c r="K226" s="1">
        <v>4.3619700000000003</v>
      </c>
    </row>
    <row r="227" spans="2:11" x14ac:dyDescent="0.2">
      <c r="B227" s="5" t="str">
        <f>_xlfn.XLOOKUP(Total[[#This Row],[Metodo]],TbSolver[Metodo],TbSolver[Solver])</f>
        <v>AdamsBashford</v>
      </c>
      <c r="C227" s="5" t="str">
        <f>_xlfn.XLOOKUP(Total[[#This Row],[Hebras]],TbTecnologia[Hebras],TbTecnologia[Tecnología])</f>
        <v>CUDA</v>
      </c>
      <c r="D227" s="1" t="str" cm="1">
        <f t="array" ref="D227">_xlfn.XLOOKUP(Total[[#This Row],[Tecnología]]&amp;Total[[#This Row],[Metodo]],TbTipos[Tecnología]&amp;TbTipos[Metodo],TbTipos[Tipo])</f>
        <v>CUDA sin graph</v>
      </c>
      <c r="E227" s="1" t="str" cm="1">
        <f t="array" ref="E227">_xlfn.XLOOKUP(Total[[#This Row],[Tecnología]]&amp;Total[[#This Row],[Problema]],TbNombres[Tecnología]&amp;TbNombres[Problema],TbNombres[Nombre])</f>
        <v>Simple Advdiff</v>
      </c>
      <c r="F227" s="1">
        <v>3</v>
      </c>
      <c r="G227" s="1">
        <v>1</v>
      </c>
      <c r="H227" s="1">
        <v>256</v>
      </c>
      <c r="I227" s="1">
        <v>10000</v>
      </c>
      <c r="J227" s="1">
        <v>10000</v>
      </c>
      <c r="K227" s="1">
        <v>4.3674200000000001</v>
      </c>
    </row>
    <row r="228" spans="2:11" x14ac:dyDescent="0.2">
      <c r="B228" s="5" t="str">
        <f>_xlfn.XLOOKUP(Total[[#This Row],[Metodo]],TbSolver[Metodo],TbSolver[Solver])</f>
        <v>AdamsBashford</v>
      </c>
      <c r="C228" s="5" t="str">
        <f>_xlfn.XLOOKUP(Total[[#This Row],[Hebras]],TbTecnologia[Hebras],TbTecnologia[Tecnología])</f>
        <v>CUDA</v>
      </c>
      <c r="D228" s="1" t="str" cm="1">
        <f t="array" ref="D228">_xlfn.XLOOKUP(Total[[#This Row],[Tecnología]]&amp;Total[[#This Row],[Metodo]],TbTipos[Tecnología]&amp;TbTipos[Metodo],TbTipos[Tipo])</f>
        <v>CUDA sin graph</v>
      </c>
      <c r="E228" s="1" t="str" cm="1">
        <f t="array" ref="E228">_xlfn.XLOOKUP(Total[[#This Row],[Tecnología]]&amp;Total[[#This Row],[Problema]],TbNombres[Tecnología]&amp;TbNombres[Problema],TbNombres[Nombre])</f>
        <v>Simple Advdiff</v>
      </c>
      <c r="F228" s="1">
        <v>3</v>
      </c>
      <c r="G228" s="1">
        <v>1</v>
      </c>
      <c r="H228" s="1">
        <v>256</v>
      </c>
      <c r="I228" s="1">
        <v>10000</v>
      </c>
      <c r="J228" s="1">
        <v>10000</v>
      </c>
      <c r="K228" s="1">
        <v>4.3695899999999996</v>
      </c>
    </row>
    <row r="229" spans="2:11" x14ac:dyDescent="0.2">
      <c r="B229" s="5" t="str">
        <f>_xlfn.XLOOKUP(Total[[#This Row],[Metodo]],TbSolver[Metodo],TbSolver[Solver])</f>
        <v>AdamsBashford</v>
      </c>
      <c r="C229" s="5" t="str">
        <f>_xlfn.XLOOKUP(Total[[#This Row],[Hebras]],TbTecnologia[Hebras],TbTecnologia[Tecnología])</f>
        <v>CUDA</v>
      </c>
      <c r="D229" s="1" t="str" cm="1">
        <f t="array" ref="D229">_xlfn.XLOOKUP(Total[[#This Row],[Tecnología]]&amp;Total[[#This Row],[Metodo]],TbTipos[Tecnología]&amp;TbTipos[Metodo],TbTipos[Tipo])</f>
        <v>CUDA con graph</v>
      </c>
      <c r="E229" s="1" t="str" cm="1">
        <f t="array" ref="E229">_xlfn.XLOOKUP(Total[[#This Row],[Tecnología]]&amp;Total[[#This Row],[Problema]],TbNombres[Tecnología]&amp;TbNombres[Problema],TbNombres[Nombre])</f>
        <v>Simple Advdiff</v>
      </c>
      <c r="F229" s="1">
        <v>4</v>
      </c>
      <c r="G229" s="1">
        <v>1</v>
      </c>
      <c r="H229" s="1">
        <v>256</v>
      </c>
      <c r="I229" s="1">
        <v>100</v>
      </c>
      <c r="J229" s="1">
        <v>100</v>
      </c>
      <c r="K229" s="1">
        <v>5.2505199999999999</v>
      </c>
    </row>
    <row r="230" spans="2:11" x14ac:dyDescent="0.2">
      <c r="B230" s="5" t="str">
        <f>_xlfn.XLOOKUP(Total[[#This Row],[Metodo]],TbSolver[Metodo],TbSolver[Solver])</f>
        <v>AdamsBashford</v>
      </c>
      <c r="C230" s="5" t="str">
        <f>_xlfn.XLOOKUP(Total[[#This Row],[Hebras]],TbTecnologia[Hebras],TbTecnologia[Tecnología])</f>
        <v>CUDA</v>
      </c>
      <c r="D230" s="1" t="str" cm="1">
        <f t="array" ref="D230">_xlfn.XLOOKUP(Total[[#This Row],[Tecnología]]&amp;Total[[#This Row],[Metodo]],TbTipos[Tecnología]&amp;TbTipos[Metodo],TbTipos[Tipo])</f>
        <v>CUDA con graph</v>
      </c>
      <c r="E230" s="1" t="str" cm="1">
        <f t="array" ref="E230">_xlfn.XLOOKUP(Total[[#This Row],[Tecnología]]&amp;Total[[#This Row],[Problema]],TbNombres[Tecnología]&amp;TbNombres[Problema],TbNombres[Nombre])</f>
        <v>Simple Advdiff</v>
      </c>
      <c r="F230" s="1">
        <v>4</v>
      </c>
      <c r="G230" s="1">
        <v>2</v>
      </c>
      <c r="H230" s="1">
        <v>256</v>
      </c>
      <c r="I230" s="1">
        <v>100</v>
      </c>
      <c r="J230" s="1">
        <v>100</v>
      </c>
      <c r="K230" s="1">
        <v>5.3073199999999998</v>
      </c>
    </row>
    <row r="231" spans="2:11" x14ac:dyDescent="0.2">
      <c r="B231" s="5" t="str">
        <f>_xlfn.XLOOKUP(Total[[#This Row],[Metodo]],TbSolver[Metodo],TbSolver[Solver])</f>
        <v>AdamsBashford</v>
      </c>
      <c r="C231" s="5" t="str">
        <f>_xlfn.XLOOKUP(Total[[#This Row],[Hebras]],TbTecnologia[Hebras],TbTecnologia[Tecnología])</f>
        <v>CUDA</v>
      </c>
      <c r="D231" s="1" t="str" cm="1">
        <f t="array" ref="D231">_xlfn.XLOOKUP(Total[[#This Row],[Tecnología]]&amp;Total[[#This Row],[Metodo]],TbTipos[Tecnología]&amp;TbTipos[Metodo],TbTipos[Tipo])</f>
        <v>CUDA sin graph</v>
      </c>
      <c r="E231" s="1" t="str" cm="1">
        <f t="array" ref="E231">_xlfn.XLOOKUP(Total[[#This Row],[Tecnología]]&amp;Total[[#This Row],[Problema]],TbNombres[Tecnología]&amp;TbNombres[Problema],TbNombres[Nombre])</f>
        <v>Simple Advdiff</v>
      </c>
      <c r="F231" s="1">
        <v>3</v>
      </c>
      <c r="G231" s="1">
        <v>1</v>
      </c>
      <c r="H231" s="1">
        <v>256</v>
      </c>
      <c r="I231" s="1">
        <v>20000</v>
      </c>
      <c r="J231" s="1">
        <v>20000</v>
      </c>
      <c r="K231" s="1">
        <v>5.4144300000000003</v>
      </c>
    </row>
    <row r="232" spans="2:11" x14ac:dyDescent="0.2">
      <c r="B232" s="5" t="str">
        <f>_xlfn.XLOOKUP(Total[[#This Row],[Metodo]],TbSolver[Metodo],TbSolver[Solver])</f>
        <v>AdamsBashford</v>
      </c>
      <c r="C232" s="5" t="str">
        <f>_xlfn.XLOOKUP(Total[[#This Row],[Hebras]],TbTecnologia[Hebras],TbTecnologia[Tecnología])</f>
        <v>CUDA</v>
      </c>
      <c r="D232" s="1" t="str" cm="1">
        <f t="array" ref="D232">_xlfn.XLOOKUP(Total[[#This Row],[Tecnología]]&amp;Total[[#This Row],[Metodo]],TbTipos[Tecnología]&amp;TbTipos[Metodo],TbTipos[Tipo])</f>
        <v>CUDA sin graph</v>
      </c>
      <c r="E232" s="1" t="str" cm="1">
        <f t="array" ref="E232">_xlfn.XLOOKUP(Total[[#This Row],[Tecnología]]&amp;Total[[#This Row],[Problema]],TbNombres[Tecnología]&amp;TbNombres[Problema],TbNombres[Nombre])</f>
        <v>Simple Advdiff</v>
      </c>
      <c r="F232" s="1">
        <v>3</v>
      </c>
      <c r="G232" s="1">
        <v>2</v>
      </c>
      <c r="H232" s="1">
        <v>256</v>
      </c>
      <c r="I232" s="1">
        <v>20000</v>
      </c>
      <c r="J232" s="1">
        <v>20000</v>
      </c>
      <c r="K232" s="1">
        <v>5.5060500000000001</v>
      </c>
    </row>
    <row r="233" spans="2:11" x14ac:dyDescent="0.2">
      <c r="B233" s="5" t="str">
        <f>_xlfn.XLOOKUP(Total[[#This Row],[Metodo]],TbSolver[Metodo],TbSolver[Solver])</f>
        <v>AdamsBashford</v>
      </c>
      <c r="C233" s="5" t="str">
        <f>_xlfn.XLOOKUP(Total[[#This Row],[Hebras]],TbTecnologia[Hebras],TbTecnologia[Tecnología])</f>
        <v>CUDA</v>
      </c>
      <c r="D233" s="5" t="str" cm="1">
        <f t="array" ref="D233">_xlfn.XLOOKUP(Total[[#This Row],[Tecnología]]&amp;Total[[#This Row],[Metodo]],TbTipos[Tecnología]&amp;TbTipos[Metodo],TbTipos[Tipo])</f>
        <v>CUDA con graph</v>
      </c>
      <c r="E233" s="1" t="str" cm="1">
        <f t="array" ref="E233">_xlfn.XLOOKUP(Total[[#This Row],[Tecnología]]&amp;Total[[#This Row],[Problema]],TbNombres[Tecnología]&amp;TbNombres[Problema],TbNombres[Nombre])</f>
        <v>Simple Advdiff</v>
      </c>
      <c r="F233" s="1">
        <v>4</v>
      </c>
      <c r="G233" s="1">
        <v>1</v>
      </c>
      <c r="H233" s="1">
        <v>256</v>
      </c>
      <c r="I233" s="1">
        <v>200</v>
      </c>
      <c r="J233" s="1">
        <v>200</v>
      </c>
      <c r="K233" s="1">
        <v>5.5767499999999997</v>
      </c>
    </row>
    <row r="234" spans="2:11" x14ac:dyDescent="0.2">
      <c r="B234" s="5" t="str">
        <f>_xlfn.XLOOKUP(Total[[#This Row],[Metodo]],TbSolver[Metodo],TbSolver[Solver])</f>
        <v>AdamsBashford</v>
      </c>
      <c r="C234" s="5" t="str">
        <f>_xlfn.XLOOKUP(Total[[#This Row],[Hebras]],TbTecnologia[Hebras],TbTecnologia[Tecnología])</f>
        <v>CUDA</v>
      </c>
      <c r="D234" s="5" t="str" cm="1">
        <f t="array" ref="D234">_xlfn.XLOOKUP(Total[[#This Row],[Tecnología]]&amp;Total[[#This Row],[Metodo]],TbTipos[Tecnología]&amp;TbTipos[Metodo],TbTipos[Tipo])</f>
        <v>CUDA con graph</v>
      </c>
      <c r="E234" s="1" t="str" cm="1">
        <f t="array" ref="E234">_xlfn.XLOOKUP(Total[[#This Row],[Tecnología]]&amp;Total[[#This Row],[Problema]],TbNombres[Tecnología]&amp;TbNombres[Problema],TbNombres[Nombre])</f>
        <v>Simple Advdiff</v>
      </c>
      <c r="F234" s="1">
        <v>4</v>
      </c>
      <c r="G234" s="1">
        <v>2</v>
      </c>
      <c r="H234" s="1">
        <v>256</v>
      </c>
      <c r="I234" s="1">
        <v>200</v>
      </c>
      <c r="J234" s="1">
        <v>200</v>
      </c>
      <c r="K234" s="1">
        <v>5.5995400000000002</v>
      </c>
    </row>
    <row r="235" spans="2:11" x14ac:dyDescent="0.2">
      <c r="B235" s="5" t="str">
        <f>_xlfn.XLOOKUP(Total[[#This Row],[Metodo]],TbSolver[Metodo],TbSolver[Solver])</f>
        <v>AdamsBashford</v>
      </c>
      <c r="C235" s="5" t="str">
        <f>_xlfn.XLOOKUP(Total[[#This Row],[Hebras]],TbTecnologia[Hebras],TbTecnologia[Tecnología])</f>
        <v>CUDA</v>
      </c>
      <c r="D235" s="5" t="str" cm="1">
        <f t="array" ref="D235">_xlfn.XLOOKUP(Total[[#This Row],[Tecnología]]&amp;Total[[#This Row],[Metodo]],TbTipos[Tecnología]&amp;TbTipos[Metodo],TbTipos[Tipo])</f>
        <v>CUDA sin graph</v>
      </c>
      <c r="E235" s="1" t="str" cm="1">
        <f t="array" ref="E235">_xlfn.XLOOKUP(Total[[#This Row],[Tecnología]]&amp;Total[[#This Row],[Problema]],TbNombres[Tecnología]&amp;TbNombres[Problema],TbNombres[Nombre])</f>
        <v>Simple Advdiff</v>
      </c>
      <c r="F235" s="1">
        <v>3</v>
      </c>
      <c r="G235" s="1">
        <v>1</v>
      </c>
      <c r="H235" s="1">
        <v>256</v>
      </c>
      <c r="I235" s="1">
        <v>20000</v>
      </c>
      <c r="J235" s="1">
        <v>20000</v>
      </c>
      <c r="K235" s="1">
        <v>5.6368299999999998</v>
      </c>
    </row>
    <row r="236" spans="2:11" x14ac:dyDescent="0.2">
      <c r="B236" s="5" t="str">
        <f>_xlfn.XLOOKUP(Total[[#This Row],[Metodo]],TbSolver[Metodo],TbSolver[Solver])</f>
        <v>AdamsBashford</v>
      </c>
      <c r="C236" s="5" t="str">
        <f>_xlfn.XLOOKUP(Total[[#This Row],[Hebras]],TbTecnologia[Hebras],TbTecnologia[Tecnología])</f>
        <v>CUDA</v>
      </c>
      <c r="D236" s="5" t="str" cm="1">
        <f t="array" ref="D236">_xlfn.XLOOKUP(Total[[#This Row],[Tecnología]]&amp;Total[[#This Row],[Metodo]],TbTipos[Tecnología]&amp;TbTipos[Metodo],TbTipos[Tipo])</f>
        <v>CUDA con graph</v>
      </c>
      <c r="E236" s="1" t="str" cm="1">
        <f t="array" ref="E236">_xlfn.XLOOKUP(Total[[#This Row],[Tecnología]]&amp;Total[[#This Row],[Problema]],TbNombres[Tecnología]&amp;TbNombres[Problema],TbNombres[Nombre])</f>
        <v>Simple Advdiff</v>
      </c>
      <c r="F236" s="1">
        <v>4</v>
      </c>
      <c r="G236" s="1">
        <v>1</v>
      </c>
      <c r="H236" s="1">
        <v>256</v>
      </c>
      <c r="I236" s="1">
        <v>500</v>
      </c>
      <c r="J236" s="1">
        <v>500</v>
      </c>
      <c r="K236" s="1">
        <v>5.7712399999999997</v>
      </c>
    </row>
    <row r="237" spans="2:11" x14ac:dyDescent="0.2">
      <c r="B237" s="5" t="str">
        <f>_xlfn.XLOOKUP(Total[[#This Row],[Metodo]],TbSolver[Metodo],TbSolver[Solver])</f>
        <v>AdamsBashford</v>
      </c>
      <c r="C237" s="5" t="str">
        <f>_xlfn.XLOOKUP(Total[[#This Row],[Hebras]],TbTecnologia[Hebras],TbTecnologia[Tecnología])</f>
        <v>CUDA</v>
      </c>
      <c r="D237" s="5" t="str" cm="1">
        <f t="array" ref="D237">_xlfn.XLOOKUP(Total[[#This Row],[Tecnología]]&amp;Total[[#This Row],[Metodo]],TbTipos[Tecnología]&amp;TbTipos[Metodo],TbTipos[Tipo])</f>
        <v>CUDA con graph</v>
      </c>
      <c r="E237" s="1" t="str" cm="1">
        <f t="array" ref="E237">_xlfn.XLOOKUP(Total[[#This Row],[Tecnología]]&amp;Total[[#This Row],[Problema]],TbNombres[Tecnología]&amp;TbNombres[Problema],TbNombres[Nombre])</f>
        <v>Simple Advdiff</v>
      </c>
      <c r="F237" s="1">
        <v>4</v>
      </c>
      <c r="G237" s="1">
        <v>2</v>
      </c>
      <c r="H237" s="1">
        <v>256</v>
      </c>
      <c r="I237" s="1">
        <v>1000</v>
      </c>
      <c r="J237" s="1">
        <v>1000</v>
      </c>
      <c r="K237" s="1">
        <v>5.7783199999999999</v>
      </c>
    </row>
    <row r="238" spans="2:11" x14ac:dyDescent="0.2">
      <c r="B238" s="5" t="str">
        <f>_xlfn.XLOOKUP(Total[[#This Row],[Metodo]],TbSolver[Metodo],TbSolver[Solver])</f>
        <v>AdamsBashford</v>
      </c>
      <c r="C238" s="5" t="str">
        <f>_xlfn.XLOOKUP(Total[[#This Row],[Hebras]],TbTecnologia[Hebras],TbTecnologia[Tecnología])</f>
        <v>CUDA</v>
      </c>
      <c r="D238" s="5" t="str" cm="1">
        <f t="array" ref="D238">_xlfn.XLOOKUP(Total[[#This Row],[Tecnología]]&amp;Total[[#This Row],[Metodo]],TbTipos[Tecnología]&amp;TbTipos[Metodo],TbTipos[Tipo])</f>
        <v>CUDA con graph</v>
      </c>
      <c r="E238" s="1" t="str" cm="1">
        <f t="array" ref="E238">_xlfn.XLOOKUP(Total[[#This Row],[Tecnología]]&amp;Total[[#This Row],[Problema]],TbNombres[Tecnología]&amp;TbNombres[Problema],TbNombres[Nombre])</f>
        <v>Simple Advdiff</v>
      </c>
      <c r="F238" s="1">
        <v>4</v>
      </c>
      <c r="G238" s="1">
        <v>2</v>
      </c>
      <c r="H238" s="1">
        <v>256</v>
      </c>
      <c r="I238" s="1">
        <v>500</v>
      </c>
      <c r="J238" s="1">
        <v>500</v>
      </c>
      <c r="K238" s="1">
        <v>5.7799899999999997</v>
      </c>
    </row>
    <row r="239" spans="2:11" x14ac:dyDescent="0.2">
      <c r="B239" s="5" t="str">
        <f>_xlfn.XLOOKUP(Total[[#This Row],[Metodo]],TbSolver[Metodo],TbSolver[Solver])</f>
        <v>AdamsBashford</v>
      </c>
      <c r="C239" s="5" t="str">
        <f>_xlfn.XLOOKUP(Total[[#This Row],[Hebras]],TbTecnologia[Hebras],TbTecnologia[Tecnología])</f>
        <v>CUDA</v>
      </c>
      <c r="D239" s="5" t="str" cm="1">
        <f t="array" ref="D239">_xlfn.XLOOKUP(Total[[#This Row],[Tecnología]]&amp;Total[[#This Row],[Metodo]],TbTipos[Tecnología]&amp;TbTipos[Metodo],TbTipos[Tipo])</f>
        <v>CUDA con graph</v>
      </c>
      <c r="E239" s="1" t="str" cm="1">
        <f t="array" ref="E239">_xlfn.XLOOKUP(Total[[#This Row],[Tecnología]]&amp;Total[[#This Row],[Problema]],TbNombres[Tecnología]&amp;TbNombres[Problema],TbNombres[Nombre])</f>
        <v>Simple Advdiff</v>
      </c>
      <c r="F239" s="1">
        <v>4</v>
      </c>
      <c r="G239" s="1">
        <v>1</v>
      </c>
      <c r="H239" s="1">
        <v>256</v>
      </c>
      <c r="I239" s="1">
        <v>1000</v>
      </c>
      <c r="J239" s="1">
        <v>1000</v>
      </c>
      <c r="K239" s="1">
        <v>5.78383</v>
      </c>
    </row>
    <row r="240" spans="2:11" x14ac:dyDescent="0.2">
      <c r="B240" s="5" t="str">
        <f>_xlfn.XLOOKUP(Total[[#This Row],[Metodo]],TbSolver[Metodo],TbSolver[Solver])</f>
        <v>AdamsBashford</v>
      </c>
      <c r="C240" s="5" t="str">
        <f>_xlfn.XLOOKUP(Total[[#This Row],[Hebras]],TbTecnologia[Hebras],TbTecnologia[Tecnología])</f>
        <v>CUDA</v>
      </c>
      <c r="D240" s="5" t="str" cm="1">
        <f t="array" ref="D240">_xlfn.XLOOKUP(Total[[#This Row],[Tecnología]]&amp;Total[[#This Row],[Metodo]],TbTipos[Tecnología]&amp;TbTipos[Metodo],TbTipos[Tipo])</f>
        <v>CUDA con graph</v>
      </c>
      <c r="E240" s="1" t="str" cm="1">
        <f t="array" ref="E240">_xlfn.XLOOKUP(Total[[#This Row],[Tecnología]]&amp;Total[[#This Row],[Problema]],TbNombres[Tecnología]&amp;TbNombres[Problema],TbNombres[Nombre])</f>
        <v>Simple Advdiff</v>
      </c>
      <c r="F240" s="1">
        <v>4</v>
      </c>
      <c r="G240" s="1">
        <v>1</v>
      </c>
      <c r="H240" s="1">
        <v>256</v>
      </c>
      <c r="I240" s="1">
        <v>2000</v>
      </c>
      <c r="J240" s="1">
        <v>2000</v>
      </c>
      <c r="K240" s="1">
        <v>5.8491999999999997</v>
      </c>
    </row>
    <row r="241" spans="2:11" x14ac:dyDescent="0.2">
      <c r="B241" s="5" t="str">
        <f>_xlfn.XLOOKUP(Total[[#This Row],[Metodo]],TbSolver[Metodo],TbSolver[Solver])</f>
        <v>AdamsBashford</v>
      </c>
      <c r="C241" s="5" t="str">
        <f>_xlfn.XLOOKUP(Total[[#This Row],[Hebras]],TbTecnologia[Hebras],TbTecnologia[Tecnología])</f>
        <v>CUDA</v>
      </c>
      <c r="D241" s="5" t="str" cm="1">
        <f t="array" ref="D241">_xlfn.XLOOKUP(Total[[#This Row],[Tecnología]]&amp;Total[[#This Row],[Metodo]],TbTipos[Tecnología]&amp;TbTipos[Metodo],TbTipos[Tipo])</f>
        <v>CUDA con graph</v>
      </c>
      <c r="E241" s="1" t="str" cm="1">
        <f t="array" ref="E241">_xlfn.XLOOKUP(Total[[#This Row],[Tecnología]]&amp;Total[[#This Row],[Problema]],TbNombres[Tecnología]&amp;TbNombres[Problema],TbNombres[Nombre])</f>
        <v>Simple Advdiff</v>
      </c>
      <c r="F241" s="1">
        <v>4</v>
      </c>
      <c r="G241" s="1">
        <v>2</v>
      </c>
      <c r="H241" s="1">
        <v>256</v>
      </c>
      <c r="I241" s="1">
        <v>2000</v>
      </c>
      <c r="J241" s="1">
        <v>2000</v>
      </c>
      <c r="K241" s="1">
        <v>5.8526600000000002</v>
      </c>
    </row>
    <row r="242" spans="2:11" x14ac:dyDescent="0.2">
      <c r="B242" s="5" t="str">
        <f>_xlfn.XLOOKUP(Total[[#This Row],[Metodo]],TbSolver[Metodo],TbSolver[Solver])</f>
        <v>AdamsBashford</v>
      </c>
      <c r="C242" s="5" t="str">
        <f>_xlfn.XLOOKUP(Total[[#This Row],[Hebras]],TbTecnologia[Hebras],TbTecnologia[Tecnología])</f>
        <v>CUDA</v>
      </c>
      <c r="D242" s="5" t="str" cm="1">
        <f t="array" ref="D242">_xlfn.XLOOKUP(Total[[#This Row],[Tecnología]]&amp;Total[[#This Row],[Metodo]],TbTipos[Tecnología]&amp;TbTipos[Metodo],TbTipos[Tipo])</f>
        <v>CUDA con graph</v>
      </c>
      <c r="E242" s="1" t="str" cm="1">
        <f t="array" ref="E242">_xlfn.XLOOKUP(Total[[#This Row],[Tecnología]]&amp;Total[[#This Row],[Problema]],TbNombres[Tecnología]&amp;TbNombres[Problema],TbNombres[Nombre])</f>
        <v>Simple Advdiff</v>
      </c>
      <c r="F242" s="1">
        <v>4</v>
      </c>
      <c r="G242" s="1">
        <v>1</v>
      </c>
      <c r="H242" s="1">
        <v>256</v>
      </c>
      <c r="I242" s="1">
        <v>5000</v>
      </c>
      <c r="J242" s="1">
        <v>5000</v>
      </c>
      <c r="K242" s="1">
        <v>5.8786300000000002</v>
      </c>
    </row>
    <row r="243" spans="2:11" x14ac:dyDescent="0.2">
      <c r="B243" s="5" t="str">
        <f>_xlfn.XLOOKUP(Total[[#This Row],[Metodo]],TbSolver[Metodo],TbSolver[Solver])</f>
        <v>AdamsBashford</v>
      </c>
      <c r="C243" s="5" t="str">
        <f>_xlfn.XLOOKUP(Total[[#This Row],[Hebras]],TbTecnologia[Hebras],TbTecnologia[Tecnología])</f>
        <v>CUDA</v>
      </c>
      <c r="D243" s="5" t="str" cm="1">
        <f t="array" ref="D243">_xlfn.XLOOKUP(Total[[#This Row],[Tecnología]]&amp;Total[[#This Row],[Metodo]],TbTipos[Tecnología]&amp;TbTipos[Metodo],TbTipos[Tipo])</f>
        <v>CUDA con graph</v>
      </c>
      <c r="E243" s="1" t="str" cm="1">
        <f t="array" ref="E243">_xlfn.XLOOKUP(Total[[#This Row],[Tecnología]]&amp;Total[[#This Row],[Problema]],TbNombres[Tecnología]&amp;TbNombres[Problema],TbNombres[Nombre])</f>
        <v>Simple Advdiff</v>
      </c>
      <c r="F243" s="1">
        <v>4</v>
      </c>
      <c r="G243" s="1">
        <v>2</v>
      </c>
      <c r="H243" s="1">
        <v>256</v>
      </c>
      <c r="I243" s="1">
        <v>5000</v>
      </c>
      <c r="J243" s="1">
        <v>5000</v>
      </c>
      <c r="K243" s="1">
        <v>5.9353400000000001</v>
      </c>
    </row>
    <row r="244" spans="2:11" x14ac:dyDescent="0.2">
      <c r="B244" s="5" t="str">
        <f>_xlfn.XLOOKUP(Total[[#This Row],[Metodo]],TbSolver[Metodo],TbSolver[Solver])</f>
        <v>AdamsBashford</v>
      </c>
      <c r="C244" s="5" t="str">
        <f>_xlfn.XLOOKUP(Total[[#This Row],[Hebras]],TbTecnologia[Hebras],TbTecnologia[Tecnología])</f>
        <v>CUDA</v>
      </c>
      <c r="D244" s="5" t="str" cm="1">
        <f t="array" ref="D244">_xlfn.XLOOKUP(Total[[#This Row],[Tecnología]]&amp;Total[[#This Row],[Metodo]],TbTipos[Tecnología]&amp;TbTipos[Metodo],TbTipos[Tipo])</f>
        <v>CUDA sin graph</v>
      </c>
      <c r="E244" s="1" t="str" cm="1">
        <f t="array" ref="E244">_xlfn.XLOOKUP(Total[[#This Row],[Tecnología]]&amp;Total[[#This Row],[Problema]],TbNombres[Tecnología]&amp;TbNombres[Problema],TbNombres[Nombre])</f>
        <v>Simple Advdiff</v>
      </c>
      <c r="F244" s="1">
        <v>3</v>
      </c>
      <c r="G244" s="1">
        <v>1</v>
      </c>
      <c r="H244" s="1">
        <v>256</v>
      </c>
      <c r="I244" s="1">
        <v>50000</v>
      </c>
      <c r="J244" s="1">
        <v>50000</v>
      </c>
      <c r="K244" s="1">
        <v>6.7912499999999998</v>
      </c>
    </row>
    <row r="245" spans="2:11" x14ac:dyDescent="0.2">
      <c r="B245" s="5" t="str">
        <f>_xlfn.XLOOKUP(Total[[#This Row],[Metodo]],TbSolver[Metodo],TbSolver[Solver])</f>
        <v>AdamsBashford</v>
      </c>
      <c r="C245" s="5" t="str">
        <f>_xlfn.XLOOKUP(Total[[#This Row],[Hebras]],TbTecnologia[Hebras],TbTecnologia[Tecnología])</f>
        <v>CUDA</v>
      </c>
      <c r="D245" s="5" t="str" cm="1">
        <f t="array" ref="D245">_xlfn.XLOOKUP(Total[[#This Row],[Tecnología]]&amp;Total[[#This Row],[Metodo]],TbTipos[Tecnología]&amp;TbTipos[Metodo],TbTipos[Tipo])</f>
        <v>CUDA sin graph</v>
      </c>
      <c r="E245" s="1" t="str" cm="1">
        <f t="array" ref="E245">_xlfn.XLOOKUP(Total[[#This Row],[Tecnología]]&amp;Total[[#This Row],[Problema]],TbNombres[Tecnología]&amp;TbNombres[Problema],TbNombres[Nombre])</f>
        <v>Simple Advdiff</v>
      </c>
      <c r="F245" s="1">
        <v>3</v>
      </c>
      <c r="G245" s="1">
        <v>2</v>
      </c>
      <c r="H245" s="1">
        <v>256</v>
      </c>
      <c r="I245" s="1">
        <v>50000</v>
      </c>
      <c r="J245" s="1">
        <v>50000</v>
      </c>
      <c r="K245" s="1">
        <v>6.9092000000000002</v>
      </c>
    </row>
    <row r="246" spans="2:11" x14ac:dyDescent="0.2">
      <c r="B246" s="5" t="str">
        <f>_xlfn.XLOOKUP(Total[[#This Row],[Metodo]],TbSolver[Metodo],TbSolver[Solver])</f>
        <v>AdamsBashford</v>
      </c>
      <c r="C246" s="5" t="str">
        <f>_xlfn.XLOOKUP(Total[[#This Row],[Hebras]],TbTecnologia[Hebras],TbTecnologia[Tecnología])</f>
        <v>CUDA</v>
      </c>
      <c r="D246" s="5" t="str" cm="1">
        <f t="array" ref="D246">_xlfn.XLOOKUP(Total[[#This Row],[Tecnología]]&amp;Total[[#This Row],[Metodo]],TbTipos[Tecnología]&amp;TbTipos[Metodo],TbTipos[Tipo])</f>
        <v>CUDA sin graph</v>
      </c>
      <c r="E246" s="1" t="str" cm="1">
        <f t="array" ref="E246">_xlfn.XLOOKUP(Total[[#This Row],[Tecnología]]&amp;Total[[#This Row],[Problema]],TbNombres[Tecnología]&amp;TbNombres[Problema],TbNombres[Nombre])</f>
        <v>Simple Advdiff</v>
      </c>
      <c r="F246" s="1">
        <v>3</v>
      </c>
      <c r="G246" s="1">
        <v>1</v>
      </c>
      <c r="H246" s="1">
        <v>256</v>
      </c>
      <c r="I246" s="1">
        <v>50000</v>
      </c>
      <c r="J246" s="1">
        <v>50000</v>
      </c>
      <c r="K246" s="1">
        <v>7.1332199999999997</v>
      </c>
    </row>
    <row r="247" spans="2:11" x14ac:dyDescent="0.2">
      <c r="B247" s="5" t="str">
        <f>_xlfn.XLOOKUP(Total[[#This Row],[Metodo]],TbSolver[Metodo],TbSolver[Solver])</f>
        <v>AdamsBashford</v>
      </c>
      <c r="C247" s="5" t="str">
        <f>_xlfn.XLOOKUP(Total[[#This Row],[Hebras]],TbTecnologia[Hebras],TbTecnologia[Tecnología])</f>
        <v>CUDA</v>
      </c>
      <c r="D247" s="5" t="str" cm="1">
        <f t="array" ref="D247">_xlfn.XLOOKUP(Total[[#This Row],[Tecnología]]&amp;Total[[#This Row],[Metodo]],TbTipos[Tecnología]&amp;TbTipos[Metodo],TbTipos[Tipo])</f>
        <v>CUDA sin graph</v>
      </c>
      <c r="E247" s="1" t="str" cm="1">
        <f t="array" ref="E247">_xlfn.XLOOKUP(Total[[#This Row],[Tecnología]]&amp;Total[[#This Row],[Problema]],TbNombres[Tecnología]&amp;TbNombres[Problema],TbNombres[Nombre])</f>
        <v>Simple Advdiff</v>
      </c>
      <c r="F247" s="1">
        <v>3</v>
      </c>
      <c r="G247" s="1">
        <v>1</v>
      </c>
      <c r="H247" s="1">
        <v>256</v>
      </c>
      <c r="I247" s="1">
        <v>100000</v>
      </c>
      <c r="J247" s="1">
        <v>100000</v>
      </c>
      <c r="K247" s="1">
        <v>10.328099999999999</v>
      </c>
    </row>
    <row r="248" spans="2:11" x14ac:dyDescent="0.2">
      <c r="B248" s="5" t="str">
        <f>_xlfn.XLOOKUP(Total[[#This Row],[Metodo]],TbSolver[Metodo],TbSolver[Solver])</f>
        <v>AdamsBashford</v>
      </c>
      <c r="C248" s="5" t="str">
        <f>_xlfn.XLOOKUP(Total[[#This Row],[Hebras]],TbTecnologia[Hebras],TbTecnologia[Tecnología])</f>
        <v>CUDA</v>
      </c>
      <c r="D248" s="5" t="str" cm="1">
        <f t="array" ref="D248">_xlfn.XLOOKUP(Total[[#This Row],[Tecnología]]&amp;Total[[#This Row],[Metodo]],TbTipos[Tecnología]&amp;TbTipos[Metodo],TbTipos[Tipo])</f>
        <v>CUDA sin graph</v>
      </c>
      <c r="E248" s="1" t="str" cm="1">
        <f t="array" ref="E248">_xlfn.XLOOKUP(Total[[#This Row],[Tecnología]]&amp;Total[[#This Row],[Problema]],TbNombres[Tecnología]&amp;TbNombres[Problema],TbNombres[Nombre])</f>
        <v>Simple Advdiff</v>
      </c>
      <c r="F248" s="1">
        <v>3</v>
      </c>
      <c r="G248" s="1">
        <v>2</v>
      </c>
      <c r="H248" s="1">
        <v>256</v>
      </c>
      <c r="I248" s="1">
        <v>100000</v>
      </c>
      <c r="J248" s="1">
        <v>100000</v>
      </c>
      <c r="K248" s="1">
        <v>10.511699999999999</v>
      </c>
    </row>
    <row r="249" spans="2:11" x14ac:dyDescent="0.2">
      <c r="B249" s="5" t="str">
        <f>_xlfn.XLOOKUP(Total[[#This Row],[Metodo]],TbSolver[Metodo],TbSolver[Solver])</f>
        <v>AdamsBashford</v>
      </c>
      <c r="C249" s="5" t="str">
        <f>_xlfn.XLOOKUP(Total[[#This Row],[Hebras]],TbTecnologia[Hebras],TbTecnologia[Tecnología])</f>
        <v>CUDA</v>
      </c>
      <c r="D249" s="5" t="str" cm="1">
        <f t="array" ref="D249">_xlfn.XLOOKUP(Total[[#This Row],[Tecnología]]&amp;Total[[#This Row],[Metodo]],TbTipos[Tecnología]&amp;TbTipos[Metodo],TbTipos[Tipo])</f>
        <v>CUDA sin graph</v>
      </c>
      <c r="E249" s="1" t="str" cm="1">
        <f t="array" ref="E249">_xlfn.XLOOKUP(Total[[#This Row],[Tecnología]]&amp;Total[[#This Row],[Problema]],TbNombres[Tecnología]&amp;TbNombres[Problema],TbNombres[Nombre])</f>
        <v>Simple Advdiff</v>
      </c>
      <c r="F249" s="1">
        <v>3</v>
      </c>
      <c r="G249" s="1">
        <v>1</v>
      </c>
      <c r="H249" s="1">
        <v>256</v>
      </c>
      <c r="I249" s="1">
        <v>100000</v>
      </c>
      <c r="J249" s="1">
        <v>100000</v>
      </c>
      <c r="K249" s="1">
        <v>10.8613</v>
      </c>
    </row>
    <row r="250" spans="2:11" x14ac:dyDescent="0.2">
      <c r="B250" s="5" t="str">
        <f>_xlfn.XLOOKUP(Total[[#This Row],[Metodo]],TbSolver[Metodo],TbSolver[Solver])</f>
        <v>AdamsBashford</v>
      </c>
      <c r="C250" s="5" t="str">
        <f>_xlfn.XLOOKUP(Total[[#This Row],[Hebras]],TbTecnologia[Hebras],TbTecnologia[Tecnología])</f>
        <v>CUDA</v>
      </c>
      <c r="D250" s="5" t="str" cm="1">
        <f t="array" ref="D250">_xlfn.XLOOKUP(Total[[#This Row],[Tecnología]]&amp;Total[[#This Row],[Metodo]],TbTipos[Tecnología]&amp;TbTipos[Metodo],TbTipos[Tipo])</f>
        <v>CUDA sin graph</v>
      </c>
      <c r="E250" s="1" t="str" cm="1">
        <f t="array" ref="E250">_xlfn.XLOOKUP(Total[[#This Row],[Tecnología]]&amp;Total[[#This Row],[Problema]],TbNombres[Tecnología]&amp;TbNombres[Problema],TbNombres[Nombre])</f>
        <v>Simple Advdiff</v>
      </c>
      <c r="F250" s="1">
        <v>3</v>
      </c>
      <c r="G250" s="1">
        <v>1</v>
      </c>
      <c r="H250" s="1">
        <v>256</v>
      </c>
      <c r="I250" s="1">
        <v>200000</v>
      </c>
      <c r="J250" s="1">
        <v>200000</v>
      </c>
      <c r="K250" s="1">
        <v>26.289300000000001</v>
      </c>
    </row>
    <row r="251" spans="2:11" x14ac:dyDescent="0.2">
      <c r="B251" s="5" t="str">
        <f>_xlfn.XLOOKUP(Total[[#This Row],[Metodo]],TbSolver[Metodo],TbSolver[Solver])</f>
        <v>AdamsBashford</v>
      </c>
      <c r="C251" s="5" t="str">
        <f>_xlfn.XLOOKUP(Total[[#This Row],[Hebras]],TbTecnologia[Hebras],TbTecnologia[Tecnología])</f>
        <v>CUDA</v>
      </c>
      <c r="D251" s="5" t="str" cm="1">
        <f t="array" ref="D251">_xlfn.XLOOKUP(Total[[#This Row],[Tecnología]]&amp;Total[[#This Row],[Metodo]],TbTipos[Tecnología]&amp;TbTipos[Metodo],TbTipos[Tipo])</f>
        <v>CUDA sin graph</v>
      </c>
      <c r="E251" s="1" t="str" cm="1">
        <f t="array" ref="E251">_xlfn.XLOOKUP(Total[[#This Row],[Tecnología]]&amp;Total[[#This Row],[Problema]],TbNombres[Tecnología]&amp;TbNombres[Problema],TbNombres[Nombre])</f>
        <v>Simple Advdiff</v>
      </c>
      <c r="F251" s="1">
        <v>3</v>
      </c>
      <c r="G251" s="1">
        <v>2</v>
      </c>
      <c r="H251" s="1">
        <v>256</v>
      </c>
      <c r="I251" s="1">
        <v>200000</v>
      </c>
      <c r="J251" s="1">
        <v>200000</v>
      </c>
      <c r="K251" s="1">
        <v>26.349699999999999</v>
      </c>
    </row>
    <row r="252" spans="2:11" x14ac:dyDescent="0.2">
      <c r="B252" s="5" t="str">
        <f>_xlfn.XLOOKUP(Total[[#This Row],[Metodo]],TbSolver[Metodo],TbSolver[Solver])</f>
        <v>AdamsBashford</v>
      </c>
      <c r="C252" s="5" t="str">
        <f>_xlfn.XLOOKUP(Total[[#This Row],[Hebras]],TbTecnologia[Hebras],TbTecnologia[Tecnología])</f>
        <v>CUDA</v>
      </c>
      <c r="D252" s="5" t="str" cm="1">
        <f t="array" ref="D252">_xlfn.XLOOKUP(Total[[#This Row],[Tecnología]]&amp;Total[[#This Row],[Metodo]],TbTipos[Tecnología]&amp;TbTipos[Metodo],TbTipos[Tipo])</f>
        <v>CUDA sin graph</v>
      </c>
      <c r="E252" s="1" t="str" cm="1">
        <f t="array" ref="E252">_xlfn.XLOOKUP(Total[[#This Row],[Tecnología]]&amp;Total[[#This Row],[Problema]],TbNombres[Tecnología]&amp;TbNombres[Problema],TbNombres[Nombre])</f>
        <v>Simple Advdiff</v>
      </c>
      <c r="F252" s="1">
        <v>3</v>
      </c>
      <c r="G252" s="1">
        <v>1</v>
      </c>
      <c r="H252" s="1">
        <v>256</v>
      </c>
      <c r="I252" s="1">
        <v>200000</v>
      </c>
      <c r="J252" s="1">
        <v>200000</v>
      </c>
      <c r="K252" s="1">
        <v>26.668099999999999</v>
      </c>
    </row>
    <row r="253" spans="2:11" x14ac:dyDescent="0.2">
      <c r="B253" s="5" t="str">
        <f>_xlfn.XLOOKUP(Total[[#This Row],[Metodo]],TbSolver[Metodo],TbSolver[Solver])</f>
        <v>AdamsBashford</v>
      </c>
      <c r="C253" s="5" t="str">
        <f>_xlfn.XLOOKUP(Total[[#This Row],[Hebras]],TbTecnologia[Hebras],TbTecnologia[Tecnología])</f>
        <v>OMP</v>
      </c>
      <c r="D253" s="5" t="str" cm="1">
        <f t="array" ref="D253">_xlfn.XLOOKUP(Total[[#This Row],[Tecnología]]&amp;Total[[#This Row],[Metodo]],TbTipos[Tecnología]&amp;TbTipos[Metodo],TbTipos[Tipo])</f>
        <v>OMP Operaciones</v>
      </c>
      <c r="E253" s="1" t="str" cm="1">
        <f t="array" ref="E253">_xlfn.XLOOKUP(Total[[#This Row],[Tecnología]]&amp;Total[[#This Row],[Problema]],TbNombres[Tecnología]&amp;TbNombres[Problema],TbNombres[Nombre])</f>
        <v>Simple Advdiff</v>
      </c>
      <c r="F253" s="1">
        <v>3</v>
      </c>
      <c r="G253" s="1">
        <v>1</v>
      </c>
      <c r="H253" s="1">
        <v>1</v>
      </c>
      <c r="I253" s="1">
        <v>100</v>
      </c>
      <c r="J253" s="1">
        <v>100</v>
      </c>
      <c r="K253" s="1">
        <v>1.3585700000000001</v>
      </c>
    </row>
    <row r="254" spans="2:11" x14ac:dyDescent="0.2">
      <c r="B254" s="5" t="str">
        <f>_xlfn.XLOOKUP(Total[[#This Row],[Metodo]],TbSolver[Metodo],TbSolver[Solver])</f>
        <v>AdamsBashford</v>
      </c>
      <c r="C254" s="5" t="str">
        <f>_xlfn.XLOOKUP(Total[[#This Row],[Hebras]],TbTecnologia[Hebras],TbTecnologia[Tecnología])</f>
        <v>OMP</v>
      </c>
      <c r="D254" s="5" t="str" cm="1">
        <f t="array" ref="D254">_xlfn.XLOOKUP(Total[[#This Row],[Tecnología]]&amp;Total[[#This Row],[Metodo]],TbTipos[Tecnología]&amp;TbTipos[Metodo],TbTipos[Tipo])</f>
        <v>OMP Operaciones</v>
      </c>
      <c r="E254" s="1" t="str" cm="1">
        <f t="array" ref="E254">_xlfn.XLOOKUP(Total[[#This Row],[Tecnología]]&amp;Total[[#This Row],[Problema]],TbNombres[Tecnología]&amp;TbNombres[Problema],TbNombres[Nombre])</f>
        <v>Simple Advdiff</v>
      </c>
      <c r="F254" s="1">
        <v>3</v>
      </c>
      <c r="G254" s="1">
        <v>1</v>
      </c>
      <c r="H254" s="1">
        <v>4</v>
      </c>
      <c r="I254" s="1">
        <v>100</v>
      </c>
      <c r="J254" s="1">
        <v>100</v>
      </c>
      <c r="K254" s="1">
        <v>13.014099999999999</v>
      </c>
    </row>
    <row r="255" spans="2:11" x14ac:dyDescent="0.2">
      <c r="B255" s="5" t="str">
        <f>_xlfn.XLOOKUP(Total[[#This Row],[Metodo]],TbSolver[Metodo],TbSolver[Solver])</f>
        <v>AdamsBashford</v>
      </c>
      <c r="C255" s="5" t="str">
        <f>_xlfn.XLOOKUP(Total[[#This Row],[Hebras]],TbTecnologia[Hebras],TbTecnologia[Tecnología])</f>
        <v>OMP</v>
      </c>
      <c r="D255" s="5" t="str" cm="1">
        <f t="array" ref="D255">_xlfn.XLOOKUP(Total[[#This Row],[Tecnología]]&amp;Total[[#This Row],[Metodo]],TbTipos[Tecnología]&amp;TbTipos[Metodo],TbTipos[Tipo])</f>
        <v>OMP Operaciones</v>
      </c>
      <c r="E255" s="1" t="str" cm="1">
        <f t="array" ref="E255">_xlfn.XLOOKUP(Total[[#This Row],[Tecnología]]&amp;Total[[#This Row],[Problema]],TbNombres[Tecnología]&amp;TbNombres[Problema],TbNombres[Nombre])</f>
        <v>Simple Advdiff</v>
      </c>
      <c r="F255" s="1">
        <v>3</v>
      </c>
      <c r="G255" s="1">
        <v>1</v>
      </c>
      <c r="H255" s="1">
        <v>16</v>
      </c>
      <c r="I255" s="1">
        <v>100</v>
      </c>
      <c r="J255" s="1">
        <v>100</v>
      </c>
      <c r="K255" s="1">
        <v>28.328299999999999</v>
      </c>
    </row>
    <row r="256" spans="2:11" x14ac:dyDescent="0.2">
      <c r="B256" s="5" t="str">
        <f>_xlfn.XLOOKUP(Total[[#This Row],[Metodo]],TbSolver[Metodo],TbSolver[Solver])</f>
        <v>AdamsBashford</v>
      </c>
      <c r="C256" s="5" t="str">
        <f>_xlfn.XLOOKUP(Total[[#This Row],[Hebras]],TbTecnologia[Hebras],TbTecnologia[Tecnología])</f>
        <v>OMP</v>
      </c>
      <c r="D256" s="5" t="str" cm="1">
        <f t="array" ref="D256">_xlfn.XLOOKUP(Total[[#This Row],[Tecnología]]&amp;Total[[#This Row],[Metodo]],TbTipos[Tecnología]&amp;TbTipos[Metodo],TbTipos[Tipo])</f>
        <v>OMP Operaciones</v>
      </c>
      <c r="E256" s="1" t="str" cm="1">
        <f t="array" ref="E256">_xlfn.XLOOKUP(Total[[#This Row],[Tecnología]]&amp;Total[[#This Row],[Problema]],TbNombres[Tecnología]&amp;TbNombres[Problema],TbNombres[Nombre])</f>
        <v>Simple Advdiff</v>
      </c>
      <c r="F256" s="1">
        <v>3</v>
      </c>
      <c r="G256" s="1">
        <v>1</v>
      </c>
      <c r="H256" s="1">
        <v>1</v>
      </c>
      <c r="I256" s="1">
        <v>200</v>
      </c>
      <c r="J256" s="1">
        <v>200</v>
      </c>
      <c r="K256" s="1">
        <v>1.5078100000000001</v>
      </c>
    </row>
    <row r="257" spans="2:11" x14ac:dyDescent="0.2">
      <c r="B257" s="5" t="str">
        <f>_xlfn.XLOOKUP(Total[[#This Row],[Metodo]],TbSolver[Metodo],TbSolver[Solver])</f>
        <v>AdamsBashford</v>
      </c>
      <c r="C257" s="5" t="str">
        <f>_xlfn.XLOOKUP(Total[[#This Row],[Hebras]],TbTecnologia[Hebras],TbTecnologia[Tecnología])</f>
        <v>OMP</v>
      </c>
      <c r="D257" s="5" t="str" cm="1">
        <f t="array" ref="D257">_xlfn.XLOOKUP(Total[[#This Row],[Tecnología]]&amp;Total[[#This Row],[Metodo]],TbTipos[Tecnología]&amp;TbTipos[Metodo],TbTipos[Tipo])</f>
        <v>OMP Operaciones</v>
      </c>
      <c r="E257" s="1" t="str" cm="1">
        <f t="array" ref="E257">_xlfn.XLOOKUP(Total[[#This Row],[Tecnología]]&amp;Total[[#This Row],[Problema]],TbNombres[Tecnología]&amp;TbNombres[Problema],TbNombres[Nombre])</f>
        <v>Simple Advdiff</v>
      </c>
      <c r="F257" s="1">
        <v>3</v>
      </c>
      <c r="G257" s="1">
        <v>1</v>
      </c>
      <c r="H257" s="1">
        <v>4</v>
      </c>
      <c r="I257" s="1">
        <v>200</v>
      </c>
      <c r="J257" s="1">
        <v>200</v>
      </c>
      <c r="K257" s="1">
        <v>12.255599999999999</v>
      </c>
    </row>
    <row r="258" spans="2:11" x14ac:dyDescent="0.2">
      <c r="B258" s="5" t="str">
        <f>_xlfn.XLOOKUP(Total[[#This Row],[Metodo]],TbSolver[Metodo],TbSolver[Solver])</f>
        <v>AdamsBashford</v>
      </c>
      <c r="C258" s="5" t="str">
        <f>_xlfn.XLOOKUP(Total[[#This Row],[Hebras]],TbTecnologia[Hebras],TbTecnologia[Tecnología])</f>
        <v>OMP</v>
      </c>
      <c r="D258" s="5" t="str" cm="1">
        <f t="array" ref="D258">_xlfn.XLOOKUP(Total[[#This Row],[Tecnología]]&amp;Total[[#This Row],[Metodo]],TbTipos[Tecnología]&amp;TbTipos[Metodo],TbTipos[Tipo])</f>
        <v>OMP Operaciones</v>
      </c>
      <c r="E258" s="1" t="str" cm="1">
        <f t="array" ref="E258">_xlfn.XLOOKUP(Total[[#This Row],[Tecnología]]&amp;Total[[#This Row],[Problema]],TbNombres[Tecnología]&amp;TbNombres[Problema],TbNombres[Nombre])</f>
        <v>Simple Advdiff</v>
      </c>
      <c r="F258" s="1">
        <v>3</v>
      </c>
      <c r="G258" s="1">
        <v>1</v>
      </c>
      <c r="H258" s="1">
        <v>16</v>
      </c>
      <c r="I258" s="1">
        <v>200</v>
      </c>
      <c r="J258" s="1">
        <v>200</v>
      </c>
      <c r="K258" s="1">
        <v>30.1144</v>
      </c>
    </row>
    <row r="259" spans="2:11" x14ac:dyDescent="0.2">
      <c r="B259" s="5" t="str">
        <f>_xlfn.XLOOKUP(Total[[#This Row],[Metodo]],TbSolver[Metodo],TbSolver[Solver])</f>
        <v>AdamsBashford</v>
      </c>
      <c r="C259" s="5" t="str">
        <f>_xlfn.XLOOKUP(Total[[#This Row],[Hebras]],TbTecnologia[Hebras],TbTecnologia[Tecnología])</f>
        <v>OMP</v>
      </c>
      <c r="D259" s="5" t="str" cm="1">
        <f t="array" ref="D259">_xlfn.XLOOKUP(Total[[#This Row],[Tecnología]]&amp;Total[[#This Row],[Metodo]],TbTipos[Tecnología]&amp;TbTipos[Metodo],TbTipos[Tipo])</f>
        <v>OMP Operaciones</v>
      </c>
      <c r="E259" s="1" t="str" cm="1">
        <f t="array" ref="E259">_xlfn.XLOOKUP(Total[[#This Row],[Tecnología]]&amp;Total[[#This Row],[Problema]],TbNombres[Tecnología]&amp;TbNombres[Problema],TbNombres[Nombre])</f>
        <v>Simple Advdiff</v>
      </c>
      <c r="F259" s="1">
        <v>3</v>
      </c>
      <c r="G259" s="1">
        <v>1</v>
      </c>
      <c r="H259" s="1">
        <v>1</v>
      </c>
      <c r="I259" s="1">
        <v>500</v>
      </c>
      <c r="J259" s="1">
        <v>500</v>
      </c>
      <c r="K259" s="1">
        <v>2.0038</v>
      </c>
    </row>
    <row r="260" spans="2:11" x14ac:dyDescent="0.2">
      <c r="B260" s="5" t="str">
        <f>_xlfn.XLOOKUP(Total[[#This Row],[Metodo]],TbSolver[Metodo],TbSolver[Solver])</f>
        <v>AdamsBashford</v>
      </c>
      <c r="C260" s="5" t="str">
        <f>_xlfn.XLOOKUP(Total[[#This Row],[Hebras]],TbTecnologia[Hebras],TbTecnologia[Tecnología])</f>
        <v>OMP</v>
      </c>
      <c r="D260" s="5" t="str" cm="1">
        <f t="array" ref="D260">_xlfn.XLOOKUP(Total[[#This Row],[Tecnología]]&amp;Total[[#This Row],[Metodo]],TbTipos[Tecnología]&amp;TbTipos[Metodo],TbTipos[Tipo])</f>
        <v>OMP Operaciones</v>
      </c>
      <c r="E260" s="1" t="str" cm="1">
        <f t="array" ref="E260">_xlfn.XLOOKUP(Total[[#This Row],[Tecnología]]&amp;Total[[#This Row],[Problema]],TbNombres[Tecnología]&amp;TbNombres[Problema],TbNombres[Nombre])</f>
        <v>Simple Advdiff</v>
      </c>
      <c r="F260" s="1">
        <v>3</v>
      </c>
      <c r="G260" s="1">
        <v>1</v>
      </c>
      <c r="H260" s="1">
        <v>4</v>
      </c>
      <c r="I260" s="1">
        <v>500</v>
      </c>
      <c r="J260" s="1">
        <v>500</v>
      </c>
      <c r="K260" s="1">
        <v>14.3193</v>
      </c>
    </row>
    <row r="261" spans="2:11" x14ac:dyDescent="0.2">
      <c r="B261" s="5" t="str">
        <f>_xlfn.XLOOKUP(Total[[#This Row],[Metodo]],TbSolver[Metodo],TbSolver[Solver])</f>
        <v>AdamsBashford</v>
      </c>
      <c r="C261" s="5" t="str">
        <f>_xlfn.XLOOKUP(Total[[#This Row],[Hebras]],TbTecnologia[Hebras],TbTecnologia[Tecnología])</f>
        <v>OMP</v>
      </c>
      <c r="D261" s="5" t="str" cm="1">
        <f t="array" ref="D261">_xlfn.XLOOKUP(Total[[#This Row],[Tecnología]]&amp;Total[[#This Row],[Metodo]],TbTipos[Tecnología]&amp;TbTipos[Metodo],TbTipos[Tipo])</f>
        <v>OMP Operaciones</v>
      </c>
      <c r="E261" s="1" t="str" cm="1">
        <f t="array" ref="E261">_xlfn.XLOOKUP(Total[[#This Row],[Tecnología]]&amp;Total[[#This Row],[Problema]],TbNombres[Tecnología]&amp;TbNombres[Problema],TbNombres[Nombre])</f>
        <v>Simple Advdiff</v>
      </c>
      <c r="F261" s="1">
        <v>3</v>
      </c>
      <c r="G261" s="1">
        <v>1</v>
      </c>
      <c r="H261" s="1">
        <v>16</v>
      </c>
      <c r="I261" s="1">
        <v>500</v>
      </c>
      <c r="J261" s="1">
        <v>500</v>
      </c>
      <c r="K261" s="1">
        <v>28.5822</v>
      </c>
    </row>
    <row r="262" spans="2:11" x14ac:dyDescent="0.2">
      <c r="B262" s="5" t="str">
        <f>_xlfn.XLOOKUP(Total[[#This Row],[Metodo]],TbSolver[Metodo],TbSolver[Solver])</f>
        <v>AdamsBashford</v>
      </c>
      <c r="C262" s="5" t="str">
        <f>_xlfn.XLOOKUP(Total[[#This Row],[Hebras]],TbTecnologia[Hebras],TbTecnologia[Tecnología])</f>
        <v>OMP</v>
      </c>
      <c r="D262" s="5" t="str" cm="1">
        <f t="array" ref="D262">_xlfn.XLOOKUP(Total[[#This Row],[Tecnología]]&amp;Total[[#This Row],[Metodo]],TbTipos[Tecnología]&amp;TbTipos[Metodo],TbTipos[Tipo])</f>
        <v>OMP Operaciones</v>
      </c>
      <c r="E262" s="1" t="str" cm="1">
        <f t="array" ref="E262">_xlfn.XLOOKUP(Total[[#This Row],[Tecnología]]&amp;Total[[#This Row],[Problema]],TbNombres[Tecnología]&amp;TbNombres[Problema],TbNombres[Nombre])</f>
        <v>Simple Advdiff</v>
      </c>
      <c r="F262" s="1">
        <v>3</v>
      </c>
      <c r="G262" s="1">
        <v>1</v>
      </c>
      <c r="H262" s="1">
        <v>1</v>
      </c>
      <c r="I262" s="1">
        <v>1000</v>
      </c>
      <c r="J262" s="1">
        <v>1000</v>
      </c>
      <c r="K262" s="1">
        <v>3.1231499999999999</v>
      </c>
    </row>
    <row r="263" spans="2:11" x14ac:dyDescent="0.2">
      <c r="B263" s="5" t="str">
        <f>_xlfn.XLOOKUP(Total[[#This Row],[Metodo]],TbSolver[Metodo],TbSolver[Solver])</f>
        <v>AdamsBashford</v>
      </c>
      <c r="C263" s="5" t="str">
        <f>_xlfn.XLOOKUP(Total[[#This Row],[Hebras]],TbTecnologia[Hebras],TbTecnologia[Tecnología])</f>
        <v>OMP</v>
      </c>
      <c r="D263" s="5" t="str" cm="1">
        <f t="array" ref="D263">_xlfn.XLOOKUP(Total[[#This Row],[Tecnología]]&amp;Total[[#This Row],[Metodo]],TbTipos[Tecnología]&amp;TbTipos[Metodo],TbTipos[Tipo])</f>
        <v>OMP Operaciones</v>
      </c>
      <c r="E263" s="1" t="str" cm="1">
        <f t="array" ref="E263">_xlfn.XLOOKUP(Total[[#This Row],[Tecnología]]&amp;Total[[#This Row],[Problema]],TbNombres[Tecnología]&amp;TbNombres[Problema],TbNombres[Nombre])</f>
        <v>Simple Advdiff</v>
      </c>
      <c r="F263" s="1">
        <v>3</v>
      </c>
      <c r="G263" s="1">
        <v>1</v>
      </c>
      <c r="H263" s="1">
        <v>4</v>
      </c>
      <c r="I263" s="1">
        <v>1000</v>
      </c>
      <c r="J263" s="1">
        <v>1000</v>
      </c>
      <c r="K263" s="1">
        <v>13.0106</v>
      </c>
    </row>
    <row r="264" spans="2:11" x14ac:dyDescent="0.2">
      <c r="B264" s="5" t="str">
        <f>_xlfn.XLOOKUP(Total[[#This Row],[Metodo]],TbSolver[Metodo],TbSolver[Solver])</f>
        <v>AdamsBashford</v>
      </c>
      <c r="C264" s="5" t="str">
        <f>_xlfn.XLOOKUP(Total[[#This Row],[Hebras]],TbTecnologia[Hebras],TbTecnologia[Tecnología])</f>
        <v>OMP</v>
      </c>
      <c r="D264" s="5" t="str" cm="1">
        <f t="array" ref="D264">_xlfn.XLOOKUP(Total[[#This Row],[Tecnología]]&amp;Total[[#This Row],[Metodo]],TbTipos[Tecnología]&amp;TbTipos[Metodo],TbTipos[Tipo])</f>
        <v>OMP Operaciones</v>
      </c>
      <c r="E264" s="1" t="str" cm="1">
        <f t="array" ref="E264">_xlfn.XLOOKUP(Total[[#This Row],[Tecnología]]&amp;Total[[#This Row],[Problema]],TbNombres[Tecnología]&amp;TbNombres[Problema],TbNombres[Nombre])</f>
        <v>Simple Advdiff</v>
      </c>
      <c r="F264" s="1">
        <v>3</v>
      </c>
      <c r="G264" s="1">
        <v>1</v>
      </c>
      <c r="H264" s="1">
        <v>16</v>
      </c>
      <c r="I264" s="1">
        <v>1000</v>
      </c>
      <c r="J264" s="1">
        <v>1000</v>
      </c>
      <c r="K264" s="1">
        <v>31.720600000000001</v>
      </c>
    </row>
    <row r="265" spans="2:11" x14ac:dyDescent="0.2">
      <c r="B265" s="5" t="str">
        <f>_xlfn.XLOOKUP(Total[[#This Row],[Metodo]],TbSolver[Metodo],TbSolver[Solver])</f>
        <v>AdamsBashford</v>
      </c>
      <c r="C265" s="5" t="str">
        <f>_xlfn.XLOOKUP(Total[[#This Row],[Hebras]],TbTecnologia[Hebras],TbTecnologia[Tecnología])</f>
        <v>OMP</v>
      </c>
      <c r="D265" s="5" t="str" cm="1">
        <f t="array" ref="D265">_xlfn.XLOOKUP(Total[[#This Row],[Tecnología]]&amp;Total[[#This Row],[Metodo]],TbTipos[Tecnología]&amp;TbTipos[Metodo],TbTipos[Tipo])</f>
        <v>OMP Elementos</v>
      </c>
      <c r="E265" s="1" t="str" cm="1">
        <f t="array" ref="E265">_xlfn.XLOOKUP(Total[[#This Row],[Tecnología]]&amp;Total[[#This Row],[Problema]],TbNombres[Tecnología]&amp;TbNombres[Problema],TbNombres[Nombre])</f>
        <v>Simple Advdiff</v>
      </c>
      <c r="F265" s="1">
        <v>4</v>
      </c>
      <c r="G265" s="1">
        <v>1</v>
      </c>
      <c r="H265" s="1">
        <v>1</v>
      </c>
      <c r="I265" s="1">
        <v>100</v>
      </c>
      <c r="J265" s="1">
        <v>100</v>
      </c>
      <c r="K265" s="1">
        <v>0.96739799999999998</v>
      </c>
    </row>
    <row r="266" spans="2:11" x14ac:dyDescent="0.2">
      <c r="B266" s="5" t="str">
        <f>_xlfn.XLOOKUP(Total[[#This Row],[Metodo]],TbSolver[Metodo],TbSolver[Solver])</f>
        <v>AdamsBashford</v>
      </c>
      <c r="C266" s="5" t="str">
        <f>_xlfn.XLOOKUP(Total[[#This Row],[Hebras]],TbTecnologia[Hebras],TbTecnologia[Tecnología])</f>
        <v>OMP</v>
      </c>
      <c r="D266" s="5" t="str" cm="1">
        <f t="array" ref="D266">_xlfn.XLOOKUP(Total[[#This Row],[Tecnología]]&amp;Total[[#This Row],[Metodo]],TbTipos[Tecnología]&amp;TbTipos[Metodo],TbTipos[Tipo])</f>
        <v>OMP Elementos</v>
      </c>
      <c r="E266" s="1" t="str" cm="1">
        <f t="array" ref="E266">_xlfn.XLOOKUP(Total[[#This Row],[Tecnología]]&amp;Total[[#This Row],[Problema]],TbNombres[Tecnología]&amp;TbNombres[Problema],TbNombres[Nombre])</f>
        <v>Simple Advdiff</v>
      </c>
      <c r="F266" s="1">
        <v>4</v>
      </c>
      <c r="G266" s="1">
        <v>1</v>
      </c>
      <c r="H266" s="1">
        <v>4</v>
      </c>
      <c r="I266" s="1">
        <v>100</v>
      </c>
      <c r="J266" s="1">
        <v>100</v>
      </c>
      <c r="K266" s="1">
        <v>4.3358400000000001</v>
      </c>
    </row>
    <row r="267" spans="2:11" x14ac:dyDescent="0.2">
      <c r="B267" s="5" t="str">
        <f>_xlfn.XLOOKUP(Total[[#This Row],[Metodo]],TbSolver[Metodo],TbSolver[Solver])</f>
        <v>AdamsBashford</v>
      </c>
      <c r="C267" s="5" t="str">
        <f>_xlfn.XLOOKUP(Total[[#This Row],[Hebras]],TbTecnologia[Hebras],TbTecnologia[Tecnología])</f>
        <v>OMP</v>
      </c>
      <c r="D267" s="5" t="str" cm="1">
        <f t="array" ref="D267">_xlfn.XLOOKUP(Total[[#This Row],[Tecnología]]&amp;Total[[#This Row],[Metodo]],TbTipos[Tecnología]&amp;TbTipos[Metodo],TbTipos[Tipo])</f>
        <v>OMP Elementos</v>
      </c>
      <c r="E267" s="1" t="str" cm="1">
        <f t="array" ref="E267">_xlfn.XLOOKUP(Total[[#This Row],[Tecnología]]&amp;Total[[#This Row],[Problema]],TbNombres[Tecnología]&amp;TbNombres[Problema],TbNombres[Nombre])</f>
        <v>Simple Advdiff</v>
      </c>
      <c r="F267" s="1">
        <v>4</v>
      </c>
      <c r="G267" s="1">
        <v>1</v>
      </c>
      <c r="H267" s="1">
        <v>16</v>
      </c>
      <c r="I267" s="1">
        <v>100</v>
      </c>
      <c r="J267" s="1">
        <v>100</v>
      </c>
      <c r="K267" s="1">
        <v>18.105</v>
      </c>
    </row>
    <row r="268" spans="2:11" x14ac:dyDescent="0.2">
      <c r="B268" s="5" t="str">
        <f>_xlfn.XLOOKUP(Total[[#This Row],[Metodo]],TbSolver[Metodo],TbSolver[Solver])</f>
        <v>AdamsBashford</v>
      </c>
      <c r="C268" s="5" t="str">
        <f>_xlfn.XLOOKUP(Total[[#This Row],[Hebras]],TbTecnologia[Hebras],TbTecnologia[Tecnología])</f>
        <v>OMP</v>
      </c>
      <c r="D268" s="5" t="str" cm="1">
        <f t="array" ref="D268">_xlfn.XLOOKUP(Total[[#This Row],[Tecnología]]&amp;Total[[#This Row],[Metodo]],TbTipos[Tecnología]&amp;TbTipos[Metodo],TbTipos[Tipo])</f>
        <v>OMP Elementos</v>
      </c>
      <c r="E268" s="1" t="str" cm="1">
        <f t="array" ref="E268">_xlfn.XLOOKUP(Total[[#This Row],[Tecnología]]&amp;Total[[#This Row],[Problema]],TbNombres[Tecnología]&amp;TbNombres[Problema],TbNombres[Nombre])</f>
        <v>Simple Advdiff</v>
      </c>
      <c r="F268" s="1">
        <v>4</v>
      </c>
      <c r="G268" s="1">
        <v>1</v>
      </c>
      <c r="H268" s="1">
        <v>1</v>
      </c>
      <c r="I268" s="1">
        <v>200</v>
      </c>
      <c r="J268" s="1">
        <v>200</v>
      </c>
      <c r="K268" s="1">
        <v>1.4582599999999999</v>
      </c>
    </row>
    <row r="269" spans="2:11" x14ac:dyDescent="0.2">
      <c r="B269" s="5" t="str">
        <f>_xlfn.XLOOKUP(Total[[#This Row],[Metodo]],TbSolver[Metodo],TbSolver[Solver])</f>
        <v>AdamsBashford</v>
      </c>
      <c r="C269" s="5" t="str">
        <f>_xlfn.XLOOKUP(Total[[#This Row],[Hebras]],TbTecnologia[Hebras],TbTecnologia[Tecnología])</f>
        <v>OMP</v>
      </c>
      <c r="D269" s="5" t="str" cm="1">
        <f t="array" ref="D269">_xlfn.XLOOKUP(Total[[#This Row],[Tecnología]]&amp;Total[[#This Row],[Metodo]],TbTipos[Tecnología]&amp;TbTipos[Metodo],TbTipos[Tipo])</f>
        <v>OMP Elementos</v>
      </c>
      <c r="E269" s="1" t="str" cm="1">
        <f t="array" ref="E269">_xlfn.XLOOKUP(Total[[#This Row],[Tecnología]]&amp;Total[[#This Row],[Problema]],TbNombres[Tecnología]&amp;TbNombres[Problema],TbNombres[Nombre])</f>
        <v>Simple Advdiff</v>
      </c>
      <c r="F269" s="1">
        <v>4</v>
      </c>
      <c r="G269" s="1">
        <v>1</v>
      </c>
      <c r="H269" s="1">
        <v>4</v>
      </c>
      <c r="I269" s="1">
        <v>200</v>
      </c>
      <c r="J269" s="1">
        <v>200</v>
      </c>
      <c r="K269" s="1">
        <v>4.4360600000000003</v>
      </c>
    </row>
    <row r="270" spans="2:11" x14ac:dyDescent="0.2">
      <c r="B270" s="5" t="str">
        <f>_xlfn.XLOOKUP(Total[[#This Row],[Metodo]],TbSolver[Metodo],TbSolver[Solver])</f>
        <v>AdamsBashford</v>
      </c>
      <c r="C270" s="5" t="str">
        <f>_xlfn.XLOOKUP(Total[[#This Row],[Hebras]],TbTecnologia[Hebras],TbTecnologia[Tecnología])</f>
        <v>OMP</v>
      </c>
      <c r="D270" s="5" t="str" cm="1">
        <f t="array" ref="D270">_xlfn.XLOOKUP(Total[[#This Row],[Tecnología]]&amp;Total[[#This Row],[Metodo]],TbTipos[Tecnología]&amp;TbTipos[Metodo],TbTipos[Tipo])</f>
        <v>OMP Elementos</v>
      </c>
      <c r="E270" s="1" t="str" cm="1">
        <f t="array" ref="E270">_xlfn.XLOOKUP(Total[[#This Row],[Tecnología]]&amp;Total[[#This Row],[Problema]],TbNombres[Tecnología]&amp;TbNombres[Problema],TbNombres[Nombre])</f>
        <v>Simple Advdiff</v>
      </c>
      <c r="F270" s="1">
        <v>4</v>
      </c>
      <c r="G270" s="1">
        <v>1</v>
      </c>
      <c r="H270" s="1">
        <v>16</v>
      </c>
      <c r="I270" s="1">
        <v>200</v>
      </c>
      <c r="J270" s="1">
        <v>200</v>
      </c>
      <c r="K270" s="1">
        <v>11.6637</v>
      </c>
    </row>
    <row r="271" spans="2:11" x14ac:dyDescent="0.2">
      <c r="B271" s="5" t="str">
        <f>_xlfn.XLOOKUP(Total[[#This Row],[Metodo]],TbSolver[Metodo],TbSolver[Solver])</f>
        <v>AdamsBashford</v>
      </c>
      <c r="C271" s="5" t="str">
        <f>_xlfn.XLOOKUP(Total[[#This Row],[Hebras]],TbTecnologia[Hebras],TbTecnologia[Tecnología])</f>
        <v>OMP</v>
      </c>
      <c r="D271" s="5" t="str" cm="1">
        <f t="array" ref="D271">_xlfn.XLOOKUP(Total[[#This Row],[Tecnología]]&amp;Total[[#This Row],[Metodo]],TbTipos[Tecnología]&amp;TbTipos[Metodo],TbTipos[Tipo])</f>
        <v>OMP Elementos</v>
      </c>
      <c r="E271" s="1" t="str" cm="1">
        <f t="array" ref="E271">_xlfn.XLOOKUP(Total[[#This Row],[Tecnología]]&amp;Total[[#This Row],[Problema]],TbNombres[Tecnología]&amp;TbNombres[Problema],TbNombres[Nombre])</f>
        <v>Simple Advdiff</v>
      </c>
      <c r="F271" s="1">
        <v>4</v>
      </c>
      <c r="G271" s="1">
        <v>1</v>
      </c>
      <c r="H271" s="1">
        <v>1</v>
      </c>
      <c r="I271" s="1">
        <v>500</v>
      </c>
      <c r="J271" s="1">
        <v>500</v>
      </c>
      <c r="K271" s="1">
        <v>2.9785400000000002</v>
      </c>
    </row>
    <row r="272" spans="2:11" x14ac:dyDescent="0.2">
      <c r="B272" s="5" t="str">
        <f>_xlfn.XLOOKUP(Total[[#This Row],[Metodo]],TbSolver[Metodo],TbSolver[Solver])</f>
        <v>AdamsBashford</v>
      </c>
      <c r="C272" s="5" t="str">
        <f>_xlfn.XLOOKUP(Total[[#This Row],[Hebras]],TbTecnologia[Hebras],TbTecnologia[Tecnología])</f>
        <v>OMP</v>
      </c>
      <c r="D272" s="5" t="str" cm="1">
        <f t="array" ref="D272">_xlfn.XLOOKUP(Total[[#This Row],[Tecnología]]&amp;Total[[#This Row],[Metodo]],TbTipos[Tecnología]&amp;TbTipos[Metodo],TbTipos[Tipo])</f>
        <v>OMP Elementos</v>
      </c>
      <c r="E272" s="1" t="str" cm="1">
        <f t="array" ref="E272">_xlfn.XLOOKUP(Total[[#This Row],[Tecnología]]&amp;Total[[#This Row],[Problema]],TbNombres[Tecnología]&amp;TbNombres[Problema],TbNombres[Nombre])</f>
        <v>Simple Advdiff</v>
      </c>
      <c r="F272" s="1">
        <v>4</v>
      </c>
      <c r="G272" s="1">
        <v>1</v>
      </c>
      <c r="H272" s="1">
        <v>4</v>
      </c>
      <c r="I272" s="1">
        <v>500</v>
      </c>
      <c r="J272" s="1">
        <v>500</v>
      </c>
      <c r="K272" s="1">
        <v>5.1633300000000002</v>
      </c>
    </row>
    <row r="273" spans="2:11" x14ac:dyDescent="0.2">
      <c r="B273" s="5" t="str">
        <f>_xlfn.XLOOKUP(Total[[#This Row],[Metodo]],TbSolver[Metodo],TbSolver[Solver])</f>
        <v>AdamsBashford</v>
      </c>
      <c r="C273" s="5" t="str">
        <f>_xlfn.XLOOKUP(Total[[#This Row],[Hebras]],TbTecnologia[Hebras],TbTecnologia[Tecnología])</f>
        <v>OMP</v>
      </c>
      <c r="D273" s="5" t="str" cm="1">
        <f t="array" ref="D273">_xlfn.XLOOKUP(Total[[#This Row],[Tecnología]]&amp;Total[[#This Row],[Metodo]],TbTipos[Tecnología]&amp;TbTipos[Metodo],TbTipos[Tipo])</f>
        <v>OMP Elementos</v>
      </c>
      <c r="E273" s="1" t="str" cm="1">
        <f t="array" ref="E273">_xlfn.XLOOKUP(Total[[#This Row],[Tecnología]]&amp;Total[[#This Row],[Problema]],TbNombres[Tecnología]&amp;TbNombres[Problema],TbNombres[Nombre])</f>
        <v>Simple Advdiff</v>
      </c>
      <c r="F273" s="1">
        <v>4</v>
      </c>
      <c r="G273" s="1">
        <v>1</v>
      </c>
      <c r="H273" s="1">
        <v>16</v>
      </c>
      <c r="I273" s="1">
        <v>500</v>
      </c>
      <c r="J273" s="1">
        <v>500</v>
      </c>
      <c r="K273" s="1">
        <v>26.898399999999999</v>
      </c>
    </row>
    <row r="274" spans="2:11" x14ac:dyDescent="0.2">
      <c r="B274" s="5" t="str">
        <f>_xlfn.XLOOKUP(Total[[#This Row],[Metodo]],TbSolver[Metodo],TbSolver[Solver])</f>
        <v>AdamsBashford</v>
      </c>
      <c r="C274" s="5" t="str">
        <f>_xlfn.XLOOKUP(Total[[#This Row],[Hebras]],TbTecnologia[Hebras],TbTecnologia[Tecnología])</f>
        <v>OMP</v>
      </c>
      <c r="D274" s="5" t="str" cm="1">
        <f t="array" ref="D274">_xlfn.XLOOKUP(Total[[#This Row],[Tecnología]]&amp;Total[[#This Row],[Metodo]],TbTipos[Tecnología]&amp;TbTipos[Metodo],TbTipos[Tipo])</f>
        <v>OMP Elementos</v>
      </c>
      <c r="E274" s="1" t="str" cm="1">
        <f t="array" ref="E274">_xlfn.XLOOKUP(Total[[#This Row],[Tecnología]]&amp;Total[[#This Row],[Problema]],TbNombres[Tecnología]&amp;TbNombres[Problema],TbNombres[Nombre])</f>
        <v>Simple Advdiff</v>
      </c>
      <c r="F274" s="1">
        <v>4</v>
      </c>
      <c r="G274" s="1">
        <v>1</v>
      </c>
      <c r="H274" s="1">
        <v>1</v>
      </c>
      <c r="I274" s="1">
        <v>1000</v>
      </c>
      <c r="J274" s="1">
        <v>1000</v>
      </c>
      <c r="K274" s="1">
        <v>5.4117899999999999</v>
      </c>
    </row>
    <row r="275" spans="2:11" x14ac:dyDescent="0.2">
      <c r="B275" s="5" t="str">
        <f>_xlfn.XLOOKUP(Total[[#This Row],[Metodo]],TbSolver[Metodo],TbSolver[Solver])</f>
        <v>AdamsBashford</v>
      </c>
      <c r="C275" s="5" t="str">
        <f>_xlfn.XLOOKUP(Total[[#This Row],[Hebras]],TbTecnologia[Hebras],TbTecnologia[Tecnología])</f>
        <v>OMP</v>
      </c>
      <c r="D275" s="5" t="str" cm="1">
        <f t="array" ref="D275">_xlfn.XLOOKUP(Total[[#This Row],[Tecnología]]&amp;Total[[#This Row],[Metodo]],TbTipos[Tecnología]&amp;TbTipos[Metodo],TbTipos[Tipo])</f>
        <v>OMP Elementos</v>
      </c>
      <c r="E275" s="1" t="str" cm="1">
        <f t="array" ref="E275">_xlfn.XLOOKUP(Total[[#This Row],[Tecnología]]&amp;Total[[#This Row],[Problema]],TbNombres[Tecnología]&amp;TbNombres[Problema],TbNombres[Nombre])</f>
        <v>Simple Advdiff</v>
      </c>
      <c r="F275" s="1">
        <v>4</v>
      </c>
      <c r="G275" s="1">
        <v>1</v>
      </c>
      <c r="H275" s="1">
        <v>4</v>
      </c>
      <c r="I275" s="1">
        <v>1000</v>
      </c>
      <c r="J275" s="1">
        <v>1000</v>
      </c>
      <c r="K275" s="1">
        <v>5.3016199999999998</v>
      </c>
    </row>
    <row r="276" spans="2:11" x14ac:dyDescent="0.2">
      <c r="B276" s="5" t="str">
        <f>_xlfn.XLOOKUP(Total[[#This Row],[Metodo]],TbSolver[Metodo],TbSolver[Solver])</f>
        <v>AdamsBashford</v>
      </c>
      <c r="C276" s="5" t="str">
        <f>_xlfn.XLOOKUP(Total[[#This Row],[Hebras]],TbTecnologia[Hebras],TbTecnologia[Tecnología])</f>
        <v>OMP</v>
      </c>
      <c r="D276" s="5" t="str" cm="1">
        <f t="array" ref="D276">_xlfn.XLOOKUP(Total[[#This Row],[Tecnología]]&amp;Total[[#This Row],[Metodo]],TbTipos[Tecnología]&amp;TbTipos[Metodo],TbTipos[Tipo])</f>
        <v>OMP Elementos</v>
      </c>
      <c r="E276" s="1" t="str" cm="1">
        <f t="array" ref="E276">_xlfn.XLOOKUP(Total[[#This Row],[Tecnología]]&amp;Total[[#This Row],[Problema]],TbNombres[Tecnología]&amp;TbNombres[Problema],TbNombres[Nombre])</f>
        <v>Simple Advdiff</v>
      </c>
      <c r="F276" s="1">
        <v>4</v>
      </c>
      <c r="G276" s="1">
        <v>1</v>
      </c>
      <c r="H276" s="1">
        <v>16</v>
      </c>
      <c r="I276" s="1">
        <v>1000</v>
      </c>
      <c r="J276" s="1">
        <v>1000</v>
      </c>
      <c r="K276" s="1">
        <v>9.2106399999999997</v>
      </c>
    </row>
    <row r="277" spans="2:11" x14ac:dyDescent="0.2">
      <c r="B277" s="5" t="str">
        <f>_xlfn.XLOOKUP(Total[[#This Row],[Metodo]],TbSolver[Metodo],TbSolver[Solver])</f>
        <v>AdamsBashford</v>
      </c>
      <c r="C277" s="5" t="str">
        <f>_xlfn.XLOOKUP(Total[[#This Row],[Hebras]],TbTecnologia[Hebras],TbTecnologia[Tecnología])</f>
        <v>CUDA</v>
      </c>
      <c r="D277" s="2" t="str" cm="1">
        <f t="array" ref="D277">_xlfn.XLOOKUP(Total[[#This Row],[Tecnología]]&amp;Total[[#This Row],[Metodo]],TbTipos[Tecnología]&amp;TbTipos[Metodo],TbTipos[Tipo])</f>
        <v>CUDA sin graph</v>
      </c>
      <c r="E277" s="2" t="str" cm="1">
        <f t="array" ref="E277">_xlfn.XLOOKUP(Total[[#This Row],[Tecnología]]&amp;Total[[#This Row],[Problema]],TbNombres[Tecnología]&amp;TbNombres[Problema],TbNombres[Nombre])</f>
        <v>Advdiff1d</v>
      </c>
      <c r="F277" s="2">
        <v>3</v>
      </c>
      <c r="G277" s="2">
        <v>3</v>
      </c>
      <c r="H277" s="2">
        <v>256</v>
      </c>
      <c r="I277" s="11">
        <v>100</v>
      </c>
      <c r="J277" s="2">
        <v>100</v>
      </c>
      <c r="K277" s="2">
        <v>5.5731599999999997</v>
      </c>
    </row>
    <row r="278" spans="2:11" x14ac:dyDescent="0.2">
      <c r="B278" s="5" t="str">
        <f>_xlfn.XLOOKUP(Total[[#This Row],[Metodo]],TbSolver[Metodo],TbSolver[Solver])</f>
        <v>AdamsBashford</v>
      </c>
      <c r="C278" s="5" t="str">
        <f>_xlfn.XLOOKUP(Total[[#This Row],[Hebras]],TbTecnologia[Hebras],TbTecnologia[Tecnología])</f>
        <v>CUDA</v>
      </c>
      <c r="D278" s="2" t="str" cm="1">
        <f t="array" ref="D278">_xlfn.XLOOKUP(Total[[#This Row],[Tecnología]]&amp;Total[[#This Row],[Metodo]],TbTipos[Tecnología]&amp;TbTipos[Metodo],TbTipos[Tipo])</f>
        <v>CUDA sin graph</v>
      </c>
      <c r="E278" s="2" t="str" cm="1">
        <f t="array" ref="E278">_xlfn.XLOOKUP(Total[[#This Row],[Tecnología]]&amp;Total[[#This Row],[Problema]],TbNombres[Tecnología]&amp;TbNombres[Problema],TbNombres[Nombre])</f>
        <v>Advdiff1d</v>
      </c>
      <c r="F278" s="2">
        <v>3</v>
      </c>
      <c r="G278" s="2">
        <v>4</v>
      </c>
      <c r="H278" s="2">
        <v>256</v>
      </c>
      <c r="I278" s="12">
        <v>100</v>
      </c>
      <c r="J278" s="2">
        <v>100</v>
      </c>
      <c r="K278" s="2">
        <v>5.7496799999999997</v>
      </c>
    </row>
    <row r="279" spans="2:11" x14ac:dyDescent="0.2">
      <c r="B279" s="5" t="str">
        <f>_xlfn.XLOOKUP(Total[[#This Row],[Metodo]],TbSolver[Metodo],TbSolver[Solver])</f>
        <v>AdamsBashford</v>
      </c>
      <c r="C279" s="5" t="str">
        <f>_xlfn.XLOOKUP(Total[[#This Row],[Hebras]],TbTecnologia[Hebras],TbTecnologia[Tecnología])</f>
        <v>CUDA</v>
      </c>
      <c r="D279" s="2" t="str" cm="1">
        <f t="array" ref="D279">_xlfn.XLOOKUP(Total[[#This Row],[Tecnología]]&amp;Total[[#This Row],[Metodo]],TbTipos[Tecnología]&amp;TbTipos[Metodo],TbTipos[Tipo])</f>
        <v>CUDA sin graph</v>
      </c>
      <c r="E279" s="2" t="str" cm="1">
        <f t="array" ref="E279">_xlfn.XLOOKUP(Total[[#This Row],[Tecnología]]&amp;Total[[#This Row],[Problema]],TbNombres[Tecnología]&amp;TbNombres[Problema],TbNombres[Nombre])</f>
        <v>Advdiff1d</v>
      </c>
      <c r="F279" s="2">
        <v>3</v>
      </c>
      <c r="G279" s="2">
        <v>3</v>
      </c>
      <c r="H279" s="2">
        <v>256</v>
      </c>
      <c r="I279" s="11">
        <v>200</v>
      </c>
      <c r="J279" s="2">
        <v>200</v>
      </c>
      <c r="K279" s="2">
        <v>7.4048800000000004</v>
      </c>
    </row>
    <row r="280" spans="2:11" x14ac:dyDescent="0.2">
      <c r="B280" s="5" t="str">
        <f>_xlfn.XLOOKUP(Total[[#This Row],[Metodo]],TbSolver[Metodo],TbSolver[Solver])</f>
        <v>AdamsBashford</v>
      </c>
      <c r="C280" s="5" t="str">
        <f>_xlfn.XLOOKUP(Total[[#This Row],[Hebras]],TbTecnologia[Hebras],TbTecnologia[Tecnología])</f>
        <v>CUDA</v>
      </c>
      <c r="D280" s="2" t="str" cm="1">
        <f t="array" ref="D280">_xlfn.XLOOKUP(Total[[#This Row],[Tecnología]]&amp;Total[[#This Row],[Metodo]],TbTipos[Tecnología]&amp;TbTipos[Metodo],TbTipos[Tipo])</f>
        <v>CUDA sin graph</v>
      </c>
      <c r="E280" s="2" t="str" cm="1">
        <f t="array" ref="E280">_xlfn.XLOOKUP(Total[[#This Row],[Tecnología]]&amp;Total[[#This Row],[Problema]],TbNombres[Tecnología]&amp;TbNombres[Problema],TbNombres[Nombre])</f>
        <v>Advdiff1d</v>
      </c>
      <c r="F280" s="2">
        <v>3</v>
      </c>
      <c r="G280" s="2">
        <v>4</v>
      </c>
      <c r="H280" s="2">
        <v>256</v>
      </c>
      <c r="I280" s="12">
        <v>200</v>
      </c>
      <c r="J280" s="2">
        <v>200</v>
      </c>
      <c r="K280" s="2">
        <v>7.5563900000000004</v>
      </c>
    </row>
    <row r="281" spans="2:11" x14ac:dyDescent="0.2">
      <c r="B281" s="5" t="str">
        <f>_xlfn.XLOOKUP(Total[[#This Row],[Metodo]],TbSolver[Metodo],TbSolver[Solver])</f>
        <v>AdamsBashford</v>
      </c>
      <c r="C281" s="5" t="str">
        <f>_xlfn.XLOOKUP(Total[[#This Row],[Hebras]],TbTecnologia[Hebras],TbTecnologia[Tecnología])</f>
        <v>CUDA</v>
      </c>
      <c r="D281" s="2" t="str" cm="1">
        <f t="array" ref="D281">_xlfn.XLOOKUP(Total[[#This Row],[Tecnología]]&amp;Total[[#This Row],[Metodo]],TbTipos[Tecnología]&amp;TbTipos[Metodo],TbTipos[Tipo])</f>
        <v>CUDA sin graph</v>
      </c>
      <c r="E281" s="2" t="str" cm="1">
        <f t="array" ref="E281">_xlfn.XLOOKUP(Total[[#This Row],[Tecnología]]&amp;Total[[#This Row],[Problema]],TbNombres[Tecnología]&amp;TbNombres[Problema],TbNombres[Nombre])</f>
        <v>Advdiff1d</v>
      </c>
      <c r="F281" s="2">
        <v>3</v>
      </c>
      <c r="G281" s="2">
        <v>3</v>
      </c>
      <c r="H281" s="2">
        <v>256</v>
      </c>
      <c r="I281" s="11">
        <v>500</v>
      </c>
      <c r="J281" s="2">
        <v>500</v>
      </c>
      <c r="K281" s="2">
        <v>7.9539900000000001</v>
      </c>
    </row>
    <row r="282" spans="2:11" x14ac:dyDescent="0.2">
      <c r="B282" s="5" t="str">
        <f>_xlfn.XLOOKUP(Total[[#This Row],[Metodo]],TbSolver[Metodo],TbSolver[Solver])</f>
        <v>AdamsBashford</v>
      </c>
      <c r="C282" s="5" t="str">
        <f>_xlfn.XLOOKUP(Total[[#This Row],[Hebras]],TbTecnologia[Hebras],TbTecnologia[Tecnología])</f>
        <v>CUDA</v>
      </c>
      <c r="D282" s="2" t="str" cm="1">
        <f t="array" ref="D282">_xlfn.XLOOKUP(Total[[#This Row],[Tecnología]]&amp;Total[[#This Row],[Metodo]],TbTipos[Tecnología]&amp;TbTipos[Metodo],TbTipos[Tipo])</f>
        <v>CUDA sin graph</v>
      </c>
      <c r="E282" s="2" t="str" cm="1">
        <f t="array" ref="E282">_xlfn.XLOOKUP(Total[[#This Row],[Tecnología]]&amp;Total[[#This Row],[Problema]],TbNombres[Tecnología]&amp;TbNombres[Problema],TbNombres[Nombre])</f>
        <v>Advdiff1d</v>
      </c>
      <c r="F282" s="2">
        <v>3</v>
      </c>
      <c r="G282" s="2">
        <v>4</v>
      </c>
      <c r="H282" s="2">
        <v>256</v>
      </c>
      <c r="I282" s="12">
        <v>500</v>
      </c>
      <c r="J282" s="2">
        <v>500</v>
      </c>
      <c r="K282" s="2">
        <v>8.2047600000000003</v>
      </c>
    </row>
    <row r="283" spans="2:11" x14ac:dyDescent="0.2">
      <c r="B283" s="5" t="str">
        <f>_xlfn.XLOOKUP(Total[[#This Row],[Metodo]],TbSolver[Metodo],TbSolver[Solver])</f>
        <v>AdamsBashford</v>
      </c>
      <c r="C283" s="5" t="str">
        <f>_xlfn.XLOOKUP(Total[[#This Row],[Hebras]],TbTecnologia[Hebras],TbTecnologia[Tecnología])</f>
        <v>CUDA</v>
      </c>
      <c r="D283" s="2" t="str" cm="1">
        <f t="array" ref="D283">_xlfn.XLOOKUP(Total[[#This Row],[Tecnología]]&amp;Total[[#This Row],[Metodo]],TbTipos[Tecnología]&amp;TbTipos[Metodo],TbTipos[Tipo])</f>
        <v>CUDA sin graph</v>
      </c>
      <c r="E283" s="2" t="str" cm="1">
        <f t="array" ref="E283">_xlfn.XLOOKUP(Total[[#This Row],[Tecnología]]&amp;Total[[#This Row],[Problema]],TbNombres[Tecnología]&amp;TbNombres[Problema],TbNombres[Nombre])</f>
        <v>Advdiff1d</v>
      </c>
      <c r="F283" s="2">
        <v>3</v>
      </c>
      <c r="G283" s="2">
        <v>3</v>
      </c>
      <c r="H283" s="2">
        <v>256</v>
      </c>
      <c r="I283" s="11">
        <v>1000</v>
      </c>
      <c r="J283" s="2">
        <v>1000</v>
      </c>
      <c r="K283" s="2">
        <v>7.9650100000000004</v>
      </c>
    </row>
    <row r="284" spans="2:11" x14ac:dyDescent="0.2">
      <c r="B284" s="5" t="str">
        <f>_xlfn.XLOOKUP(Total[[#This Row],[Metodo]],TbSolver[Metodo],TbSolver[Solver])</f>
        <v>AdamsBashford</v>
      </c>
      <c r="C284" s="5" t="str">
        <f>_xlfn.XLOOKUP(Total[[#This Row],[Hebras]],TbTecnologia[Hebras],TbTecnologia[Tecnología])</f>
        <v>CUDA</v>
      </c>
      <c r="D284" s="2" t="str" cm="1">
        <f t="array" ref="D284">_xlfn.XLOOKUP(Total[[#This Row],[Tecnología]]&amp;Total[[#This Row],[Metodo]],TbTipos[Tecnología]&amp;TbTipos[Metodo],TbTipos[Tipo])</f>
        <v>CUDA sin graph</v>
      </c>
      <c r="E284" s="2" t="str" cm="1">
        <f t="array" ref="E284">_xlfn.XLOOKUP(Total[[#This Row],[Tecnología]]&amp;Total[[#This Row],[Problema]],TbNombres[Tecnología]&amp;TbNombres[Problema],TbNombres[Nombre])</f>
        <v>Advdiff1d</v>
      </c>
      <c r="F284" s="2">
        <v>3</v>
      </c>
      <c r="G284" s="2">
        <v>4</v>
      </c>
      <c r="H284" s="2">
        <v>256</v>
      </c>
      <c r="I284" s="12">
        <v>1000</v>
      </c>
      <c r="J284" s="2">
        <v>1000</v>
      </c>
      <c r="K284" s="2">
        <v>8.2463099999999994</v>
      </c>
    </row>
    <row r="285" spans="2:11" x14ac:dyDescent="0.2">
      <c r="B285" s="5" t="str">
        <f>_xlfn.XLOOKUP(Total[[#This Row],[Metodo]],TbSolver[Metodo],TbSolver[Solver])</f>
        <v>AdamsBashford</v>
      </c>
      <c r="C285" s="5" t="str">
        <f>_xlfn.XLOOKUP(Total[[#This Row],[Hebras]],TbTecnologia[Hebras],TbTecnologia[Tecnología])</f>
        <v>CUDA</v>
      </c>
      <c r="D285" s="2" t="str" cm="1">
        <f t="array" ref="D285">_xlfn.XLOOKUP(Total[[#This Row],[Tecnología]]&amp;Total[[#This Row],[Metodo]],TbTipos[Tecnología]&amp;TbTipos[Metodo],TbTipos[Tipo])</f>
        <v>CUDA sin graph</v>
      </c>
      <c r="E285" s="2" t="str" cm="1">
        <f t="array" ref="E285">_xlfn.XLOOKUP(Total[[#This Row],[Tecnología]]&amp;Total[[#This Row],[Problema]],TbNombres[Tecnología]&amp;TbNombres[Problema],TbNombres[Nombre])</f>
        <v>Advdiff1d</v>
      </c>
      <c r="F285" s="2">
        <v>3</v>
      </c>
      <c r="G285" s="2">
        <v>3</v>
      </c>
      <c r="H285" s="2">
        <v>256</v>
      </c>
      <c r="I285" s="11">
        <v>2000</v>
      </c>
      <c r="J285" s="2">
        <v>2000</v>
      </c>
      <c r="K285" s="2">
        <v>7.9771400000000003</v>
      </c>
    </row>
    <row r="286" spans="2:11" x14ac:dyDescent="0.2">
      <c r="B286" s="5" t="str">
        <f>_xlfn.XLOOKUP(Total[[#This Row],[Metodo]],TbSolver[Metodo],TbSolver[Solver])</f>
        <v>AdamsBashford</v>
      </c>
      <c r="C286" s="5" t="str">
        <f>_xlfn.XLOOKUP(Total[[#This Row],[Hebras]],TbTecnologia[Hebras],TbTecnologia[Tecnología])</f>
        <v>CUDA</v>
      </c>
      <c r="D286" s="2" t="str" cm="1">
        <f t="array" ref="D286">_xlfn.XLOOKUP(Total[[#This Row],[Tecnología]]&amp;Total[[#This Row],[Metodo]],TbTipos[Tecnología]&amp;TbTipos[Metodo],TbTipos[Tipo])</f>
        <v>CUDA sin graph</v>
      </c>
      <c r="E286" s="2" t="str" cm="1">
        <f t="array" ref="E286">_xlfn.XLOOKUP(Total[[#This Row],[Tecnología]]&amp;Total[[#This Row],[Problema]],TbNombres[Tecnología]&amp;TbNombres[Problema],TbNombres[Nombre])</f>
        <v>Advdiff1d</v>
      </c>
      <c r="F286" s="2">
        <v>3</v>
      </c>
      <c r="G286" s="2">
        <v>4</v>
      </c>
      <c r="H286" s="2">
        <v>256</v>
      </c>
      <c r="I286" s="12">
        <v>2000</v>
      </c>
      <c r="J286" s="2">
        <v>2000</v>
      </c>
      <c r="K286" s="2">
        <v>8.2349999999999994</v>
      </c>
    </row>
    <row r="287" spans="2:11" x14ac:dyDescent="0.2">
      <c r="B287" s="5" t="str">
        <f>_xlfn.XLOOKUP(Total[[#This Row],[Metodo]],TbSolver[Metodo],TbSolver[Solver])</f>
        <v>AdamsBashford</v>
      </c>
      <c r="C287" s="5" t="str">
        <f>_xlfn.XLOOKUP(Total[[#This Row],[Hebras]],TbTecnologia[Hebras],TbTecnologia[Tecnología])</f>
        <v>CUDA</v>
      </c>
      <c r="D287" s="2" t="str" cm="1">
        <f t="array" ref="D287">_xlfn.XLOOKUP(Total[[#This Row],[Tecnología]]&amp;Total[[#This Row],[Metodo]],TbTipos[Tecnología]&amp;TbTipos[Metodo],TbTipos[Tipo])</f>
        <v>CUDA sin graph</v>
      </c>
      <c r="E287" s="2" t="str" cm="1">
        <f t="array" ref="E287">_xlfn.XLOOKUP(Total[[#This Row],[Tecnología]]&amp;Total[[#This Row],[Problema]],TbNombres[Tecnología]&amp;TbNombres[Problema],TbNombres[Nombre])</f>
        <v>Advdiff1d</v>
      </c>
      <c r="F287" s="2">
        <v>3</v>
      </c>
      <c r="G287" s="2">
        <v>3</v>
      </c>
      <c r="H287" s="2">
        <v>256</v>
      </c>
      <c r="I287" s="11">
        <v>5000</v>
      </c>
      <c r="J287" s="2">
        <v>5000</v>
      </c>
      <c r="K287" s="2">
        <v>8.0784800000000008</v>
      </c>
    </row>
    <row r="288" spans="2:11" x14ac:dyDescent="0.2">
      <c r="B288" s="5" t="str">
        <f>_xlfn.XLOOKUP(Total[[#This Row],[Metodo]],TbSolver[Metodo],TbSolver[Solver])</f>
        <v>AdamsBashford</v>
      </c>
      <c r="C288" s="5" t="str">
        <f>_xlfn.XLOOKUP(Total[[#This Row],[Hebras]],TbTecnologia[Hebras],TbTecnologia[Tecnología])</f>
        <v>CUDA</v>
      </c>
      <c r="D288" s="2" t="str" cm="1">
        <f t="array" ref="D288">_xlfn.XLOOKUP(Total[[#This Row],[Tecnología]]&amp;Total[[#This Row],[Metodo]],TbTipos[Tecnología]&amp;TbTipos[Metodo],TbTipos[Tipo])</f>
        <v>CUDA sin graph</v>
      </c>
      <c r="E288" s="2" t="str" cm="1">
        <f t="array" ref="E288">_xlfn.XLOOKUP(Total[[#This Row],[Tecnología]]&amp;Total[[#This Row],[Problema]],TbNombres[Tecnología]&amp;TbNombres[Problema],TbNombres[Nombre])</f>
        <v>Advdiff1d</v>
      </c>
      <c r="F288" s="2">
        <v>3</v>
      </c>
      <c r="G288" s="2">
        <v>4</v>
      </c>
      <c r="H288" s="2">
        <v>256</v>
      </c>
      <c r="I288" s="12">
        <v>5000</v>
      </c>
      <c r="J288" s="2">
        <v>5000</v>
      </c>
      <c r="K288" s="2">
        <v>8.4013799999999996</v>
      </c>
    </row>
    <row r="289" spans="2:11" x14ac:dyDescent="0.2">
      <c r="B289" s="5" t="str">
        <f>_xlfn.XLOOKUP(Total[[#This Row],[Metodo]],TbSolver[Metodo],TbSolver[Solver])</f>
        <v>AdamsBashford</v>
      </c>
      <c r="C289" s="5" t="str">
        <f>_xlfn.XLOOKUP(Total[[#This Row],[Hebras]],TbTecnologia[Hebras],TbTecnologia[Tecnología])</f>
        <v>CUDA</v>
      </c>
      <c r="D289" s="2" t="str" cm="1">
        <f t="array" ref="D289">_xlfn.XLOOKUP(Total[[#This Row],[Tecnología]]&amp;Total[[#This Row],[Metodo]],TbTipos[Tecnología]&amp;TbTipos[Metodo],TbTipos[Tipo])</f>
        <v>CUDA sin graph</v>
      </c>
      <c r="E289" s="2" t="str" cm="1">
        <f t="array" ref="E289">_xlfn.XLOOKUP(Total[[#This Row],[Tecnología]]&amp;Total[[#This Row],[Problema]],TbNombres[Tecnología]&amp;TbNombres[Problema],TbNombres[Nombre])</f>
        <v>Advdiff1d</v>
      </c>
      <c r="F289" s="2">
        <v>3</v>
      </c>
      <c r="G289" s="2">
        <v>3</v>
      </c>
      <c r="H289" s="2">
        <v>256</v>
      </c>
      <c r="I289" s="11">
        <v>10000</v>
      </c>
      <c r="J289" s="2">
        <v>10000</v>
      </c>
      <c r="K289" s="2">
        <v>8.1387099999999997</v>
      </c>
    </row>
    <row r="290" spans="2:11" x14ac:dyDescent="0.2">
      <c r="B290" s="5" t="str">
        <f>_xlfn.XLOOKUP(Total[[#This Row],[Metodo]],TbSolver[Metodo],TbSolver[Solver])</f>
        <v>AdamsBashford</v>
      </c>
      <c r="C290" s="5" t="str">
        <f>_xlfn.XLOOKUP(Total[[#This Row],[Hebras]],TbTecnologia[Hebras],TbTecnologia[Tecnología])</f>
        <v>CUDA</v>
      </c>
      <c r="D290" s="2" t="str" cm="1">
        <f t="array" ref="D290">_xlfn.XLOOKUP(Total[[#This Row],[Tecnología]]&amp;Total[[#This Row],[Metodo]],TbTipos[Tecnología]&amp;TbTipos[Metodo],TbTipos[Tipo])</f>
        <v>CUDA sin graph</v>
      </c>
      <c r="E290" s="2" t="str" cm="1">
        <f t="array" ref="E290">_xlfn.XLOOKUP(Total[[#This Row],[Tecnología]]&amp;Total[[#This Row],[Problema]],TbNombres[Tecnología]&amp;TbNombres[Problema],TbNombres[Nombre])</f>
        <v>Advdiff1d</v>
      </c>
      <c r="F290" s="2">
        <v>3</v>
      </c>
      <c r="G290" s="2">
        <v>3</v>
      </c>
      <c r="H290" s="2">
        <v>256</v>
      </c>
      <c r="I290" s="12">
        <v>10000</v>
      </c>
      <c r="J290" s="2">
        <v>10000</v>
      </c>
      <c r="K290" s="2">
        <v>8.2031299999999998</v>
      </c>
    </row>
    <row r="291" spans="2:11" x14ac:dyDescent="0.2">
      <c r="B291" s="5" t="str">
        <f>_xlfn.XLOOKUP(Total[[#This Row],[Metodo]],TbSolver[Metodo],TbSolver[Solver])</f>
        <v>AdamsBashford</v>
      </c>
      <c r="C291" s="5" t="str">
        <f>_xlfn.XLOOKUP(Total[[#This Row],[Hebras]],TbTecnologia[Hebras],TbTecnologia[Tecnología])</f>
        <v>CUDA</v>
      </c>
      <c r="D291" s="2" t="str" cm="1">
        <f t="array" ref="D291">_xlfn.XLOOKUP(Total[[#This Row],[Tecnología]]&amp;Total[[#This Row],[Metodo]],TbTipos[Tecnología]&amp;TbTipos[Metodo],TbTipos[Tipo])</f>
        <v>CUDA sin graph</v>
      </c>
      <c r="E291" s="2" t="str" cm="1">
        <f t="array" ref="E291">_xlfn.XLOOKUP(Total[[#This Row],[Tecnología]]&amp;Total[[#This Row],[Problema]],TbNombres[Tecnología]&amp;TbNombres[Problema],TbNombres[Nombre])</f>
        <v>Advdiff1d</v>
      </c>
      <c r="F291" s="2">
        <v>3</v>
      </c>
      <c r="G291" s="2">
        <v>4</v>
      </c>
      <c r="H291" s="2">
        <v>256</v>
      </c>
      <c r="I291" s="11">
        <v>10000</v>
      </c>
      <c r="J291" s="2">
        <v>10000</v>
      </c>
      <c r="K291" s="2">
        <v>8.5543399999999998</v>
      </c>
    </row>
    <row r="292" spans="2:11" x14ac:dyDescent="0.2">
      <c r="B292" s="5" t="str">
        <f>_xlfn.XLOOKUP(Total[[#This Row],[Metodo]],TbSolver[Metodo],TbSolver[Solver])</f>
        <v>AdamsBashford</v>
      </c>
      <c r="C292" s="5" t="str">
        <f>_xlfn.XLOOKUP(Total[[#This Row],[Hebras]],TbTecnologia[Hebras],TbTecnologia[Tecnología])</f>
        <v>CUDA</v>
      </c>
      <c r="D292" s="2" t="str" cm="1">
        <f t="array" ref="D292">_xlfn.XLOOKUP(Total[[#This Row],[Tecnología]]&amp;Total[[#This Row],[Metodo]],TbTipos[Tecnología]&amp;TbTipos[Metodo],TbTipos[Tipo])</f>
        <v>CUDA sin graph</v>
      </c>
      <c r="E292" s="2" t="str" cm="1">
        <f t="array" ref="E292">_xlfn.XLOOKUP(Total[[#This Row],[Tecnología]]&amp;Total[[#This Row],[Problema]],TbNombres[Tecnología]&amp;TbNombres[Problema],TbNombres[Nombre])</f>
        <v>Advdiff1d</v>
      </c>
      <c r="F292" s="2">
        <v>3</v>
      </c>
      <c r="G292" s="2">
        <v>3</v>
      </c>
      <c r="H292" s="2">
        <v>256</v>
      </c>
      <c r="I292" s="12">
        <v>20000</v>
      </c>
      <c r="J292" s="2">
        <v>20000</v>
      </c>
      <c r="K292" s="2">
        <v>13.3919</v>
      </c>
    </row>
    <row r="293" spans="2:11" x14ac:dyDescent="0.2">
      <c r="B293" s="5" t="str">
        <f>_xlfn.XLOOKUP(Total[[#This Row],[Metodo]],TbSolver[Metodo],TbSolver[Solver])</f>
        <v>AdamsBashford</v>
      </c>
      <c r="C293" s="5" t="str">
        <f>_xlfn.XLOOKUP(Total[[#This Row],[Hebras]],TbTecnologia[Hebras],TbTecnologia[Tecnología])</f>
        <v>CUDA</v>
      </c>
      <c r="D293" s="2" t="str" cm="1">
        <f t="array" ref="D293">_xlfn.XLOOKUP(Total[[#This Row],[Tecnología]]&amp;Total[[#This Row],[Metodo]],TbTipos[Tecnología]&amp;TbTipos[Metodo],TbTipos[Tipo])</f>
        <v>CUDA sin graph</v>
      </c>
      <c r="E293" s="2" t="str" cm="1">
        <f t="array" ref="E293">_xlfn.XLOOKUP(Total[[#This Row],[Tecnología]]&amp;Total[[#This Row],[Problema]],TbNombres[Tecnología]&amp;TbNombres[Problema],TbNombres[Nombre])</f>
        <v>Advdiff1d</v>
      </c>
      <c r="F293" s="2">
        <v>3</v>
      </c>
      <c r="G293" s="2">
        <v>3</v>
      </c>
      <c r="H293" s="2">
        <v>256</v>
      </c>
      <c r="I293" s="11">
        <v>20000</v>
      </c>
      <c r="J293" s="2">
        <v>20000</v>
      </c>
      <c r="K293" s="2">
        <v>13.4343</v>
      </c>
    </row>
    <row r="294" spans="2:11" x14ac:dyDescent="0.2">
      <c r="B294" s="5" t="str">
        <f>_xlfn.XLOOKUP(Total[[#This Row],[Metodo]],TbSolver[Metodo],TbSolver[Solver])</f>
        <v>AdamsBashford</v>
      </c>
      <c r="C294" s="5" t="str">
        <f>_xlfn.XLOOKUP(Total[[#This Row],[Hebras]],TbTecnologia[Hebras],TbTecnologia[Tecnología])</f>
        <v>CUDA</v>
      </c>
      <c r="D294" s="2" t="str" cm="1">
        <f t="array" ref="D294">_xlfn.XLOOKUP(Total[[#This Row],[Tecnología]]&amp;Total[[#This Row],[Metodo]],TbTipos[Tecnología]&amp;TbTipos[Metodo],TbTipos[Tipo])</f>
        <v>CUDA sin graph</v>
      </c>
      <c r="E294" s="2" t="str" cm="1">
        <f t="array" ref="E294">_xlfn.XLOOKUP(Total[[#This Row],[Tecnología]]&amp;Total[[#This Row],[Problema]],TbNombres[Tecnología]&amp;TbNombres[Problema],TbNombres[Nombre])</f>
        <v>Advdiff1d</v>
      </c>
      <c r="F294" s="2">
        <v>3</v>
      </c>
      <c r="G294" s="2">
        <v>4</v>
      </c>
      <c r="H294" s="2">
        <v>256</v>
      </c>
      <c r="I294" s="12">
        <v>20000</v>
      </c>
      <c r="J294" s="2">
        <v>20000</v>
      </c>
      <c r="K294" s="2">
        <v>13.844200000000001</v>
      </c>
    </row>
    <row r="295" spans="2:11" x14ac:dyDescent="0.2">
      <c r="B295" s="5" t="str">
        <f>_xlfn.XLOOKUP(Total[[#This Row],[Metodo]],TbSolver[Metodo],TbSolver[Solver])</f>
        <v>AdamsBashford</v>
      </c>
      <c r="C295" s="5" t="str">
        <f>_xlfn.XLOOKUP(Total[[#This Row],[Hebras]],TbTecnologia[Hebras],TbTecnologia[Tecnología])</f>
        <v>CUDA</v>
      </c>
      <c r="D295" s="2" t="str" cm="1">
        <f t="array" ref="D295">_xlfn.XLOOKUP(Total[[#This Row],[Tecnología]]&amp;Total[[#This Row],[Metodo]],TbTipos[Tecnología]&amp;TbTipos[Metodo],TbTipos[Tipo])</f>
        <v>CUDA sin graph</v>
      </c>
      <c r="E295" s="2" t="str" cm="1">
        <f t="array" ref="E295">_xlfn.XLOOKUP(Total[[#This Row],[Tecnología]]&amp;Total[[#This Row],[Problema]],TbNombres[Tecnología]&amp;TbNombres[Problema],TbNombres[Nombre])</f>
        <v>Advdiff1d</v>
      </c>
      <c r="F295" s="2">
        <v>3</v>
      </c>
      <c r="G295" s="2">
        <v>3</v>
      </c>
      <c r="H295" s="2">
        <v>256</v>
      </c>
      <c r="I295" s="11">
        <v>50000</v>
      </c>
      <c r="J295" s="2">
        <v>50000</v>
      </c>
      <c r="K295" s="2">
        <v>18.884899999999998</v>
      </c>
    </row>
    <row r="296" spans="2:11" x14ac:dyDescent="0.2">
      <c r="B296" s="5" t="str">
        <f>_xlfn.XLOOKUP(Total[[#This Row],[Metodo]],TbSolver[Metodo],TbSolver[Solver])</f>
        <v>AdamsBashford</v>
      </c>
      <c r="C296" s="5" t="str">
        <f>_xlfn.XLOOKUP(Total[[#This Row],[Hebras]],TbTecnologia[Hebras],TbTecnologia[Tecnología])</f>
        <v>CUDA</v>
      </c>
      <c r="D296" s="2" t="str" cm="1">
        <f t="array" ref="D296">_xlfn.XLOOKUP(Total[[#This Row],[Tecnología]]&amp;Total[[#This Row],[Metodo]],TbTipos[Tecnología]&amp;TbTipos[Metodo],TbTipos[Tipo])</f>
        <v>CUDA sin graph</v>
      </c>
      <c r="E296" s="2" t="str" cm="1">
        <f t="array" ref="E296">_xlfn.XLOOKUP(Total[[#This Row],[Tecnología]]&amp;Total[[#This Row],[Problema]],TbNombres[Tecnología]&amp;TbNombres[Problema],TbNombres[Nombre])</f>
        <v>Advdiff1d</v>
      </c>
      <c r="F296" s="2">
        <v>3</v>
      </c>
      <c r="G296" s="2">
        <v>3</v>
      </c>
      <c r="H296" s="2">
        <v>256</v>
      </c>
      <c r="I296" s="12">
        <v>50000</v>
      </c>
      <c r="J296" s="2">
        <v>50000</v>
      </c>
      <c r="K296" s="2">
        <v>19.1632</v>
      </c>
    </row>
    <row r="297" spans="2:11" x14ac:dyDescent="0.2">
      <c r="B297" s="5" t="str">
        <f>_xlfn.XLOOKUP(Total[[#This Row],[Metodo]],TbSolver[Metodo],TbSolver[Solver])</f>
        <v>AdamsBashford</v>
      </c>
      <c r="C297" s="5" t="str">
        <f>_xlfn.XLOOKUP(Total[[#This Row],[Hebras]],TbTecnologia[Hebras],TbTecnologia[Tecnología])</f>
        <v>CUDA</v>
      </c>
      <c r="D297" s="2" t="str" cm="1">
        <f t="array" ref="D297">_xlfn.XLOOKUP(Total[[#This Row],[Tecnología]]&amp;Total[[#This Row],[Metodo]],TbTipos[Tecnología]&amp;TbTipos[Metodo],TbTipos[Tipo])</f>
        <v>CUDA sin graph</v>
      </c>
      <c r="E297" s="2" t="str" cm="1">
        <f t="array" ref="E297">_xlfn.XLOOKUP(Total[[#This Row],[Tecnología]]&amp;Total[[#This Row],[Problema]],TbNombres[Tecnología]&amp;TbNombres[Problema],TbNombres[Nombre])</f>
        <v>Advdiff1d</v>
      </c>
      <c r="F297" s="2">
        <v>3</v>
      </c>
      <c r="G297" s="2">
        <v>4</v>
      </c>
      <c r="H297" s="2">
        <v>256</v>
      </c>
      <c r="I297" s="11">
        <v>50000</v>
      </c>
      <c r="J297" s="2">
        <v>50000</v>
      </c>
      <c r="K297" s="2">
        <v>19.390899999999998</v>
      </c>
    </row>
    <row r="298" spans="2:11" x14ac:dyDescent="0.2">
      <c r="B298" s="5" t="str">
        <f>_xlfn.XLOOKUP(Total[[#This Row],[Metodo]],TbSolver[Metodo],TbSolver[Solver])</f>
        <v>AdamsBashford</v>
      </c>
      <c r="C298" s="5" t="str">
        <f>_xlfn.XLOOKUP(Total[[#This Row],[Hebras]],TbTecnologia[Hebras],TbTecnologia[Tecnología])</f>
        <v>CUDA</v>
      </c>
      <c r="D298" s="2" t="str" cm="1">
        <f t="array" ref="D298">_xlfn.XLOOKUP(Total[[#This Row],[Tecnología]]&amp;Total[[#This Row],[Metodo]],TbTipos[Tecnología]&amp;TbTipos[Metodo],TbTipos[Tipo])</f>
        <v>CUDA sin graph</v>
      </c>
      <c r="E298" s="2" t="str" cm="1">
        <f t="array" ref="E298">_xlfn.XLOOKUP(Total[[#This Row],[Tecnología]]&amp;Total[[#This Row],[Problema]],TbNombres[Tecnología]&amp;TbNombres[Problema],TbNombres[Nombre])</f>
        <v>Advdiff1d</v>
      </c>
      <c r="F298" s="2">
        <v>3</v>
      </c>
      <c r="G298" s="2">
        <v>3</v>
      </c>
      <c r="H298" s="2">
        <v>256</v>
      </c>
      <c r="I298" s="12">
        <v>100000</v>
      </c>
      <c r="J298" s="2">
        <v>100000</v>
      </c>
      <c r="K298" s="2">
        <v>34.9452</v>
      </c>
    </row>
    <row r="299" spans="2:11" x14ac:dyDescent="0.2">
      <c r="B299" s="5" t="str">
        <f>_xlfn.XLOOKUP(Total[[#This Row],[Metodo]],TbSolver[Metodo],TbSolver[Solver])</f>
        <v>AdamsBashford</v>
      </c>
      <c r="C299" s="5" t="str">
        <f>_xlfn.XLOOKUP(Total[[#This Row],[Hebras]],TbTecnologia[Hebras],TbTecnologia[Tecnología])</f>
        <v>CUDA</v>
      </c>
      <c r="D299" s="2" t="str" cm="1">
        <f t="array" ref="D299">_xlfn.XLOOKUP(Total[[#This Row],[Tecnología]]&amp;Total[[#This Row],[Metodo]],TbTipos[Tecnología]&amp;TbTipos[Metodo],TbTipos[Tipo])</f>
        <v>CUDA sin graph</v>
      </c>
      <c r="E299" s="2" t="str" cm="1">
        <f t="array" ref="E299">_xlfn.XLOOKUP(Total[[#This Row],[Tecnología]]&amp;Total[[#This Row],[Problema]],TbNombres[Tecnología]&amp;TbNombres[Problema],TbNombres[Nombre])</f>
        <v>Advdiff1d</v>
      </c>
      <c r="F299" s="2">
        <v>3</v>
      </c>
      <c r="G299" s="2">
        <v>4</v>
      </c>
      <c r="H299" s="2">
        <v>256</v>
      </c>
      <c r="I299" s="11">
        <v>100000</v>
      </c>
      <c r="J299" s="2">
        <v>100000</v>
      </c>
      <c r="K299" s="2">
        <v>35.499600000000001</v>
      </c>
    </row>
    <row r="300" spans="2:11" x14ac:dyDescent="0.2">
      <c r="B300" s="5" t="str">
        <f>_xlfn.XLOOKUP(Total[[#This Row],[Metodo]],TbSolver[Metodo],TbSolver[Solver])</f>
        <v>AdamsBashford</v>
      </c>
      <c r="C300" s="5" t="str">
        <f>_xlfn.XLOOKUP(Total[[#This Row],[Hebras]],TbTecnologia[Hebras],TbTecnologia[Tecnología])</f>
        <v>CUDA</v>
      </c>
      <c r="D300" s="2" t="str" cm="1">
        <f t="array" ref="D300">_xlfn.XLOOKUP(Total[[#This Row],[Tecnología]]&amp;Total[[#This Row],[Metodo]],TbTipos[Tecnología]&amp;TbTipos[Metodo],TbTipos[Tipo])</f>
        <v>CUDA sin graph</v>
      </c>
      <c r="E300" s="2" t="str" cm="1">
        <f t="array" ref="E300">_xlfn.XLOOKUP(Total[[#This Row],[Tecnología]]&amp;Total[[#This Row],[Problema]],TbNombres[Tecnología]&amp;TbNombres[Problema],TbNombres[Nombre])</f>
        <v>Advdiff1d</v>
      </c>
      <c r="F300" s="2">
        <v>3</v>
      </c>
      <c r="G300" s="2">
        <v>3</v>
      </c>
      <c r="H300" s="2">
        <v>256</v>
      </c>
      <c r="I300" s="12">
        <v>100000</v>
      </c>
      <c r="J300" s="2">
        <v>100000</v>
      </c>
      <c r="K300" s="2">
        <v>35.513500000000001</v>
      </c>
    </row>
    <row r="301" spans="2:11" x14ac:dyDescent="0.2">
      <c r="B301" s="5" t="str">
        <f>_xlfn.XLOOKUP(Total[[#This Row],[Metodo]],TbSolver[Metodo],TbSolver[Solver])</f>
        <v>AdamsBashford</v>
      </c>
      <c r="C301" s="5" t="str">
        <f>_xlfn.XLOOKUP(Total[[#This Row],[Hebras]],TbTecnologia[Hebras],TbTecnologia[Tecnología])</f>
        <v>CUDA</v>
      </c>
      <c r="D301" s="2" t="str" cm="1">
        <f t="array" ref="D301">_xlfn.XLOOKUP(Total[[#This Row],[Tecnología]]&amp;Total[[#This Row],[Metodo]],TbTipos[Tecnología]&amp;TbTipos[Metodo],TbTipos[Tipo])</f>
        <v>CUDA sin graph</v>
      </c>
      <c r="E301" s="2" t="str" cm="1">
        <f t="array" ref="E301">_xlfn.XLOOKUP(Total[[#This Row],[Tecnología]]&amp;Total[[#This Row],[Problema]],TbNombres[Tecnología]&amp;TbNombres[Problema],TbNombres[Nombre])</f>
        <v>Advdiff1d</v>
      </c>
      <c r="F301" s="2">
        <v>3</v>
      </c>
      <c r="G301" s="2">
        <v>3</v>
      </c>
      <c r="H301" s="2">
        <v>256</v>
      </c>
      <c r="I301" s="11">
        <v>200000</v>
      </c>
      <c r="J301" s="2">
        <v>200000</v>
      </c>
      <c r="K301" s="2">
        <v>75.826099999999997</v>
      </c>
    </row>
    <row r="302" spans="2:11" x14ac:dyDescent="0.2">
      <c r="B302" s="5" t="str">
        <f>_xlfn.XLOOKUP(Total[[#This Row],[Metodo]],TbSolver[Metodo],TbSolver[Solver])</f>
        <v>AdamsBashford</v>
      </c>
      <c r="C302" s="5" t="str">
        <f>_xlfn.XLOOKUP(Total[[#This Row],[Hebras]],TbTecnologia[Hebras],TbTecnologia[Tecnología])</f>
        <v>CUDA</v>
      </c>
      <c r="D302" s="2" t="str" cm="1">
        <f t="array" ref="D302">_xlfn.XLOOKUP(Total[[#This Row],[Tecnología]]&amp;Total[[#This Row],[Metodo]],TbTipos[Tecnología]&amp;TbTipos[Metodo],TbTipos[Tipo])</f>
        <v>CUDA sin graph</v>
      </c>
      <c r="E302" s="2" t="str" cm="1">
        <f t="array" ref="E302">_xlfn.XLOOKUP(Total[[#This Row],[Tecnología]]&amp;Total[[#This Row],[Problema]],TbNombres[Tecnología]&amp;TbNombres[Problema],TbNombres[Nombre])</f>
        <v>Advdiff1d</v>
      </c>
      <c r="F302" s="2">
        <v>3</v>
      </c>
      <c r="G302" s="2">
        <v>4</v>
      </c>
      <c r="H302" s="2">
        <v>256</v>
      </c>
      <c r="I302" s="12">
        <v>200000</v>
      </c>
      <c r="J302" s="2">
        <v>200000</v>
      </c>
      <c r="K302" s="2">
        <v>76.363900000000001</v>
      </c>
    </row>
    <row r="303" spans="2:11" x14ac:dyDescent="0.2">
      <c r="B303" s="5" t="str">
        <f>_xlfn.XLOOKUP(Total[[#This Row],[Metodo]],TbSolver[Metodo],TbSolver[Solver])</f>
        <v>AdamsBashford</v>
      </c>
      <c r="C303" s="5" t="str">
        <f>_xlfn.XLOOKUP(Total[[#This Row],[Hebras]],TbTecnologia[Hebras],TbTecnologia[Tecnología])</f>
        <v>CUDA</v>
      </c>
      <c r="D303" s="2" t="str" cm="1">
        <f t="array" ref="D303">_xlfn.XLOOKUP(Total[[#This Row],[Tecnología]]&amp;Total[[#This Row],[Metodo]],TbTipos[Tecnología]&amp;TbTipos[Metodo],TbTipos[Tipo])</f>
        <v>CUDA sin graph</v>
      </c>
      <c r="E303" s="2" t="str" cm="1">
        <f t="array" ref="E303">_xlfn.XLOOKUP(Total[[#This Row],[Tecnología]]&amp;Total[[#This Row],[Problema]],TbNombres[Tecnología]&amp;TbNombres[Problema],TbNombres[Nombre])</f>
        <v>Advdiff1d</v>
      </c>
      <c r="F303" s="2">
        <v>3</v>
      </c>
      <c r="G303" s="2">
        <v>3</v>
      </c>
      <c r="H303" s="2">
        <v>256</v>
      </c>
      <c r="I303" s="11">
        <v>200000</v>
      </c>
      <c r="J303" s="2">
        <v>200000</v>
      </c>
      <c r="K303" s="2">
        <v>76.447900000000004</v>
      </c>
    </row>
    <row r="304" spans="2:11" x14ac:dyDescent="0.2">
      <c r="B304" s="5" t="str">
        <f>_xlfn.XLOOKUP(Total[[#This Row],[Metodo]],TbSolver[Metodo],TbSolver[Solver])</f>
        <v>AdamsBashford</v>
      </c>
      <c r="C304" s="5" t="str">
        <f>_xlfn.XLOOKUP(Total[[#This Row],[Hebras]],TbTecnologia[Hebras],TbTecnologia[Tecnología])</f>
        <v>CUDA</v>
      </c>
      <c r="D304" s="2" t="str" cm="1">
        <f t="array" ref="D304">_xlfn.XLOOKUP(Total[[#This Row],[Tecnología]]&amp;Total[[#This Row],[Metodo]],TbTipos[Tecnología]&amp;TbTipos[Metodo],TbTipos[Tipo])</f>
        <v>CUDA con graph</v>
      </c>
      <c r="E304" s="2" t="str" cm="1">
        <f t="array" ref="E304">_xlfn.XLOOKUP(Total[[#This Row],[Tecnología]]&amp;Total[[#This Row],[Problema]],TbNombres[Tecnología]&amp;TbNombres[Problema],TbNombres[Nombre])</f>
        <v>Advdiff1d</v>
      </c>
      <c r="F304" s="2">
        <v>4</v>
      </c>
      <c r="G304" s="2">
        <v>3</v>
      </c>
      <c r="H304" s="2">
        <v>256</v>
      </c>
      <c r="I304" s="12">
        <v>100</v>
      </c>
      <c r="J304" s="2">
        <v>100</v>
      </c>
      <c r="K304" s="2">
        <v>7.1238299999999999</v>
      </c>
    </row>
    <row r="305" spans="2:11" x14ac:dyDescent="0.2">
      <c r="B305" s="5" t="str">
        <f>_xlfn.XLOOKUP(Total[[#This Row],[Metodo]],TbSolver[Metodo],TbSolver[Solver])</f>
        <v>AdamsBashford</v>
      </c>
      <c r="C305" s="5" t="str">
        <f>_xlfn.XLOOKUP(Total[[#This Row],[Hebras]],TbTecnologia[Hebras],TbTecnologia[Tecnología])</f>
        <v>CUDA</v>
      </c>
      <c r="D305" s="2" t="str" cm="1">
        <f t="array" ref="D305">_xlfn.XLOOKUP(Total[[#This Row],[Tecnología]]&amp;Total[[#This Row],[Metodo]],TbTipos[Tecnología]&amp;TbTipos[Metodo],TbTipos[Tipo])</f>
        <v>CUDA con graph</v>
      </c>
      <c r="E305" s="2" t="str" cm="1">
        <f t="array" ref="E305">_xlfn.XLOOKUP(Total[[#This Row],[Tecnología]]&amp;Total[[#This Row],[Problema]],TbNombres[Tecnología]&amp;TbNombres[Problema],TbNombres[Nombre])</f>
        <v>Advdiff1d</v>
      </c>
      <c r="F305" s="2">
        <v>4</v>
      </c>
      <c r="G305" s="2">
        <v>4</v>
      </c>
      <c r="H305" s="2">
        <v>256</v>
      </c>
      <c r="I305" s="11">
        <v>100</v>
      </c>
      <c r="J305" s="2">
        <v>100</v>
      </c>
      <c r="K305" s="2">
        <v>7.2684499999999996</v>
      </c>
    </row>
    <row r="306" spans="2:11" x14ac:dyDescent="0.2">
      <c r="B306" s="5" t="str">
        <f>_xlfn.XLOOKUP(Total[[#This Row],[Metodo]],TbSolver[Metodo],TbSolver[Solver])</f>
        <v>AdamsBashford</v>
      </c>
      <c r="C306" s="5" t="str">
        <f>_xlfn.XLOOKUP(Total[[#This Row],[Hebras]],TbTecnologia[Hebras],TbTecnologia[Tecnología])</f>
        <v>CUDA</v>
      </c>
      <c r="D306" s="2" t="str" cm="1">
        <f t="array" ref="D306">_xlfn.XLOOKUP(Total[[#This Row],[Tecnología]]&amp;Total[[#This Row],[Metodo]],TbTipos[Tecnología]&amp;TbTipos[Metodo],TbTipos[Tipo])</f>
        <v>CUDA con graph</v>
      </c>
      <c r="E306" s="2" t="str" cm="1">
        <f t="array" ref="E306">_xlfn.XLOOKUP(Total[[#This Row],[Tecnología]]&amp;Total[[#This Row],[Problema]],TbNombres[Tecnología]&amp;TbNombres[Problema],TbNombres[Nombre])</f>
        <v>Advdiff1d</v>
      </c>
      <c r="F306" s="2">
        <v>4</v>
      </c>
      <c r="G306" s="2">
        <v>3</v>
      </c>
      <c r="H306" s="2">
        <v>256</v>
      </c>
      <c r="I306" s="12">
        <v>200</v>
      </c>
      <c r="J306" s="2">
        <v>200</v>
      </c>
      <c r="K306" s="2">
        <v>9.0020399999999992</v>
      </c>
    </row>
    <row r="307" spans="2:11" x14ac:dyDescent="0.2">
      <c r="B307" s="5" t="str">
        <f>_xlfn.XLOOKUP(Total[[#This Row],[Metodo]],TbSolver[Metodo],TbSolver[Solver])</f>
        <v>AdamsBashford</v>
      </c>
      <c r="C307" s="5" t="str">
        <f>_xlfn.XLOOKUP(Total[[#This Row],[Hebras]],TbTecnologia[Hebras],TbTecnologia[Tecnología])</f>
        <v>CUDA</v>
      </c>
      <c r="D307" s="2" t="str" cm="1">
        <f t="array" ref="D307">_xlfn.XLOOKUP(Total[[#This Row],[Tecnología]]&amp;Total[[#This Row],[Metodo]],TbTipos[Tecnología]&amp;TbTipos[Metodo],TbTipos[Tipo])</f>
        <v>CUDA con graph</v>
      </c>
      <c r="E307" s="2" t="str" cm="1">
        <f t="array" ref="E307">_xlfn.XLOOKUP(Total[[#This Row],[Tecnología]]&amp;Total[[#This Row],[Problema]],TbNombres[Tecnología]&amp;TbNombres[Problema],TbNombres[Nombre])</f>
        <v>Advdiff1d</v>
      </c>
      <c r="F307" s="2">
        <v>4</v>
      </c>
      <c r="G307" s="2">
        <v>4</v>
      </c>
      <c r="H307" s="2">
        <v>256</v>
      </c>
      <c r="I307" s="11">
        <v>200</v>
      </c>
      <c r="J307" s="2">
        <v>200</v>
      </c>
      <c r="K307" s="2">
        <v>9.1861899999999999</v>
      </c>
    </row>
    <row r="308" spans="2:11" x14ac:dyDescent="0.2">
      <c r="B308" s="5" t="str">
        <f>_xlfn.XLOOKUP(Total[[#This Row],[Metodo]],TbSolver[Metodo],TbSolver[Solver])</f>
        <v>AdamsBashford</v>
      </c>
      <c r="C308" s="5" t="str">
        <f>_xlfn.XLOOKUP(Total[[#This Row],[Hebras]],TbTecnologia[Hebras],TbTecnologia[Tecnología])</f>
        <v>CUDA</v>
      </c>
      <c r="D308" s="2" t="str" cm="1">
        <f t="array" ref="D308">_xlfn.XLOOKUP(Total[[#This Row],[Tecnología]]&amp;Total[[#This Row],[Metodo]],TbTipos[Tecnología]&amp;TbTipos[Metodo],TbTipos[Tipo])</f>
        <v>CUDA con graph</v>
      </c>
      <c r="E308" s="2" t="str" cm="1">
        <f t="array" ref="E308">_xlfn.XLOOKUP(Total[[#This Row],[Tecnología]]&amp;Total[[#This Row],[Problema]],TbNombres[Tecnología]&amp;TbNombres[Problema],TbNombres[Nombre])</f>
        <v>Advdiff1d</v>
      </c>
      <c r="F308" s="2">
        <v>4</v>
      </c>
      <c r="G308" s="2">
        <v>3</v>
      </c>
      <c r="H308" s="2">
        <v>256</v>
      </c>
      <c r="I308" s="12">
        <v>500</v>
      </c>
      <c r="J308" s="2">
        <v>500</v>
      </c>
      <c r="K308" s="2">
        <v>9.6298200000000005</v>
      </c>
    </row>
    <row r="309" spans="2:11" x14ac:dyDescent="0.2">
      <c r="B309" s="5" t="str">
        <f>_xlfn.XLOOKUP(Total[[#This Row],[Metodo]],TbSolver[Metodo],TbSolver[Solver])</f>
        <v>AdamsBashford</v>
      </c>
      <c r="C309" s="5" t="str">
        <f>_xlfn.XLOOKUP(Total[[#This Row],[Hebras]],TbTecnologia[Hebras],TbTecnologia[Tecnología])</f>
        <v>CUDA</v>
      </c>
      <c r="D309" s="2" t="str" cm="1">
        <f t="array" ref="D309">_xlfn.XLOOKUP(Total[[#This Row],[Tecnología]]&amp;Total[[#This Row],[Metodo]],TbTipos[Tecnología]&amp;TbTipos[Metodo],TbTipos[Tipo])</f>
        <v>CUDA con graph</v>
      </c>
      <c r="E309" s="2" t="str" cm="1">
        <f t="array" ref="E309">_xlfn.XLOOKUP(Total[[#This Row],[Tecnología]]&amp;Total[[#This Row],[Problema]],TbNombres[Tecnología]&amp;TbNombres[Problema],TbNombres[Nombre])</f>
        <v>Advdiff1d</v>
      </c>
      <c r="F309" s="2">
        <v>4</v>
      </c>
      <c r="G309" s="2">
        <v>4</v>
      </c>
      <c r="H309" s="2">
        <v>256</v>
      </c>
      <c r="I309" s="11">
        <v>500</v>
      </c>
      <c r="J309" s="2">
        <v>500</v>
      </c>
      <c r="K309" s="2">
        <v>9.8934200000000008</v>
      </c>
    </row>
    <row r="310" spans="2:11" x14ac:dyDescent="0.2">
      <c r="B310" s="5" t="str">
        <f>_xlfn.XLOOKUP(Total[[#This Row],[Metodo]],TbSolver[Metodo],TbSolver[Solver])</f>
        <v>AdamsBashford</v>
      </c>
      <c r="C310" s="5" t="str">
        <f>_xlfn.XLOOKUP(Total[[#This Row],[Hebras]],TbTecnologia[Hebras],TbTecnologia[Tecnología])</f>
        <v>CUDA</v>
      </c>
      <c r="D310" s="2" t="str" cm="1">
        <f t="array" ref="D310">_xlfn.XLOOKUP(Total[[#This Row],[Tecnología]]&amp;Total[[#This Row],[Metodo]],TbTipos[Tecnología]&amp;TbTipos[Metodo],TbTipos[Tipo])</f>
        <v>CUDA con graph</v>
      </c>
      <c r="E310" s="2" t="str" cm="1">
        <f t="array" ref="E310">_xlfn.XLOOKUP(Total[[#This Row],[Tecnología]]&amp;Total[[#This Row],[Problema]],TbNombres[Tecnología]&amp;TbNombres[Problema],TbNombres[Nombre])</f>
        <v>Advdiff1d</v>
      </c>
      <c r="F310" s="2">
        <v>4</v>
      </c>
      <c r="G310" s="2">
        <v>3</v>
      </c>
      <c r="H310" s="2">
        <v>256</v>
      </c>
      <c r="I310" s="12">
        <v>1000</v>
      </c>
      <c r="J310" s="2">
        <v>1000</v>
      </c>
      <c r="K310" s="2">
        <v>9.6440099999999997</v>
      </c>
    </row>
    <row r="311" spans="2:11" x14ac:dyDescent="0.2">
      <c r="B311" s="5" t="str">
        <f>_xlfn.XLOOKUP(Total[[#This Row],[Metodo]],TbSolver[Metodo],TbSolver[Solver])</f>
        <v>AdamsBashford</v>
      </c>
      <c r="C311" s="5" t="str">
        <f>_xlfn.XLOOKUP(Total[[#This Row],[Hebras]],TbTecnologia[Hebras],TbTecnologia[Tecnología])</f>
        <v>CUDA</v>
      </c>
      <c r="D311" s="2" t="str" cm="1">
        <f t="array" ref="D311">_xlfn.XLOOKUP(Total[[#This Row],[Tecnología]]&amp;Total[[#This Row],[Metodo]],TbTipos[Tecnología]&amp;TbTipos[Metodo],TbTipos[Tipo])</f>
        <v>CUDA con graph</v>
      </c>
      <c r="E311" s="2" t="str" cm="1">
        <f t="array" ref="E311">_xlfn.XLOOKUP(Total[[#This Row],[Tecnología]]&amp;Total[[#This Row],[Problema]],TbNombres[Tecnología]&amp;TbNombres[Problema],TbNombres[Nombre])</f>
        <v>Advdiff1d</v>
      </c>
      <c r="F311" s="2">
        <v>4</v>
      </c>
      <c r="G311" s="2">
        <v>4</v>
      </c>
      <c r="H311" s="2">
        <v>256</v>
      </c>
      <c r="I311" s="11">
        <v>1000</v>
      </c>
      <c r="J311" s="2">
        <v>1000</v>
      </c>
      <c r="K311" s="2">
        <v>9.8551800000000007</v>
      </c>
    </row>
    <row r="312" spans="2:11" x14ac:dyDescent="0.2">
      <c r="B312" s="5" t="str">
        <f>_xlfn.XLOOKUP(Total[[#This Row],[Metodo]],TbSolver[Metodo],TbSolver[Solver])</f>
        <v>AdamsBashford</v>
      </c>
      <c r="C312" s="5" t="str">
        <f>_xlfn.XLOOKUP(Total[[#This Row],[Hebras]],TbTecnologia[Hebras],TbTecnologia[Tecnología])</f>
        <v>CUDA</v>
      </c>
      <c r="D312" s="2" t="str" cm="1">
        <f t="array" ref="D312">_xlfn.XLOOKUP(Total[[#This Row],[Tecnología]]&amp;Total[[#This Row],[Metodo]],TbTipos[Tecnología]&amp;TbTipos[Metodo],TbTipos[Tipo])</f>
        <v>CUDA con graph</v>
      </c>
      <c r="E312" s="2" t="str" cm="1">
        <f t="array" ref="E312">_xlfn.XLOOKUP(Total[[#This Row],[Tecnología]]&amp;Total[[#This Row],[Problema]],TbNombres[Tecnología]&amp;TbNombres[Problema],TbNombres[Nombre])</f>
        <v>Advdiff1d</v>
      </c>
      <c r="F312" s="2">
        <v>4</v>
      </c>
      <c r="G312" s="2">
        <v>3</v>
      </c>
      <c r="H312" s="2">
        <v>256</v>
      </c>
      <c r="I312" s="12">
        <v>2000</v>
      </c>
      <c r="J312" s="2">
        <v>2000</v>
      </c>
      <c r="K312" s="2">
        <v>9.6757600000000004</v>
      </c>
    </row>
    <row r="313" spans="2:11" x14ac:dyDescent="0.2">
      <c r="B313" s="5" t="str">
        <f>_xlfn.XLOOKUP(Total[[#This Row],[Metodo]],TbSolver[Metodo],TbSolver[Solver])</f>
        <v>AdamsBashford</v>
      </c>
      <c r="C313" s="5" t="str">
        <f>_xlfn.XLOOKUP(Total[[#This Row],[Hebras]],TbTecnologia[Hebras],TbTecnologia[Tecnología])</f>
        <v>CUDA</v>
      </c>
      <c r="D313" s="2" t="str" cm="1">
        <f t="array" ref="D313">_xlfn.XLOOKUP(Total[[#This Row],[Tecnología]]&amp;Total[[#This Row],[Metodo]],TbTipos[Tecnología]&amp;TbTipos[Metodo],TbTipos[Tipo])</f>
        <v>CUDA con graph</v>
      </c>
      <c r="E313" s="2" t="str" cm="1">
        <f t="array" ref="E313">_xlfn.XLOOKUP(Total[[#This Row],[Tecnología]]&amp;Total[[#This Row],[Problema]],TbNombres[Tecnología]&amp;TbNombres[Problema],TbNombres[Nombre])</f>
        <v>Advdiff1d</v>
      </c>
      <c r="F313" s="2">
        <v>4</v>
      </c>
      <c r="G313" s="2">
        <v>4</v>
      </c>
      <c r="H313" s="2">
        <v>256</v>
      </c>
      <c r="I313" s="11">
        <v>2000</v>
      </c>
      <c r="J313" s="2">
        <v>2000</v>
      </c>
      <c r="K313" s="2">
        <v>9.9296900000000008</v>
      </c>
    </row>
    <row r="314" spans="2:11" x14ac:dyDescent="0.2">
      <c r="B314" s="5" t="str">
        <f>_xlfn.XLOOKUP(Total[[#This Row],[Metodo]],TbSolver[Metodo],TbSolver[Solver])</f>
        <v>AdamsBashford</v>
      </c>
      <c r="C314" s="5" t="str">
        <f>_xlfn.XLOOKUP(Total[[#This Row],[Hebras]],TbTecnologia[Hebras],TbTecnologia[Tecnología])</f>
        <v>CUDA</v>
      </c>
      <c r="D314" s="2" t="str" cm="1">
        <f t="array" ref="D314">_xlfn.XLOOKUP(Total[[#This Row],[Tecnología]]&amp;Total[[#This Row],[Metodo]],TbTipos[Tecnología]&amp;TbTipos[Metodo],TbTipos[Tipo])</f>
        <v>CUDA con graph</v>
      </c>
      <c r="E314" s="2" t="str" cm="1">
        <f t="array" ref="E314">_xlfn.XLOOKUP(Total[[#This Row],[Tecnología]]&amp;Total[[#This Row],[Problema]],TbNombres[Tecnología]&amp;TbNombres[Problema],TbNombres[Nombre])</f>
        <v>Advdiff1d</v>
      </c>
      <c r="F314" s="2">
        <v>4</v>
      </c>
      <c r="G314" s="2">
        <v>3</v>
      </c>
      <c r="H314" s="2">
        <v>256</v>
      </c>
      <c r="I314" s="12">
        <v>5000</v>
      </c>
      <c r="J314" s="2">
        <v>5000</v>
      </c>
      <c r="K314" s="2">
        <v>9.8192599999999999</v>
      </c>
    </row>
    <row r="315" spans="2:11" x14ac:dyDescent="0.2">
      <c r="B315" s="5" t="str">
        <f>_xlfn.XLOOKUP(Total[[#This Row],[Metodo]],TbSolver[Metodo],TbSolver[Solver])</f>
        <v>AdamsBashford</v>
      </c>
      <c r="C315" s="5" t="str">
        <f>_xlfn.XLOOKUP(Total[[#This Row],[Hebras]],TbTecnologia[Hebras],TbTecnologia[Tecnología])</f>
        <v>CUDA</v>
      </c>
      <c r="D315" s="2" t="str" cm="1">
        <f t="array" ref="D315">_xlfn.XLOOKUP(Total[[#This Row],[Tecnología]]&amp;Total[[#This Row],[Metodo]],TbTipos[Tecnología]&amp;TbTipos[Metodo],TbTipos[Tipo])</f>
        <v>CUDA con graph</v>
      </c>
      <c r="E315" s="2" t="str" cm="1">
        <f t="array" ref="E315">_xlfn.XLOOKUP(Total[[#This Row],[Tecnología]]&amp;Total[[#This Row],[Problema]],TbNombres[Tecnología]&amp;TbNombres[Problema],TbNombres[Nombre])</f>
        <v>Advdiff1d</v>
      </c>
      <c r="F315" s="2">
        <v>4</v>
      </c>
      <c r="G315" s="2">
        <v>4</v>
      </c>
      <c r="H315" s="2">
        <v>256</v>
      </c>
      <c r="I315" s="11">
        <v>5000</v>
      </c>
      <c r="J315" s="2">
        <v>5000</v>
      </c>
      <c r="K315" s="2">
        <v>10.040900000000001</v>
      </c>
    </row>
    <row r="316" spans="2:11" x14ac:dyDescent="0.2">
      <c r="B316" s="5" t="str">
        <f>_xlfn.XLOOKUP(Total[[#This Row],[Metodo]],TbSolver[Metodo],TbSolver[Solver])</f>
        <v>AdamsBashford</v>
      </c>
      <c r="C316" s="5" t="str">
        <f>_xlfn.XLOOKUP(Total[[#This Row],[Hebras]],TbTecnologia[Hebras],TbTecnologia[Tecnología])</f>
        <v>OMP</v>
      </c>
      <c r="D316" s="7" t="str" cm="1">
        <f t="array" ref="D316">_xlfn.XLOOKUP(Total[[#This Row],[Tecnología]]&amp;Total[[#This Row],[Metodo]],TbTipos[Tecnología]&amp;TbTipos[Metodo],TbTipos[Tipo])</f>
        <v>OMP Operaciones</v>
      </c>
      <c r="E316" s="6" t="str" cm="1">
        <f t="array" ref="E316">_xlfn.XLOOKUP(Total[[#This Row],[Tecnología]]&amp;Total[[#This Row],[Problema]],TbNombres[Tecnología]&amp;TbNombres[Problema],TbNombres[Nombre])</f>
        <v>Advdiff1d</v>
      </c>
      <c r="F316" s="6">
        <v>3</v>
      </c>
      <c r="G316" s="6">
        <v>2</v>
      </c>
      <c r="H316" s="6">
        <v>1</v>
      </c>
      <c r="I316" s="6">
        <v>100</v>
      </c>
      <c r="J316" s="6">
        <v>100</v>
      </c>
      <c r="K316" s="6">
        <v>3.7526199999999998</v>
      </c>
    </row>
    <row r="317" spans="2:11" x14ac:dyDescent="0.2">
      <c r="B317" s="5" t="str">
        <f>_xlfn.XLOOKUP(Total[[#This Row],[Metodo]],TbSolver[Metodo],TbSolver[Solver])</f>
        <v>AdamsBashford</v>
      </c>
      <c r="C317" s="5" t="str">
        <f>_xlfn.XLOOKUP(Total[[#This Row],[Hebras]],TbTecnologia[Hebras],TbTecnologia[Tecnología])</f>
        <v>OMP</v>
      </c>
      <c r="D317" s="7" t="str" cm="1">
        <f t="array" ref="D317">_xlfn.XLOOKUP(Total[[#This Row],[Tecnología]]&amp;Total[[#This Row],[Metodo]],TbTipos[Tecnología]&amp;TbTipos[Metodo],TbTipos[Tipo])</f>
        <v>OMP Operaciones</v>
      </c>
      <c r="E317" s="6" t="str" cm="1">
        <f t="array" ref="E317">_xlfn.XLOOKUP(Total[[#This Row],[Tecnología]]&amp;Total[[#This Row],[Problema]],TbNombres[Tecnología]&amp;TbNombres[Problema],TbNombres[Nombre])</f>
        <v>Advdiff1d</v>
      </c>
      <c r="F317" s="6">
        <v>3</v>
      </c>
      <c r="G317" s="6">
        <v>2</v>
      </c>
      <c r="H317" s="6">
        <v>4</v>
      </c>
      <c r="I317" s="6">
        <v>100</v>
      </c>
      <c r="J317" s="6">
        <v>100</v>
      </c>
      <c r="K317" s="6">
        <v>16.279699999999998</v>
      </c>
    </row>
    <row r="318" spans="2:11" x14ac:dyDescent="0.2">
      <c r="B318" s="5" t="str">
        <f>_xlfn.XLOOKUP(Total[[#This Row],[Metodo]],TbSolver[Metodo],TbSolver[Solver])</f>
        <v>AdamsBashford</v>
      </c>
      <c r="C318" s="5" t="str">
        <f>_xlfn.XLOOKUP(Total[[#This Row],[Hebras]],TbTecnologia[Hebras],TbTecnologia[Tecnología])</f>
        <v>OMP</v>
      </c>
      <c r="D318" s="7" t="str" cm="1">
        <f t="array" ref="D318">_xlfn.XLOOKUP(Total[[#This Row],[Tecnología]]&amp;Total[[#This Row],[Metodo]],TbTipos[Tecnología]&amp;TbTipos[Metodo],TbTipos[Tipo])</f>
        <v>OMP Operaciones</v>
      </c>
      <c r="E318" s="6" t="str" cm="1">
        <f t="array" ref="E318">_xlfn.XLOOKUP(Total[[#This Row],[Tecnología]]&amp;Total[[#This Row],[Problema]],TbNombres[Tecnología]&amp;TbNombres[Problema],TbNombres[Nombre])</f>
        <v>Advdiff1d</v>
      </c>
      <c r="F318" s="6">
        <v>3</v>
      </c>
      <c r="G318" s="6">
        <v>2</v>
      </c>
      <c r="H318" s="6">
        <v>16</v>
      </c>
      <c r="I318" s="6">
        <v>100</v>
      </c>
      <c r="J318" s="6">
        <v>100</v>
      </c>
      <c r="K318" s="6">
        <v>34.238399999999999</v>
      </c>
    </row>
    <row r="319" spans="2:11" x14ac:dyDescent="0.2">
      <c r="B319" s="5" t="str">
        <f>_xlfn.XLOOKUP(Total[[#This Row],[Metodo]],TbSolver[Metodo],TbSolver[Solver])</f>
        <v>AdamsBashford</v>
      </c>
      <c r="C319" s="5" t="str">
        <f>_xlfn.XLOOKUP(Total[[#This Row],[Hebras]],TbTecnologia[Hebras],TbTecnologia[Tecnología])</f>
        <v>OMP</v>
      </c>
      <c r="D319" s="7" t="str" cm="1">
        <f t="array" ref="D319">_xlfn.XLOOKUP(Total[[#This Row],[Tecnología]]&amp;Total[[#This Row],[Metodo]],TbTipos[Tecnología]&amp;TbTipos[Metodo],TbTipos[Tipo])</f>
        <v>OMP Operaciones</v>
      </c>
      <c r="E319" s="6" t="str" cm="1">
        <f t="array" ref="E319">_xlfn.XLOOKUP(Total[[#This Row],[Tecnología]]&amp;Total[[#This Row],[Problema]],TbNombres[Tecnología]&amp;TbNombres[Problema],TbNombres[Nombre])</f>
        <v>Advdiff1d</v>
      </c>
      <c r="F319" s="6">
        <v>3</v>
      </c>
      <c r="G319" s="6">
        <v>2</v>
      </c>
      <c r="H319" s="6">
        <v>1</v>
      </c>
      <c r="I319" s="6">
        <v>200</v>
      </c>
      <c r="J319" s="6">
        <v>200</v>
      </c>
      <c r="K319" s="6">
        <v>6.0966699999999996</v>
      </c>
    </row>
    <row r="320" spans="2:11" x14ac:dyDescent="0.2">
      <c r="B320" s="5" t="str">
        <f>_xlfn.XLOOKUP(Total[[#This Row],[Metodo]],TbSolver[Metodo],TbSolver[Solver])</f>
        <v>AdamsBashford</v>
      </c>
      <c r="C320" s="5" t="str">
        <f>_xlfn.XLOOKUP(Total[[#This Row],[Hebras]],TbTecnologia[Hebras],TbTecnologia[Tecnología])</f>
        <v>OMP</v>
      </c>
      <c r="D320" s="7" t="str" cm="1">
        <f t="array" ref="D320">_xlfn.XLOOKUP(Total[[#This Row],[Tecnología]]&amp;Total[[#This Row],[Metodo]],TbTipos[Tecnología]&amp;TbTipos[Metodo],TbTipos[Tipo])</f>
        <v>OMP Operaciones</v>
      </c>
      <c r="E320" s="6" t="str" cm="1">
        <f t="array" ref="E320">_xlfn.XLOOKUP(Total[[#This Row],[Tecnología]]&amp;Total[[#This Row],[Problema]],TbNombres[Tecnología]&amp;TbNombres[Problema],TbNombres[Nombre])</f>
        <v>Advdiff1d</v>
      </c>
      <c r="F320" s="6">
        <v>3</v>
      </c>
      <c r="G320" s="6">
        <v>2</v>
      </c>
      <c r="H320" s="6">
        <v>4</v>
      </c>
      <c r="I320" s="6">
        <v>200</v>
      </c>
      <c r="J320" s="6">
        <v>200</v>
      </c>
      <c r="K320" s="6">
        <v>16.056000000000001</v>
      </c>
    </row>
    <row r="321" spans="2:11" x14ac:dyDescent="0.2">
      <c r="B321" s="5" t="str">
        <f>_xlfn.XLOOKUP(Total[[#This Row],[Metodo]],TbSolver[Metodo],TbSolver[Solver])</f>
        <v>AdamsBashford</v>
      </c>
      <c r="C321" s="5" t="str">
        <f>_xlfn.XLOOKUP(Total[[#This Row],[Hebras]],TbTecnologia[Hebras],TbTecnologia[Tecnología])</f>
        <v>OMP</v>
      </c>
      <c r="D321" s="7" t="str" cm="1">
        <f t="array" ref="D321">_xlfn.XLOOKUP(Total[[#This Row],[Tecnología]]&amp;Total[[#This Row],[Metodo]],TbTipos[Tecnología]&amp;TbTipos[Metodo],TbTipos[Tipo])</f>
        <v>OMP Operaciones</v>
      </c>
      <c r="E321" s="6" t="str" cm="1">
        <f t="array" ref="E321">_xlfn.XLOOKUP(Total[[#This Row],[Tecnología]]&amp;Total[[#This Row],[Problema]],TbNombres[Tecnología]&amp;TbNombres[Problema],TbNombres[Nombre])</f>
        <v>Advdiff1d</v>
      </c>
      <c r="F321" s="6">
        <v>3</v>
      </c>
      <c r="G321" s="6">
        <v>2</v>
      </c>
      <c r="H321" s="6">
        <v>16</v>
      </c>
      <c r="I321" s="6">
        <v>200</v>
      </c>
      <c r="J321" s="6">
        <v>200</v>
      </c>
      <c r="K321" s="6">
        <v>37.792000000000002</v>
      </c>
    </row>
    <row r="322" spans="2:11" x14ac:dyDescent="0.2">
      <c r="B322" s="5" t="str">
        <f>_xlfn.XLOOKUP(Total[[#This Row],[Metodo]],TbSolver[Metodo],TbSolver[Solver])</f>
        <v>AdamsBashford</v>
      </c>
      <c r="C322" s="5" t="str">
        <f>_xlfn.XLOOKUP(Total[[#This Row],[Hebras]],TbTecnologia[Hebras],TbTecnologia[Tecnología])</f>
        <v>OMP</v>
      </c>
      <c r="D322" s="7" t="str" cm="1">
        <f t="array" ref="D322">_xlfn.XLOOKUP(Total[[#This Row],[Tecnología]]&amp;Total[[#This Row],[Metodo]],TbTipos[Tecnología]&amp;TbTipos[Metodo],TbTipos[Tipo])</f>
        <v>OMP Operaciones</v>
      </c>
      <c r="E322" s="6" t="str" cm="1">
        <f t="array" ref="E322">_xlfn.XLOOKUP(Total[[#This Row],[Tecnología]]&amp;Total[[#This Row],[Problema]],TbNombres[Tecnología]&amp;TbNombres[Problema],TbNombres[Nombre])</f>
        <v>Advdiff1d</v>
      </c>
      <c r="F322" s="6">
        <v>3</v>
      </c>
      <c r="G322" s="6">
        <v>2</v>
      </c>
      <c r="H322" s="6">
        <v>1</v>
      </c>
      <c r="I322" s="6">
        <v>500</v>
      </c>
      <c r="J322" s="6">
        <v>500</v>
      </c>
      <c r="K322" s="6">
        <v>12.735300000000001</v>
      </c>
    </row>
    <row r="323" spans="2:11" x14ac:dyDescent="0.2">
      <c r="B323" s="5" t="str">
        <f>_xlfn.XLOOKUP(Total[[#This Row],[Metodo]],TbSolver[Metodo],TbSolver[Solver])</f>
        <v>AdamsBashford</v>
      </c>
      <c r="C323" s="5" t="str">
        <f>_xlfn.XLOOKUP(Total[[#This Row],[Hebras]],TbTecnologia[Hebras],TbTecnologia[Tecnología])</f>
        <v>OMP</v>
      </c>
      <c r="D323" s="7" t="str" cm="1">
        <f t="array" ref="D323">_xlfn.XLOOKUP(Total[[#This Row],[Tecnología]]&amp;Total[[#This Row],[Metodo]],TbTipos[Tecnología]&amp;TbTipos[Metodo],TbTipos[Tipo])</f>
        <v>OMP Operaciones</v>
      </c>
      <c r="E323" s="6" t="str" cm="1">
        <f t="array" ref="E323">_xlfn.XLOOKUP(Total[[#This Row],[Tecnología]]&amp;Total[[#This Row],[Problema]],TbNombres[Tecnología]&amp;TbNombres[Problema],TbNombres[Nombre])</f>
        <v>Advdiff1d</v>
      </c>
      <c r="F323" s="6">
        <v>3</v>
      </c>
      <c r="G323" s="6">
        <v>2</v>
      </c>
      <c r="H323" s="6">
        <v>4</v>
      </c>
      <c r="I323" s="6">
        <v>500</v>
      </c>
      <c r="J323" s="6">
        <v>500</v>
      </c>
      <c r="K323" s="6">
        <v>19.7759</v>
      </c>
    </row>
    <row r="324" spans="2:11" x14ac:dyDescent="0.2">
      <c r="B324" s="5" t="str">
        <f>_xlfn.XLOOKUP(Total[[#This Row],[Metodo]],TbSolver[Metodo],TbSolver[Solver])</f>
        <v>AdamsBashford</v>
      </c>
      <c r="C324" s="5" t="str">
        <f>_xlfn.XLOOKUP(Total[[#This Row],[Hebras]],TbTecnologia[Hebras],TbTecnologia[Tecnología])</f>
        <v>OMP</v>
      </c>
      <c r="D324" s="7" t="str" cm="1">
        <f t="array" ref="D324">_xlfn.XLOOKUP(Total[[#This Row],[Tecnología]]&amp;Total[[#This Row],[Metodo]],TbTipos[Tecnología]&amp;TbTipos[Metodo],TbTipos[Tipo])</f>
        <v>OMP Operaciones</v>
      </c>
      <c r="E324" s="6" t="str" cm="1">
        <f t="array" ref="E324">_xlfn.XLOOKUP(Total[[#This Row],[Tecnología]]&amp;Total[[#This Row],[Problema]],TbNombres[Tecnología]&amp;TbNombres[Problema],TbNombres[Nombre])</f>
        <v>Advdiff1d</v>
      </c>
      <c r="F324" s="6">
        <v>3</v>
      </c>
      <c r="G324" s="6">
        <v>2</v>
      </c>
      <c r="H324" s="6">
        <v>16</v>
      </c>
      <c r="I324" s="6">
        <v>500</v>
      </c>
      <c r="J324" s="6">
        <v>500</v>
      </c>
      <c r="K324" s="6">
        <v>36.402299999999997</v>
      </c>
    </row>
    <row r="325" spans="2:11" x14ac:dyDescent="0.2">
      <c r="B325" s="5" t="str">
        <f>_xlfn.XLOOKUP(Total[[#This Row],[Metodo]],TbSolver[Metodo],TbSolver[Solver])</f>
        <v>AdamsBashford</v>
      </c>
      <c r="C325" s="5" t="str">
        <f>_xlfn.XLOOKUP(Total[[#This Row],[Hebras]],TbTecnologia[Hebras],TbTecnologia[Tecnología])</f>
        <v>OMP</v>
      </c>
      <c r="D325" s="7" t="str" cm="1">
        <f t="array" ref="D325">_xlfn.XLOOKUP(Total[[#This Row],[Tecnología]]&amp;Total[[#This Row],[Metodo]],TbTipos[Tecnología]&amp;TbTipos[Metodo],TbTipos[Tipo])</f>
        <v>OMP Operaciones</v>
      </c>
      <c r="E325" s="6" t="str" cm="1">
        <f t="array" ref="E325">_xlfn.XLOOKUP(Total[[#This Row],[Tecnología]]&amp;Total[[#This Row],[Problema]],TbNombres[Tecnología]&amp;TbNombres[Problema],TbNombres[Nombre])</f>
        <v>Advdiff1d</v>
      </c>
      <c r="F325" s="6">
        <v>3</v>
      </c>
      <c r="G325" s="6">
        <v>2</v>
      </c>
      <c r="H325" s="6">
        <v>1</v>
      </c>
      <c r="I325" s="6">
        <v>1000</v>
      </c>
      <c r="J325" s="6">
        <v>1000</v>
      </c>
      <c r="K325" s="6">
        <v>24.2303</v>
      </c>
    </row>
    <row r="326" spans="2:11" x14ac:dyDescent="0.2">
      <c r="B326" s="5" t="str">
        <f>_xlfn.XLOOKUP(Total[[#This Row],[Metodo]],TbSolver[Metodo],TbSolver[Solver])</f>
        <v>AdamsBashford</v>
      </c>
      <c r="C326" s="5" t="str">
        <f>_xlfn.XLOOKUP(Total[[#This Row],[Hebras]],TbTecnologia[Hebras],TbTecnologia[Tecnología])</f>
        <v>OMP</v>
      </c>
      <c r="D326" s="7" t="str" cm="1">
        <f t="array" ref="D326">_xlfn.XLOOKUP(Total[[#This Row],[Tecnología]]&amp;Total[[#This Row],[Metodo]],TbTipos[Tecnología]&amp;TbTipos[Metodo],TbTipos[Tipo])</f>
        <v>OMP Operaciones</v>
      </c>
      <c r="E326" s="6" t="str" cm="1">
        <f t="array" ref="E326">_xlfn.XLOOKUP(Total[[#This Row],[Tecnología]]&amp;Total[[#This Row],[Problema]],TbNombres[Tecnología]&amp;TbNombres[Problema],TbNombres[Nombre])</f>
        <v>Advdiff1d</v>
      </c>
      <c r="F326" s="6">
        <v>3</v>
      </c>
      <c r="G326" s="6">
        <v>2</v>
      </c>
      <c r="H326" s="6">
        <v>4</v>
      </c>
      <c r="I326" s="6">
        <v>1000</v>
      </c>
      <c r="J326" s="6">
        <v>1000</v>
      </c>
      <c r="K326" s="6">
        <v>21.291699999999999</v>
      </c>
    </row>
    <row r="327" spans="2:11" x14ac:dyDescent="0.2">
      <c r="B327" s="5" t="str">
        <f>_xlfn.XLOOKUP(Total[[#This Row],[Metodo]],TbSolver[Metodo],TbSolver[Solver])</f>
        <v>AdamsBashford</v>
      </c>
      <c r="C327" s="5" t="str">
        <f>_xlfn.XLOOKUP(Total[[#This Row],[Hebras]],TbTecnologia[Hebras],TbTecnologia[Tecnología])</f>
        <v>OMP</v>
      </c>
      <c r="D327" s="7" t="str" cm="1">
        <f t="array" ref="D327">_xlfn.XLOOKUP(Total[[#This Row],[Tecnología]]&amp;Total[[#This Row],[Metodo]],TbTipos[Tecnología]&amp;TbTipos[Metodo],TbTipos[Tipo])</f>
        <v>OMP Operaciones</v>
      </c>
      <c r="E327" s="6" t="str" cm="1">
        <f t="array" ref="E327">_xlfn.XLOOKUP(Total[[#This Row],[Tecnología]]&amp;Total[[#This Row],[Problema]],TbNombres[Tecnología]&amp;TbNombres[Problema],TbNombres[Nombre])</f>
        <v>Advdiff1d</v>
      </c>
      <c r="F327" s="6">
        <v>3</v>
      </c>
      <c r="G327" s="6">
        <v>2</v>
      </c>
      <c r="H327" s="6">
        <v>16</v>
      </c>
      <c r="I327" s="6">
        <v>1000</v>
      </c>
      <c r="J327" s="6">
        <v>1000</v>
      </c>
      <c r="K327" s="6">
        <v>39.200499999999998</v>
      </c>
    </row>
    <row r="328" spans="2:11" x14ac:dyDescent="0.2">
      <c r="B328" s="5" t="str">
        <f>_xlfn.XLOOKUP(Total[[#This Row],[Metodo]],TbSolver[Metodo],TbSolver[Solver])</f>
        <v>AdamsBashford</v>
      </c>
      <c r="C328" s="5" t="str">
        <f>_xlfn.XLOOKUP(Total[[#This Row],[Hebras]],TbTecnologia[Hebras],TbTecnologia[Tecnología])</f>
        <v>OMP</v>
      </c>
      <c r="D328" s="7" t="str" cm="1">
        <f t="array" ref="D328">_xlfn.XLOOKUP(Total[[#This Row],[Tecnología]]&amp;Total[[#This Row],[Metodo]],TbTipos[Tecnología]&amp;TbTipos[Metodo],TbTipos[Tipo])</f>
        <v>OMP Elementos</v>
      </c>
      <c r="E328" s="6" t="str" cm="1">
        <f t="array" ref="E328">_xlfn.XLOOKUP(Total[[#This Row],[Tecnología]]&amp;Total[[#This Row],[Problema]],TbNombres[Tecnología]&amp;TbNombres[Problema],TbNombres[Nombre])</f>
        <v>Advdiff1d</v>
      </c>
      <c r="F328" s="6">
        <v>4</v>
      </c>
      <c r="G328" s="6">
        <v>2</v>
      </c>
      <c r="H328" s="6">
        <v>1</v>
      </c>
      <c r="I328" s="6">
        <v>100</v>
      </c>
      <c r="J328" s="6">
        <v>100</v>
      </c>
      <c r="K328" s="6">
        <v>3.16689</v>
      </c>
    </row>
    <row r="329" spans="2:11" x14ac:dyDescent="0.2">
      <c r="B329" s="5" t="str">
        <f>_xlfn.XLOOKUP(Total[[#This Row],[Metodo]],TbSolver[Metodo],TbSolver[Solver])</f>
        <v>AdamsBashford</v>
      </c>
      <c r="C329" s="5" t="str">
        <f>_xlfn.XLOOKUP(Total[[#This Row],[Hebras]],TbTecnologia[Hebras],TbTecnologia[Tecnología])</f>
        <v>OMP</v>
      </c>
      <c r="D329" s="7" t="str" cm="1">
        <f t="array" ref="D329">_xlfn.XLOOKUP(Total[[#This Row],[Tecnología]]&amp;Total[[#This Row],[Metodo]],TbTipos[Tecnología]&amp;TbTipos[Metodo],TbTipos[Tipo])</f>
        <v>OMP Elementos</v>
      </c>
      <c r="E329" s="6" t="str" cm="1">
        <f t="array" ref="E329">_xlfn.XLOOKUP(Total[[#This Row],[Tecnología]]&amp;Total[[#This Row],[Problema]],TbNombres[Tecnología]&amp;TbNombres[Problema],TbNombres[Nombre])</f>
        <v>Advdiff1d</v>
      </c>
      <c r="F329" s="6">
        <v>4</v>
      </c>
      <c r="G329" s="6">
        <v>2</v>
      </c>
      <c r="H329" s="6">
        <v>4</v>
      </c>
      <c r="I329" s="6">
        <v>100</v>
      </c>
      <c r="J329" s="6">
        <v>100</v>
      </c>
      <c r="K329" s="6">
        <v>5.38103</v>
      </c>
    </row>
    <row r="330" spans="2:11" x14ac:dyDescent="0.2">
      <c r="B330" s="5" t="str">
        <f>_xlfn.XLOOKUP(Total[[#This Row],[Metodo]],TbSolver[Metodo],TbSolver[Solver])</f>
        <v>AdamsBashford</v>
      </c>
      <c r="C330" s="5" t="str">
        <f>_xlfn.XLOOKUP(Total[[#This Row],[Hebras]],TbTecnologia[Hebras],TbTecnologia[Tecnología])</f>
        <v>OMP</v>
      </c>
      <c r="D330" s="7" t="str" cm="1">
        <f t="array" ref="D330">_xlfn.XLOOKUP(Total[[#This Row],[Tecnología]]&amp;Total[[#This Row],[Metodo]],TbTipos[Tecnología]&amp;TbTipos[Metodo],TbTipos[Tipo])</f>
        <v>OMP Elementos</v>
      </c>
      <c r="E330" s="6" t="str" cm="1">
        <f t="array" ref="E330">_xlfn.XLOOKUP(Total[[#This Row],[Tecnología]]&amp;Total[[#This Row],[Problema]],TbNombres[Tecnología]&amp;TbNombres[Problema],TbNombres[Nombre])</f>
        <v>Advdiff1d</v>
      </c>
      <c r="F330" s="6">
        <v>4</v>
      </c>
      <c r="G330" s="6">
        <v>2</v>
      </c>
      <c r="H330" s="6">
        <v>16</v>
      </c>
      <c r="I330" s="6">
        <v>100</v>
      </c>
      <c r="J330" s="6">
        <v>100</v>
      </c>
      <c r="K330" s="6">
        <v>10.819800000000001</v>
      </c>
    </row>
    <row r="331" spans="2:11" x14ac:dyDescent="0.2">
      <c r="B331" s="5" t="str">
        <f>_xlfn.XLOOKUP(Total[[#This Row],[Metodo]],TbSolver[Metodo],TbSolver[Solver])</f>
        <v>AdamsBashford</v>
      </c>
      <c r="C331" s="5" t="str">
        <f>_xlfn.XLOOKUP(Total[[#This Row],[Hebras]],TbTecnologia[Hebras],TbTecnologia[Tecnología])</f>
        <v>OMP</v>
      </c>
      <c r="D331" s="7" t="str" cm="1">
        <f t="array" ref="D331">_xlfn.XLOOKUP(Total[[#This Row],[Tecnología]]&amp;Total[[#This Row],[Metodo]],TbTipos[Tecnología]&amp;TbTipos[Metodo],TbTipos[Tipo])</f>
        <v>OMP Elementos</v>
      </c>
      <c r="E331" s="6" t="str" cm="1">
        <f t="array" ref="E331">_xlfn.XLOOKUP(Total[[#This Row],[Tecnología]]&amp;Total[[#This Row],[Problema]],TbNombres[Tecnología]&amp;TbNombres[Problema],TbNombres[Nombre])</f>
        <v>Advdiff1d</v>
      </c>
      <c r="F331" s="6">
        <v>4</v>
      </c>
      <c r="G331" s="6">
        <v>2</v>
      </c>
      <c r="H331" s="6">
        <v>1</v>
      </c>
      <c r="I331" s="6">
        <v>200</v>
      </c>
      <c r="J331" s="6">
        <v>200</v>
      </c>
      <c r="K331" s="6">
        <v>5.7238499999999997</v>
      </c>
    </row>
    <row r="332" spans="2:11" x14ac:dyDescent="0.2">
      <c r="B332" s="5" t="str">
        <f>_xlfn.XLOOKUP(Total[[#This Row],[Metodo]],TbSolver[Metodo],TbSolver[Solver])</f>
        <v>AdamsBashford</v>
      </c>
      <c r="C332" s="5" t="str">
        <f>_xlfn.XLOOKUP(Total[[#This Row],[Hebras]],TbTecnologia[Hebras],TbTecnologia[Tecnología])</f>
        <v>OMP</v>
      </c>
      <c r="D332" s="7" t="str" cm="1">
        <f t="array" ref="D332">_xlfn.XLOOKUP(Total[[#This Row],[Tecnología]]&amp;Total[[#This Row],[Metodo]],TbTipos[Tecnología]&amp;TbTipos[Metodo],TbTipos[Tipo])</f>
        <v>OMP Elementos</v>
      </c>
      <c r="E332" s="6" t="str" cm="1">
        <f t="array" ref="E332">_xlfn.XLOOKUP(Total[[#This Row],[Tecnología]]&amp;Total[[#This Row],[Problema]],TbNombres[Tecnología]&amp;TbNombres[Problema],TbNombres[Nombre])</f>
        <v>Advdiff1d</v>
      </c>
      <c r="F332" s="6">
        <v>4</v>
      </c>
      <c r="G332" s="6">
        <v>2</v>
      </c>
      <c r="H332" s="6">
        <v>4</v>
      </c>
      <c r="I332" s="6">
        <v>200</v>
      </c>
      <c r="J332" s="6">
        <v>200</v>
      </c>
      <c r="K332" s="6">
        <v>6.0631399999999998</v>
      </c>
    </row>
    <row r="333" spans="2:11" x14ac:dyDescent="0.2">
      <c r="B333" s="5" t="str">
        <f>_xlfn.XLOOKUP(Total[[#This Row],[Metodo]],TbSolver[Metodo],TbSolver[Solver])</f>
        <v>AdamsBashford</v>
      </c>
      <c r="C333" s="5" t="str">
        <f>_xlfn.XLOOKUP(Total[[#This Row],[Hebras]],TbTecnologia[Hebras],TbTecnologia[Tecnología])</f>
        <v>OMP</v>
      </c>
      <c r="D333" s="7" t="str" cm="1">
        <f t="array" ref="D333">_xlfn.XLOOKUP(Total[[#This Row],[Tecnología]]&amp;Total[[#This Row],[Metodo]],TbTipos[Tecnología]&amp;TbTipos[Metodo],TbTipos[Tipo])</f>
        <v>OMP Elementos</v>
      </c>
      <c r="E333" s="6" t="str" cm="1">
        <f t="array" ref="E333">_xlfn.XLOOKUP(Total[[#This Row],[Tecnología]]&amp;Total[[#This Row],[Problema]],TbNombres[Tecnología]&amp;TbNombres[Problema],TbNombres[Nombre])</f>
        <v>Advdiff1d</v>
      </c>
      <c r="F333" s="6">
        <v>4</v>
      </c>
      <c r="G333" s="6">
        <v>2</v>
      </c>
      <c r="H333" s="6">
        <v>16</v>
      </c>
      <c r="I333" s="6">
        <v>200</v>
      </c>
      <c r="J333" s="6">
        <v>200</v>
      </c>
      <c r="K333" s="6">
        <v>11.5939</v>
      </c>
    </row>
    <row r="334" spans="2:11" x14ac:dyDescent="0.2">
      <c r="B334" s="5" t="str">
        <f>_xlfn.XLOOKUP(Total[[#This Row],[Metodo]],TbSolver[Metodo],TbSolver[Solver])</f>
        <v>AdamsBashford</v>
      </c>
      <c r="C334" s="5" t="str">
        <f>_xlfn.XLOOKUP(Total[[#This Row],[Hebras]],TbTecnologia[Hebras],TbTecnologia[Tecnología])</f>
        <v>OMP</v>
      </c>
      <c r="D334" s="7" t="str" cm="1">
        <f t="array" ref="D334">_xlfn.XLOOKUP(Total[[#This Row],[Tecnología]]&amp;Total[[#This Row],[Metodo]],TbTipos[Tecnología]&amp;TbTipos[Metodo],TbTipos[Tipo])</f>
        <v>OMP Elementos</v>
      </c>
      <c r="E334" s="6" t="str" cm="1">
        <f t="array" ref="E334">_xlfn.XLOOKUP(Total[[#This Row],[Tecnología]]&amp;Total[[#This Row],[Problema]],TbNombres[Tecnología]&amp;TbNombres[Problema],TbNombres[Nombre])</f>
        <v>Advdiff1d</v>
      </c>
      <c r="F334" s="6">
        <v>4</v>
      </c>
      <c r="G334" s="6">
        <v>2</v>
      </c>
      <c r="H334" s="6">
        <v>1</v>
      </c>
      <c r="I334" s="6">
        <v>500</v>
      </c>
      <c r="J334" s="6">
        <v>500</v>
      </c>
      <c r="K334" s="6">
        <v>13.8065</v>
      </c>
    </row>
    <row r="335" spans="2:11" x14ac:dyDescent="0.2">
      <c r="B335" s="5" t="str">
        <f>_xlfn.XLOOKUP(Total[[#This Row],[Metodo]],TbSolver[Metodo],TbSolver[Solver])</f>
        <v>AdamsBashford</v>
      </c>
      <c r="C335" s="5" t="str">
        <f>_xlfn.XLOOKUP(Total[[#This Row],[Hebras]],TbTecnologia[Hebras],TbTecnologia[Tecnología])</f>
        <v>OMP</v>
      </c>
      <c r="D335" s="7" t="str" cm="1">
        <f t="array" ref="D335">_xlfn.XLOOKUP(Total[[#This Row],[Tecnología]]&amp;Total[[#This Row],[Metodo]],TbTipos[Tecnología]&amp;TbTipos[Metodo],TbTipos[Tipo])</f>
        <v>OMP Elementos</v>
      </c>
      <c r="E335" s="6" t="str" cm="1">
        <f t="array" ref="E335">_xlfn.XLOOKUP(Total[[#This Row],[Tecnología]]&amp;Total[[#This Row],[Problema]],TbNombres[Tecnología]&amp;TbNombres[Problema],TbNombres[Nombre])</f>
        <v>Advdiff1d</v>
      </c>
      <c r="F335" s="6">
        <v>4</v>
      </c>
      <c r="G335" s="6">
        <v>2</v>
      </c>
      <c r="H335" s="6">
        <v>4</v>
      </c>
      <c r="I335" s="6">
        <v>500</v>
      </c>
      <c r="J335" s="6">
        <v>500</v>
      </c>
      <c r="K335" s="6">
        <v>7.9635499999999997</v>
      </c>
    </row>
    <row r="336" spans="2:11" x14ac:dyDescent="0.2">
      <c r="B336" s="5" t="str">
        <f>_xlfn.XLOOKUP(Total[[#This Row],[Metodo]],TbSolver[Metodo],TbSolver[Solver])</f>
        <v>AdamsBashford</v>
      </c>
      <c r="C336" s="5" t="str">
        <f>_xlfn.XLOOKUP(Total[[#This Row],[Hebras]],TbTecnologia[Hebras],TbTecnologia[Tecnología])</f>
        <v>OMP</v>
      </c>
      <c r="D336" s="7" t="str" cm="1">
        <f t="array" ref="D336">_xlfn.XLOOKUP(Total[[#This Row],[Tecnología]]&amp;Total[[#This Row],[Metodo]],TbTipos[Tecnología]&amp;TbTipos[Metodo],TbTipos[Tipo])</f>
        <v>OMP Elementos</v>
      </c>
      <c r="E336" s="6" t="str" cm="1">
        <f t="array" ref="E336">_xlfn.XLOOKUP(Total[[#This Row],[Tecnología]]&amp;Total[[#This Row],[Problema]],TbNombres[Tecnología]&amp;TbNombres[Problema],TbNombres[Nombre])</f>
        <v>Advdiff1d</v>
      </c>
      <c r="F336" s="6">
        <v>4</v>
      </c>
      <c r="G336" s="6">
        <v>2</v>
      </c>
      <c r="H336" s="6">
        <v>16</v>
      </c>
      <c r="I336" s="6">
        <v>500</v>
      </c>
      <c r="J336" s="6">
        <v>500</v>
      </c>
      <c r="K336" s="6">
        <v>20.573</v>
      </c>
    </row>
    <row r="337" spans="2:11" x14ac:dyDescent="0.2">
      <c r="B337" s="5" t="str">
        <f>_xlfn.XLOOKUP(Total[[#This Row],[Metodo]],TbSolver[Metodo],TbSolver[Solver])</f>
        <v>AdamsBashford</v>
      </c>
      <c r="C337" s="5" t="str">
        <f>_xlfn.XLOOKUP(Total[[#This Row],[Hebras]],TbTecnologia[Hebras],TbTecnologia[Tecnología])</f>
        <v>OMP</v>
      </c>
      <c r="D337" s="7" t="str" cm="1">
        <f t="array" ref="D337">_xlfn.XLOOKUP(Total[[#This Row],[Tecnología]]&amp;Total[[#This Row],[Metodo]],TbTipos[Tecnología]&amp;TbTipos[Metodo],TbTipos[Tipo])</f>
        <v>OMP Elementos</v>
      </c>
      <c r="E337" s="6" t="str" cm="1">
        <f t="array" ref="E337">_xlfn.XLOOKUP(Total[[#This Row],[Tecnología]]&amp;Total[[#This Row],[Problema]],TbNombres[Tecnología]&amp;TbNombres[Problema],TbNombres[Nombre])</f>
        <v>Advdiff1d</v>
      </c>
      <c r="F337" s="6">
        <v>4</v>
      </c>
      <c r="G337" s="6">
        <v>2</v>
      </c>
      <c r="H337" s="6">
        <v>1</v>
      </c>
      <c r="I337" s="6">
        <v>1000</v>
      </c>
      <c r="J337" s="6">
        <v>1000</v>
      </c>
      <c r="K337" s="6">
        <v>26.942</v>
      </c>
    </row>
    <row r="338" spans="2:11" x14ac:dyDescent="0.2">
      <c r="B338" s="5" t="str">
        <f>_xlfn.XLOOKUP(Total[[#This Row],[Metodo]],TbSolver[Metodo],TbSolver[Solver])</f>
        <v>AdamsBashford</v>
      </c>
      <c r="C338" s="5" t="str">
        <f>_xlfn.XLOOKUP(Total[[#This Row],[Hebras]],TbTecnologia[Hebras],TbTecnologia[Tecnología])</f>
        <v>OMP</v>
      </c>
      <c r="D338" s="7" t="str" cm="1">
        <f t="array" ref="D338">_xlfn.XLOOKUP(Total[[#This Row],[Tecnología]]&amp;Total[[#This Row],[Metodo]],TbTipos[Tecnología]&amp;TbTipos[Metodo],TbTipos[Tipo])</f>
        <v>OMP Elementos</v>
      </c>
      <c r="E338" s="6" t="str" cm="1">
        <f t="array" ref="E338">_xlfn.XLOOKUP(Total[[#This Row],[Tecnología]]&amp;Total[[#This Row],[Problema]],TbNombres[Tecnología]&amp;TbNombres[Problema],TbNombres[Nombre])</f>
        <v>Advdiff1d</v>
      </c>
      <c r="F338" s="6">
        <v>4</v>
      </c>
      <c r="G338" s="6">
        <v>2</v>
      </c>
      <c r="H338" s="6">
        <v>4</v>
      </c>
      <c r="I338" s="6">
        <v>1000</v>
      </c>
      <c r="J338" s="6">
        <v>1000</v>
      </c>
      <c r="K338" s="6">
        <v>11.456200000000001</v>
      </c>
    </row>
    <row r="339" spans="2:11" x14ac:dyDescent="0.2">
      <c r="B339" s="5" t="str">
        <f>_xlfn.XLOOKUP(Total[[#This Row],[Metodo]],TbSolver[Metodo],TbSolver[Solver])</f>
        <v>AdamsBashford</v>
      </c>
      <c r="C339" s="5" t="str">
        <f>_xlfn.XLOOKUP(Total[[#This Row],[Hebras]],TbTecnologia[Hebras],TbTecnologia[Tecnología])</f>
        <v>OMP</v>
      </c>
      <c r="D339" s="7" t="str" cm="1">
        <f t="array" ref="D339">_xlfn.XLOOKUP(Total[[#This Row],[Tecnología]]&amp;Total[[#This Row],[Metodo]],TbTipos[Tecnología]&amp;TbTipos[Metodo],TbTipos[Tipo])</f>
        <v>OMP Elementos</v>
      </c>
      <c r="E339" s="6" t="str" cm="1">
        <f t="array" ref="E339">_xlfn.XLOOKUP(Total[[#This Row],[Tecnología]]&amp;Total[[#This Row],[Problema]],TbNombres[Tecnología]&amp;TbNombres[Problema],TbNombres[Nombre])</f>
        <v>Advdiff1d</v>
      </c>
      <c r="F339" s="6">
        <v>4</v>
      </c>
      <c r="G339" s="6">
        <v>2</v>
      </c>
      <c r="H339" s="6">
        <v>16</v>
      </c>
      <c r="I339" s="6">
        <v>1000</v>
      </c>
      <c r="J339" s="6">
        <v>1000</v>
      </c>
      <c r="K339" s="6">
        <v>76.611400000000003</v>
      </c>
    </row>
    <row r="340" spans="2:11" x14ac:dyDescent="0.2">
      <c r="B340" s="5" t="str">
        <f>_xlfn.XLOOKUP(Total[[#This Row],[Metodo]],TbSolver[Metodo],TbSolver[Solver])</f>
        <v>AdamsBashford</v>
      </c>
      <c r="C340" s="5" t="str">
        <f>_xlfn.XLOOKUP(Total[[#This Row],[Hebras]],TbTecnologia[Hebras],TbTecnologia[Tecnología])</f>
        <v>CUDA</v>
      </c>
      <c r="D340" s="2" t="str" cm="1">
        <f t="array" ref="D340">_xlfn.XLOOKUP(Total[[#This Row],[Tecnología]]&amp;Total[[#This Row],[Metodo]],TbTipos[Tecnología]&amp;TbTipos[Metodo],TbTipos[Tipo])</f>
        <v>CUDA sin graph</v>
      </c>
      <c r="E340" s="2" t="str" cm="1">
        <f t="array" ref="E340">_xlfn.XLOOKUP(Total[[#This Row],[Tecnología]]&amp;Total[[#This Row],[Problema]],TbNombres[Tecnología]&amp;TbNombres[Problema],TbNombres[Nombre])</f>
        <v>Brusselator1d</v>
      </c>
      <c r="F340" s="2">
        <v>3</v>
      </c>
      <c r="G340" s="2">
        <v>5</v>
      </c>
      <c r="H340" s="2">
        <v>256</v>
      </c>
      <c r="I340" s="2">
        <v>100</v>
      </c>
      <c r="J340" s="2">
        <v>200</v>
      </c>
      <c r="K340" s="2">
        <v>4.2511799999999997</v>
      </c>
    </row>
    <row r="341" spans="2:11" x14ac:dyDescent="0.2">
      <c r="B341" s="5" t="str">
        <f>_xlfn.XLOOKUP(Total[[#This Row],[Metodo]],TbSolver[Metodo],TbSolver[Solver])</f>
        <v>AdamsBashford</v>
      </c>
      <c r="C341" s="5" t="str">
        <f>_xlfn.XLOOKUP(Total[[#This Row],[Hebras]],TbTecnologia[Hebras],TbTecnologia[Tecnología])</f>
        <v>CUDA</v>
      </c>
      <c r="D341" s="2" t="str" cm="1">
        <f t="array" ref="D341">_xlfn.XLOOKUP(Total[[#This Row],[Tecnología]]&amp;Total[[#This Row],[Metodo]],TbTipos[Tecnología]&amp;TbTipos[Metodo],TbTipos[Tipo])</f>
        <v>CUDA sin graph</v>
      </c>
      <c r="E341" s="2" t="str" cm="1">
        <f t="array" ref="E341">_xlfn.XLOOKUP(Total[[#This Row],[Tecnología]]&amp;Total[[#This Row],[Problema]],TbNombres[Tecnología]&amp;TbNombres[Problema],TbNombres[Nombre])</f>
        <v>Brusselator1d</v>
      </c>
      <c r="F341" s="2">
        <v>3</v>
      </c>
      <c r="G341" s="2">
        <v>6</v>
      </c>
      <c r="H341" s="2">
        <v>256</v>
      </c>
      <c r="I341" s="2">
        <v>100</v>
      </c>
      <c r="J341" s="2">
        <v>200</v>
      </c>
      <c r="K341" s="2">
        <v>4.2739500000000001</v>
      </c>
    </row>
    <row r="342" spans="2:11" x14ac:dyDescent="0.2">
      <c r="B342" s="5" t="str">
        <f>_xlfn.XLOOKUP(Total[[#This Row],[Metodo]],TbSolver[Metodo],TbSolver[Solver])</f>
        <v>AdamsBashford</v>
      </c>
      <c r="C342" s="5" t="str">
        <f>_xlfn.XLOOKUP(Total[[#This Row],[Hebras]],TbTecnologia[Hebras],TbTecnologia[Tecnología])</f>
        <v>CUDA</v>
      </c>
      <c r="D342" s="2" t="str" cm="1">
        <f t="array" ref="D342">_xlfn.XLOOKUP(Total[[#This Row],[Tecnología]]&amp;Total[[#This Row],[Metodo]],TbTipos[Tecnología]&amp;TbTipos[Metodo],TbTipos[Tipo])</f>
        <v>CUDA sin graph</v>
      </c>
      <c r="E342" s="2" t="str" cm="1">
        <f t="array" ref="E342">_xlfn.XLOOKUP(Total[[#This Row],[Tecnología]]&amp;Total[[#This Row],[Problema]],TbNombres[Tecnología]&amp;TbNombres[Problema],TbNombres[Nombre])</f>
        <v>Brusselator1d</v>
      </c>
      <c r="F342" s="2">
        <v>3</v>
      </c>
      <c r="G342" s="2">
        <v>5</v>
      </c>
      <c r="H342" s="2">
        <v>256</v>
      </c>
      <c r="I342" s="2">
        <v>200</v>
      </c>
      <c r="J342" s="2">
        <v>400</v>
      </c>
      <c r="K342" s="2">
        <v>4.3825000000000003</v>
      </c>
    </row>
    <row r="343" spans="2:11" x14ac:dyDescent="0.2">
      <c r="B343" s="5" t="str">
        <f>_xlfn.XLOOKUP(Total[[#This Row],[Metodo]],TbSolver[Metodo],TbSolver[Solver])</f>
        <v>AdamsBashford</v>
      </c>
      <c r="C343" s="5" t="str">
        <f>_xlfn.XLOOKUP(Total[[#This Row],[Hebras]],TbTecnologia[Hebras],TbTecnologia[Tecnología])</f>
        <v>CUDA</v>
      </c>
      <c r="D343" s="2" t="str" cm="1">
        <f t="array" ref="D343">_xlfn.XLOOKUP(Total[[#This Row],[Tecnología]]&amp;Total[[#This Row],[Metodo]],TbTipos[Tecnología]&amp;TbTipos[Metodo],TbTipos[Tipo])</f>
        <v>CUDA sin graph</v>
      </c>
      <c r="E343" s="2" t="str" cm="1">
        <f t="array" ref="E343">_xlfn.XLOOKUP(Total[[#This Row],[Tecnología]]&amp;Total[[#This Row],[Problema]],TbNombres[Tecnología]&amp;TbNombres[Problema],TbNombres[Nombre])</f>
        <v>Brusselator1d</v>
      </c>
      <c r="F343" s="2">
        <v>3</v>
      </c>
      <c r="G343" s="2">
        <v>7</v>
      </c>
      <c r="H343" s="2">
        <v>256</v>
      </c>
      <c r="I343" s="2">
        <v>100</v>
      </c>
      <c r="J343" s="2">
        <v>200</v>
      </c>
      <c r="K343" s="2">
        <v>4.4091699999999996</v>
      </c>
    </row>
    <row r="344" spans="2:11" x14ac:dyDescent="0.2">
      <c r="B344" s="5" t="str">
        <f>_xlfn.XLOOKUP(Total[[#This Row],[Metodo]],TbSolver[Metodo],TbSolver[Solver])</f>
        <v>AdamsBashford</v>
      </c>
      <c r="C344" s="5" t="str">
        <f>_xlfn.XLOOKUP(Total[[#This Row],[Hebras]],TbTecnologia[Hebras],TbTecnologia[Tecnología])</f>
        <v>CUDA</v>
      </c>
      <c r="D344" s="2" t="str" cm="1">
        <f t="array" ref="D344">_xlfn.XLOOKUP(Total[[#This Row],[Tecnología]]&amp;Total[[#This Row],[Metodo]],TbTipos[Tecnología]&amp;TbTipos[Metodo],TbTipos[Tipo])</f>
        <v>CUDA sin graph</v>
      </c>
      <c r="E344" s="2" t="str" cm="1">
        <f t="array" ref="E344">_xlfn.XLOOKUP(Total[[#This Row],[Tecnología]]&amp;Total[[#This Row],[Problema]],TbNombres[Tecnología]&amp;TbNombres[Problema],TbNombres[Nombre])</f>
        <v>Brusselator1d</v>
      </c>
      <c r="F344" s="2">
        <v>3</v>
      </c>
      <c r="G344" s="2">
        <v>5</v>
      </c>
      <c r="H344" s="2">
        <v>256</v>
      </c>
      <c r="I344" s="2">
        <v>500</v>
      </c>
      <c r="J344" s="2">
        <v>1000</v>
      </c>
      <c r="K344" s="2">
        <v>4.4242800000000004</v>
      </c>
    </row>
    <row r="345" spans="2:11" x14ac:dyDescent="0.2">
      <c r="B345" s="5" t="str">
        <f>_xlfn.XLOOKUP(Total[[#This Row],[Metodo]],TbSolver[Metodo],TbSolver[Solver])</f>
        <v>AdamsBashford</v>
      </c>
      <c r="C345" s="5" t="str">
        <f>_xlfn.XLOOKUP(Total[[#This Row],[Hebras]],TbTecnologia[Hebras],TbTecnologia[Tecnología])</f>
        <v>CUDA</v>
      </c>
      <c r="D345" s="2" t="str" cm="1">
        <f t="array" ref="D345">_xlfn.XLOOKUP(Total[[#This Row],[Tecnología]]&amp;Total[[#This Row],[Metodo]],TbTipos[Tecnología]&amp;TbTipos[Metodo],TbTipos[Tipo])</f>
        <v>CUDA sin graph</v>
      </c>
      <c r="E345" s="2" t="str" cm="1">
        <f t="array" ref="E345">_xlfn.XLOOKUP(Total[[#This Row],[Tecnología]]&amp;Total[[#This Row],[Problema]],TbNombres[Tecnología]&amp;TbNombres[Problema],TbNombres[Nombre])</f>
        <v>Brusselator1d</v>
      </c>
      <c r="F345" s="2">
        <v>3</v>
      </c>
      <c r="G345" s="2">
        <v>7</v>
      </c>
      <c r="H345" s="2">
        <v>256</v>
      </c>
      <c r="I345" s="2">
        <v>200</v>
      </c>
      <c r="J345" s="2">
        <v>400</v>
      </c>
      <c r="K345" s="2">
        <v>4.4284499999999998</v>
      </c>
    </row>
    <row r="346" spans="2:11" x14ac:dyDescent="0.2">
      <c r="B346" s="5" t="str">
        <f>_xlfn.XLOOKUP(Total[[#This Row],[Metodo]],TbSolver[Metodo],TbSolver[Solver])</f>
        <v>AdamsBashford</v>
      </c>
      <c r="C346" s="5" t="str">
        <f>_xlfn.XLOOKUP(Total[[#This Row],[Hebras]],TbTecnologia[Hebras],TbTecnologia[Tecnología])</f>
        <v>CUDA</v>
      </c>
      <c r="D346" s="2" t="str" cm="1">
        <f t="array" ref="D346">_xlfn.XLOOKUP(Total[[#This Row],[Tecnología]]&amp;Total[[#This Row],[Metodo]],TbTipos[Tecnología]&amp;TbTipos[Metodo],TbTipos[Tipo])</f>
        <v>CUDA sin graph</v>
      </c>
      <c r="E346" s="2" t="str" cm="1">
        <f t="array" ref="E346">_xlfn.XLOOKUP(Total[[#This Row],[Tecnología]]&amp;Total[[#This Row],[Problema]],TbNombres[Tecnología]&amp;TbNombres[Problema],TbNombres[Nombre])</f>
        <v>Brusselator1d</v>
      </c>
      <c r="F346" s="2">
        <v>3</v>
      </c>
      <c r="G346" s="2">
        <v>7</v>
      </c>
      <c r="H346" s="2">
        <v>256</v>
      </c>
      <c r="I346" s="2">
        <v>500</v>
      </c>
      <c r="J346" s="2">
        <v>1000</v>
      </c>
      <c r="K346" s="2">
        <v>4.4563800000000002</v>
      </c>
    </row>
    <row r="347" spans="2:11" x14ac:dyDescent="0.2">
      <c r="B347" s="5" t="str">
        <f>_xlfn.XLOOKUP(Total[[#This Row],[Metodo]],TbSolver[Metodo],TbSolver[Solver])</f>
        <v>AdamsBashford</v>
      </c>
      <c r="C347" s="5" t="str">
        <f>_xlfn.XLOOKUP(Total[[#This Row],[Hebras]],TbTecnologia[Hebras],TbTecnologia[Tecnología])</f>
        <v>CUDA</v>
      </c>
      <c r="D347" s="2" t="str" cm="1">
        <f t="array" ref="D347">_xlfn.XLOOKUP(Total[[#This Row],[Tecnología]]&amp;Total[[#This Row],[Metodo]],TbTipos[Tecnología]&amp;TbTipos[Metodo],TbTipos[Tipo])</f>
        <v>CUDA sin graph</v>
      </c>
      <c r="E347" s="2" t="str" cm="1">
        <f t="array" ref="E347">_xlfn.XLOOKUP(Total[[#This Row],[Tecnología]]&amp;Total[[#This Row],[Problema]],TbNombres[Tecnología]&amp;TbNombres[Problema],TbNombres[Nombre])</f>
        <v>Brusselator1d</v>
      </c>
      <c r="F347" s="2">
        <v>3</v>
      </c>
      <c r="G347" s="2">
        <v>5</v>
      </c>
      <c r="H347" s="2">
        <v>256</v>
      </c>
      <c r="I347" s="2">
        <v>1000</v>
      </c>
      <c r="J347" s="2">
        <v>2000</v>
      </c>
      <c r="K347" s="2">
        <v>4.4725599999999996</v>
      </c>
    </row>
    <row r="348" spans="2:11" x14ac:dyDescent="0.2">
      <c r="B348" s="5" t="str">
        <f>_xlfn.XLOOKUP(Total[[#This Row],[Metodo]],TbSolver[Metodo],TbSolver[Solver])</f>
        <v>AdamsBashford</v>
      </c>
      <c r="C348" s="5" t="str">
        <f>_xlfn.XLOOKUP(Total[[#This Row],[Hebras]],TbTecnologia[Hebras],TbTecnologia[Tecnología])</f>
        <v>CUDA</v>
      </c>
      <c r="D348" s="2" t="str" cm="1">
        <f t="array" ref="D348">_xlfn.XLOOKUP(Total[[#This Row],[Tecnología]]&amp;Total[[#This Row],[Metodo]],TbTipos[Tecnología]&amp;TbTipos[Metodo],TbTipos[Tipo])</f>
        <v>CUDA sin graph</v>
      </c>
      <c r="E348" s="2" t="str" cm="1">
        <f t="array" ref="E348">_xlfn.XLOOKUP(Total[[#This Row],[Tecnología]]&amp;Total[[#This Row],[Problema]],TbNombres[Tecnología]&amp;TbNombres[Problema],TbNombres[Nombre])</f>
        <v>Brusselator1d</v>
      </c>
      <c r="F348" s="2">
        <v>3</v>
      </c>
      <c r="G348" s="2">
        <v>6</v>
      </c>
      <c r="H348" s="2">
        <v>256</v>
      </c>
      <c r="I348" s="2">
        <v>200</v>
      </c>
      <c r="J348" s="2">
        <v>400</v>
      </c>
      <c r="K348" s="2">
        <v>4.4763099999999998</v>
      </c>
    </row>
    <row r="349" spans="2:11" x14ac:dyDescent="0.2">
      <c r="B349" s="5" t="str">
        <f>_xlfn.XLOOKUP(Total[[#This Row],[Metodo]],TbSolver[Metodo],TbSolver[Solver])</f>
        <v>AdamsBashford</v>
      </c>
      <c r="C349" s="5" t="str">
        <f>_xlfn.XLOOKUP(Total[[#This Row],[Hebras]],TbTecnologia[Hebras],TbTecnologia[Tecnología])</f>
        <v>CUDA</v>
      </c>
      <c r="D349" s="2" t="str" cm="1">
        <f t="array" ref="D349">_xlfn.XLOOKUP(Total[[#This Row],[Tecnología]]&amp;Total[[#This Row],[Metodo]],TbTipos[Tecnología]&amp;TbTipos[Metodo],TbTipos[Tipo])</f>
        <v>CUDA sin graph</v>
      </c>
      <c r="E349" s="2" t="str" cm="1">
        <f t="array" ref="E349">_xlfn.XLOOKUP(Total[[#This Row],[Tecnología]]&amp;Total[[#This Row],[Problema]],TbNombres[Tecnología]&amp;TbNombres[Problema],TbNombres[Nombre])</f>
        <v>Brusselator1d</v>
      </c>
      <c r="F349" s="2">
        <v>3</v>
      </c>
      <c r="G349" s="2">
        <v>6</v>
      </c>
      <c r="H349" s="2">
        <v>256</v>
      </c>
      <c r="I349" s="2">
        <v>500</v>
      </c>
      <c r="J349" s="2">
        <v>1000</v>
      </c>
      <c r="K349" s="2">
        <v>4.4807300000000003</v>
      </c>
    </row>
    <row r="350" spans="2:11" x14ac:dyDescent="0.2">
      <c r="B350" s="5" t="str">
        <f>_xlfn.XLOOKUP(Total[[#This Row],[Metodo]],TbSolver[Metodo],TbSolver[Solver])</f>
        <v>AdamsBashford</v>
      </c>
      <c r="C350" s="5" t="str">
        <f>_xlfn.XLOOKUP(Total[[#This Row],[Hebras]],TbTecnologia[Hebras],TbTecnologia[Tecnología])</f>
        <v>CUDA</v>
      </c>
      <c r="D350" s="2" t="str" cm="1">
        <f t="array" ref="D350">_xlfn.XLOOKUP(Total[[#This Row],[Tecnología]]&amp;Total[[#This Row],[Metodo]],TbTipos[Tecnología]&amp;TbTipos[Metodo],TbTipos[Tipo])</f>
        <v>CUDA sin graph</v>
      </c>
      <c r="E350" s="2" t="str" cm="1">
        <f t="array" ref="E350">_xlfn.XLOOKUP(Total[[#This Row],[Tecnología]]&amp;Total[[#This Row],[Problema]],TbNombres[Tecnología]&amp;TbNombres[Problema],TbNombres[Nombre])</f>
        <v>Brusselator1d</v>
      </c>
      <c r="F350" s="2">
        <v>3</v>
      </c>
      <c r="G350" s="2">
        <v>6</v>
      </c>
      <c r="H350" s="2">
        <v>256</v>
      </c>
      <c r="I350" s="2">
        <v>1000</v>
      </c>
      <c r="J350" s="2">
        <v>2000</v>
      </c>
      <c r="K350" s="2">
        <v>4.4973900000000002</v>
      </c>
    </row>
    <row r="351" spans="2:11" x14ac:dyDescent="0.2">
      <c r="B351" s="5" t="str">
        <f>_xlfn.XLOOKUP(Total[[#This Row],[Metodo]],TbSolver[Metodo],TbSolver[Solver])</f>
        <v>AdamsBashford</v>
      </c>
      <c r="C351" s="5" t="str">
        <f>_xlfn.XLOOKUP(Total[[#This Row],[Hebras]],TbTecnologia[Hebras],TbTecnologia[Tecnología])</f>
        <v>CUDA</v>
      </c>
      <c r="D351" s="2" t="str" cm="1">
        <f t="array" ref="D351">_xlfn.XLOOKUP(Total[[#This Row],[Tecnología]]&amp;Total[[#This Row],[Metodo]],TbTipos[Tecnología]&amp;TbTipos[Metodo],TbTipos[Tipo])</f>
        <v>CUDA sin graph</v>
      </c>
      <c r="E351" s="2" t="str" cm="1">
        <f t="array" ref="E351">_xlfn.XLOOKUP(Total[[#This Row],[Tecnología]]&amp;Total[[#This Row],[Problema]],TbNombres[Tecnología]&amp;TbNombres[Problema],TbNombres[Nombre])</f>
        <v>Brusselator1d</v>
      </c>
      <c r="F351" s="2">
        <v>3</v>
      </c>
      <c r="G351" s="2">
        <v>5</v>
      </c>
      <c r="H351" s="2">
        <v>256</v>
      </c>
      <c r="I351" s="2">
        <v>2000</v>
      </c>
      <c r="J351" s="2">
        <v>4000</v>
      </c>
      <c r="K351" s="2">
        <v>4.5078199999999997</v>
      </c>
    </row>
    <row r="352" spans="2:11" x14ac:dyDescent="0.2">
      <c r="B352" s="5" t="str">
        <f>_xlfn.XLOOKUP(Total[[#This Row],[Metodo]],TbSolver[Metodo],TbSolver[Solver])</f>
        <v>AdamsBashford</v>
      </c>
      <c r="C352" s="5" t="str">
        <f>_xlfn.XLOOKUP(Total[[#This Row],[Hebras]],TbTecnologia[Hebras],TbTecnologia[Tecnología])</f>
        <v>CUDA</v>
      </c>
      <c r="D352" s="2" t="str" cm="1">
        <f t="array" ref="D352">_xlfn.XLOOKUP(Total[[#This Row],[Tecnología]]&amp;Total[[#This Row],[Metodo]],TbTipos[Tecnología]&amp;TbTipos[Metodo],TbTipos[Tipo])</f>
        <v>CUDA sin graph</v>
      </c>
      <c r="E352" s="2" t="str" cm="1">
        <f t="array" ref="E352">_xlfn.XLOOKUP(Total[[#This Row],[Tecnología]]&amp;Total[[#This Row],[Problema]],TbNombres[Tecnología]&amp;TbNombres[Problema],TbNombres[Nombre])</f>
        <v>Brusselator1d</v>
      </c>
      <c r="F352" s="2">
        <v>3</v>
      </c>
      <c r="G352" s="2">
        <v>7</v>
      </c>
      <c r="H352" s="2">
        <v>256</v>
      </c>
      <c r="I352" s="2">
        <v>2000</v>
      </c>
      <c r="J352" s="2">
        <v>4000</v>
      </c>
      <c r="K352" s="2">
        <v>4.5202</v>
      </c>
    </row>
    <row r="353" spans="2:11" x14ac:dyDescent="0.2">
      <c r="B353" s="5" t="str">
        <f>_xlfn.XLOOKUP(Total[[#This Row],[Metodo]],TbSolver[Metodo],TbSolver[Solver])</f>
        <v>AdamsBashford</v>
      </c>
      <c r="C353" s="5" t="str">
        <f>_xlfn.XLOOKUP(Total[[#This Row],[Hebras]],TbTecnologia[Hebras],TbTecnologia[Tecnología])</f>
        <v>CUDA</v>
      </c>
      <c r="D353" s="2" t="str" cm="1">
        <f t="array" ref="D353">_xlfn.XLOOKUP(Total[[#This Row],[Tecnología]]&amp;Total[[#This Row],[Metodo]],TbTipos[Tecnología]&amp;TbTipos[Metodo],TbTipos[Tipo])</f>
        <v>CUDA sin graph</v>
      </c>
      <c r="E353" s="2" t="str" cm="1">
        <f t="array" ref="E353">_xlfn.XLOOKUP(Total[[#This Row],[Tecnología]]&amp;Total[[#This Row],[Problema]],TbNombres[Tecnología]&amp;TbNombres[Problema],TbNombres[Nombre])</f>
        <v>Brusselator1d</v>
      </c>
      <c r="F353" s="2">
        <v>3</v>
      </c>
      <c r="G353" s="2">
        <v>6</v>
      </c>
      <c r="H353" s="2">
        <v>256</v>
      </c>
      <c r="I353" s="2">
        <v>2000</v>
      </c>
      <c r="J353" s="2">
        <v>4000</v>
      </c>
      <c r="K353" s="2">
        <v>4.5514799999999997</v>
      </c>
    </row>
    <row r="354" spans="2:11" x14ac:dyDescent="0.2">
      <c r="B354" s="5" t="str">
        <f>_xlfn.XLOOKUP(Total[[#This Row],[Metodo]],TbSolver[Metodo],TbSolver[Solver])</f>
        <v>AdamsBashford</v>
      </c>
      <c r="C354" s="5" t="str">
        <f>_xlfn.XLOOKUP(Total[[#This Row],[Hebras]],TbTecnologia[Hebras],TbTecnologia[Tecnología])</f>
        <v>CUDA</v>
      </c>
      <c r="D354" s="2" t="str" cm="1">
        <f t="array" ref="D354">_xlfn.XLOOKUP(Total[[#This Row],[Tecnología]]&amp;Total[[#This Row],[Metodo]],TbTipos[Tecnología]&amp;TbTipos[Metodo],TbTipos[Tipo])</f>
        <v>CUDA sin graph</v>
      </c>
      <c r="E354" s="2" t="str" cm="1">
        <f t="array" ref="E354">_xlfn.XLOOKUP(Total[[#This Row],[Tecnología]]&amp;Total[[#This Row],[Problema]],TbNombres[Tecnología]&amp;TbNombres[Problema],TbNombres[Nombre])</f>
        <v>Brusselator1d</v>
      </c>
      <c r="F354" s="2">
        <v>3</v>
      </c>
      <c r="G354" s="2">
        <v>7</v>
      </c>
      <c r="H354" s="2">
        <v>256</v>
      </c>
      <c r="I354" s="2">
        <v>1000</v>
      </c>
      <c r="J354" s="2">
        <v>2000</v>
      </c>
      <c r="K354" s="2">
        <v>4.5598000000000001</v>
      </c>
    </row>
    <row r="355" spans="2:11" x14ac:dyDescent="0.2">
      <c r="B355" s="5" t="str">
        <f>_xlfn.XLOOKUP(Total[[#This Row],[Metodo]],TbSolver[Metodo],TbSolver[Solver])</f>
        <v>AdamsBashford</v>
      </c>
      <c r="C355" s="5" t="str">
        <f>_xlfn.XLOOKUP(Total[[#This Row],[Hebras]],TbTecnologia[Hebras],TbTecnologia[Tecnología])</f>
        <v>CUDA</v>
      </c>
      <c r="D355" s="2" t="str" cm="1">
        <f t="array" ref="D355">_xlfn.XLOOKUP(Total[[#This Row],[Tecnología]]&amp;Total[[#This Row],[Metodo]],TbTipos[Tecnología]&amp;TbTipos[Metodo],TbTipos[Tipo])</f>
        <v>CUDA sin graph</v>
      </c>
      <c r="E355" s="2" t="str" cm="1">
        <f t="array" ref="E355">_xlfn.XLOOKUP(Total[[#This Row],[Tecnología]]&amp;Total[[#This Row],[Problema]],TbNombres[Tecnología]&amp;TbNombres[Problema],TbNombres[Nombre])</f>
        <v>Brusselator1d</v>
      </c>
      <c r="F355" s="2">
        <v>3</v>
      </c>
      <c r="G355" s="2">
        <v>5</v>
      </c>
      <c r="H355" s="2">
        <v>256</v>
      </c>
      <c r="I355" s="2">
        <v>5000</v>
      </c>
      <c r="J355" s="2">
        <v>10000</v>
      </c>
      <c r="K355" s="2">
        <v>4.64262</v>
      </c>
    </row>
    <row r="356" spans="2:11" x14ac:dyDescent="0.2">
      <c r="B356" s="5" t="str">
        <f>_xlfn.XLOOKUP(Total[[#This Row],[Metodo]],TbSolver[Metodo],TbSolver[Solver])</f>
        <v>AdamsBashford</v>
      </c>
      <c r="C356" s="5" t="str">
        <f>_xlfn.XLOOKUP(Total[[#This Row],[Hebras]],TbTecnologia[Hebras],TbTecnologia[Tecnología])</f>
        <v>CUDA</v>
      </c>
      <c r="D356" s="2" t="str" cm="1">
        <f t="array" ref="D356">_xlfn.XLOOKUP(Total[[#This Row],[Tecnología]]&amp;Total[[#This Row],[Metodo]],TbTipos[Tecnología]&amp;TbTipos[Metodo],TbTipos[Tipo])</f>
        <v>CUDA sin graph</v>
      </c>
      <c r="E356" s="2" t="str" cm="1">
        <f t="array" ref="E356">_xlfn.XLOOKUP(Total[[#This Row],[Tecnología]]&amp;Total[[#This Row],[Problema]],TbNombres[Tecnología]&amp;TbNombres[Problema],TbNombres[Nombre])</f>
        <v>Brusselator1d</v>
      </c>
      <c r="F356" s="2">
        <v>3</v>
      </c>
      <c r="G356" s="2">
        <v>7</v>
      </c>
      <c r="H356" s="2">
        <v>256</v>
      </c>
      <c r="I356" s="2">
        <v>5000</v>
      </c>
      <c r="J356" s="2">
        <v>10000</v>
      </c>
      <c r="K356" s="2">
        <v>4.6811100000000003</v>
      </c>
    </row>
    <row r="357" spans="2:11" x14ac:dyDescent="0.2">
      <c r="B357" s="5" t="str">
        <f>_xlfn.XLOOKUP(Total[[#This Row],[Metodo]],TbSolver[Metodo],TbSolver[Solver])</f>
        <v>AdamsBashford</v>
      </c>
      <c r="C357" s="5" t="str">
        <f>_xlfn.XLOOKUP(Total[[#This Row],[Hebras]],TbTecnologia[Hebras],TbTecnologia[Tecnología])</f>
        <v>CUDA</v>
      </c>
      <c r="D357" s="2" t="str" cm="1">
        <f t="array" ref="D357">_xlfn.XLOOKUP(Total[[#This Row],[Tecnología]]&amp;Total[[#This Row],[Metodo]],TbTipos[Tecnología]&amp;TbTipos[Metodo],TbTipos[Tipo])</f>
        <v>CUDA sin graph</v>
      </c>
      <c r="E357" s="2" t="str" cm="1">
        <f t="array" ref="E357">_xlfn.XLOOKUP(Total[[#This Row],[Tecnología]]&amp;Total[[#This Row],[Problema]],TbNombres[Tecnología]&amp;TbNombres[Problema],TbNombres[Nombre])</f>
        <v>Brusselator1d</v>
      </c>
      <c r="F357" s="2">
        <v>3</v>
      </c>
      <c r="G357" s="2">
        <v>6</v>
      </c>
      <c r="H357" s="2">
        <v>256</v>
      </c>
      <c r="I357" s="2">
        <v>5000</v>
      </c>
      <c r="J357" s="2">
        <v>10000</v>
      </c>
      <c r="K357" s="2">
        <v>4.7199299999999997</v>
      </c>
    </row>
    <row r="358" spans="2:11" x14ac:dyDescent="0.2">
      <c r="B358" s="5" t="str">
        <f>_xlfn.XLOOKUP(Total[[#This Row],[Metodo]],TbSolver[Metodo],TbSolver[Solver])</f>
        <v>AdamsBashford</v>
      </c>
      <c r="C358" s="5" t="str">
        <f>_xlfn.XLOOKUP(Total[[#This Row],[Hebras]],TbTecnologia[Hebras],TbTecnologia[Tecnología])</f>
        <v>CUDA</v>
      </c>
      <c r="D358" s="2" t="str" cm="1">
        <f t="array" ref="D358">_xlfn.XLOOKUP(Total[[#This Row],[Tecnología]]&amp;Total[[#This Row],[Metodo]],TbTipos[Tecnología]&amp;TbTipos[Metodo],TbTipos[Tipo])</f>
        <v>CUDA con graph</v>
      </c>
      <c r="E358" s="2" t="str" cm="1">
        <f t="array" ref="E358">_xlfn.XLOOKUP(Total[[#This Row],[Tecnología]]&amp;Total[[#This Row],[Problema]],TbNombres[Tecnología]&amp;TbNombres[Problema],TbNombres[Nombre])</f>
        <v>Brusselator1d</v>
      </c>
      <c r="F358" s="2">
        <v>4</v>
      </c>
      <c r="G358" s="2">
        <v>5</v>
      </c>
      <c r="H358" s="2">
        <v>256</v>
      </c>
      <c r="I358" s="2">
        <v>100</v>
      </c>
      <c r="J358" s="2">
        <v>200</v>
      </c>
      <c r="K358" s="2">
        <v>5.79298</v>
      </c>
    </row>
    <row r="359" spans="2:11" x14ac:dyDescent="0.2">
      <c r="B359" s="5" t="str">
        <f>_xlfn.XLOOKUP(Total[[#This Row],[Metodo]],TbSolver[Metodo],TbSolver[Solver])</f>
        <v>AdamsBashford</v>
      </c>
      <c r="C359" s="5" t="str">
        <f>_xlfn.XLOOKUP(Total[[#This Row],[Hebras]],TbTecnologia[Hebras],TbTecnologia[Tecnología])</f>
        <v>CUDA</v>
      </c>
      <c r="D359" s="2" t="str" cm="1">
        <f t="array" ref="D359">_xlfn.XLOOKUP(Total[[#This Row],[Tecnología]]&amp;Total[[#This Row],[Metodo]],TbTipos[Tecnología]&amp;TbTipos[Metodo],TbTipos[Tipo])</f>
        <v>CUDA con graph</v>
      </c>
      <c r="E359" s="2" t="str" cm="1">
        <f t="array" ref="E359">_xlfn.XLOOKUP(Total[[#This Row],[Tecnología]]&amp;Total[[#This Row],[Problema]],TbNombres[Tecnología]&amp;TbNombres[Problema],TbNombres[Nombre])</f>
        <v>Brusselator1d</v>
      </c>
      <c r="F359" s="2">
        <v>4</v>
      </c>
      <c r="G359" s="2">
        <v>6</v>
      </c>
      <c r="H359" s="2">
        <v>256</v>
      </c>
      <c r="I359" s="2">
        <v>100</v>
      </c>
      <c r="J359" s="2">
        <v>200</v>
      </c>
      <c r="K359" s="2">
        <v>5.8353200000000003</v>
      </c>
    </row>
    <row r="360" spans="2:11" x14ac:dyDescent="0.2">
      <c r="B360" s="5" t="str">
        <f>_xlfn.XLOOKUP(Total[[#This Row],[Metodo]],TbSolver[Metodo],TbSolver[Solver])</f>
        <v>AdamsBashford</v>
      </c>
      <c r="C360" s="5" t="str">
        <f>_xlfn.XLOOKUP(Total[[#This Row],[Hebras]],TbTecnologia[Hebras],TbTecnologia[Tecnología])</f>
        <v>CUDA</v>
      </c>
      <c r="D360" s="2" t="str" cm="1">
        <f t="array" ref="D360">_xlfn.XLOOKUP(Total[[#This Row],[Tecnología]]&amp;Total[[#This Row],[Metodo]],TbTipos[Tecnología]&amp;TbTipos[Metodo],TbTipos[Tipo])</f>
        <v>CUDA con graph</v>
      </c>
      <c r="E360" s="2" t="str" cm="1">
        <f t="array" ref="E360">_xlfn.XLOOKUP(Total[[#This Row],[Tecnología]]&amp;Total[[#This Row],[Problema]],TbNombres[Tecnología]&amp;TbNombres[Problema],TbNombres[Nombre])</f>
        <v>Brusselator1d</v>
      </c>
      <c r="F360" s="2">
        <v>4</v>
      </c>
      <c r="G360" s="2">
        <v>7</v>
      </c>
      <c r="H360" s="2">
        <v>256</v>
      </c>
      <c r="I360" s="2">
        <v>100</v>
      </c>
      <c r="J360" s="2">
        <v>200</v>
      </c>
      <c r="K360" s="2">
        <v>5.9540899999999999</v>
      </c>
    </row>
    <row r="361" spans="2:11" x14ac:dyDescent="0.2">
      <c r="B361" s="5" t="str">
        <f>_xlfn.XLOOKUP(Total[[#This Row],[Metodo]],TbSolver[Metodo],TbSolver[Solver])</f>
        <v>AdamsBashford</v>
      </c>
      <c r="C361" s="5" t="str">
        <f>_xlfn.XLOOKUP(Total[[#This Row],[Hebras]],TbTecnologia[Hebras],TbTecnologia[Tecnología])</f>
        <v>CUDA</v>
      </c>
      <c r="D361" s="2" t="str" cm="1">
        <f t="array" ref="D361">_xlfn.XLOOKUP(Total[[#This Row],[Tecnología]]&amp;Total[[#This Row],[Metodo]],TbTipos[Tecnología]&amp;TbTipos[Metodo],TbTipos[Tipo])</f>
        <v>CUDA con graph</v>
      </c>
      <c r="E361" s="2" t="str" cm="1">
        <f t="array" ref="E361">_xlfn.XLOOKUP(Total[[#This Row],[Tecnología]]&amp;Total[[#This Row],[Problema]],TbNombres[Tecnología]&amp;TbNombres[Problema],TbNombres[Nombre])</f>
        <v>Brusselator1d</v>
      </c>
      <c r="F361" s="2">
        <v>4</v>
      </c>
      <c r="G361" s="2">
        <v>5</v>
      </c>
      <c r="H361" s="2">
        <v>256</v>
      </c>
      <c r="I361" s="2">
        <v>200</v>
      </c>
      <c r="J361" s="2">
        <v>400</v>
      </c>
      <c r="K361" s="2">
        <v>6.0020499999999997</v>
      </c>
    </row>
    <row r="362" spans="2:11" x14ac:dyDescent="0.2">
      <c r="B362" s="5" t="str">
        <f>_xlfn.XLOOKUP(Total[[#This Row],[Metodo]],TbSolver[Metodo],TbSolver[Solver])</f>
        <v>AdamsBashford</v>
      </c>
      <c r="C362" s="5" t="str">
        <f>_xlfn.XLOOKUP(Total[[#This Row],[Hebras]],TbTecnologia[Hebras],TbTecnologia[Tecnología])</f>
        <v>CUDA</v>
      </c>
      <c r="D362" s="2" t="str" cm="1">
        <f t="array" ref="D362">_xlfn.XLOOKUP(Total[[#This Row],[Tecnología]]&amp;Total[[#This Row],[Metodo]],TbTipos[Tecnología]&amp;TbTipos[Metodo],TbTipos[Tipo])</f>
        <v>CUDA con graph</v>
      </c>
      <c r="E362" s="2" t="str" cm="1">
        <f t="array" ref="E362">_xlfn.XLOOKUP(Total[[#This Row],[Tecnología]]&amp;Total[[#This Row],[Problema]],TbNombres[Tecnología]&amp;TbNombres[Problema],TbNombres[Nombre])</f>
        <v>Brusselator1d</v>
      </c>
      <c r="F362" s="2">
        <v>4</v>
      </c>
      <c r="G362" s="2">
        <v>7</v>
      </c>
      <c r="H362" s="2">
        <v>256</v>
      </c>
      <c r="I362" s="2">
        <v>200</v>
      </c>
      <c r="J362" s="2">
        <v>400</v>
      </c>
      <c r="K362" s="2">
        <v>6.0254700000000003</v>
      </c>
    </row>
    <row r="363" spans="2:11" x14ac:dyDescent="0.2">
      <c r="B363" s="5" t="str">
        <f>_xlfn.XLOOKUP(Total[[#This Row],[Metodo]],TbSolver[Metodo],TbSolver[Solver])</f>
        <v>AdamsBashford</v>
      </c>
      <c r="C363" s="5" t="str">
        <f>_xlfn.XLOOKUP(Total[[#This Row],[Hebras]],TbTecnologia[Hebras],TbTecnologia[Tecnología])</f>
        <v>CUDA</v>
      </c>
      <c r="D363" s="2" t="str" cm="1">
        <f t="array" ref="D363">_xlfn.XLOOKUP(Total[[#This Row],[Tecnología]]&amp;Total[[#This Row],[Metodo]],TbTipos[Tecnología]&amp;TbTipos[Metodo],TbTipos[Tipo])</f>
        <v>CUDA con graph</v>
      </c>
      <c r="E363" s="2" t="str" cm="1">
        <f t="array" ref="E363">_xlfn.XLOOKUP(Total[[#This Row],[Tecnología]]&amp;Total[[#This Row],[Problema]],TbNombres[Tecnología]&amp;TbNombres[Problema],TbNombres[Nombre])</f>
        <v>Brusselator1d</v>
      </c>
      <c r="F363" s="2">
        <v>4</v>
      </c>
      <c r="G363" s="2">
        <v>6</v>
      </c>
      <c r="H363" s="2">
        <v>256</v>
      </c>
      <c r="I363" s="2">
        <v>200</v>
      </c>
      <c r="J363" s="2">
        <v>400</v>
      </c>
      <c r="K363" s="2">
        <v>6.0285399999999996</v>
      </c>
    </row>
    <row r="364" spans="2:11" x14ac:dyDescent="0.2">
      <c r="B364" s="5" t="str">
        <f>_xlfn.XLOOKUP(Total[[#This Row],[Metodo]],TbSolver[Metodo],TbSolver[Solver])</f>
        <v>AdamsBashford</v>
      </c>
      <c r="C364" s="5" t="str">
        <f>_xlfn.XLOOKUP(Total[[#This Row],[Hebras]],TbTecnologia[Hebras],TbTecnologia[Tecnología])</f>
        <v>CUDA</v>
      </c>
      <c r="D364" s="2" t="str" cm="1">
        <f t="array" ref="D364">_xlfn.XLOOKUP(Total[[#This Row],[Tecnología]]&amp;Total[[#This Row],[Metodo]],TbTipos[Tecnología]&amp;TbTipos[Metodo],TbTipos[Tipo])</f>
        <v>CUDA con graph</v>
      </c>
      <c r="E364" s="2" t="str" cm="1">
        <f t="array" ref="E364">_xlfn.XLOOKUP(Total[[#This Row],[Tecnología]]&amp;Total[[#This Row],[Problema]],TbNombres[Tecnología]&amp;TbNombres[Problema],TbNombres[Nombre])</f>
        <v>Brusselator1d</v>
      </c>
      <c r="F364" s="2">
        <v>4</v>
      </c>
      <c r="G364" s="2">
        <v>5</v>
      </c>
      <c r="H364" s="2">
        <v>256</v>
      </c>
      <c r="I364" s="2">
        <v>500</v>
      </c>
      <c r="J364" s="2">
        <v>1000</v>
      </c>
      <c r="K364" s="2">
        <v>6.0388000000000002</v>
      </c>
    </row>
    <row r="365" spans="2:11" x14ac:dyDescent="0.2">
      <c r="B365" s="5" t="str">
        <f>_xlfn.XLOOKUP(Total[[#This Row],[Metodo]],TbSolver[Metodo],TbSolver[Solver])</f>
        <v>AdamsBashford</v>
      </c>
      <c r="C365" s="5" t="str">
        <f>_xlfn.XLOOKUP(Total[[#This Row],[Hebras]],TbTecnologia[Hebras],TbTecnologia[Tecnología])</f>
        <v>CUDA</v>
      </c>
      <c r="D365" s="2" t="str" cm="1">
        <f t="array" ref="D365">_xlfn.XLOOKUP(Total[[#This Row],[Tecnología]]&amp;Total[[#This Row],[Metodo]],TbTipos[Tecnología]&amp;TbTipos[Metodo],TbTipos[Tipo])</f>
        <v>CUDA con graph</v>
      </c>
      <c r="E365" s="2" t="str" cm="1">
        <f t="array" ref="E365">_xlfn.XLOOKUP(Total[[#This Row],[Tecnología]]&amp;Total[[#This Row],[Problema]],TbNombres[Tecnología]&amp;TbNombres[Problema],TbNombres[Nombre])</f>
        <v>Brusselator1d</v>
      </c>
      <c r="F365" s="2">
        <v>4</v>
      </c>
      <c r="G365" s="2">
        <v>7</v>
      </c>
      <c r="H365" s="2">
        <v>256</v>
      </c>
      <c r="I365" s="2">
        <v>500</v>
      </c>
      <c r="J365" s="2">
        <v>1000</v>
      </c>
      <c r="K365" s="2">
        <v>6.0445500000000001</v>
      </c>
    </row>
    <row r="366" spans="2:11" x14ac:dyDescent="0.2">
      <c r="B366" s="5" t="str">
        <f>_xlfn.XLOOKUP(Total[[#This Row],[Metodo]],TbSolver[Metodo],TbSolver[Solver])</f>
        <v>AdamsBashford</v>
      </c>
      <c r="C366" s="5" t="str">
        <f>_xlfn.XLOOKUP(Total[[#This Row],[Hebras]],TbTecnologia[Hebras],TbTecnologia[Tecnología])</f>
        <v>CUDA</v>
      </c>
      <c r="D366" s="2" t="str" cm="1">
        <f t="array" ref="D366">_xlfn.XLOOKUP(Total[[#This Row],[Tecnología]]&amp;Total[[#This Row],[Metodo]],TbTipos[Tecnología]&amp;TbTipos[Metodo],TbTipos[Tipo])</f>
        <v>CUDA con graph</v>
      </c>
      <c r="E366" s="2" t="str" cm="1">
        <f t="array" ref="E366">_xlfn.XLOOKUP(Total[[#This Row],[Tecnología]]&amp;Total[[#This Row],[Problema]],TbNombres[Tecnología]&amp;TbNombres[Problema],TbNombres[Nombre])</f>
        <v>Brusselator1d</v>
      </c>
      <c r="F366" s="2">
        <v>4</v>
      </c>
      <c r="G366" s="2">
        <v>5</v>
      </c>
      <c r="H366" s="2">
        <v>256</v>
      </c>
      <c r="I366" s="2">
        <v>1000</v>
      </c>
      <c r="J366" s="2">
        <v>2000</v>
      </c>
      <c r="K366" s="2">
        <v>6.0667</v>
      </c>
    </row>
    <row r="367" spans="2:11" x14ac:dyDescent="0.2">
      <c r="B367" s="5" t="str">
        <f>_xlfn.XLOOKUP(Total[[#This Row],[Metodo]],TbSolver[Metodo],TbSolver[Solver])</f>
        <v>AdamsBashford</v>
      </c>
      <c r="C367" s="5" t="str">
        <f>_xlfn.XLOOKUP(Total[[#This Row],[Hebras]],TbTecnologia[Hebras],TbTecnologia[Tecnología])</f>
        <v>CUDA</v>
      </c>
      <c r="D367" s="2" t="str" cm="1">
        <f t="array" ref="D367">_xlfn.XLOOKUP(Total[[#This Row],[Tecnología]]&amp;Total[[#This Row],[Metodo]],TbTipos[Tecnología]&amp;TbTipos[Metodo],TbTipos[Tipo])</f>
        <v>CUDA con graph</v>
      </c>
      <c r="E367" s="2" t="str" cm="1">
        <f t="array" ref="E367">_xlfn.XLOOKUP(Total[[#This Row],[Tecnología]]&amp;Total[[#This Row],[Problema]],TbNombres[Tecnología]&amp;TbNombres[Problema],TbNombres[Nombre])</f>
        <v>Brusselator1d</v>
      </c>
      <c r="F367" s="2">
        <v>4</v>
      </c>
      <c r="G367" s="2">
        <v>6</v>
      </c>
      <c r="H367" s="2">
        <v>256</v>
      </c>
      <c r="I367" s="2">
        <v>500</v>
      </c>
      <c r="J367" s="2">
        <v>1000</v>
      </c>
      <c r="K367" s="2">
        <v>6.0677099999999999</v>
      </c>
    </row>
    <row r="368" spans="2:11" x14ac:dyDescent="0.2">
      <c r="B368" s="5" t="str">
        <f>_xlfn.XLOOKUP(Total[[#This Row],[Metodo]],TbSolver[Metodo],TbSolver[Solver])</f>
        <v>AdamsBashford</v>
      </c>
      <c r="C368" s="5" t="str">
        <f>_xlfn.XLOOKUP(Total[[#This Row],[Hebras]],TbTecnologia[Hebras],TbTecnologia[Tecnología])</f>
        <v>CUDA</v>
      </c>
      <c r="D368" s="2" t="str" cm="1">
        <f t="array" ref="D368">_xlfn.XLOOKUP(Total[[#This Row],[Tecnología]]&amp;Total[[#This Row],[Metodo]],TbTipos[Tecnología]&amp;TbTipos[Metodo],TbTipos[Tipo])</f>
        <v>CUDA sin graph</v>
      </c>
      <c r="E368" s="2" t="str" cm="1">
        <f t="array" ref="E368">_xlfn.XLOOKUP(Total[[#This Row],[Tecnología]]&amp;Total[[#This Row],[Problema]],TbNombres[Tecnología]&amp;TbNombres[Problema],TbNombres[Nombre])</f>
        <v>Brusselator1d</v>
      </c>
      <c r="F368" s="2">
        <v>3</v>
      </c>
      <c r="G368" s="2">
        <v>5</v>
      </c>
      <c r="H368" s="2">
        <v>256</v>
      </c>
      <c r="I368" s="2">
        <v>10000</v>
      </c>
      <c r="J368" s="2">
        <v>20000</v>
      </c>
      <c r="K368" s="2">
        <v>6.0775300000000003</v>
      </c>
    </row>
    <row r="369" spans="2:11" x14ac:dyDescent="0.2">
      <c r="B369" s="5" t="str">
        <f>_xlfn.XLOOKUP(Total[[#This Row],[Metodo]],TbSolver[Metodo],TbSolver[Solver])</f>
        <v>AdamsBashford</v>
      </c>
      <c r="C369" s="5" t="str">
        <f>_xlfn.XLOOKUP(Total[[#This Row],[Hebras]],TbTecnologia[Hebras],TbTecnologia[Tecnología])</f>
        <v>CUDA</v>
      </c>
      <c r="D369" s="2" t="str" cm="1">
        <f t="array" ref="D369">_xlfn.XLOOKUP(Total[[#This Row],[Tecnología]]&amp;Total[[#This Row],[Metodo]],TbTipos[Tecnología]&amp;TbTipos[Metodo],TbTipos[Tipo])</f>
        <v>CUDA con graph</v>
      </c>
      <c r="E369" s="2" t="str" cm="1">
        <f t="array" ref="E369">_xlfn.XLOOKUP(Total[[#This Row],[Tecnología]]&amp;Total[[#This Row],[Problema]],TbNombres[Tecnología]&amp;TbNombres[Problema],TbNombres[Nombre])</f>
        <v>Brusselator1d</v>
      </c>
      <c r="F369" s="2">
        <v>4</v>
      </c>
      <c r="G369" s="2">
        <v>6</v>
      </c>
      <c r="H369" s="2">
        <v>256</v>
      </c>
      <c r="I369" s="2">
        <v>1000</v>
      </c>
      <c r="J369" s="2">
        <v>2000</v>
      </c>
      <c r="K369" s="2">
        <v>6.0970599999999999</v>
      </c>
    </row>
    <row r="370" spans="2:11" x14ac:dyDescent="0.2">
      <c r="B370" s="5" t="str">
        <f>_xlfn.XLOOKUP(Total[[#This Row],[Metodo]],TbSolver[Metodo],TbSolver[Solver])</f>
        <v>AdamsBashford</v>
      </c>
      <c r="C370" s="5" t="str">
        <f>_xlfn.XLOOKUP(Total[[#This Row],[Hebras]],TbTecnologia[Hebras],TbTecnologia[Tecnología])</f>
        <v>CUDA</v>
      </c>
      <c r="D370" s="2" t="str" cm="1">
        <f t="array" ref="D370">_xlfn.XLOOKUP(Total[[#This Row],[Tecnología]]&amp;Total[[#This Row],[Metodo]],TbTipos[Tecnología]&amp;TbTipos[Metodo],TbTipos[Tipo])</f>
        <v>CUDA con graph</v>
      </c>
      <c r="E370" s="2" t="str" cm="1">
        <f t="array" ref="E370">_xlfn.XLOOKUP(Total[[#This Row],[Tecnología]]&amp;Total[[#This Row],[Problema]],TbNombres[Tecnología]&amp;TbNombres[Problema],TbNombres[Nombre])</f>
        <v>Brusselator1d</v>
      </c>
      <c r="F370" s="2">
        <v>4</v>
      </c>
      <c r="G370" s="2">
        <v>5</v>
      </c>
      <c r="H370" s="2">
        <v>256</v>
      </c>
      <c r="I370" s="2">
        <v>2000</v>
      </c>
      <c r="J370" s="2">
        <v>4000</v>
      </c>
      <c r="K370" s="2">
        <v>6.1092500000000003</v>
      </c>
    </row>
    <row r="371" spans="2:11" x14ac:dyDescent="0.2">
      <c r="B371" s="5" t="str">
        <f>_xlfn.XLOOKUP(Total[[#This Row],[Metodo]],TbSolver[Metodo],TbSolver[Solver])</f>
        <v>AdamsBashford</v>
      </c>
      <c r="C371" s="5" t="str">
        <f>_xlfn.XLOOKUP(Total[[#This Row],[Hebras]],TbTecnologia[Hebras],TbTecnologia[Tecnología])</f>
        <v>CUDA</v>
      </c>
      <c r="D371" s="2" t="str" cm="1">
        <f t="array" ref="D371">_xlfn.XLOOKUP(Total[[#This Row],[Tecnología]]&amp;Total[[#This Row],[Metodo]],TbTipos[Tecnología]&amp;TbTipos[Metodo],TbTipos[Tipo])</f>
        <v>CUDA con graph</v>
      </c>
      <c r="E371" s="2" t="str" cm="1">
        <f t="array" ref="E371">_xlfn.XLOOKUP(Total[[#This Row],[Tecnología]]&amp;Total[[#This Row],[Problema]],TbNombres[Tecnología]&amp;TbNombres[Problema],TbNombres[Nombre])</f>
        <v>Brusselator1d</v>
      </c>
      <c r="F371" s="2">
        <v>4</v>
      </c>
      <c r="G371" s="2">
        <v>7</v>
      </c>
      <c r="H371" s="2">
        <v>256</v>
      </c>
      <c r="I371" s="2">
        <v>1000</v>
      </c>
      <c r="J371" s="2">
        <v>2000</v>
      </c>
      <c r="K371" s="2">
        <v>6.1217899999999998</v>
      </c>
    </row>
    <row r="372" spans="2:11" x14ac:dyDescent="0.2">
      <c r="B372" s="5" t="str">
        <f>_xlfn.XLOOKUP(Total[[#This Row],[Metodo]],TbSolver[Metodo],TbSolver[Solver])</f>
        <v>AdamsBashford</v>
      </c>
      <c r="C372" s="5" t="str">
        <f>_xlfn.XLOOKUP(Total[[#This Row],[Hebras]],TbTecnologia[Hebras],TbTecnologia[Tecnología])</f>
        <v>CUDA</v>
      </c>
      <c r="D372" s="2" t="str" cm="1">
        <f t="array" ref="D372">_xlfn.XLOOKUP(Total[[#This Row],[Tecnología]]&amp;Total[[#This Row],[Metodo]],TbTipos[Tecnología]&amp;TbTipos[Metodo],TbTipos[Tipo])</f>
        <v>CUDA con graph</v>
      </c>
      <c r="E372" s="2" t="str" cm="1">
        <f t="array" ref="E372">_xlfn.XLOOKUP(Total[[#This Row],[Tecnología]]&amp;Total[[#This Row],[Problema]],TbNombres[Tecnología]&amp;TbNombres[Problema],TbNombres[Nombre])</f>
        <v>Brusselator1d</v>
      </c>
      <c r="F372" s="2">
        <v>4</v>
      </c>
      <c r="G372" s="2">
        <v>7</v>
      </c>
      <c r="H372" s="2">
        <v>256</v>
      </c>
      <c r="I372" s="2">
        <v>2000</v>
      </c>
      <c r="J372" s="2">
        <v>4000</v>
      </c>
      <c r="K372" s="2">
        <v>6.1276999999999999</v>
      </c>
    </row>
    <row r="373" spans="2:11" x14ac:dyDescent="0.2">
      <c r="B373" s="5" t="str">
        <f>_xlfn.XLOOKUP(Total[[#This Row],[Metodo]],TbSolver[Metodo],TbSolver[Solver])</f>
        <v>AdamsBashford</v>
      </c>
      <c r="C373" s="5" t="str">
        <f>_xlfn.XLOOKUP(Total[[#This Row],[Hebras]],TbTecnologia[Hebras],TbTecnologia[Tecnología])</f>
        <v>CUDA</v>
      </c>
      <c r="D373" s="2" t="str" cm="1">
        <f t="array" ref="D373">_xlfn.XLOOKUP(Total[[#This Row],[Tecnología]]&amp;Total[[#This Row],[Metodo]],TbTipos[Tecnología]&amp;TbTipos[Metodo],TbTipos[Tipo])</f>
        <v>CUDA con graph</v>
      </c>
      <c r="E373" s="2" t="str" cm="1">
        <f t="array" ref="E373">_xlfn.XLOOKUP(Total[[#This Row],[Tecnología]]&amp;Total[[#This Row],[Problema]],TbNombres[Tecnología]&amp;TbNombres[Problema],TbNombres[Nombre])</f>
        <v>Brusselator1d</v>
      </c>
      <c r="F373" s="2">
        <v>4</v>
      </c>
      <c r="G373" s="2">
        <v>6</v>
      </c>
      <c r="H373" s="2">
        <v>256</v>
      </c>
      <c r="I373" s="2">
        <v>2000</v>
      </c>
      <c r="J373" s="2">
        <v>4000</v>
      </c>
      <c r="K373" s="2">
        <v>6.1341099999999997</v>
      </c>
    </row>
    <row r="374" spans="2:11" x14ac:dyDescent="0.2">
      <c r="B374" s="5" t="str">
        <f>_xlfn.XLOOKUP(Total[[#This Row],[Metodo]],TbSolver[Metodo],TbSolver[Solver])</f>
        <v>AdamsBashford</v>
      </c>
      <c r="C374" s="5" t="str">
        <f>_xlfn.XLOOKUP(Total[[#This Row],[Hebras]],TbTecnologia[Hebras],TbTecnologia[Tecnología])</f>
        <v>CUDA</v>
      </c>
      <c r="D374" s="2" t="str" cm="1">
        <f t="array" ref="D374">_xlfn.XLOOKUP(Total[[#This Row],[Tecnología]]&amp;Total[[#This Row],[Metodo]],TbTipos[Tecnología]&amp;TbTipos[Metodo],TbTipos[Tipo])</f>
        <v>CUDA sin graph</v>
      </c>
      <c r="E374" s="2" t="str" cm="1">
        <f t="array" ref="E374">_xlfn.XLOOKUP(Total[[#This Row],[Tecnología]]&amp;Total[[#This Row],[Problema]],TbNombres[Tecnología]&amp;TbNombres[Problema],TbNombres[Nombre])</f>
        <v>Brusselator1d</v>
      </c>
      <c r="F374" s="2">
        <v>3</v>
      </c>
      <c r="G374" s="2">
        <v>6</v>
      </c>
      <c r="H374" s="2">
        <v>256</v>
      </c>
      <c r="I374" s="2">
        <v>10000</v>
      </c>
      <c r="J374" s="2">
        <v>20000</v>
      </c>
      <c r="K374" s="2">
        <v>6.194</v>
      </c>
    </row>
    <row r="375" spans="2:11" x14ac:dyDescent="0.2">
      <c r="B375" s="5" t="str">
        <f>_xlfn.XLOOKUP(Total[[#This Row],[Metodo]],TbSolver[Metodo],TbSolver[Solver])</f>
        <v>AdamsBashford</v>
      </c>
      <c r="C375" s="5" t="str">
        <f>_xlfn.XLOOKUP(Total[[#This Row],[Hebras]],TbTecnologia[Hebras],TbTecnologia[Tecnología])</f>
        <v>CUDA</v>
      </c>
      <c r="D375" s="2" t="str" cm="1">
        <f t="array" ref="D375">_xlfn.XLOOKUP(Total[[#This Row],[Tecnología]]&amp;Total[[#This Row],[Metodo]],TbTipos[Tecnología]&amp;TbTipos[Metodo],TbTipos[Tipo])</f>
        <v>CUDA sin graph</v>
      </c>
      <c r="E375" s="2" t="str" cm="1">
        <f t="array" ref="E375">_xlfn.XLOOKUP(Total[[#This Row],[Tecnología]]&amp;Total[[#This Row],[Problema]],TbNombres[Tecnología]&amp;TbNombres[Problema],TbNombres[Nombre])</f>
        <v>Brusselator1d</v>
      </c>
      <c r="F375" s="2">
        <v>3</v>
      </c>
      <c r="G375" s="2">
        <v>5</v>
      </c>
      <c r="H375" s="2">
        <v>256</v>
      </c>
      <c r="I375" s="2">
        <v>10000</v>
      </c>
      <c r="J375" s="2">
        <v>20000</v>
      </c>
      <c r="K375" s="2">
        <v>6.1955400000000003</v>
      </c>
    </row>
    <row r="376" spans="2:11" x14ac:dyDescent="0.2">
      <c r="B376" s="5" t="str">
        <f>_xlfn.XLOOKUP(Total[[#This Row],[Metodo]],TbSolver[Metodo],TbSolver[Solver])</f>
        <v>AdamsBashford</v>
      </c>
      <c r="C376" s="5" t="str">
        <f>_xlfn.XLOOKUP(Total[[#This Row],[Hebras]],TbTecnologia[Hebras],TbTecnologia[Tecnología])</f>
        <v>CUDA</v>
      </c>
      <c r="D376" s="2" t="str" cm="1">
        <f t="array" ref="D376">_xlfn.XLOOKUP(Total[[#This Row],[Tecnología]]&amp;Total[[#This Row],[Metodo]],TbTipos[Tecnología]&amp;TbTipos[Metodo],TbTipos[Tipo])</f>
        <v>CUDA sin graph</v>
      </c>
      <c r="E376" s="2" t="str" cm="1">
        <f t="array" ref="E376">_xlfn.XLOOKUP(Total[[#This Row],[Tecnología]]&amp;Total[[#This Row],[Problema]],TbNombres[Tecnología]&amp;TbNombres[Problema],TbNombres[Nombre])</f>
        <v>Brusselator1d</v>
      </c>
      <c r="F376" s="2">
        <v>3</v>
      </c>
      <c r="G376" s="2">
        <v>7</v>
      </c>
      <c r="H376" s="2">
        <v>256</v>
      </c>
      <c r="I376" s="2">
        <v>10000</v>
      </c>
      <c r="J376" s="2">
        <v>20000</v>
      </c>
      <c r="K376" s="2">
        <v>6.2668900000000001</v>
      </c>
    </row>
    <row r="377" spans="2:11" x14ac:dyDescent="0.2">
      <c r="B377" s="5" t="str">
        <f>_xlfn.XLOOKUP(Total[[#This Row],[Metodo]],TbSolver[Metodo],TbSolver[Solver])</f>
        <v>AdamsBashford</v>
      </c>
      <c r="C377" s="5" t="str">
        <f>_xlfn.XLOOKUP(Total[[#This Row],[Hebras]],TbTecnologia[Hebras],TbTecnologia[Tecnología])</f>
        <v>CUDA</v>
      </c>
      <c r="D377" s="2" t="str" cm="1">
        <f t="array" ref="D377">_xlfn.XLOOKUP(Total[[#This Row],[Tecnología]]&amp;Total[[#This Row],[Metodo]],TbTipos[Tecnología]&amp;TbTipos[Metodo],TbTipos[Tipo])</f>
        <v>CUDA con graph</v>
      </c>
      <c r="E377" s="2" t="str" cm="1">
        <f t="array" ref="E377">_xlfn.XLOOKUP(Total[[#This Row],[Tecnología]]&amp;Total[[#This Row],[Problema]],TbNombres[Tecnología]&amp;TbNombres[Problema],TbNombres[Nombre])</f>
        <v>Brusselator1d</v>
      </c>
      <c r="F377" s="2">
        <v>4</v>
      </c>
      <c r="G377" s="2">
        <v>5</v>
      </c>
      <c r="H377" s="2">
        <v>256</v>
      </c>
      <c r="I377" s="2">
        <v>5000</v>
      </c>
      <c r="J377" s="2">
        <v>10000</v>
      </c>
      <c r="K377" s="2">
        <v>6.3339499999999997</v>
      </c>
    </row>
    <row r="378" spans="2:11" x14ac:dyDescent="0.2">
      <c r="B378" s="5" t="str">
        <f>_xlfn.XLOOKUP(Total[[#This Row],[Metodo]],TbSolver[Metodo],TbSolver[Solver])</f>
        <v>AdamsBashford</v>
      </c>
      <c r="C378" s="5" t="str">
        <f>_xlfn.XLOOKUP(Total[[#This Row],[Hebras]],TbTecnologia[Hebras],TbTecnologia[Tecnología])</f>
        <v>CUDA</v>
      </c>
      <c r="D378" s="2" t="str" cm="1">
        <f t="array" ref="D378">_xlfn.XLOOKUP(Total[[#This Row],[Tecnología]]&amp;Total[[#This Row],[Metodo]],TbTipos[Tecnología]&amp;TbTipos[Metodo],TbTipos[Tipo])</f>
        <v>CUDA con graph</v>
      </c>
      <c r="E378" s="2" t="str" cm="1">
        <f t="array" ref="E378">_xlfn.XLOOKUP(Total[[#This Row],[Tecnología]]&amp;Total[[#This Row],[Problema]],TbNombres[Tecnología]&amp;TbNombres[Problema],TbNombres[Nombre])</f>
        <v>Brusselator1d</v>
      </c>
      <c r="F378" s="2">
        <v>4</v>
      </c>
      <c r="G378" s="2">
        <v>6</v>
      </c>
      <c r="H378" s="2">
        <v>256</v>
      </c>
      <c r="I378" s="2">
        <v>5000</v>
      </c>
      <c r="J378" s="2">
        <v>10000</v>
      </c>
      <c r="K378" s="2">
        <v>6.35222</v>
      </c>
    </row>
    <row r="379" spans="2:11" x14ac:dyDescent="0.2">
      <c r="B379" s="5" t="str">
        <f>_xlfn.XLOOKUP(Total[[#This Row],[Metodo]],TbSolver[Metodo],TbSolver[Solver])</f>
        <v>AdamsBashford</v>
      </c>
      <c r="C379" s="5" t="str">
        <f>_xlfn.XLOOKUP(Total[[#This Row],[Hebras]],TbTecnologia[Hebras],TbTecnologia[Tecnología])</f>
        <v>CUDA</v>
      </c>
      <c r="D379" s="2" t="str" cm="1">
        <f t="array" ref="D379">_xlfn.XLOOKUP(Total[[#This Row],[Tecnología]]&amp;Total[[#This Row],[Metodo]],TbTipos[Tecnología]&amp;TbTipos[Metodo],TbTipos[Tipo])</f>
        <v>CUDA con graph</v>
      </c>
      <c r="E379" s="2" t="str" cm="1">
        <f t="array" ref="E379">_xlfn.XLOOKUP(Total[[#This Row],[Tecnología]]&amp;Total[[#This Row],[Problema]],TbNombres[Tecnología]&amp;TbNombres[Problema],TbNombres[Nombre])</f>
        <v>Brusselator1d</v>
      </c>
      <c r="F379" s="2">
        <v>4</v>
      </c>
      <c r="G379" s="2">
        <v>7</v>
      </c>
      <c r="H379" s="2">
        <v>256</v>
      </c>
      <c r="I379" s="2">
        <v>5000</v>
      </c>
      <c r="J379" s="2">
        <v>10000</v>
      </c>
      <c r="K379" s="2">
        <v>6.3566900000000004</v>
      </c>
    </row>
    <row r="380" spans="2:11" x14ac:dyDescent="0.2">
      <c r="B380" s="5" t="str">
        <f>_xlfn.XLOOKUP(Total[[#This Row],[Metodo]],TbSolver[Metodo],TbSolver[Solver])</f>
        <v>AdamsBashford</v>
      </c>
      <c r="C380" s="5" t="str">
        <f>_xlfn.XLOOKUP(Total[[#This Row],[Hebras]],TbTecnologia[Hebras],TbTecnologia[Tecnología])</f>
        <v>CUDA</v>
      </c>
      <c r="D380" s="2" t="str" cm="1">
        <f t="array" ref="D380">_xlfn.XLOOKUP(Total[[#This Row],[Tecnología]]&amp;Total[[#This Row],[Metodo]],TbTipos[Tecnología]&amp;TbTipos[Metodo],TbTipos[Tipo])</f>
        <v>CUDA sin graph</v>
      </c>
      <c r="E380" s="2" t="str" cm="1">
        <f t="array" ref="E380">_xlfn.XLOOKUP(Total[[#This Row],[Tecnología]]&amp;Total[[#This Row],[Problema]],TbNombres[Tecnología]&amp;TbNombres[Problema],TbNombres[Nombre])</f>
        <v>Brusselator1d</v>
      </c>
      <c r="F380" s="2">
        <v>3</v>
      </c>
      <c r="G380" s="2">
        <v>5</v>
      </c>
      <c r="H380" s="2">
        <v>256</v>
      </c>
      <c r="I380" s="2">
        <v>20000</v>
      </c>
      <c r="J380" s="2">
        <v>40000</v>
      </c>
      <c r="K380" s="2">
        <v>7.6532600000000004</v>
      </c>
    </row>
    <row r="381" spans="2:11" x14ac:dyDescent="0.2">
      <c r="B381" s="5" t="str">
        <f>_xlfn.XLOOKUP(Total[[#This Row],[Metodo]],TbSolver[Metodo],TbSolver[Solver])</f>
        <v>AdamsBashford</v>
      </c>
      <c r="C381" s="5" t="str">
        <f>_xlfn.XLOOKUP(Total[[#This Row],[Hebras]],TbTecnologia[Hebras],TbTecnologia[Tecnología])</f>
        <v>CUDA</v>
      </c>
      <c r="D381" s="2" t="str" cm="1">
        <f t="array" ref="D381">_xlfn.XLOOKUP(Total[[#This Row],[Tecnología]]&amp;Total[[#This Row],[Metodo]],TbTipos[Tecnología]&amp;TbTipos[Metodo],TbTipos[Tipo])</f>
        <v>CUDA sin graph</v>
      </c>
      <c r="E381" s="2" t="str" cm="1">
        <f t="array" ref="E381">_xlfn.XLOOKUP(Total[[#This Row],[Tecnología]]&amp;Total[[#This Row],[Problema]],TbNombres[Tecnología]&amp;TbNombres[Problema],TbNombres[Nombre])</f>
        <v>Brusselator1d</v>
      </c>
      <c r="F381" s="2">
        <v>3</v>
      </c>
      <c r="G381" s="2">
        <v>6</v>
      </c>
      <c r="H381" s="2">
        <v>256</v>
      </c>
      <c r="I381" s="2">
        <v>20000</v>
      </c>
      <c r="J381" s="2">
        <v>40000</v>
      </c>
      <c r="K381" s="2">
        <v>7.7135699999999998</v>
      </c>
    </row>
    <row r="382" spans="2:11" x14ac:dyDescent="0.2">
      <c r="B382" s="5" t="str">
        <f>_xlfn.XLOOKUP(Total[[#This Row],[Metodo]],TbSolver[Metodo],TbSolver[Solver])</f>
        <v>AdamsBashford</v>
      </c>
      <c r="C382" s="5" t="str">
        <f>_xlfn.XLOOKUP(Total[[#This Row],[Hebras]],TbTecnologia[Hebras],TbTecnologia[Tecnología])</f>
        <v>CUDA</v>
      </c>
      <c r="D382" s="2" t="str" cm="1">
        <f t="array" ref="D382">_xlfn.XLOOKUP(Total[[#This Row],[Tecnología]]&amp;Total[[#This Row],[Metodo]],TbTipos[Tecnología]&amp;TbTipos[Metodo],TbTipos[Tipo])</f>
        <v>CUDA sin graph</v>
      </c>
      <c r="E382" s="2" t="str" cm="1">
        <f t="array" ref="E382">_xlfn.XLOOKUP(Total[[#This Row],[Tecnología]]&amp;Total[[#This Row],[Problema]],TbNombres[Tecnología]&amp;TbNombres[Problema],TbNombres[Nombre])</f>
        <v>Brusselator1d</v>
      </c>
      <c r="F382" s="2">
        <v>3</v>
      </c>
      <c r="G382" s="2">
        <v>5</v>
      </c>
      <c r="H382" s="2">
        <v>256</v>
      </c>
      <c r="I382" s="2">
        <v>20000</v>
      </c>
      <c r="J382" s="2">
        <v>40000</v>
      </c>
      <c r="K382" s="2">
        <v>7.7762599999999997</v>
      </c>
    </row>
    <row r="383" spans="2:11" x14ac:dyDescent="0.2">
      <c r="B383" s="5" t="str">
        <f>_xlfn.XLOOKUP(Total[[#This Row],[Metodo]],TbSolver[Metodo],TbSolver[Solver])</f>
        <v>AdamsBashford</v>
      </c>
      <c r="C383" s="5" t="str">
        <f>_xlfn.XLOOKUP(Total[[#This Row],[Hebras]],TbTecnologia[Hebras],TbTecnologia[Tecnología])</f>
        <v>CUDA</v>
      </c>
      <c r="D383" s="2" t="str" cm="1">
        <f t="array" ref="D383">_xlfn.XLOOKUP(Total[[#This Row],[Tecnología]]&amp;Total[[#This Row],[Metodo]],TbTipos[Tecnología]&amp;TbTipos[Metodo],TbTipos[Tipo])</f>
        <v>CUDA sin graph</v>
      </c>
      <c r="E383" s="2" t="str" cm="1">
        <f t="array" ref="E383">_xlfn.XLOOKUP(Total[[#This Row],[Tecnología]]&amp;Total[[#This Row],[Problema]],TbNombres[Tecnología]&amp;TbNombres[Problema],TbNombres[Nombre])</f>
        <v>Brusselator1d</v>
      </c>
      <c r="F383" s="2">
        <v>3</v>
      </c>
      <c r="G383" s="2">
        <v>7</v>
      </c>
      <c r="H383" s="2">
        <v>256</v>
      </c>
      <c r="I383" s="2">
        <v>20000</v>
      </c>
      <c r="J383" s="2">
        <v>40000</v>
      </c>
      <c r="K383" s="2">
        <v>7.8226500000000003</v>
      </c>
    </row>
    <row r="384" spans="2:11" x14ac:dyDescent="0.2">
      <c r="B384" s="5" t="str">
        <f>_xlfn.XLOOKUP(Total[[#This Row],[Metodo]],TbSolver[Metodo],TbSolver[Solver])</f>
        <v>AdamsBashford</v>
      </c>
      <c r="C384" s="5" t="str">
        <f>_xlfn.XLOOKUP(Total[[#This Row],[Hebras]],TbTecnologia[Hebras],TbTecnologia[Tecnología])</f>
        <v>CUDA</v>
      </c>
      <c r="D384" s="2" t="str" cm="1">
        <f t="array" ref="D384">_xlfn.XLOOKUP(Total[[#This Row],[Tecnología]]&amp;Total[[#This Row],[Metodo]],TbTipos[Tecnología]&amp;TbTipos[Metodo],TbTipos[Tipo])</f>
        <v>CUDA sin graph</v>
      </c>
      <c r="E384" s="2" t="str" cm="1">
        <f t="array" ref="E384">_xlfn.XLOOKUP(Total[[#This Row],[Tecnología]]&amp;Total[[#This Row],[Problema]],TbNombres[Tecnología]&amp;TbNombres[Problema],TbNombres[Nombre])</f>
        <v>Brusselator1d</v>
      </c>
      <c r="F384" s="2">
        <v>3</v>
      </c>
      <c r="G384" s="2">
        <v>6</v>
      </c>
      <c r="H384" s="2">
        <v>256</v>
      </c>
      <c r="I384" s="2">
        <v>50000</v>
      </c>
      <c r="J384" s="2">
        <v>100000</v>
      </c>
      <c r="K384" s="2">
        <v>12.061299999999999</v>
      </c>
    </row>
    <row r="385" spans="2:11" x14ac:dyDescent="0.2">
      <c r="B385" s="5" t="str">
        <f>_xlfn.XLOOKUP(Total[[#This Row],[Metodo]],TbSolver[Metodo],TbSolver[Solver])</f>
        <v>AdamsBashford</v>
      </c>
      <c r="C385" s="5" t="str">
        <f>_xlfn.XLOOKUP(Total[[#This Row],[Hebras]],TbTecnologia[Hebras],TbTecnologia[Tecnología])</f>
        <v>CUDA</v>
      </c>
      <c r="D385" s="2" t="str" cm="1">
        <f t="array" ref="D385">_xlfn.XLOOKUP(Total[[#This Row],[Tecnología]]&amp;Total[[#This Row],[Metodo]],TbTipos[Tecnología]&amp;TbTipos[Metodo],TbTipos[Tipo])</f>
        <v>CUDA sin graph</v>
      </c>
      <c r="E385" s="2" t="str" cm="1">
        <f t="array" ref="E385">_xlfn.XLOOKUP(Total[[#This Row],[Tecnología]]&amp;Total[[#This Row],[Problema]],TbNombres[Tecnología]&amp;TbNombres[Problema],TbNombres[Nombre])</f>
        <v>Brusselator1d</v>
      </c>
      <c r="F385" s="2">
        <v>3</v>
      </c>
      <c r="G385" s="2">
        <v>7</v>
      </c>
      <c r="H385" s="2">
        <v>256</v>
      </c>
      <c r="I385" s="2">
        <v>50000</v>
      </c>
      <c r="J385" s="2">
        <v>100000</v>
      </c>
      <c r="K385" s="2">
        <v>12.233599999999999</v>
      </c>
    </row>
    <row r="386" spans="2:11" x14ac:dyDescent="0.2">
      <c r="B386" s="5" t="str">
        <f>_xlfn.XLOOKUP(Total[[#This Row],[Metodo]],TbSolver[Metodo],TbSolver[Solver])</f>
        <v>AdamsBashford</v>
      </c>
      <c r="C386" s="5" t="str">
        <f>_xlfn.XLOOKUP(Total[[#This Row],[Hebras]],TbTecnologia[Hebras],TbTecnologia[Tecnología])</f>
        <v>CUDA</v>
      </c>
      <c r="D386" s="2" t="str" cm="1">
        <f t="array" ref="D386">_xlfn.XLOOKUP(Total[[#This Row],[Tecnología]]&amp;Total[[#This Row],[Metodo]],TbTipos[Tecnología]&amp;TbTipos[Metodo],TbTipos[Tipo])</f>
        <v>CUDA sin graph</v>
      </c>
      <c r="E386" s="2" t="str" cm="1">
        <f t="array" ref="E386">_xlfn.XLOOKUP(Total[[#This Row],[Tecnología]]&amp;Total[[#This Row],[Problema]],TbNombres[Tecnología]&amp;TbNombres[Problema],TbNombres[Nombre])</f>
        <v>Brusselator1d</v>
      </c>
      <c r="F386" s="2">
        <v>3</v>
      </c>
      <c r="G386" s="2">
        <v>5</v>
      </c>
      <c r="H386" s="2">
        <v>256</v>
      </c>
      <c r="I386" s="2">
        <v>50000</v>
      </c>
      <c r="J386" s="2">
        <v>100000</v>
      </c>
      <c r="K386" s="2">
        <v>13.191000000000001</v>
      </c>
    </row>
    <row r="387" spans="2:11" x14ac:dyDescent="0.2">
      <c r="B387" s="5" t="str">
        <f>_xlfn.XLOOKUP(Total[[#This Row],[Metodo]],TbSolver[Metodo],TbSolver[Solver])</f>
        <v>AdamsBashford</v>
      </c>
      <c r="C387" s="5" t="str">
        <f>_xlfn.XLOOKUP(Total[[#This Row],[Hebras]],TbTecnologia[Hebras],TbTecnologia[Tecnología])</f>
        <v>CUDA</v>
      </c>
      <c r="D387" s="2" t="str" cm="1">
        <f t="array" ref="D387">_xlfn.XLOOKUP(Total[[#This Row],[Tecnología]]&amp;Total[[#This Row],[Metodo]],TbTipos[Tecnología]&amp;TbTipos[Metodo],TbTipos[Tipo])</f>
        <v>CUDA sin graph</v>
      </c>
      <c r="E387" s="2" t="str" cm="1">
        <f t="array" ref="E387">_xlfn.XLOOKUP(Total[[#This Row],[Tecnología]]&amp;Total[[#This Row],[Problema]],TbNombres[Tecnología]&amp;TbNombres[Problema],TbNombres[Nombre])</f>
        <v>Brusselator1d</v>
      </c>
      <c r="F387" s="2">
        <v>3</v>
      </c>
      <c r="G387" s="2">
        <v>5</v>
      </c>
      <c r="H387" s="2">
        <v>256</v>
      </c>
      <c r="I387" s="2">
        <v>50000</v>
      </c>
      <c r="J387" s="2">
        <v>100000</v>
      </c>
      <c r="K387" s="2">
        <v>13.288</v>
      </c>
    </row>
    <row r="388" spans="2:11" x14ac:dyDescent="0.2">
      <c r="B388" s="5" t="str">
        <f>_xlfn.XLOOKUP(Total[[#This Row],[Metodo]],TbSolver[Metodo],TbSolver[Solver])</f>
        <v>AdamsBashford</v>
      </c>
      <c r="C388" s="5" t="str">
        <f>_xlfn.XLOOKUP(Total[[#This Row],[Hebras]],TbTecnologia[Hebras],TbTecnologia[Tecnología])</f>
        <v>CUDA</v>
      </c>
      <c r="D388" s="2" t="str" cm="1">
        <f t="array" ref="D388">_xlfn.XLOOKUP(Total[[#This Row],[Tecnología]]&amp;Total[[#This Row],[Metodo]],TbTipos[Tecnología]&amp;TbTipos[Metodo],TbTipos[Tipo])</f>
        <v>CUDA sin graph</v>
      </c>
      <c r="E388" s="2" t="str" cm="1">
        <f t="array" ref="E388">_xlfn.XLOOKUP(Total[[#This Row],[Tecnología]]&amp;Total[[#This Row],[Problema]],TbNombres[Tecnología]&amp;TbNombres[Problema],TbNombres[Nombre])</f>
        <v>Brusselator1d</v>
      </c>
      <c r="F388" s="2">
        <v>3</v>
      </c>
      <c r="G388" s="2">
        <v>6</v>
      </c>
      <c r="H388" s="2">
        <v>256</v>
      </c>
      <c r="I388" s="2">
        <v>100000</v>
      </c>
      <c r="J388" s="2">
        <v>200000</v>
      </c>
      <c r="K388" s="2">
        <v>29.034800000000001</v>
      </c>
    </row>
    <row r="389" spans="2:11" x14ac:dyDescent="0.2">
      <c r="B389" s="5" t="str">
        <f>_xlfn.XLOOKUP(Total[[#This Row],[Metodo]],TbSolver[Metodo],TbSolver[Solver])</f>
        <v>AdamsBashford</v>
      </c>
      <c r="C389" s="5" t="str">
        <f>_xlfn.XLOOKUP(Total[[#This Row],[Hebras]],TbTecnologia[Hebras],TbTecnologia[Tecnología])</f>
        <v>CUDA</v>
      </c>
      <c r="D389" s="2" t="str" cm="1">
        <f t="array" ref="D389">_xlfn.XLOOKUP(Total[[#This Row],[Tecnología]]&amp;Total[[#This Row],[Metodo]],TbTipos[Tecnología]&amp;TbTipos[Metodo],TbTipos[Tipo])</f>
        <v>CUDA sin graph</v>
      </c>
      <c r="E389" s="2" t="str" cm="1">
        <f t="array" ref="E389">_xlfn.XLOOKUP(Total[[#This Row],[Tecnología]]&amp;Total[[#This Row],[Problema]],TbNombres[Tecnología]&amp;TbNombres[Problema],TbNombres[Nombre])</f>
        <v>Brusselator1d</v>
      </c>
      <c r="F389" s="2">
        <v>3</v>
      </c>
      <c r="G389" s="2">
        <v>7</v>
      </c>
      <c r="H389" s="2">
        <v>256</v>
      </c>
      <c r="I389" s="2">
        <v>100000</v>
      </c>
      <c r="J389" s="2">
        <v>200000</v>
      </c>
      <c r="K389" s="2">
        <v>29.699200000000001</v>
      </c>
    </row>
    <row r="390" spans="2:11" x14ac:dyDescent="0.2">
      <c r="B390" s="5" t="str">
        <f>_xlfn.XLOOKUP(Total[[#This Row],[Metodo]],TbSolver[Metodo],TbSolver[Solver])</f>
        <v>AdamsBashford</v>
      </c>
      <c r="C390" s="5" t="str">
        <f>_xlfn.XLOOKUP(Total[[#This Row],[Hebras]],TbTecnologia[Hebras],TbTecnologia[Tecnología])</f>
        <v>CUDA</v>
      </c>
      <c r="D390" s="2" t="str" cm="1">
        <f t="array" ref="D390">_xlfn.XLOOKUP(Total[[#This Row],[Tecnología]]&amp;Total[[#This Row],[Metodo]],TbTipos[Tecnología]&amp;TbTipos[Metodo],TbTipos[Tipo])</f>
        <v>CUDA sin graph</v>
      </c>
      <c r="E390" s="2" t="str" cm="1">
        <f t="array" ref="E390">_xlfn.XLOOKUP(Total[[#This Row],[Tecnología]]&amp;Total[[#This Row],[Problema]],TbNombres[Tecnología]&amp;TbNombres[Problema],TbNombres[Nombre])</f>
        <v>Brusselator1d</v>
      </c>
      <c r="F390" s="2">
        <v>3</v>
      </c>
      <c r="G390" s="2">
        <v>5</v>
      </c>
      <c r="H390" s="2">
        <v>256</v>
      </c>
      <c r="I390" s="2">
        <v>100000</v>
      </c>
      <c r="J390" s="2">
        <v>200000</v>
      </c>
      <c r="K390" s="2">
        <v>30.912700000000001</v>
      </c>
    </row>
    <row r="391" spans="2:11" x14ac:dyDescent="0.2">
      <c r="B391" s="5" t="str">
        <f>_xlfn.XLOOKUP(Total[[#This Row],[Metodo]],TbSolver[Metodo],TbSolver[Solver])</f>
        <v>AdamsBashford</v>
      </c>
      <c r="C391" s="5" t="str">
        <f>_xlfn.XLOOKUP(Total[[#This Row],[Hebras]],TbTecnologia[Hebras],TbTecnologia[Tecnología])</f>
        <v>CUDA</v>
      </c>
      <c r="D391" s="2" t="str" cm="1">
        <f t="array" ref="D391">_xlfn.XLOOKUP(Total[[#This Row],[Tecnología]]&amp;Total[[#This Row],[Metodo]],TbTipos[Tecnología]&amp;TbTipos[Metodo],TbTipos[Tipo])</f>
        <v>CUDA sin graph</v>
      </c>
      <c r="E391" s="2" t="str" cm="1">
        <f t="array" ref="E391">_xlfn.XLOOKUP(Total[[#This Row],[Tecnología]]&amp;Total[[#This Row],[Problema]],TbNombres[Tecnología]&amp;TbNombres[Problema],TbNombres[Nombre])</f>
        <v>Brusselator1d</v>
      </c>
      <c r="F391" s="2">
        <v>3</v>
      </c>
      <c r="G391" s="2">
        <v>5</v>
      </c>
      <c r="H391" s="2">
        <v>256</v>
      </c>
      <c r="I391" s="2">
        <v>100000</v>
      </c>
      <c r="J391" s="2">
        <v>200000</v>
      </c>
      <c r="K391" s="2">
        <v>31.215399999999999</v>
      </c>
    </row>
    <row r="392" spans="2:11" x14ac:dyDescent="0.2">
      <c r="B392" s="5" t="str">
        <f>_xlfn.XLOOKUP(Total[[#This Row],[Metodo]],TbSolver[Metodo],TbSolver[Solver])</f>
        <v>AdamsBashford</v>
      </c>
      <c r="C392" s="5" t="str">
        <f>_xlfn.XLOOKUP(Total[[#This Row],[Hebras]],TbTecnologia[Hebras],TbTecnologia[Tecnología])</f>
        <v>CUDA</v>
      </c>
      <c r="D392" s="2" t="str" cm="1">
        <f t="array" ref="D392">_xlfn.XLOOKUP(Total[[#This Row],[Tecnología]]&amp;Total[[#This Row],[Metodo]],TbTipos[Tecnología]&amp;TbTipos[Metodo],TbTipos[Tipo])</f>
        <v>CUDA sin graph</v>
      </c>
      <c r="E392" s="2" t="str" cm="1">
        <f t="array" ref="E392">_xlfn.XLOOKUP(Total[[#This Row],[Tecnología]]&amp;Total[[#This Row],[Problema]],TbNombres[Tecnología]&amp;TbNombres[Problema],TbNombres[Nombre])</f>
        <v>Brusselator1d</v>
      </c>
      <c r="F392" s="2">
        <v>3</v>
      </c>
      <c r="G392" s="2">
        <v>7</v>
      </c>
      <c r="H392" s="2">
        <v>256</v>
      </c>
      <c r="I392" s="2">
        <v>200000</v>
      </c>
      <c r="J392" s="2">
        <v>400000</v>
      </c>
      <c r="K392" s="2">
        <v>62.265799999999999</v>
      </c>
    </row>
    <row r="393" spans="2:11" x14ac:dyDescent="0.2">
      <c r="B393" s="5" t="str">
        <f>_xlfn.XLOOKUP(Total[[#This Row],[Metodo]],TbSolver[Metodo],TbSolver[Solver])</f>
        <v>AdamsBashford</v>
      </c>
      <c r="C393" s="5" t="str">
        <f>_xlfn.XLOOKUP(Total[[#This Row],[Hebras]],TbTecnologia[Hebras],TbTecnologia[Tecnología])</f>
        <v>CUDA</v>
      </c>
      <c r="D393" s="2" t="str" cm="1">
        <f t="array" ref="D393">_xlfn.XLOOKUP(Total[[#This Row],[Tecnología]]&amp;Total[[#This Row],[Metodo]],TbTipos[Tecnología]&amp;TbTipos[Metodo],TbTipos[Tipo])</f>
        <v>CUDA sin graph</v>
      </c>
      <c r="E393" s="2" t="str" cm="1">
        <f t="array" ref="E393">_xlfn.XLOOKUP(Total[[#This Row],[Tecnología]]&amp;Total[[#This Row],[Problema]],TbNombres[Tecnología]&amp;TbNombres[Problema],TbNombres[Nombre])</f>
        <v>Brusselator1d</v>
      </c>
      <c r="F393" s="2">
        <v>3</v>
      </c>
      <c r="G393" s="2">
        <v>6</v>
      </c>
      <c r="H393" s="2">
        <v>256</v>
      </c>
      <c r="I393" s="2">
        <v>200000</v>
      </c>
      <c r="J393" s="2">
        <v>400000</v>
      </c>
      <c r="K393" s="2">
        <v>64.066100000000006</v>
      </c>
    </row>
    <row r="394" spans="2:11" x14ac:dyDescent="0.2">
      <c r="B394" s="5" t="str">
        <f>_xlfn.XLOOKUP(Total[[#This Row],[Metodo]],TbSolver[Metodo],TbSolver[Solver])</f>
        <v>AdamsBashford</v>
      </c>
      <c r="C394" s="5" t="str">
        <f>_xlfn.XLOOKUP(Total[[#This Row],[Hebras]],TbTecnologia[Hebras],TbTecnologia[Tecnología])</f>
        <v>CUDA</v>
      </c>
      <c r="D394" s="2" t="str" cm="1">
        <f t="array" ref="D394">_xlfn.XLOOKUP(Total[[#This Row],[Tecnología]]&amp;Total[[#This Row],[Metodo]],TbTipos[Tecnología]&amp;TbTipos[Metodo],TbTipos[Tipo])</f>
        <v>CUDA sin graph</v>
      </c>
      <c r="E394" s="2" t="str" cm="1">
        <f t="array" ref="E394">_xlfn.XLOOKUP(Total[[#This Row],[Tecnología]]&amp;Total[[#This Row],[Problema]],TbNombres[Tecnología]&amp;TbNombres[Problema],TbNombres[Nombre])</f>
        <v>Brusselator1d</v>
      </c>
      <c r="F394" s="2">
        <v>3</v>
      </c>
      <c r="G394" s="2">
        <v>5</v>
      </c>
      <c r="H394" s="2">
        <v>256</v>
      </c>
      <c r="I394" s="2">
        <v>200000</v>
      </c>
      <c r="J394" s="2">
        <v>400000</v>
      </c>
      <c r="K394" s="2">
        <v>64.316400000000002</v>
      </c>
    </row>
    <row r="395" spans="2:11" x14ac:dyDescent="0.2">
      <c r="B395" s="5" t="str">
        <f>_xlfn.XLOOKUP(Total[[#This Row],[Metodo]],TbSolver[Metodo],TbSolver[Solver])</f>
        <v>AdamsBashford</v>
      </c>
      <c r="C395" s="5" t="str">
        <f>_xlfn.XLOOKUP(Total[[#This Row],[Hebras]],TbTecnologia[Hebras],TbTecnologia[Tecnología])</f>
        <v>CUDA</v>
      </c>
      <c r="D395" s="2" t="str" cm="1">
        <f t="array" ref="D395">_xlfn.XLOOKUP(Total[[#This Row],[Tecnología]]&amp;Total[[#This Row],[Metodo]],TbTipos[Tecnología]&amp;TbTipos[Metodo],TbTipos[Tipo])</f>
        <v>CUDA sin graph</v>
      </c>
      <c r="E395" s="2" t="str" cm="1">
        <f t="array" ref="E395">_xlfn.XLOOKUP(Total[[#This Row],[Tecnología]]&amp;Total[[#This Row],[Problema]],TbNombres[Tecnología]&amp;TbNombres[Problema],TbNombres[Nombre])</f>
        <v>Brusselator1d</v>
      </c>
      <c r="F395" s="2">
        <v>3</v>
      </c>
      <c r="G395" s="2">
        <v>5</v>
      </c>
      <c r="H395" s="2">
        <v>256</v>
      </c>
      <c r="I395" s="2">
        <v>200000</v>
      </c>
      <c r="J395" s="2">
        <v>400000</v>
      </c>
      <c r="K395" s="2">
        <v>64.938500000000005</v>
      </c>
    </row>
    <row r="396" spans="2:11" x14ac:dyDescent="0.2">
      <c r="B396" s="5" t="str">
        <f>_xlfn.XLOOKUP(Total[[#This Row],[Metodo]],TbSolver[Metodo],TbSolver[Solver])</f>
        <v>AdamsBashford</v>
      </c>
      <c r="C396" s="5" t="str">
        <f>_xlfn.XLOOKUP(Total[[#This Row],[Hebras]],TbTecnologia[Hebras],TbTecnologia[Tecnología])</f>
        <v>OMP</v>
      </c>
      <c r="D396" s="7" t="str" cm="1">
        <f t="array" ref="D396">_xlfn.XLOOKUP(Total[[#This Row],[Tecnología]]&amp;Total[[#This Row],[Metodo]],TbTipos[Tecnología]&amp;TbTipos[Metodo],TbTipos[Tipo])</f>
        <v>OMP Operaciones</v>
      </c>
      <c r="E396" s="6" t="str" cm="1">
        <f t="array" ref="E396">_xlfn.XLOOKUP(Total[[#This Row],[Tecnología]]&amp;Total[[#This Row],[Problema]],TbNombres[Tecnología]&amp;TbNombres[Problema],TbNombres[Nombre])</f>
        <v>Brusselator1d</v>
      </c>
      <c r="F396" s="6">
        <v>3</v>
      </c>
      <c r="G396" s="6">
        <v>3</v>
      </c>
      <c r="H396" s="6">
        <v>1</v>
      </c>
      <c r="I396" s="6">
        <v>100</v>
      </c>
      <c r="J396" s="6">
        <v>200</v>
      </c>
      <c r="K396" s="6">
        <v>2.05783</v>
      </c>
    </row>
    <row r="397" spans="2:11" x14ac:dyDescent="0.2">
      <c r="B397" s="5" t="str">
        <f>_xlfn.XLOOKUP(Total[[#This Row],[Metodo]],TbSolver[Metodo],TbSolver[Solver])</f>
        <v>AdamsBashford</v>
      </c>
      <c r="C397" s="5" t="str">
        <f>_xlfn.XLOOKUP(Total[[#This Row],[Hebras]],TbTecnologia[Hebras],TbTecnologia[Tecnología])</f>
        <v>OMP</v>
      </c>
      <c r="D397" s="7" t="str" cm="1">
        <f t="array" ref="D397">_xlfn.XLOOKUP(Total[[#This Row],[Tecnología]]&amp;Total[[#This Row],[Metodo]],TbTipos[Tecnología]&amp;TbTipos[Metodo],TbTipos[Tipo])</f>
        <v>OMP Operaciones</v>
      </c>
      <c r="E397" s="6" t="str" cm="1">
        <f t="array" ref="E397">_xlfn.XLOOKUP(Total[[#This Row],[Tecnología]]&amp;Total[[#This Row],[Problema]],TbNombres[Tecnología]&amp;TbNombres[Problema],TbNombres[Nombre])</f>
        <v>Brusselator1d</v>
      </c>
      <c r="F397" s="6">
        <v>3</v>
      </c>
      <c r="G397" s="6">
        <v>3</v>
      </c>
      <c r="H397" s="6">
        <v>4</v>
      </c>
      <c r="I397" s="6">
        <v>100</v>
      </c>
      <c r="J397" s="6">
        <v>200</v>
      </c>
      <c r="K397" s="6">
        <v>14.2804</v>
      </c>
    </row>
    <row r="398" spans="2:11" x14ac:dyDescent="0.2">
      <c r="B398" s="5" t="str">
        <f>_xlfn.XLOOKUP(Total[[#This Row],[Metodo]],TbSolver[Metodo],TbSolver[Solver])</f>
        <v>AdamsBashford</v>
      </c>
      <c r="C398" s="5" t="str">
        <f>_xlfn.XLOOKUP(Total[[#This Row],[Hebras]],TbTecnologia[Hebras],TbTecnologia[Tecnología])</f>
        <v>OMP</v>
      </c>
      <c r="D398" s="7" t="str" cm="1">
        <f t="array" ref="D398">_xlfn.XLOOKUP(Total[[#This Row],[Tecnología]]&amp;Total[[#This Row],[Metodo]],TbTipos[Tecnología]&amp;TbTipos[Metodo],TbTipos[Tipo])</f>
        <v>OMP Operaciones</v>
      </c>
      <c r="E398" s="6" t="str" cm="1">
        <f t="array" ref="E398">_xlfn.XLOOKUP(Total[[#This Row],[Tecnología]]&amp;Total[[#This Row],[Problema]],TbNombres[Tecnología]&amp;TbNombres[Problema],TbNombres[Nombre])</f>
        <v>Brusselator1d</v>
      </c>
      <c r="F398" s="6">
        <v>3</v>
      </c>
      <c r="G398" s="6">
        <v>3</v>
      </c>
      <c r="H398" s="6">
        <v>16</v>
      </c>
      <c r="I398" s="6">
        <v>100</v>
      </c>
      <c r="J398" s="6">
        <v>200</v>
      </c>
      <c r="K398" s="6">
        <v>38.778199999999998</v>
      </c>
    </row>
    <row r="399" spans="2:11" x14ac:dyDescent="0.2">
      <c r="B399" s="5" t="str">
        <f>_xlfn.XLOOKUP(Total[[#This Row],[Metodo]],TbSolver[Metodo],TbSolver[Solver])</f>
        <v>AdamsBashford</v>
      </c>
      <c r="C399" s="5" t="str">
        <f>_xlfn.XLOOKUP(Total[[#This Row],[Hebras]],TbTecnologia[Hebras],TbTecnologia[Tecnología])</f>
        <v>OMP</v>
      </c>
      <c r="D399" s="7" t="str" cm="1">
        <f t="array" ref="D399">_xlfn.XLOOKUP(Total[[#This Row],[Tecnología]]&amp;Total[[#This Row],[Metodo]],TbTipos[Tecnología]&amp;TbTipos[Metodo],TbTipos[Tipo])</f>
        <v>OMP Operaciones</v>
      </c>
      <c r="E399" s="6" t="str" cm="1">
        <f t="array" ref="E399">_xlfn.XLOOKUP(Total[[#This Row],[Tecnología]]&amp;Total[[#This Row],[Problema]],TbNombres[Tecnología]&amp;TbNombres[Problema],TbNombres[Nombre])</f>
        <v>Brusselator1d</v>
      </c>
      <c r="F399" s="6">
        <v>3</v>
      </c>
      <c r="G399" s="6">
        <v>3</v>
      </c>
      <c r="H399" s="6">
        <v>1</v>
      </c>
      <c r="I399" s="6">
        <v>200</v>
      </c>
      <c r="J399" s="6">
        <v>400</v>
      </c>
      <c r="K399" s="6">
        <v>2.63</v>
      </c>
    </row>
    <row r="400" spans="2:11" x14ac:dyDescent="0.2">
      <c r="B400" s="5" t="str">
        <f>_xlfn.XLOOKUP(Total[[#This Row],[Metodo]],TbSolver[Metodo],TbSolver[Solver])</f>
        <v>AdamsBashford</v>
      </c>
      <c r="C400" s="5" t="str">
        <f>_xlfn.XLOOKUP(Total[[#This Row],[Hebras]],TbTecnologia[Hebras],TbTecnologia[Tecnología])</f>
        <v>OMP</v>
      </c>
      <c r="D400" s="7" t="str" cm="1">
        <f t="array" ref="D400">_xlfn.XLOOKUP(Total[[#This Row],[Tecnología]]&amp;Total[[#This Row],[Metodo]],TbTipos[Tecnología]&amp;TbTipos[Metodo],TbTipos[Tipo])</f>
        <v>OMP Operaciones</v>
      </c>
      <c r="E400" s="6" t="str" cm="1">
        <f t="array" ref="E400">_xlfn.XLOOKUP(Total[[#This Row],[Tecnología]]&amp;Total[[#This Row],[Problema]],TbNombres[Tecnología]&amp;TbNombres[Problema],TbNombres[Nombre])</f>
        <v>Brusselator1d</v>
      </c>
      <c r="F400" s="6">
        <v>3</v>
      </c>
      <c r="G400" s="6">
        <v>3</v>
      </c>
      <c r="H400" s="6">
        <v>4</v>
      </c>
      <c r="I400" s="6">
        <v>200</v>
      </c>
      <c r="J400" s="6">
        <v>400</v>
      </c>
      <c r="K400" s="6">
        <v>13.9947</v>
      </c>
    </row>
    <row r="401" spans="2:11" x14ac:dyDescent="0.2">
      <c r="B401" s="5" t="str">
        <f>_xlfn.XLOOKUP(Total[[#This Row],[Metodo]],TbSolver[Metodo],TbSolver[Solver])</f>
        <v>AdamsBashford</v>
      </c>
      <c r="C401" s="5" t="str">
        <f>_xlfn.XLOOKUP(Total[[#This Row],[Hebras]],TbTecnologia[Hebras],TbTecnologia[Tecnología])</f>
        <v>OMP</v>
      </c>
      <c r="D401" s="7" t="str" cm="1">
        <f t="array" ref="D401">_xlfn.XLOOKUP(Total[[#This Row],[Tecnología]]&amp;Total[[#This Row],[Metodo]],TbTipos[Tecnología]&amp;TbTipos[Metodo],TbTipos[Tipo])</f>
        <v>OMP Operaciones</v>
      </c>
      <c r="E401" s="6" t="str" cm="1">
        <f t="array" ref="E401">_xlfn.XLOOKUP(Total[[#This Row],[Tecnología]]&amp;Total[[#This Row],[Problema]],TbNombres[Tecnología]&amp;TbNombres[Problema],TbNombres[Nombre])</f>
        <v>Brusselator1d</v>
      </c>
      <c r="F401" s="6">
        <v>3</v>
      </c>
      <c r="G401" s="6">
        <v>3</v>
      </c>
      <c r="H401" s="6">
        <v>16</v>
      </c>
      <c r="I401" s="6">
        <v>200</v>
      </c>
      <c r="J401" s="6">
        <v>400</v>
      </c>
      <c r="K401" s="6">
        <v>28.839300000000001</v>
      </c>
    </row>
    <row r="402" spans="2:11" x14ac:dyDescent="0.2">
      <c r="B402" s="5" t="str">
        <f>_xlfn.XLOOKUP(Total[[#This Row],[Metodo]],TbSolver[Metodo],TbSolver[Solver])</f>
        <v>AdamsBashford</v>
      </c>
      <c r="C402" s="5" t="str">
        <f>_xlfn.XLOOKUP(Total[[#This Row],[Hebras]],TbTecnologia[Hebras],TbTecnologia[Tecnología])</f>
        <v>OMP</v>
      </c>
      <c r="D402" s="7" t="str" cm="1">
        <f t="array" ref="D402">_xlfn.XLOOKUP(Total[[#This Row],[Tecnología]]&amp;Total[[#This Row],[Metodo]],TbTipos[Tecnología]&amp;TbTipos[Metodo],TbTipos[Tipo])</f>
        <v>OMP Operaciones</v>
      </c>
      <c r="E402" s="6" t="str" cm="1">
        <f t="array" ref="E402">_xlfn.XLOOKUP(Total[[#This Row],[Tecnología]]&amp;Total[[#This Row],[Problema]],TbNombres[Tecnología]&amp;TbNombres[Problema],TbNombres[Nombre])</f>
        <v>Brusselator1d</v>
      </c>
      <c r="F402" s="6">
        <v>3</v>
      </c>
      <c r="G402" s="6">
        <v>3</v>
      </c>
      <c r="H402" s="6">
        <v>1</v>
      </c>
      <c r="I402" s="6">
        <v>500</v>
      </c>
      <c r="J402" s="6">
        <v>1000</v>
      </c>
      <c r="K402" s="6">
        <v>4.5126900000000001</v>
      </c>
    </row>
    <row r="403" spans="2:11" x14ac:dyDescent="0.2">
      <c r="B403" s="5" t="str">
        <f>_xlfn.XLOOKUP(Total[[#This Row],[Metodo]],TbSolver[Metodo],TbSolver[Solver])</f>
        <v>AdamsBashford</v>
      </c>
      <c r="C403" s="5" t="str">
        <f>_xlfn.XLOOKUP(Total[[#This Row],[Hebras]],TbTecnologia[Hebras],TbTecnologia[Tecnología])</f>
        <v>OMP</v>
      </c>
      <c r="D403" s="7" t="str" cm="1">
        <f t="array" ref="D403">_xlfn.XLOOKUP(Total[[#This Row],[Tecnología]]&amp;Total[[#This Row],[Metodo]],TbTipos[Tecnología]&amp;TbTipos[Metodo],TbTipos[Tipo])</f>
        <v>OMP Operaciones</v>
      </c>
      <c r="E403" s="6" t="str" cm="1">
        <f t="array" ref="E403">_xlfn.XLOOKUP(Total[[#This Row],[Tecnología]]&amp;Total[[#This Row],[Problema]],TbNombres[Tecnología]&amp;TbNombres[Problema],TbNombres[Nombre])</f>
        <v>Brusselator1d</v>
      </c>
      <c r="F403" s="6">
        <v>3</v>
      </c>
      <c r="G403" s="6">
        <v>3</v>
      </c>
      <c r="H403" s="6">
        <v>4</v>
      </c>
      <c r="I403" s="6">
        <v>500</v>
      </c>
      <c r="J403" s="6">
        <v>1000</v>
      </c>
      <c r="K403" s="6">
        <v>15.901400000000001</v>
      </c>
    </row>
    <row r="404" spans="2:11" x14ac:dyDescent="0.2">
      <c r="B404" s="5" t="str">
        <f>_xlfn.XLOOKUP(Total[[#This Row],[Metodo]],TbSolver[Metodo],TbSolver[Solver])</f>
        <v>AdamsBashford</v>
      </c>
      <c r="C404" s="5" t="str">
        <f>_xlfn.XLOOKUP(Total[[#This Row],[Hebras]],TbTecnologia[Hebras],TbTecnologia[Tecnología])</f>
        <v>OMP</v>
      </c>
      <c r="D404" s="7" t="str" cm="1">
        <f t="array" ref="D404">_xlfn.XLOOKUP(Total[[#This Row],[Tecnología]]&amp;Total[[#This Row],[Metodo]],TbTipos[Tecnología]&amp;TbTipos[Metodo],TbTipos[Tipo])</f>
        <v>OMP Operaciones</v>
      </c>
      <c r="E404" s="6" t="str" cm="1">
        <f t="array" ref="E404">_xlfn.XLOOKUP(Total[[#This Row],[Tecnología]]&amp;Total[[#This Row],[Problema]],TbNombres[Tecnología]&amp;TbNombres[Problema],TbNombres[Nombre])</f>
        <v>Brusselator1d</v>
      </c>
      <c r="F404" s="6">
        <v>3</v>
      </c>
      <c r="G404" s="6">
        <v>3</v>
      </c>
      <c r="H404" s="6">
        <v>16</v>
      </c>
      <c r="I404" s="6">
        <v>500</v>
      </c>
      <c r="J404" s="6">
        <v>1000</v>
      </c>
      <c r="K404" s="6">
        <v>39.573799999999999</v>
      </c>
    </row>
    <row r="405" spans="2:11" x14ac:dyDescent="0.2">
      <c r="B405" s="5" t="str">
        <f>_xlfn.XLOOKUP(Total[[#This Row],[Metodo]],TbSolver[Metodo],TbSolver[Solver])</f>
        <v>AdamsBashford</v>
      </c>
      <c r="C405" s="5" t="str">
        <f>_xlfn.XLOOKUP(Total[[#This Row],[Hebras]],TbTecnologia[Hebras],TbTecnologia[Tecnología])</f>
        <v>OMP</v>
      </c>
      <c r="D405" s="7" t="str" cm="1">
        <f t="array" ref="D405">_xlfn.XLOOKUP(Total[[#This Row],[Tecnología]]&amp;Total[[#This Row],[Metodo]],TbTipos[Tecnología]&amp;TbTipos[Metodo],TbTipos[Tipo])</f>
        <v>OMP Operaciones</v>
      </c>
      <c r="E405" s="6" t="str" cm="1">
        <f t="array" ref="E405">_xlfn.XLOOKUP(Total[[#This Row],[Tecnología]]&amp;Total[[#This Row],[Problema]],TbNombres[Tecnología]&amp;TbNombres[Problema],TbNombres[Nombre])</f>
        <v>Brusselator1d</v>
      </c>
      <c r="F405" s="6">
        <v>3</v>
      </c>
      <c r="G405" s="6">
        <v>3</v>
      </c>
      <c r="H405" s="6">
        <v>1</v>
      </c>
      <c r="I405" s="6">
        <v>1000</v>
      </c>
      <c r="J405" s="6">
        <v>2000</v>
      </c>
      <c r="K405" s="6">
        <v>7.6295599999999997</v>
      </c>
    </row>
    <row r="406" spans="2:11" x14ac:dyDescent="0.2">
      <c r="B406" s="5" t="str">
        <f>_xlfn.XLOOKUP(Total[[#This Row],[Metodo]],TbSolver[Metodo],TbSolver[Solver])</f>
        <v>AdamsBashford</v>
      </c>
      <c r="C406" s="5" t="str">
        <f>_xlfn.XLOOKUP(Total[[#This Row],[Hebras]],TbTecnologia[Hebras],TbTecnologia[Tecnología])</f>
        <v>OMP</v>
      </c>
      <c r="D406" s="7" t="str" cm="1">
        <f t="array" ref="D406">_xlfn.XLOOKUP(Total[[#This Row],[Tecnología]]&amp;Total[[#This Row],[Metodo]],TbTipos[Tecnología]&amp;TbTipos[Metodo],TbTipos[Tipo])</f>
        <v>OMP Operaciones</v>
      </c>
      <c r="E406" s="6" t="str" cm="1">
        <f t="array" ref="E406">_xlfn.XLOOKUP(Total[[#This Row],[Tecnología]]&amp;Total[[#This Row],[Problema]],TbNombres[Tecnología]&amp;TbNombres[Problema],TbNombres[Nombre])</f>
        <v>Brusselator1d</v>
      </c>
      <c r="F406" s="6">
        <v>3</v>
      </c>
      <c r="G406" s="6">
        <v>3</v>
      </c>
      <c r="H406" s="6">
        <v>4</v>
      </c>
      <c r="I406" s="6">
        <v>1000</v>
      </c>
      <c r="J406" s="6">
        <v>2000</v>
      </c>
      <c r="K406" s="6">
        <v>15.4558</v>
      </c>
    </row>
    <row r="407" spans="2:11" x14ac:dyDescent="0.2">
      <c r="B407" s="5" t="str">
        <f>_xlfn.XLOOKUP(Total[[#This Row],[Metodo]],TbSolver[Metodo],TbSolver[Solver])</f>
        <v>AdamsBashford</v>
      </c>
      <c r="C407" s="5" t="str">
        <f>_xlfn.XLOOKUP(Total[[#This Row],[Hebras]],TbTecnologia[Hebras],TbTecnologia[Tecnología])</f>
        <v>OMP</v>
      </c>
      <c r="D407" s="7" t="str" cm="1">
        <f t="array" ref="D407">_xlfn.XLOOKUP(Total[[#This Row],[Tecnología]]&amp;Total[[#This Row],[Metodo]],TbTipos[Tecnología]&amp;TbTipos[Metodo],TbTipos[Tipo])</f>
        <v>OMP Operaciones</v>
      </c>
      <c r="E407" s="6" t="str" cm="1">
        <f t="array" ref="E407">_xlfn.XLOOKUP(Total[[#This Row],[Tecnología]]&amp;Total[[#This Row],[Problema]],TbNombres[Tecnología]&amp;TbNombres[Problema],TbNombres[Nombre])</f>
        <v>Brusselator1d</v>
      </c>
      <c r="F407" s="6">
        <v>3</v>
      </c>
      <c r="G407" s="6">
        <v>3</v>
      </c>
      <c r="H407" s="6">
        <v>16</v>
      </c>
      <c r="I407" s="6">
        <v>1000</v>
      </c>
      <c r="J407" s="6">
        <v>2000</v>
      </c>
      <c r="K407" s="6">
        <v>31.922799999999999</v>
      </c>
    </row>
    <row r="408" spans="2:11" x14ac:dyDescent="0.2">
      <c r="B408" s="5" t="str">
        <f>_xlfn.XLOOKUP(Total[[#This Row],[Metodo]],TbSolver[Metodo],TbSolver[Solver])</f>
        <v>AdamsBashford</v>
      </c>
      <c r="C408" s="5" t="str">
        <f>_xlfn.XLOOKUP(Total[[#This Row],[Hebras]],TbTecnologia[Hebras],TbTecnologia[Tecnología])</f>
        <v>OMP</v>
      </c>
      <c r="D408" s="7" t="str" cm="1">
        <f t="array" ref="D408">_xlfn.XLOOKUP(Total[[#This Row],[Tecnología]]&amp;Total[[#This Row],[Metodo]],TbTipos[Tecnología]&amp;TbTipos[Metodo],TbTipos[Tipo])</f>
        <v>OMP Elementos</v>
      </c>
      <c r="E408" s="6" t="str" cm="1">
        <f t="array" ref="E408">_xlfn.XLOOKUP(Total[[#This Row],[Tecnología]]&amp;Total[[#This Row],[Problema]],TbNombres[Tecnología]&amp;TbNombres[Problema],TbNombres[Nombre])</f>
        <v>Brusselator1d</v>
      </c>
      <c r="F408" s="6">
        <v>4</v>
      </c>
      <c r="G408" s="6">
        <v>3</v>
      </c>
      <c r="H408" s="6">
        <v>1</v>
      </c>
      <c r="I408" s="6">
        <v>100</v>
      </c>
      <c r="J408" s="6">
        <v>200</v>
      </c>
      <c r="K408" s="6">
        <v>1.6834800000000001</v>
      </c>
    </row>
    <row r="409" spans="2:11" x14ac:dyDescent="0.2">
      <c r="B409" s="5" t="str">
        <f>_xlfn.XLOOKUP(Total[[#This Row],[Metodo]],TbSolver[Metodo],TbSolver[Solver])</f>
        <v>AdamsBashford</v>
      </c>
      <c r="C409" s="5" t="str">
        <f>_xlfn.XLOOKUP(Total[[#This Row],[Hebras]],TbTecnologia[Hebras],TbTecnologia[Tecnología])</f>
        <v>OMP</v>
      </c>
      <c r="D409" s="7" t="str" cm="1">
        <f t="array" ref="D409">_xlfn.XLOOKUP(Total[[#This Row],[Tecnología]]&amp;Total[[#This Row],[Metodo]],TbTipos[Tecnología]&amp;TbTipos[Metodo],TbTipos[Tipo])</f>
        <v>OMP Elementos</v>
      </c>
      <c r="E409" s="6" t="str" cm="1">
        <f t="array" ref="E409">_xlfn.XLOOKUP(Total[[#This Row],[Tecnología]]&amp;Total[[#This Row],[Problema]],TbNombres[Tecnología]&amp;TbNombres[Problema],TbNombres[Nombre])</f>
        <v>Brusselator1d</v>
      </c>
      <c r="F409" s="6">
        <v>4</v>
      </c>
      <c r="G409" s="6">
        <v>3</v>
      </c>
      <c r="H409" s="6">
        <v>4</v>
      </c>
      <c r="I409" s="6">
        <v>100</v>
      </c>
      <c r="J409" s="6">
        <v>200</v>
      </c>
      <c r="K409" s="6">
        <v>4.3878500000000003</v>
      </c>
    </row>
    <row r="410" spans="2:11" x14ac:dyDescent="0.2">
      <c r="B410" s="5" t="str">
        <f>_xlfn.XLOOKUP(Total[[#This Row],[Metodo]],TbSolver[Metodo],TbSolver[Solver])</f>
        <v>AdamsBashford</v>
      </c>
      <c r="C410" s="5" t="str">
        <f>_xlfn.XLOOKUP(Total[[#This Row],[Hebras]],TbTecnologia[Hebras],TbTecnologia[Tecnología])</f>
        <v>OMP</v>
      </c>
      <c r="D410" s="7" t="str" cm="1">
        <f t="array" ref="D410">_xlfn.XLOOKUP(Total[[#This Row],[Tecnología]]&amp;Total[[#This Row],[Metodo]],TbTipos[Tecnología]&amp;TbTipos[Metodo],TbTipos[Tipo])</f>
        <v>OMP Elementos</v>
      </c>
      <c r="E410" s="6" t="str" cm="1">
        <f t="array" ref="E410">_xlfn.XLOOKUP(Total[[#This Row],[Tecnología]]&amp;Total[[#This Row],[Problema]],TbNombres[Tecnología]&amp;TbNombres[Problema],TbNombres[Nombre])</f>
        <v>Brusselator1d</v>
      </c>
      <c r="F410" s="6">
        <v>4</v>
      </c>
      <c r="G410" s="6">
        <v>3</v>
      </c>
      <c r="H410" s="6">
        <v>16</v>
      </c>
      <c r="I410" s="6">
        <v>100</v>
      </c>
      <c r="J410" s="6">
        <v>200</v>
      </c>
      <c r="K410" s="6">
        <v>21.4377</v>
      </c>
    </row>
    <row r="411" spans="2:11" x14ac:dyDescent="0.2">
      <c r="B411" s="5" t="str">
        <f>_xlfn.XLOOKUP(Total[[#This Row],[Metodo]],TbSolver[Metodo],TbSolver[Solver])</f>
        <v>AdamsBashford</v>
      </c>
      <c r="C411" s="5" t="str">
        <f>_xlfn.XLOOKUP(Total[[#This Row],[Hebras]],TbTecnologia[Hebras],TbTecnologia[Tecnología])</f>
        <v>OMP</v>
      </c>
      <c r="D411" s="7" t="str" cm="1">
        <f t="array" ref="D411">_xlfn.XLOOKUP(Total[[#This Row],[Tecnología]]&amp;Total[[#This Row],[Metodo]],TbTipos[Tecnología]&amp;TbTipos[Metodo],TbTipos[Tipo])</f>
        <v>OMP Elementos</v>
      </c>
      <c r="E411" s="6" t="str" cm="1">
        <f t="array" ref="E411">_xlfn.XLOOKUP(Total[[#This Row],[Tecnología]]&amp;Total[[#This Row],[Problema]],TbNombres[Tecnología]&amp;TbNombres[Problema],TbNombres[Nombre])</f>
        <v>Brusselator1d</v>
      </c>
      <c r="F411" s="6">
        <v>4</v>
      </c>
      <c r="G411" s="6">
        <v>3</v>
      </c>
      <c r="H411" s="6">
        <v>1</v>
      </c>
      <c r="I411" s="6">
        <v>200</v>
      </c>
      <c r="J411" s="6">
        <v>400</v>
      </c>
      <c r="K411" s="6">
        <v>2.9061900000000001</v>
      </c>
    </row>
    <row r="412" spans="2:11" x14ac:dyDescent="0.2">
      <c r="B412" s="5" t="str">
        <f>_xlfn.XLOOKUP(Total[[#This Row],[Metodo]],TbSolver[Metodo],TbSolver[Solver])</f>
        <v>AdamsBashford</v>
      </c>
      <c r="C412" s="5" t="str">
        <f>_xlfn.XLOOKUP(Total[[#This Row],[Hebras]],TbTecnologia[Hebras],TbTecnologia[Tecnología])</f>
        <v>OMP</v>
      </c>
      <c r="D412" s="7" t="str" cm="1">
        <f t="array" ref="D412">_xlfn.XLOOKUP(Total[[#This Row],[Tecnología]]&amp;Total[[#This Row],[Metodo]],TbTipos[Tecnología]&amp;TbTipos[Metodo],TbTipos[Tipo])</f>
        <v>OMP Elementos</v>
      </c>
      <c r="E412" s="6" t="str" cm="1">
        <f t="array" ref="E412">_xlfn.XLOOKUP(Total[[#This Row],[Tecnología]]&amp;Total[[#This Row],[Problema]],TbNombres[Tecnología]&amp;TbNombres[Problema],TbNombres[Nombre])</f>
        <v>Brusselator1d</v>
      </c>
      <c r="F412" s="6">
        <v>4</v>
      </c>
      <c r="G412" s="6">
        <v>3</v>
      </c>
      <c r="H412" s="6">
        <v>4</v>
      </c>
      <c r="I412" s="6">
        <v>200</v>
      </c>
      <c r="J412" s="6">
        <v>400</v>
      </c>
      <c r="K412" s="6">
        <v>5.0616000000000003</v>
      </c>
    </row>
    <row r="413" spans="2:11" x14ac:dyDescent="0.2">
      <c r="B413" s="5" t="str">
        <f>_xlfn.XLOOKUP(Total[[#This Row],[Metodo]],TbSolver[Metodo],TbSolver[Solver])</f>
        <v>AdamsBashford</v>
      </c>
      <c r="C413" s="5" t="str">
        <f>_xlfn.XLOOKUP(Total[[#This Row],[Hebras]],TbTecnologia[Hebras],TbTecnologia[Tecnología])</f>
        <v>OMP</v>
      </c>
      <c r="D413" s="7" t="str" cm="1">
        <f t="array" ref="D413">_xlfn.XLOOKUP(Total[[#This Row],[Tecnología]]&amp;Total[[#This Row],[Metodo]],TbTipos[Tecnología]&amp;TbTipos[Metodo],TbTipos[Tipo])</f>
        <v>OMP Elementos</v>
      </c>
      <c r="E413" s="6" t="str" cm="1">
        <f t="array" ref="E413">_xlfn.XLOOKUP(Total[[#This Row],[Tecnología]]&amp;Total[[#This Row],[Problema]],TbNombres[Tecnología]&amp;TbNombres[Problema],TbNombres[Nombre])</f>
        <v>Brusselator1d</v>
      </c>
      <c r="F413" s="6">
        <v>4</v>
      </c>
      <c r="G413" s="6">
        <v>3</v>
      </c>
      <c r="H413" s="6">
        <v>16</v>
      </c>
      <c r="I413" s="6">
        <v>200</v>
      </c>
      <c r="J413" s="6">
        <v>400</v>
      </c>
      <c r="K413" s="6">
        <v>12.112299999999999</v>
      </c>
    </row>
    <row r="414" spans="2:11" x14ac:dyDescent="0.2">
      <c r="B414" s="5" t="str">
        <f>_xlfn.XLOOKUP(Total[[#This Row],[Metodo]],TbSolver[Metodo],TbSolver[Solver])</f>
        <v>AdamsBashford</v>
      </c>
      <c r="C414" s="5" t="str">
        <f>_xlfn.XLOOKUP(Total[[#This Row],[Hebras]],TbTecnologia[Hebras],TbTecnologia[Tecnología])</f>
        <v>OMP</v>
      </c>
      <c r="D414" s="7" t="str" cm="1">
        <f t="array" ref="D414">_xlfn.XLOOKUP(Total[[#This Row],[Tecnología]]&amp;Total[[#This Row],[Metodo]],TbTipos[Tecnología]&amp;TbTipos[Metodo],TbTipos[Tipo])</f>
        <v>OMP Elementos</v>
      </c>
      <c r="E414" s="6" t="str" cm="1">
        <f t="array" ref="E414">_xlfn.XLOOKUP(Total[[#This Row],[Tecnología]]&amp;Total[[#This Row],[Problema]],TbNombres[Tecnología]&amp;TbNombres[Problema],TbNombres[Nombre])</f>
        <v>Brusselator1d</v>
      </c>
      <c r="F414" s="6">
        <v>4</v>
      </c>
      <c r="G414" s="6">
        <v>3</v>
      </c>
      <c r="H414" s="6">
        <v>1</v>
      </c>
      <c r="I414" s="6">
        <v>500</v>
      </c>
      <c r="J414" s="6">
        <v>1000</v>
      </c>
      <c r="K414" s="6">
        <v>6.5622100000000003</v>
      </c>
    </row>
    <row r="415" spans="2:11" x14ac:dyDescent="0.2">
      <c r="B415" s="5" t="str">
        <f>_xlfn.XLOOKUP(Total[[#This Row],[Metodo]],TbSolver[Metodo],TbSolver[Solver])</f>
        <v>AdamsBashford</v>
      </c>
      <c r="C415" s="5" t="str">
        <f>_xlfn.XLOOKUP(Total[[#This Row],[Hebras]],TbTecnologia[Hebras],TbTecnologia[Tecnología])</f>
        <v>OMP</v>
      </c>
      <c r="D415" s="7" t="str" cm="1">
        <f t="array" ref="D415">_xlfn.XLOOKUP(Total[[#This Row],[Tecnología]]&amp;Total[[#This Row],[Metodo]],TbTipos[Tecnología]&amp;TbTipos[Metodo],TbTipos[Tipo])</f>
        <v>OMP Elementos</v>
      </c>
      <c r="E415" s="6" t="str" cm="1">
        <f t="array" ref="E415">_xlfn.XLOOKUP(Total[[#This Row],[Tecnología]]&amp;Total[[#This Row],[Problema]],TbNombres[Tecnología]&amp;TbNombres[Problema],TbNombres[Nombre])</f>
        <v>Brusselator1d</v>
      </c>
      <c r="F415" s="6">
        <v>4</v>
      </c>
      <c r="G415" s="6">
        <v>3</v>
      </c>
      <c r="H415" s="6">
        <v>4</v>
      </c>
      <c r="I415" s="6">
        <v>500</v>
      </c>
      <c r="J415" s="6">
        <v>1000</v>
      </c>
      <c r="K415" s="6">
        <v>5.54575</v>
      </c>
    </row>
    <row r="416" spans="2:11" x14ac:dyDescent="0.2">
      <c r="B416" s="5" t="str">
        <f>_xlfn.XLOOKUP(Total[[#This Row],[Metodo]],TbSolver[Metodo],TbSolver[Solver])</f>
        <v>AdamsBashford</v>
      </c>
      <c r="C416" s="5" t="str">
        <f>_xlfn.XLOOKUP(Total[[#This Row],[Hebras]],TbTecnologia[Hebras],TbTecnologia[Tecnología])</f>
        <v>OMP</v>
      </c>
      <c r="D416" s="7" t="str" cm="1">
        <f t="array" ref="D416">_xlfn.XLOOKUP(Total[[#This Row],[Tecnología]]&amp;Total[[#This Row],[Metodo]],TbTipos[Tecnología]&amp;TbTipos[Metodo],TbTipos[Tipo])</f>
        <v>OMP Elementos</v>
      </c>
      <c r="E416" s="6" t="str" cm="1">
        <f t="array" ref="E416">_xlfn.XLOOKUP(Total[[#This Row],[Tecnología]]&amp;Total[[#This Row],[Problema]],TbNombres[Tecnología]&amp;TbNombres[Problema],TbNombres[Nombre])</f>
        <v>Brusselator1d</v>
      </c>
      <c r="F416" s="6">
        <v>4</v>
      </c>
      <c r="G416" s="6">
        <v>3</v>
      </c>
      <c r="H416" s="6">
        <v>16</v>
      </c>
      <c r="I416" s="6">
        <v>500</v>
      </c>
      <c r="J416" s="6">
        <v>1000</v>
      </c>
      <c r="K416" s="6">
        <v>9.4365000000000006</v>
      </c>
    </row>
    <row r="417" spans="2:11" x14ac:dyDescent="0.2">
      <c r="B417" s="5" t="str">
        <f>_xlfn.XLOOKUP(Total[[#This Row],[Metodo]],TbSolver[Metodo],TbSolver[Solver])</f>
        <v>AdamsBashford</v>
      </c>
      <c r="C417" s="5" t="str">
        <f>_xlfn.XLOOKUP(Total[[#This Row],[Hebras]],TbTecnologia[Hebras],TbTecnologia[Tecnología])</f>
        <v>OMP</v>
      </c>
      <c r="D417" s="7" t="str" cm="1">
        <f t="array" ref="D417">_xlfn.XLOOKUP(Total[[#This Row],[Tecnología]]&amp;Total[[#This Row],[Metodo]],TbTipos[Tecnología]&amp;TbTipos[Metodo],TbTipos[Tipo])</f>
        <v>OMP Elementos</v>
      </c>
      <c r="E417" s="6" t="str" cm="1">
        <f t="array" ref="E417">_xlfn.XLOOKUP(Total[[#This Row],[Tecnología]]&amp;Total[[#This Row],[Problema]],TbNombres[Tecnología]&amp;TbNombres[Problema],TbNombres[Nombre])</f>
        <v>Brusselator1d</v>
      </c>
      <c r="F417" s="6">
        <v>4</v>
      </c>
      <c r="G417" s="6">
        <v>3</v>
      </c>
      <c r="H417" s="6">
        <v>1</v>
      </c>
      <c r="I417" s="6">
        <v>1000</v>
      </c>
      <c r="J417" s="6">
        <v>2000</v>
      </c>
      <c r="K417" s="6">
        <v>12.600099999999999</v>
      </c>
    </row>
    <row r="418" spans="2:11" x14ac:dyDescent="0.2">
      <c r="B418" s="5" t="str">
        <f>_xlfn.XLOOKUP(Total[[#This Row],[Metodo]],TbSolver[Metodo],TbSolver[Solver])</f>
        <v>AdamsBashford</v>
      </c>
      <c r="C418" s="5" t="str">
        <f>_xlfn.XLOOKUP(Total[[#This Row],[Hebras]],TbTecnologia[Hebras],TbTecnologia[Tecnología])</f>
        <v>OMP</v>
      </c>
      <c r="D418" s="7" t="str" cm="1">
        <f t="array" ref="D418">_xlfn.XLOOKUP(Total[[#This Row],[Tecnología]]&amp;Total[[#This Row],[Metodo]],TbTipos[Tecnología]&amp;TbTipos[Metodo],TbTipos[Tipo])</f>
        <v>OMP Elementos</v>
      </c>
      <c r="E418" s="6" t="str" cm="1">
        <f t="array" ref="E418">_xlfn.XLOOKUP(Total[[#This Row],[Tecnología]]&amp;Total[[#This Row],[Problema]],TbNombres[Tecnología]&amp;TbNombres[Problema],TbNombres[Nombre])</f>
        <v>Brusselator1d</v>
      </c>
      <c r="F418" s="6">
        <v>4</v>
      </c>
      <c r="G418" s="6">
        <v>3</v>
      </c>
      <c r="H418" s="6">
        <v>4</v>
      </c>
      <c r="I418" s="6">
        <v>1000</v>
      </c>
      <c r="J418" s="6">
        <v>2000</v>
      </c>
      <c r="K418" s="6">
        <v>7.5404</v>
      </c>
    </row>
    <row r="419" spans="2:11" x14ac:dyDescent="0.2">
      <c r="B419" s="5" t="str">
        <f>_xlfn.XLOOKUP(Total[[#This Row],[Metodo]],TbSolver[Metodo],TbSolver[Solver])</f>
        <v>AdamsBashford</v>
      </c>
      <c r="C419" s="5" t="str">
        <f>_xlfn.XLOOKUP(Total[[#This Row],[Hebras]],TbTecnologia[Hebras],TbTecnologia[Tecnología])</f>
        <v>OMP</v>
      </c>
      <c r="D419" s="7" t="str" cm="1">
        <f t="array" ref="D419">_xlfn.XLOOKUP(Total[[#This Row],[Tecnología]]&amp;Total[[#This Row],[Metodo]],TbTipos[Tecnología]&amp;TbTipos[Metodo],TbTipos[Tipo])</f>
        <v>OMP Elementos</v>
      </c>
      <c r="E419" s="6" t="str" cm="1">
        <f t="array" ref="E419">_xlfn.XLOOKUP(Total[[#This Row],[Tecnología]]&amp;Total[[#This Row],[Problema]],TbNombres[Tecnología]&amp;TbNombres[Problema],TbNombres[Nombre])</f>
        <v>Brusselator1d</v>
      </c>
      <c r="F419" s="6">
        <v>4</v>
      </c>
      <c r="G419" s="6">
        <v>3</v>
      </c>
      <c r="H419" s="6">
        <v>16</v>
      </c>
      <c r="I419" s="6">
        <v>1000</v>
      </c>
      <c r="J419" s="6">
        <v>2000</v>
      </c>
      <c r="K419" s="6">
        <v>16.010300000000001</v>
      </c>
    </row>
    <row r="420" spans="2:11" x14ac:dyDescent="0.2">
      <c r="B420" s="5" t="str">
        <f>_xlfn.XLOOKUP(Total[[#This Row],[Metodo]],TbSolver[Metodo],TbSolver[Solver])</f>
        <v>AdamsBashford</v>
      </c>
      <c r="C420" s="5" t="str">
        <f>_xlfn.XLOOKUP(Total[[#This Row],[Hebras]],TbTecnologia[Hebras],TbTecnologia[Tecnología])</f>
        <v>CUDA</v>
      </c>
      <c r="D420" s="2" t="str" cm="1">
        <f t="array" ref="D420">_xlfn.XLOOKUP(Total[[#This Row],[Tecnología]]&amp;Total[[#This Row],[Metodo]],TbTipos[Tecnología]&amp;TbTipos[Metodo],TbTipos[Tipo])</f>
        <v>CUDA sin graph</v>
      </c>
      <c r="E420" s="2" t="str" cm="1">
        <f t="array" ref="E420">_xlfn.XLOOKUP(Total[[#This Row],[Tecnología]]&amp;Total[[#This Row],[Problema]],TbNombres[Tecnología]&amp;TbNombres[Problema],TbNombres[Nombre])</f>
        <v>Brusselator2d</v>
      </c>
      <c r="F420" s="2">
        <v>3</v>
      </c>
      <c r="G420" s="2">
        <v>9</v>
      </c>
      <c r="H420" s="2">
        <v>256</v>
      </c>
      <c r="I420" s="2">
        <v>50</v>
      </c>
      <c r="J420" s="2">
        <v>5000</v>
      </c>
      <c r="K420" s="2">
        <v>5.2246300000000003</v>
      </c>
    </row>
    <row r="421" spans="2:11" x14ac:dyDescent="0.2">
      <c r="B421" s="5" t="str">
        <f>_xlfn.XLOOKUP(Total[[#This Row],[Metodo]],TbSolver[Metodo],TbSolver[Solver])</f>
        <v>AdamsBashford</v>
      </c>
      <c r="C421" s="5" t="str">
        <f>_xlfn.XLOOKUP(Total[[#This Row],[Hebras]],TbTecnologia[Hebras],TbTecnologia[Tecnología])</f>
        <v>CUDA</v>
      </c>
      <c r="D421" s="2" t="str" cm="1">
        <f t="array" ref="D421">_xlfn.XLOOKUP(Total[[#This Row],[Tecnología]]&amp;Total[[#This Row],[Metodo]],TbTipos[Tecnología]&amp;TbTipos[Metodo],TbTipos[Tipo])</f>
        <v>CUDA sin graph</v>
      </c>
      <c r="E421" s="2" t="str" cm="1">
        <f t="array" ref="E421">_xlfn.XLOOKUP(Total[[#This Row],[Tecnología]]&amp;Total[[#This Row],[Problema]],TbNombres[Tecnología]&amp;TbNombres[Problema],TbNombres[Nombre])</f>
        <v>Brusselator2d</v>
      </c>
      <c r="F421" s="2">
        <v>3</v>
      </c>
      <c r="G421" s="2">
        <v>8</v>
      </c>
      <c r="H421" s="2">
        <v>256</v>
      </c>
      <c r="I421" s="2">
        <v>50</v>
      </c>
      <c r="J421" s="2">
        <v>5000</v>
      </c>
      <c r="K421" s="2">
        <v>5.2259399999999996</v>
      </c>
    </row>
    <row r="422" spans="2:11" x14ac:dyDescent="0.2">
      <c r="B422" s="5" t="str">
        <f>_xlfn.XLOOKUP(Total[[#This Row],[Metodo]],TbSolver[Metodo],TbSolver[Solver])</f>
        <v>AdamsBashford</v>
      </c>
      <c r="C422" s="5" t="str">
        <f>_xlfn.XLOOKUP(Total[[#This Row],[Hebras]],TbTecnologia[Hebras],TbTecnologia[Tecnología])</f>
        <v>CUDA</v>
      </c>
      <c r="D422" s="2" t="str" cm="1">
        <f t="array" ref="D422">_xlfn.XLOOKUP(Total[[#This Row],[Tecnología]]&amp;Total[[#This Row],[Metodo]],TbTipos[Tecnología]&amp;TbTipos[Metodo],TbTipos[Tipo])</f>
        <v>CUDA con graph</v>
      </c>
      <c r="E422" s="2" t="str" cm="1">
        <f t="array" ref="E422">_xlfn.XLOOKUP(Total[[#This Row],[Tecnología]]&amp;Total[[#This Row],[Problema]],TbNombres[Tecnología]&amp;TbNombres[Problema],TbNombres[Nombre])</f>
        <v>Brusselator2d</v>
      </c>
      <c r="F422" s="2">
        <v>4</v>
      </c>
      <c r="G422" s="2">
        <v>8</v>
      </c>
      <c r="H422" s="2">
        <v>256</v>
      </c>
      <c r="I422" s="2">
        <v>50</v>
      </c>
      <c r="J422" s="2">
        <v>5000</v>
      </c>
      <c r="K422" s="2">
        <v>6.9137899999999997</v>
      </c>
    </row>
    <row r="423" spans="2:11" x14ac:dyDescent="0.2">
      <c r="B423" s="5" t="str">
        <f>_xlfn.XLOOKUP(Total[[#This Row],[Metodo]],TbSolver[Metodo],TbSolver[Solver])</f>
        <v>AdamsBashford</v>
      </c>
      <c r="C423" s="5" t="str">
        <f>_xlfn.XLOOKUP(Total[[#This Row],[Hebras]],TbTecnologia[Hebras],TbTecnologia[Tecnología])</f>
        <v>CUDA</v>
      </c>
      <c r="D423" s="2" t="str" cm="1">
        <f t="array" ref="D423">_xlfn.XLOOKUP(Total[[#This Row],[Tecnología]]&amp;Total[[#This Row],[Metodo]],TbTipos[Tecnología]&amp;TbTipos[Metodo],TbTipos[Tipo])</f>
        <v>CUDA con graph</v>
      </c>
      <c r="E423" s="2" t="str" cm="1">
        <f t="array" ref="E423">_xlfn.XLOOKUP(Total[[#This Row],[Tecnología]]&amp;Total[[#This Row],[Problema]],TbNombres[Tecnología]&amp;TbNombres[Problema],TbNombres[Nombre])</f>
        <v>Brusselator2d</v>
      </c>
      <c r="F423" s="2">
        <v>4</v>
      </c>
      <c r="G423" s="2">
        <v>9</v>
      </c>
      <c r="H423" s="2">
        <v>256</v>
      </c>
      <c r="I423" s="2">
        <v>50</v>
      </c>
      <c r="J423" s="2">
        <v>5000</v>
      </c>
      <c r="K423" s="2">
        <v>6.9316700000000004</v>
      </c>
    </row>
    <row r="424" spans="2:11" x14ac:dyDescent="0.2">
      <c r="B424" s="5" t="str">
        <f>_xlfn.XLOOKUP(Total[[#This Row],[Metodo]],TbSolver[Metodo],TbSolver[Solver])</f>
        <v>AdamsBashford</v>
      </c>
      <c r="C424" s="5" t="str">
        <f>_xlfn.XLOOKUP(Total[[#This Row],[Hebras]],TbTecnologia[Hebras],TbTecnologia[Tecnología])</f>
        <v>CUDA</v>
      </c>
      <c r="D424" s="2" t="str" cm="1">
        <f t="array" ref="D424">_xlfn.XLOOKUP(Total[[#This Row],[Tecnología]]&amp;Total[[#This Row],[Metodo]],TbTipos[Tecnología]&amp;TbTipos[Metodo],TbTipos[Tipo])</f>
        <v>CUDA sin graph</v>
      </c>
      <c r="E424" s="2" t="str" cm="1">
        <f t="array" ref="E424">_xlfn.XLOOKUP(Total[[#This Row],[Tecnología]]&amp;Total[[#This Row],[Problema]],TbNombres[Tecnología]&amp;TbNombres[Problema],TbNombres[Nombre])</f>
        <v>Brusselator2d</v>
      </c>
      <c r="F424" s="2">
        <v>3</v>
      </c>
      <c r="G424" s="2">
        <v>9</v>
      </c>
      <c r="H424" s="2">
        <v>256</v>
      </c>
      <c r="I424" s="2">
        <v>100</v>
      </c>
      <c r="J424" s="2">
        <v>20000</v>
      </c>
      <c r="K424" s="2">
        <v>7.3433200000000003</v>
      </c>
    </row>
    <row r="425" spans="2:11" x14ac:dyDescent="0.2">
      <c r="B425" s="5" t="str">
        <f>_xlfn.XLOOKUP(Total[[#This Row],[Metodo]],TbSolver[Metodo],TbSolver[Solver])</f>
        <v>AdamsBashford</v>
      </c>
      <c r="C425" s="5" t="str">
        <f>_xlfn.XLOOKUP(Total[[#This Row],[Hebras]],TbTecnologia[Hebras],TbTecnologia[Tecnología])</f>
        <v>CUDA</v>
      </c>
      <c r="D425" s="2" t="str" cm="1">
        <f t="array" ref="D425">_xlfn.XLOOKUP(Total[[#This Row],[Tecnología]]&amp;Total[[#This Row],[Metodo]],TbTipos[Tecnología]&amp;TbTipos[Metodo],TbTipos[Tipo])</f>
        <v>CUDA sin graph</v>
      </c>
      <c r="E425" s="2" t="str" cm="1">
        <f t="array" ref="E425">_xlfn.XLOOKUP(Total[[#This Row],[Tecnología]]&amp;Total[[#This Row],[Problema]],TbNombres[Tecnología]&amp;TbNombres[Problema],TbNombres[Nombre])</f>
        <v>Brusselator2d</v>
      </c>
      <c r="F425" s="2">
        <v>3</v>
      </c>
      <c r="G425" s="2">
        <v>8</v>
      </c>
      <c r="H425" s="2">
        <v>256</v>
      </c>
      <c r="I425" s="2">
        <v>100</v>
      </c>
      <c r="J425" s="2">
        <v>20000</v>
      </c>
      <c r="K425" s="2">
        <v>7.3652899999999999</v>
      </c>
    </row>
    <row r="426" spans="2:11" x14ac:dyDescent="0.2">
      <c r="B426" s="5" t="str">
        <f>_xlfn.XLOOKUP(Total[[#This Row],[Metodo]],TbSolver[Metodo],TbSolver[Solver])</f>
        <v>AdamsBashford</v>
      </c>
      <c r="C426" s="5" t="str">
        <f>_xlfn.XLOOKUP(Total[[#This Row],[Hebras]],TbTecnologia[Hebras],TbTecnologia[Tecnología])</f>
        <v>CUDA</v>
      </c>
      <c r="D426" s="2" t="str" cm="1">
        <f t="array" ref="D426">_xlfn.XLOOKUP(Total[[#This Row],[Tecnología]]&amp;Total[[#This Row],[Metodo]],TbTipos[Tecnología]&amp;TbTipos[Metodo],TbTipos[Tipo])</f>
        <v>CUDA con graph</v>
      </c>
      <c r="E426" s="2" t="str" cm="1">
        <f t="array" ref="E426">_xlfn.XLOOKUP(Total[[#This Row],[Tecnología]]&amp;Total[[#This Row],[Problema]],TbNombres[Tecnología]&amp;TbNombres[Problema],TbNombres[Nombre])</f>
        <v>Brusselator2d</v>
      </c>
      <c r="F426" s="2">
        <v>4</v>
      </c>
      <c r="G426" s="2">
        <v>8</v>
      </c>
      <c r="H426" s="2">
        <v>256</v>
      </c>
      <c r="I426" s="2">
        <v>100</v>
      </c>
      <c r="J426" s="2">
        <v>20000</v>
      </c>
      <c r="K426" s="2">
        <v>9.3744099999999992</v>
      </c>
    </row>
    <row r="427" spans="2:11" x14ac:dyDescent="0.2">
      <c r="B427" s="5" t="str">
        <f>_xlfn.XLOOKUP(Total[[#This Row],[Metodo]],TbSolver[Metodo],TbSolver[Solver])</f>
        <v>AdamsBashford</v>
      </c>
      <c r="C427" s="5" t="str">
        <f>_xlfn.XLOOKUP(Total[[#This Row],[Hebras]],TbTecnologia[Hebras],TbTecnologia[Tecnología])</f>
        <v>CUDA</v>
      </c>
      <c r="D427" s="2" t="str" cm="1">
        <f t="array" ref="D427">_xlfn.XLOOKUP(Total[[#This Row],[Tecnología]]&amp;Total[[#This Row],[Metodo]],TbTipos[Tecnología]&amp;TbTipos[Metodo],TbTipos[Tipo])</f>
        <v>CUDA con graph</v>
      </c>
      <c r="E427" s="2" t="str" cm="1">
        <f t="array" ref="E427">_xlfn.XLOOKUP(Total[[#This Row],[Tecnología]]&amp;Total[[#This Row],[Problema]],TbNombres[Tecnología]&amp;TbNombres[Problema],TbNombres[Nombre])</f>
        <v>Brusselator2d</v>
      </c>
      <c r="F427" s="2">
        <v>4</v>
      </c>
      <c r="G427" s="2">
        <v>9</v>
      </c>
      <c r="H427" s="2">
        <v>256</v>
      </c>
      <c r="I427" s="2">
        <v>100</v>
      </c>
      <c r="J427" s="2">
        <v>20000</v>
      </c>
      <c r="K427" s="2">
        <v>9.4117700000000006</v>
      </c>
    </row>
    <row r="428" spans="2:11" x14ac:dyDescent="0.2">
      <c r="B428" s="5" t="str">
        <f>_xlfn.XLOOKUP(Total[[#This Row],[Metodo]],TbSolver[Metodo],TbSolver[Solver])</f>
        <v>AdamsBashford</v>
      </c>
      <c r="C428" s="5" t="str">
        <f>_xlfn.XLOOKUP(Total[[#This Row],[Hebras]],TbTecnologia[Hebras],TbTecnologia[Tecnología])</f>
        <v>CUDA</v>
      </c>
      <c r="D428" s="2" t="str" cm="1">
        <f t="array" ref="D428">_xlfn.XLOOKUP(Total[[#This Row],[Tecnología]]&amp;Total[[#This Row],[Metodo]],TbTipos[Tecnología]&amp;TbTipos[Metodo],TbTipos[Tipo])</f>
        <v>CUDA sin graph</v>
      </c>
      <c r="E428" s="2" t="str" cm="1">
        <f t="array" ref="E428">_xlfn.XLOOKUP(Total[[#This Row],[Tecnología]]&amp;Total[[#This Row],[Problema]],TbNombres[Tecnología]&amp;TbNombres[Problema],TbNombres[Nombre])</f>
        <v>Brusselator2d</v>
      </c>
      <c r="F428" s="2">
        <v>3</v>
      </c>
      <c r="G428" s="2">
        <v>9</v>
      </c>
      <c r="H428" s="2">
        <v>256</v>
      </c>
      <c r="I428" s="2">
        <v>200</v>
      </c>
      <c r="J428" s="2">
        <v>80000</v>
      </c>
      <c r="K428" s="2">
        <v>13.7272</v>
      </c>
    </row>
    <row r="429" spans="2:11" x14ac:dyDescent="0.2">
      <c r="B429" s="5" t="str">
        <f>_xlfn.XLOOKUP(Total[[#This Row],[Metodo]],TbSolver[Metodo],TbSolver[Solver])</f>
        <v>AdamsBashford</v>
      </c>
      <c r="C429" s="5" t="str">
        <f>_xlfn.XLOOKUP(Total[[#This Row],[Hebras]],TbTecnologia[Hebras],TbTecnologia[Tecnología])</f>
        <v>CUDA</v>
      </c>
      <c r="D429" s="2" t="str" cm="1">
        <f t="array" ref="D429">_xlfn.XLOOKUP(Total[[#This Row],[Tecnología]]&amp;Total[[#This Row],[Metodo]],TbTipos[Tecnología]&amp;TbTipos[Metodo],TbTipos[Tipo])</f>
        <v>CUDA sin graph</v>
      </c>
      <c r="E429" s="2" t="str" cm="1">
        <f t="array" ref="E429">_xlfn.XLOOKUP(Total[[#This Row],[Tecnología]]&amp;Total[[#This Row],[Problema]],TbNombres[Tecnología]&amp;TbNombres[Problema],TbNombres[Nombre])</f>
        <v>Brusselator2d</v>
      </c>
      <c r="F429" s="2">
        <v>3</v>
      </c>
      <c r="G429" s="2">
        <v>8</v>
      </c>
      <c r="H429" s="2">
        <v>256</v>
      </c>
      <c r="I429" s="2">
        <v>200</v>
      </c>
      <c r="J429" s="2">
        <v>80000</v>
      </c>
      <c r="K429" s="2">
        <v>13.9071</v>
      </c>
    </row>
    <row r="430" spans="2:11" x14ac:dyDescent="0.2">
      <c r="B430" s="5" t="str">
        <f>_xlfn.XLOOKUP(Total[[#This Row],[Metodo]],TbSolver[Metodo],TbSolver[Solver])</f>
        <v>AdamsBashford</v>
      </c>
      <c r="C430" s="5" t="str">
        <f>_xlfn.XLOOKUP(Total[[#This Row],[Hebras]],TbTecnologia[Hebras],TbTecnologia[Tecnología])</f>
        <v>CUDA</v>
      </c>
      <c r="D430" s="2" t="str" cm="1">
        <f t="array" ref="D430">_xlfn.XLOOKUP(Total[[#This Row],[Tecnología]]&amp;Total[[#This Row],[Metodo]],TbTipos[Tecnología]&amp;TbTipos[Metodo],TbTipos[Tipo])</f>
        <v>CUDA con graph</v>
      </c>
      <c r="E430" s="2" t="str" cm="1">
        <f t="array" ref="E430">_xlfn.XLOOKUP(Total[[#This Row],[Tecnología]]&amp;Total[[#This Row],[Problema]],TbNombres[Tecnología]&amp;TbNombres[Problema],TbNombres[Nombre])</f>
        <v>Brusselator2d</v>
      </c>
      <c r="F430" s="2">
        <v>4</v>
      </c>
      <c r="G430" s="2">
        <v>8</v>
      </c>
      <c r="H430" s="2">
        <v>256</v>
      </c>
      <c r="I430" s="2">
        <v>200</v>
      </c>
      <c r="J430" s="2">
        <v>80000</v>
      </c>
      <c r="K430" s="2">
        <v>18.820699999999999</v>
      </c>
    </row>
    <row r="431" spans="2:11" x14ac:dyDescent="0.2">
      <c r="B431" s="5" t="str">
        <f>_xlfn.XLOOKUP(Total[[#This Row],[Metodo]],TbSolver[Metodo],TbSolver[Solver])</f>
        <v>AdamsBashford</v>
      </c>
      <c r="C431" s="5" t="str">
        <f>_xlfn.XLOOKUP(Total[[#This Row],[Hebras]],TbTecnologia[Hebras],TbTecnologia[Tecnología])</f>
        <v>CUDA</v>
      </c>
      <c r="D431" s="2" t="str" cm="1">
        <f t="array" ref="D431">_xlfn.XLOOKUP(Total[[#This Row],[Tecnología]]&amp;Total[[#This Row],[Metodo]],TbTipos[Tecnología]&amp;TbTipos[Metodo],TbTipos[Tipo])</f>
        <v>CUDA con graph</v>
      </c>
      <c r="E431" s="2" t="str" cm="1">
        <f t="array" ref="E431">_xlfn.XLOOKUP(Total[[#This Row],[Tecnología]]&amp;Total[[#This Row],[Problema]],TbNombres[Tecnología]&amp;TbNombres[Problema],TbNombres[Nombre])</f>
        <v>Brusselator2d</v>
      </c>
      <c r="F431" s="2">
        <v>4</v>
      </c>
      <c r="G431" s="2">
        <v>9</v>
      </c>
      <c r="H431" s="2">
        <v>256</v>
      </c>
      <c r="I431" s="2">
        <v>200</v>
      </c>
      <c r="J431" s="2">
        <v>80000</v>
      </c>
      <c r="K431" s="2">
        <v>19.009899999999998</v>
      </c>
    </row>
    <row r="432" spans="2:11" x14ac:dyDescent="0.2">
      <c r="B432" s="5" t="str">
        <f>_xlfn.XLOOKUP(Total[[#This Row],[Metodo]],TbSolver[Metodo],TbSolver[Solver])</f>
        <v>AdamsBashford</v>
      </c>
      <c r="C432" s="5" t="str">
        <f>_xlfn.XLOOKUP(Total[[#This Row],[Hebras]],TbTecnologia[Hebras],TbTecnologia[Tecnología])</f>
        <v>OMP</v>
      </c>
      <c r="D432" s="10" t="str" cm="1">
        <f t="array" ref="D432">_xlfn.XLOOKUP(Total[[#This Row],[Tecnología]]&amp;Total[[#This Row],[Metodo]],TbTipos[Tecnología]&amp;TbTipos[Metodo],TbTipos[Tipo])</f>
        <v>OMP Elementos</v>
      </c>
      <c r="E432" s="9" t="str" cm="1">
        <f t="array" ref="E432">_xlfn.XLOOKUP(Total[[#This Row],[Tecnología]]&amp;Total[[#This Row],[Problema]],TbNombres[Tecnología]&amp;TbNombres[Problema],TbNombres[Nombre])</f>
        <v>Brusselator2d</v>
      </c>
      <c r="F432" s="9">
        <v>4</v>
      </c>
      <c r="G432" s="9">
        <v>4</v>
      </c>
      <c r="H432" s="9">
        <v>16</v>
      </c>
      <c r="I432" s="9">
        <v>50</v>
      </c>
      <c r="J432" s="9">
        <v>5000</v>
      </c>
      <c r="K432" s="9">
        <v>20.823799999999999</v>
      </c>
    </row>
    <row r="433" spans="2:11" x14ac:dyDescent="0.2">
      <c r="B433" s="5" t="str">
        <f>_xlfn.XLOOKUP(Total[[#This Row],[Metodo]],TbSolver[Metodo],TbSolver[Solver])</f>
        <v>AdamsBashford</v>
      </c>
      <c r="C433" s="5" t="str">
        <f>_xlfn.XLOOKUP(Total[[#This Row],[Hebras]],TbTecnologia[Hebras],TbTecnologia[Tecnología])</f>
        <v>OMP</v>
      </c>
      <c r="D433" s="10" t="str" cm="1">
        <f t="array" ref="D433">_xlfn.XLOOKUP(Total[[#This Row],[Tecnología]]&amp;Total[[#This Row],[Metodo]],TbTipos[Tecnología]&amp;TbTipos[Metodo],TbTipos[Tipo])</f>
        <v>OMP Operaciones</v>
      </c>
      <c r="E433" s="9" t="str" cm="1">
        <f t="array" ref="E433">_xlfn.XLOOKUP(Total[[#This Row],[Tecnología]]&amp;Total[[#This Row],[Problema]],TbNombres[Tecnología]&amp;TbNombres[Problema],TbNombres[Nombre])</f>
        <v>Brusselator2d</v>
      </c>
      <c r="F433" s="9">
        <v>3</v>
      </c>
      <c r="G433" s="9">
        <v>4</v>
      </c>
      <c r="H433" s="9">
        <v>4</v>
      </c>
      <c r="I433" s="9">
        <v>50</v>
      </c>
      <c r="J433" s="9">
        <v>5000</v>
      </c>
      <c r="K433" s="9">
        <v>20.840399999999999</v>
      </c>
    </row>
    <row r="434" spans="2:11" x14ac:dyDescent="0.2">
      <c r="B434" s="5" t="str">
        <f>_xlfn.XLOOKUP(Total[[#This Row],[Metodo]],TbSolver[Metodo],TbSolver[Solver])</f>
        <v>AdamsBashford</v>
      </c>
      <c r="C434" s="5" t="str">
        <f>_xlfn.XLOOKUP(Total[[#This Row],[Hebras]],TbTecnologia[Hebras],TbTecnologia[Tecnología])</f>
        <v>OMP</v>
      </c>
      <c r="D434" s="10" t="str" cm="1">
        <f t="array" ref="D434">_xlfn.XLOOKUP(Total[[#This Row],[Tecnología]]&amp;Total[[#This Row],[Metodo]],TbTipos[Tecnología]&amp;TbTipos[Metodo],TbTipos[Tipo])</f>
        <v>OMP Elementos</v>
      </c>
      <c r="E434" s="9" t="str" cm="1">
        <f t="array" ref="E434">_xlfn.XLOOKUP(Total[[#This Row],[Tecnología]]&amp;Total[[#This Row],[Problema]],TbNombres[Tecnología]&amp;TbNombres[Problema],TbNombres[Nombre])</f>
        <v>Brusselator2d</v>
      </c>
      <c r="F434" s="9">
        <v>4</v>
      </c>
      <c r="G434" s="9">
        <v>4</v>
      </c>
      <c r="H434" s="9">
        <v>4</v>
      </c>
      <c r="I434" s="9">
        <v>50</v>
      </c>
      <c r="J434" s="9">
        <v>5000</v>
      </c>
      <c r="K434" s="9">
        <v>21.574999999999999</v>
      </c>
    </row>
    <row r="435" spans="2:11" x14ac:dyDescent="0.2">
      <c r="B435" s="5" t="str">
        <f>_xlfn.XLOOKUP(Total[[#This Row],[Metodo]],TbSolver[Metodo],TbSolver[Solver])</f>
        <v>AdamsBashford</v>
      </c>
      <c r="C435" s="5" t="str">
        <f>_xlfn.XLOOKUP(Total[[#This Row],[Hebras]],TbTecnologia[Hebras],TbTecnologia[Tecnología])</f>
        <v>OMP</v>
      </c>
      <c r="D435" s="10" t="str" cm="1">
        <f t="array" ref="D435">_xlfn.XLOOKUP(Total[[#This Row],[Tecnología]]&amp;Total[[#This Row],[Metodo]],TbTipos[Tecnología]&amp;TbTipos[Metodo],TbTipos[Tipo])</f>
        <v>OMP Operaciones</v>
      </c>
      <c r="E435" s="9" t="str" cm="1">
        <f t="array" ref="E435">_xlfn.XLOOKUP(Total[[#This Row],[Tecnología]]&amp;Total[[#This Row],[Problema]],TbNombres[Tecnología]&amp;TbNombres[Problema],TbNombres[Nombre])</f>
        <v>Brusselator2d</v>
      </c>
      <c r="F435" s="9">
        <v>3</v>
      </c>
      <c r="G435" s="9">
        <v>4</v>
      </c>
      <c r="H435" s="9">
        <v>1</v>
      </c>
      <c r="I435" s="9">
        <v>50</v>
      </c>
      <c r="J435" s="9">
        <v>5000</v>
      </c>
      <c r="K435" s="9">
        <v>29.783799999999999</v>
      </c>
    </row>
    <row r="436" spans="2:11" x14ac:dyDescent="0.2">
      <c r="B436" s="5" t="str">
        <f>_xlfn.XLOOKUP(Total[[#This Row],[Metodo]],TbSolver[Metodo],TbSolver[Solver])</f>
        <v>AdamsBashford</v>
      </c>
      <c r="C436" s="5" t="str">
        <f>_xlfn.XLOOKUP(Total[[#This Row],[Hebras]],TbTecnologia[Hebras],TbTecnologia[Tecnología])</f>
        <v>OMP</v>
      </c>
      <c r="D436" s="10" t="str" cm="1">
        <f t="array" ref="D436">_xlfn.XLOOKUP(Total[[#This Row],[Tecnología]]&amp;Total[[#This Row],[Metodo]],TbTipos[Tecnología]&amp;TbTipos[Metodo],TbTipos[Tipo])</f>
        <v>OMP Operaciones</v>
      </c>
      <c r="E436" s="9" t="str" cm="1">
        <f t="array" ref="E436">_xlfn.XLOOKUP(Total[[#This Row],[Tecnología]]&amp;Total[[#This Row],[Problema]],TbNombres[Tecnología]&amp;TbNombres[Problema],TbNombres[Nombre])</f>
        <v>Brusselator2d</v>
      </c>
      <c r="F436" s="9">
        <v>3</v>
      </c>
      <c r="G436" s="9">
        <v>4</v>
      </c>
      <c r="H436" s="9">
        <v>16</v>
      </c>
      <c r="I436" s="9">
        <v>50</v>
      </c>
      <c r="J436" s="9">
        <v>5000</v>
      </c>
      <c r="K436" s="9">
        <v>31.9894</v>
      </c>
    </row>
    <row r="437" spans="2:11" x14ac:dyDescent="0.2">
      <c r="B437" s="5" t="str">
        <f>_xlfn.XLOOKUP(Total[[#This Row],[Metodo]],TbSolver[Metodo],TbSolver[Solver])</f>
        <v>AdamsBashford</v>
      </c>
      <c r="C437" s="5" t="str">
        <f>_xlfn.XLOOKUP(Total[[#This Row],[Hebras]],TbTecnologia[Hebras],TbTecnologia[Tecnología])</f>
        <v>OMP</v>
      </c>
      <c r="D437" s="10" t="str" cm="1">
        <f t="array" ref="D437">_xlfn.XLOOKUP(Total[[#This Row],[Tecnología]]&amp;Total[[#This Row],[Metodo]],TbTipos[Tecnología]&amp;TbTipos[Metodo],TbTipos[Tipo])</f>
        <v>OMP Operaciones</v>
      </c>
      <c r="E437" s="9" t="str" cm="1">
        <f t="array" ref="E437">_xlfn.XLOOKUP(Total[[#This Row],[Tecnología]]&amp;Total[[#This Row],[Problema]],TbNombres[Tecnología]&amp;TbNombres[Problema],TbNombres[Nombre])</f>
        <v>Brusselator2d</v>
      </c>
      <c r="F437" s="9">
        <v>3</v>
      </c>
      <c r="G437" s="9">
        <v>4</v>
      </c>
      <c r="H437" s="9">
        <v>16</v>
      </c>
      <c r="I437" s="9">
        <v>100</v>
      </c>
      <c r="J437" s="9">
        <v>20000</v>
      </c>
      <c r="K437" s="9">
        <v>42.384900000000002</v>
      </c>
    </row>
    <row r="438" spans="2:11" x14ac:dyDescent="0.2">
      <c r="B438" s="5" t="str">
        <f>_xlfn.XLOOKUP(Total[[#This Row],[Metodo]],TbSolver[Metodo],TbSolver[Solver])</f>
        <v>AdamsBashford</v>
      </c>
      <c r="C438" s="5" t="str">
        <f>_xlfn.XLOOKUP(Total[[#This Row],[Hebras]],TbTecnologia[Hebras],TbTecnologia[Tecnología])</f>
        <v>OMP</v>
      </c>
      <c r="D438" s="10" t="str" cm="1">
        <f t="array" ref="D438">_xlfn.XLOOKUP(Total[[#This Row],[Tecnología]]&amp;Total[[#This Row],[Metodo]],TbTipos[Tecnología]&amp;TbTipos[Metodo],TbTipos[Tipo])</f>
        <v>OMP Operaciones</v>
      </c>
      <c r="E438" s="9" t="str" cm="1">
        <f t="array" ref="E438">_xlfn.XLOOKUP(Total[[#This Row],[Tecnología]]&amp;Total[[#This Row],[Problema]],TbNombres[Tecnología]&amp;TbNombres[Problema],TbNombres[Nombre])</f>
        <v>Brusselator2d</v>
      </c>
      <c r="F438" s="9">
        <v>3</v>
      </c>
      <c r="G438" s="9">
        <v>4</v>
      </c>
      <c r="H438" s="9">
        <v>4</v>
      </c>
      <c r="I438" s="9">
        <v>100</v>
      </c>
      <c r="J438" s="9">
        <v>20000</v>
      </c>
      <c r="K438" s="9">
        <v>43.1858</v>
      </c>
    </row>
    <row r="439" spans="2:11" x14ac:dyDescent="0.2">
      <c r="B439" s="5" t="str">
        <f>_xlfn.XLOOKUP(Total[[#This Row],[Metodo]],TbSolver[Metodo],TbSolver[Solver])</f>
        <v>AdamsBashford</v>
      </c>
      <c r="C439" s="5" t="str">
        <f>_xlfn.XLOOKUP(Total[[#This Row],[Hebras]],TbTecnologia[Hebras],TbTecnologia[Tecnología])</f>
        <v>OMP</v>
      </c>
      <c r="D439" s="10" t="str" cm="1">
        <f t="array" ref="D439">_xlfn.XLOOKUP(Total[[#This Row],[Tecnología]]&amp;Total[[#This Row],[Metodo]],TbTipos[Tecnología]&amp;TbTipos[Metodo],TbTipos[Tipo])</f>
        <v>OMP Operaciones</v>
      </c>
      <c r="E439" s="9" t="str" cm="1">
        <f t="array" ref="E439">_xlfn.XLOOKUP(Total[[#This Row],[Tecnología]]&amp;Total[[#This Row],[Problema]],TbNombres[Tecnología]&amp;TbNombres[Problema],TbNombres[Nombre])</f>
        <v>Brusselator2d</v>
      </c>
      <c r="F439" s="9">
        <v>3</v>
      </c>
      <c r="G439" s="9">
        <v>4</v>
      </c>
      <c r="H439" s="9">
        <v>16</v>
      </c>
      <c r="I439" s="9">
        <v>150</v>
      </c>
      <c r="J439" s="9">
        <v>45000</v>
      </c>
      <c r="K439" s="9">
        <v>47.894500000000001</v>
      </c>
    </row>
    <row r="440" spans="2:11" x14ac:dyDescent="0.2">
      <c r="B440" s="5" t="str">
        <f>_xlfn.XLOOKUP(Total[[#This Row],[Metodo]],TbSolver[Metodo],TbSolver[Solver])</f>
        <v>AdamsBashford</v>
      </c>
      <c r="C440" s="5" t="str">
        <f>_xlfn.XLOOKUP(Total[[#This Row],[Hebras]],TbTecnologia[Hebras],TbTecnologia[Tecnología])</f>
        <v>OMP</v>
      </c>
      <c r="D440" s="10" t="str" cm="1">
        <f t="array" ref="D440">_xlfn.XLOOKUP(Total[[#This Row],[Tecnología]]&amp;Total[[#This Row],[Metodo]],TbTipos[Tecnología]&amp;TbTipos[Metodo],TbTipos[Tipo])</f>
        <v>OMP Elementos</v>
      </c>
      <c r="E440" s="9" t="str" cm="1">
        <f t="array" ref="E440">_xlfn.XLOOKUP(Total[[#This Row],[Tecnología]]&amp;Total[[#This Row],[Problema]],TbNombres[Tecnología]&amp;TbNombres[Problema],TbNombres[Nombre])</f>
        <v>Brusselator2d</v>
      </c>
      <c r="F440" s="9">
        <v>4</v>
      </c>
      <c r="G440" s="9">
        <v>4</v>
      </c>
      <c r="H440" s="9">
        <v>16</v>
      </c>
      <c r="I440" s="9">
        <v>150</v>
      </c>
      <c r="J440" s="9">
        <v>45000</v>
      </c>
      <c r="K440" s="9">
        <v>56.496699999999997</v>
      </c>
    </row>
    <row r="441" spans="2:11" x14ac:dyDescent="0.2">
      <c r="B441" s="5" t="str">
        <f>_xlfn.XLOOKUP(Total[[#This Row],[Metodo]],TbSolver[Metodo],TbSolver[Solver])</f>
        <v>AdamsBashford</v>
      </c>
      <c r="C441" s="5" t="str">
        <f>_xlfn.XLOOKUP(Total[[#This Row],[Hebras]],TbTecnologia[Hebras],TbTecnologia[Tecnología])</f>
        <v>OMP</v>
      </c>
      <c r="D441" s="10" t="str" cm="1">
        <f t="array" ref="D441">_xlfn.XLOOKUP(Total[[#This Row],[Tecnología]]&amp;Total[[#This Row],[Metodo]],TbTipos[Tecnología]&amp;TbTipos[Metodo],TbTipos[Tipo])</f>
        <v>OMP Elementos</v>
      </c>
      <c r="E441" s="9" t="str" cm="1">
        <f t="array" ref="E441">_xlfn.XLOOKUP(Total[[#This Row],[Tecnología]]&amp;Total[[#This Row],[Problema]],TbNombres[Tecnología]&amp;TbNombres[Problema],TbNombres[Nombre])</f>
        <v>Brusselator2d</v>
      </c>
      <c r="F441" s="9">
        <v>4</v>
      </c>
      <c r="G441" s="9">
        <v>4</v>
      </c>
      <c r="H441" s="9">
        <v>1</v>
      </c>
      <c r="I441" s="9">
        <v>50</v>
      </c>
      <c r="J441" s="9">
        <v>5000</v>
      </c>
      <c r="K441" s="9">
        <v>65.056100000000001</v>
      </c>
    </row>
    <row r="442" spans="2:11" x14ac:dyDescent="0.2">
      <c r="B442" s="5" t="str">
        <f>_xlfn.XLOOKUP(Total[[#This Row],[Metodo]],TbSolver[Metodo],TbSolver[Solver])</f>
        <v>AdamsBashford</v>
      </c>
      <c r="C442" s="5" t="str">
        <f>_xlfn.XLOOKUP(Total[[#This Row],[Hebras]],TbTecnologia[Hebras],TbTecnologia[Tecnología])</f>
        <v>OMP</v>
      </c>
      <c r="D442" s="10" t="str" cm="1">
        <f t="array" ref="D442">_xlfn.XLOOKUP(Total[[#This Row],[Tecnología]]&amp;Total[[#This Row],[Metodo]],TbTipos[Tecnología]&amp;TbTipos[Metodo],TbTipos[Tipo])</f>
        <v>OMP Operaciones</v>
      </c>
      <c r="E442" s="9" t="str" cm="1">
        <f t="array" ref="E442">_xlfn.XLOOKUP(Total[[#This Row],[Tecnología]]&amp;Total[[#This Row],[Problema]],TbNombres[Tecnología]&amp;TbNombres[Problema],TbNombres[Nombre])</f>
        <v>Brusselator2d</v>
      </c>
      <c r="F442" s="9">
        <v>3</v>
      </c>
      <c r="G442" s="9">
        <v>4</v>
      </c>
      <c r="H442" s="9">
        <v>16</v>
      </c>
      <c r="I442" s="9">
        <v>200</v>
      </c>
      <c r="J442" s="9">
        <v>80000</v>
      </c>
      <c r="K442" s="9">
        <v>66.903000000000006</v>
      </c>
    </row>
    <row r="443" spans="2:11" x14ac:dyDescent="0.2">
      <c r="B443" s="5" t="str">
        <f>_xlfn.XLOOKUP(Total[[#This Row],[Metodo]],TbSolver[Metodo],TbSolver[Solver])</f>
        <v>AdamsBashford</v>
      </c>
      <c r="C443" s="5" t="str">
        <f>_xlfn.XLOOKUP(Total[[#This Row],[Hebras]],TbTecnologia[Hebras],TbTecnologia[Tecnología])</f>
        <v>OMP</v>
      </c>
      <c r="D443" s="10" t="str" cm="1">
        <f t="array" ref="D443">_xlfn.XLOOKUP(Total[[#This Row],[Tecnología]]&amp;Total[[#This Row],[Metodo]],TbTipos[Tecnología]&amp;TbTipos[Metodo],TbTipos[Tipo])</f>
        <v>OMP Elementos</v>
      </c>
      <c r="E443" s="9" t="str" cm="1">
        <f t="array" ref="E443">_xlfn.XLOOKUP(Total[[#This Row],[Tecnología]]&amp;Total[[#This Row],[Problema]],TbNombres[Tecnología]&amp;TbNombres[Problema],TbNombres[Nombre])</f>
        <v>Brusselator2d</v>
      </c>
      <c r="F443" s="9">
        <v>4</v>
      </c>
      <c r="G443" s="9">
        <v>4</v>
      </c>
      <c r="H443" s="9">
        <v>4</v>
      </c>
      <c r="I443" s="9">
        <v>100</v>
      </c>
      <c r="J443" s="9">
        <v>20000</v>
      </c>
      <c r="K443" s="9">
        <v>73.046400000000006</v>
      </c>
    </row>
    <row r="444" spans="2:11" x14ac:dyDescent="0.2">
      <c r="B444" s="5" t="str">
        <f>_xlfn.XLOOKUP(Total[[#This Row],[Metodo]],TbSolver[Metodo],TbSolver[Solver])</f>
        <v>AdamsBashford</v>
      </c>
      <c r="C444" s="5" t="str">
        <f>_xlfn.XLOOKUP(Total[[#This Row],[Hebras]],TbTecnologia[Hebras],TbTecnologia[Tecnología])</f>
        <v>OMP</v>
      </c>
      <c r="D444" s="10" t="str" cm="1">
        <f t="array" ref="D444">_xlfn.XLOOKUP(Total[[#This Row],[Tecnología]]&amp;Total[[#This Row],[Metodo]],TbTipos[Tecnología]&amp;TbTipos[Metodo],TbTipos[Tipo])</f>
        <v>OMP Operaciones</v>
      </c>
      <c r="E444" s="9" t="str" cm="1">
        <f t="array" ref="E444">_xlfn.XLOOKUP(Total[[#This Row],[Tecnología]]&amp;Total[[#This Row],[Problema]],TbNombres[Tecnología]&amp;TbNombres[Problema],TbNombres[Nombre])</f>
        <v>Brusselator2d</v>
      </c>
      <c r="F444" s="9">
        <v>3</v>
      </c>
      <c r="G444" s="9">
        <v>4</v>
      </c>
      <c r="H444" s="9">
        <v>4</v>
      </c>
      <c r="I444" s="9">
        <v>150</v>
      </c>
      <c r="J444" s="9">
        <v>45000</v>
      </c>
      <c r="K444" s="9">
        <v>83.186300000000003</v>
      </c>
    </row>
    <row r="445" spans="2:11" x14ac:dyDescent="0.2">
      <c r="B445" s="5" t="str">
        <f>_xlfn.XLOOKUP(Total[[#This Row],[Metodo]],TbSolver[Metodo],TbSolver[Solver])</f>
        <v>AdamsBashford</v>
      </c>
      <c r="C445" s="5" t="str">
        <f>_xlfn.XLOOKUP(Total[[#This Row],[Hebras]],TbTecnologia[Hebras],TbTecnologia[Tecnología])</f>
        <v>OMP</v>
      </c>
      <c r="D445" s="10" t="str" cm="1">
        <f t="array" ref="D445">_xlfn.XLOOKUP(Total[[#This Row],[Tecnología]]&amp;Total[[#This Row],[Metodo]],TbTipos[Tecnología]&amp;TbTipos[Metodo],TbTipos[Tipo])</f>
        <v>OMP Elementos</v>
      </c>
      <c r="E445" s="9" t="str" cm="1">
        <f t="array" ref="E445">_xlfn.XLOOKUP(Total[[#This Row],[Tecnología]]&amp;Total[[#This Row],[Problema]],TbNombres[Tecnología]&amp;TbNombres[Problema],TbNombres[Nombre])</f>
        <v>Brusselator2d</v>
      </c>
      <c r="F445" s="9">
        <v>4</v>
      </c>
      <c r="G445" s="9">
        <v>4</v>
      </c>
      <c r="H445" s="9">
        <v>16</v>
      </c>
      <c r="I445" s="9">
        <v>200</v>
      </c>
      <c r="J445" s="9">
        <v>80000</v>
      </c>
      <c r="K445" s="9">
        <v>90.070800000000006</v>
      </c>
    </row>
    <row r="446" spans="2:11" x14ac:dyDescent="0.2">
      <c r="B446" s="5" t="str">
        <f>_xlfn.XLOOKUP(Total[[#This Row],[Metodo]],TbSolver[Metodo],TbSolver[Solver])</f>
        <v>AdamsBashford</v>
      </c>
      <c r="C446" s="5" t="str">
        <f>_xlfn.XLOOKUP(Total[[#This Row],[Hebras]],TbTecnologia[Hebras],TbTecnologia[Tecnología])</f>
        <v>CUDA</v>
      </c>
      <c r="D446" s="2" t="str" cm="1">
        <f t="array" ref="D446">_xlfn.XLOOKUP(Total[[#This Row],[Tecnología]]&amp;Total[[#This Row],[Metodo]],TbTipos[Tecnología]&amp;TbTipos[Metodo],TbTipos[Tipo])</f>
        <v>CUDA sin graph</v>
      </c>
      <c r="E446" s="2" t="str" cm="1">
        <f t="array" ref="E446">_xlfn.XLOOKUP(Total[[#This Row],[Tecnología]]&amp;Total[[#This Row],[Problema]],TbNombres[Tecnología]&amp;TbNombres[Problema],TbNombres[Nombre])</f>
        <v>Brusselator2d</v>
      </c>
      <c r="F446" s="2">
        <v>3</v>
      </c>
      <c r="G446" s="2">
        <v>9</v>
      </c>
      <c r="H446" s="2">
        <v>256</v>
      </c>
      <c r="I446" s="2">
        <v>500</v>
      </c>
      <c r="J446" s="2">
        <v>500000</v>
      </c>
      <c r="K446" s="2">
        <v>98.018500000000003</v>
      </c>
    </row>
    <row r="447" spans="2:11" x14ac:dyDescent="0.2">
      <c r="B447" s="5" t="str">
        <f>_xlfn.XLOOKUP(Total[[#This Row],[Metodo]],TbSolver[Metodo],TbSolver[Solver])</f>
        <v>AdamsBashford</v>
      </c>
      <c r="C447" s="5" t="str">
        <f>_xlfn.XLOOKUP(Total[[#This Row],[Hebras]],TbTecnologia[Hebras],TbTecnologia[Tecnología])</f>
        <v>CUDA</v>
      </c>
      <c r="D447" s="2" t="str" cm="1">
        <f t="array" ref="D447">_xlfn.XLOOKUP(Total[[#This Row],[Tecnología]]&amp;Total[[#This Row],[Metodo]],TbTipos[Tecnología]&amp;TbTipos[Metodo],TbTipos[Tipo])</f>
        <v>CUDA sin graph</v>
      </c>
      <c r="E447" s="2" t="str" cm="1">
        <f t="array" ref="E447">_xlfn.XLOOKUP(Total[[#This Row],[Tecnología]]&amp;Total[[#This Row],[Problema]],TbNombres[Tecnología]&amp;TbNombres[Problema],TbNombres[Nombre])</f>
        <v>Brusselator2d</v>
      </c>
      <c r="F447" s="2">
        <v>3</v>
      </c>
      <c r="G447" s="2">
        <v>8</v>
      </c>
      <c r="H447" s="2">
        <v>256</v>
      </c>
      <c r="I447" s="2">
        <v>500</v>
      </c>
      <c r="J447" s="2">
        <v>500000</v>
      </c>
      <c r="K447" s="2">
        <v>98.777100000000004</v>
      </c>
    </row>
    <row r="448" spans="2:11" x14ac:dyDescent="0.2">
      <c r="B448" s="5" t="str">
        <f>_xlfn.XLOOKUP(Total[[#This Row],[Metodo]],TbSolver[Metodo],TbSolver[Solver])</f>
        <v>AdamsBashford</v>
      </c>
      <c r="C448" s="5" t="str">
        <f>_xlfn.XLOOKUP(Total[[#This Row],[Hebras]],TbTecnologia[Hebras],TbTecnologia[Tecnología])</f>
        <v>OMP</v>
      </c>
      <c r="D448" s="10" t="str" cm="1">
        <f t="array" ref="D448">_xlfn.XLOOKUP(Total[[#This Row],[Tecnología]]&amp;Total[[#This Row],[Metodo]],TbTipos[Tecnología]&amp;TbTipos[Metodo],TbTipos[Tipo])</f>
        <v>OMP Elementos</v>
      </c>
      <c r="E448" s="9" t="str" cm="1">
        <f t="array" ref="E448">_xlfn.XLOOKUP(Total[[#This Row],[Tecnología]]&amp;Total[[#This Row],[Problema]],TbNombres[Tecnología]&amp;TbNombres[Problema],TbNombres[Nombre])</f>
        <v>Brusselator2d</v>
      </c>
      <c r="F448" s="9">
        <v>4</v>
      </c>
      <c r="G448" s="9">
        <v>4</v>
      </c>
      <c r="H448" s="9">
        <v>16</v>
      </c>
      <c r="I448" s="9">
        <v>100</v>
      </c>
      <c r="J448" s="9">
        <v>20000</v>
      </c>
      <c r="K448" s="9">
        <v>108.842</v>
      </c>
    </row>
    <row r="449" spans="2:11" x14ac:dyDescent="0.2">
      <c r="B449" s="5" t="str">
        <f>_xlfn.XLOOKUP(Total[[#This Row],[Metodo]],TbSolver[Metodo],TbSolver[Solver])</f>
        <v>AdamsBashford</v>
      </c>
      <c r="C449" s="5" t="str">
        <f>_xlfn.XLOOKUP(Total[[#This Row],[Hebras]],TbTecnologia[Hebras],TbTecnologia[Tecnología])</f>
        <v>OMP</v>
      </c>
      <c r="D449" s="10" t="str" cm="1">
        <f t="array" ref="D449">_xlfn.XLOOKUP(Total[[#This Row],[Tecnología]]&amp;Total[[#This Row],[Metodo]],TbTipos[Tecnología]&amp;TbTipos[Metodo],TbTipos[Tipo])</f>
        <v>OMP Operaciones</v>
      </c>
      <c r="E449" s="9" t="str" cm="1">
        <f t="array" ref="E449">_xlfn.XLOOKUP(Total[[#This Row],[Tecnología]]&amp;Total[[#This Row],[Problema]],TbNombres[Tecnología]&amp;TbNombres[Problema],TbNombres[Nombre])</f>
        <v>Brusselator2d</v>
      </c>
      <c r="F449" s="9">
        <v>3</v>
      </c>
      <c r="G449" s="9">
        <v>4</v>
      </c>
      <c r="H449" s="9">
        <v>1</v>
      </c>
      <c r="I449" s="9">
        <v>100</v>
      </c>
      <c r="J449" s="9">
        <v>20000</v>
      </c>
      <c r="K449" s="9">
        <v>122.321</v>
      </c>
    </row>
    <row r="450" spans="2:11" x14ac:dyDescent="0.2">
      <c r="B450" s="5" t="str">
        <f>_xlfn.XLOOKUP(Total[[#This Row],[Metodo]],TbSolver[Metodo],TbSolver[Solver])</f>
        <v>AdamsBashford</v>
      </c>
      <c r="C450" s="5" t="str">
        <f>_xlfn.XLOOKUP(Total[[#This Row],[Hebras]],TbTecnologia[Hebras],TbTecnologia[Tecnología])</f>
        <v>OMP</v>
      </c>
      <c r="D450" s="10" t="str" cm="1">
        <f t="array" ref="D450">_xlfn.XLOOKUP(Total[[#This Row],[Tecnología]]&amp;Total[[#This Row],[Metodo]],TbTipos[Tecnología]&amp;TbTipos[Metodo],TbTipos[Tipo])</f>
        <v>OMP Operaciones</v>
      </c>
      <c r="E450" s="9" t="str" cm="1">
        <f t="array" ref="E450">_xlfn.XLOOKUP(Total[[#This Row],[Tecnología]]&amp;Total[[#This Row],[Problema]],TbNombres[Tecnología]&amp;TbNombres[Problema],TbNombres[Nombre])</f>
        <v>Brusselator2d</v>
      </c>
      <c r="F450" s="9">
        <v>3</v>
      </c>
      <c r="G450" s="9">
        <v>4</v>
      </c>
      <c r="H450" s="9">
        <v>4</v>
      </c>
      <c r="I450" s="9">
        <v>200</v>
      </c>
      <c r="J450" s="9">
        <v>80000</v>
      </c>
      <c r="K450" s="9">
        <v>143.374</v>
      </c>
    </row>
    <row r="451" spans="2:11" x14ac:dyDescent="0.2">
      <c r="B451" s="5" t="str">
        <f>_xlfn.XLOOKUP(Total[[#This Row],[Metodo]],TbSolver[Metodo],TbSolver[Solver])</f>
        <v>AdamsBashford</v>
      </c>
      <c r="C451" s="5" t="str">
        <f>_xlfn.XLOOKUP(Total[[#This Row],[Hebras]],TbTecnologia[Hebras],TbTecnologia[Tecnología])</f>
        <v>OMP</v>
      </c>
      <c r="D451" s="10" t="str" cm="1">
        <f t="array" ref="D451">_xlfn.XLOOKUP(Total[[#This Row],[Tecnología]]&amp;Total[[#This Row],[Metodo]],TbTipos[Tecnología]&amp;TbTipos[Metodo],TbTipos[Tipo])</f>
        <v>OMP Elementos</v>
      </c>
      <c r="E451" s="9" t="str" cm="1">
        <f t="array" ref="E451">_xlfn.XLOOKUP(Total[[#This Row],[Tecnología]]&amp;Total[[#This Row],[Problema]],TbNombres[Tecnología]&amp;TbNombres[Problema],TbNombres[Nombre])</f>
        <v>Brusselator2d</v>
      </c>
      <c r="F451" s="9">
        <v>4</v>
      </c>
      <c r="G451" s="9">
        <v>4</v>
      </c>
      <c r="H451" s="9">
        <v>4</v>
      </c>
      <c r="I451" s="9">
        <v>150</v>
      </c>
      <c r="J451" s="9">
        <v>45000</v>
      </c>
      <c r="K451" s="9">
        <v>158.96299999999999</v>
      </c>
    </row>
    <row r="452" spans="2:11" x14ac:dyDescent="0.2">
      <c r="B452" s="5" t="str">
        <f>_xlfn.XLOOKUP(Total[[#This Row],[Metodo]],TbSolver[Metodo],TbSolver[Solver])</f>
        <v>AdamsBashford</v>
      </c>
      <c r="C452" s="5" t="str">
        <f>_xlfn.XLOOKUP(Total[[#This Row],[Hebras]],TbTecnologia[Hebras],TbTecnologia[Tecnología])</f>
        <v>CUDA</v>
      </c>
      <c r="D452" s="2" t="str" cm="1">
        <f t="array" ref="D452">_xlfn.XLOOKUP(Total[[#This Row],[Tecnología]]&amp;Total[[#This Row],[Metodo]],TbTipos[Tecnología]&amp;TbTipos[Metodo],TbTipos[Tipo])</f>
        <v>CUDA con graph</v>
      </c>
      <c r="E452" s="2" t="str" cm="1">
        <f t="array" ref="E452">_xlfn.XLOOKUP(Total[[#This Row],[Tecnología]]&amp;Total[[#This Row],[Problema]],TbNombres[Tecnología]&amp;TbNombres[Problema],TbNombres[Nombre])</f>
        <v>Brusselator2d</v>
      </c>
      <c r="F452" s="2">
        <v>4</v>
      </c>
      <c r="G452" s="2">
        <v>9</v>
      </c>
      <c r="H452" s="2">
        <v>256</v>
      </c>
      <c r="I452" s="2">
        <v>500</v>
      </c>
      <c r="J452" s="2">
        <v>500000</v>
      </c>
      <c r="K452" s="2">
        <v>176.041</v>
      </c>
    </row>
    <row r="453" spans="2:11" x14ac:dyDescent="0.2">
      <c r="B453" s="5" t="str">
        <f>_xlfn.XLOOKUP(Total[[#This Row],[Metodo]],TbSolver[Metodo],TbSolver[Solver])</f>
        <v>AdamsBashford</v>
      </c>
      <c r="C453" s="5" t="str">
        <f>_xlfn.XLOOKUP(Total[[#This Row],[Hebras]],TbTecnologia[Hebras],TbTecnologia[Tecnología])</f>
        <v>CUDA</v>
      </c>
      <c r="D453" s="2" t="str" cm="1">
        <f t="array" ref="D453">_xlfn.XLOOKUP(Total[[#This Row],[Tecnología]]&amp;Total[[#This Row],[Metodo]],TbTipos[Tecnología]&amp;TbTipos[Metodo],TbTipos[Tipo])</f>
        <v>CUDA con graph</v>
      </c>
      <c r="E453" s="2" t="str" cm="1">
        <f t="array" ref="E453">_xlfn.XLOOKUP(Total[[#This Row],[Tecnología]]&amp;Total[[#This Row],[Problema]],TbNombres[Tecnología]&amp;TbNombres[Problema],TbNombres[Nombre])</f>
        <v>Brusselator2d</v>
      </c>
      <c r="F453" s="2">
        <v>4</v>
      </c>
      <c r="G453" s="2">
        <v>8</v>
      </c>
      <c r="H453" s="2">
        <v>256</v>
      </c>
      <c r="I453" s="2">
        <v>500</v>
      </c>
      <c r="J453" s="2">
        <v>500000</v>
      </c>
      <c r="K453" s="2">
        <v>176.75299999999999</v>
      </c>
    </row>
    <row r="454" spans="2:11" x14ac:dyDescent="0.2">
      <c r="B454" s="5" t="str">
        <f>_xlfn.XLOOKUP(Total[[#This Row],[Metodo]],TbSolver[Metodo],TbSolver[Solver])</f>
        <v>AdamsBashford</v>
      </c>
      <c r="C454" s="5" t="str">
        <f>_xlfn.XLOOKUP(Total[[#This Row],[Hebras]],TbTecnologia[Hebras],TbTecnologia[Tecnología])</f>
        <v>OMP</v>
      </c>
      <c r="D454" s="10" t="str" cm="1">
        <f t="array" ref="D454">_xlfn.XLOOKUP(Total[[#This Row],[Tecnología]]&amp;Total[[#This Row],[Metodo]],TbTipos[Tecnología]&amp;TbTipos[Metodo],TbTipos[Tipo])</f>
        <v>OMP Elementos</v>
      </c>
      <c r="E454" s="9" t="str" cm="1">
        <f t="array" ref="E454">_xlfn.XLOOKUP(Total[[#This Row],[Tecnología]]&amp;Total[[#This Row],[Problema]],TbNombres[Tecnología]&amp;TbNombres[Problema],TbNombres[Nombre])</f>
        <v>Brusselator2d</v>
      </c>
      <c r="F454" s="9">
        <v>4</v>
      </c>
      <c r="G454" s="9">
        <v>4</v>
      </c>
      <c r="H454" s="9">
        <v>1</v>
      </c>
      <c r="I454" s="9">
        <v>100</v>
      </c>
      <c r="J454" s="9">
        <v>20000</v>
      </c>
      <c r="K454" s="9">
        <v>261.65199999999999</v>
      </c>
    </row>
    <row r="455" spans="2:11" x14ac:dyDescent="0.2">
      <c r="B455" s="5" t="str">
        <f>_xlfn.XLOOKUP(Total[[#This Row],[Metodo]],TbSolver[Metodo],TbSolver[Solver])</f>
        <v>AdamsBashford</v>
      </c>
      <c r="C455" s="5" t="str">
        <f>_xlfn.XLOOKUP(Total[[#This Row],[Hebras]],TbTecnologia[Hebras],TbTecnologia[Tecnología])</f>
        <v>OMP</v>
      </c>
      <c r="D455" s="10" t="str" cm="1">
        <f t="array" ref="D455">_xlfn.XLOOKUP(Total[[#This Row],[Tecnología]]&amp;Total[[#This Row],[Metodo]],TbTipos[Tecnología]&amp;TbTipos[Metodo],TbTipos[Tipo])</f>
        <v>OMP Elementos</v>
      </c>
      <c r="E455" s="9" t="str" cm="1">
        <f t="array" ref="E455">_xlfn.XLOOKUP(Total[[#This Row],[Tecnología]]&amp;Total[[#This Row],[Problema]],TbNombres[Tecnología]&amp;TbNombres[Problema],TbNombres[Nombre])</f>
        <v>Brusselator2d</v>
      </c>
      <c r="F455" s="9">
        <v>4</v>
      </c>
      <c r="G455" s="9">
        <v>4</v>
      </c>
      <c r="H455" s="9">
        <v>4</v>
      </c>
      <c r="I455" s="9">
        <v>200</v>
      </c>
      <c r="J455" s="9">
        <v>80000</v>
      </c>
      <c r="K455" s="9">
        <v>281.49200000000002</v>
      </c>
    </row>
    <row r="456" spans="2:11" x14ac:dyDescent="0.2">
      <c r="B456" s="5" t="str">
        <f>_xlfn.XLOOKUP(Total[[#This Row],[Metodo]],TbSolver[Metodo],TbSolver[Solver])</f>
        <v>AdamsBashford</v>
      </c>
      <c r="C456" s="5" t="str">
        <f>_xlfn.XLOOKUP(Total[[#This Row],[Hebras]],TbTecnologia[Hebras],TbTecnologia[Tecnología])</f>
        <v>OMP</v>
      </c>
      <c r="D456" s="10" t="str" cm="1">
        <f t="array" ref="D456">_xlfn.XLOOKUP(Total[[#This Row],[Tecnología]]&amp;Total[[#This Row],[Metodo]],TbTipos[Tecnología]&amp;TbTipos[Metodo],TbTipos[Tipo])</f>
        <v>OMP Operaciones</v>
      </c>
      <c r="E456" s="9" t="str" cm="1">
        <f t="array" ref="E456">_xlfn.XLOOKUP(Total[[#This Row],[Tecnología]]&amp;Total[[#This Row],[Problema]],TbNombres[Tecnología]&amp;TbNombres[Problema],TbNombres[Nombre])</f>
        <v>Brusselator2d</v>
      </c>
      <c r="F456" s="9">
        <v>3</v>
      </c>
      <c r="G456" s="9">
        <v>4</v>
      </c>
      <c r="H456" s="9">
        <v>1</v>
      </c>
      <c r="I456" s="9">
        <v>150</v>
      </c>
      <c r="J456" s="9">
        <v>45000</v>
      </c>
      <c r="K456" s="9">
        <v>315.30200000000002</v>
      </c>
    </row>
    <row r="457" spans="2:11" x14ac:dyDescent="0.2">
      <c r="B457" s="5" t="str">
        <f>_xlfn.XLOOKUP(Total[[#This Row],[Metodo]],TbSolver[Metodo],TbSolver[Solver])</f>
        <v>AdamsBashford</v>
      </c>
      <c r="C457" s="5" t="str">
        <f>_xlfn.XLOOKUP(Total[[#This Row],[Hebras]],TbTecnologia[Hebras],TbTecnologia[Tecnología])</f>
        <v>OMP</v>
      </c>
      <c r="D457" s="10" t="str" cm="1">
        <f t="array" ref="D457">_xlfn.XLOOKUP(Total[[#This Row],[Tecnología]]&amp;Total[[#This Row],[Metodo]],TbTipos[Tecnología]&amp;TbTipos[Metodo],TbTipos[Tipo])</f>
        <v>OMP Operaciones</v>
      </c>
      <c r="E457" s="9" t="str" cm="1">
        <f t="array" ref="E457">_xlfn.XLOOKUP(Total[[#This Row],[Tecnología]]&amp;Total[[#This Row],[Problema]],TbNombres[Tecnología]&amp;TbNombres[Problema],TbNombres[Nombre])</f>
        <v>Brusselator2d</v>
      </c>
      <c r="F457" s="9">
        <v>3</v>
      </c>
      <c r="G457" s="9">
        <v>4</v>
      </c>
      <c r="H457" s="9">
        <v>1</v>
      </c>
      <c r="I457" s="9">
        <v>200</v>
      </c>
      <c r="J457" s="9">
        <v>80000</v>
      </c>
      <c r="K457" s="9">
        <v>578.274</v>
      </c>
    </row>
    <row r="458" spans="2:11" x14ac:dyDescent="0.2">
      <c r="B458" s="5" t="str">
        <f>_xlfn.XLOOKUP(Total[[#This Row],[Metodo]],TbSolver[Metodo],TbSolver[Solver])</f>
        <v>AdamsBashford</v>
      </c>
      <c r="C458" s="5" t="str">
        <f>_xlfn.XLOOKUP(Total[[#This Row],[Hebras]],TbTecnologia[Hebras],TbTecnologia[Tecnología])</f>
        <v>OMP</v>
      </c>
      <c r="D458" s="10" t="str" cm="1">
        <f t="array" ref="D458">_xlfn.XLOOKUP(Total[[#This Row],[Tecnología]]&amp;Total[[#This Row],[Metodo]],TbTipos[Tecnología]&amp;TbTipos[Metodo],TbTipos[Tipo])</f>
        <v>OMP Elementos</v>
      </c>
      <c r="E458" s="9" t="str" cm="1">
        <f t="array" ref="E458">_xlfn.XLOOKUP(Total[[#This Row],[Tecnología]]&amp;Total[[#This Row],[Problema]],TbNombres[Tecnología]&amp;TbNombres[Problema],TbNombres[Nombre])</f>
        <v>Brusselator2d</v>
      </c>
      <c r="F458" s="9">
        <v>4</v>
      </c>
      <c r="G458" s="9">
        <v>4</v>
      </c>
      <c r="H458" s="9">
        <v>1</v>
      </c>
      <c r="I458" s="9">
        <v>150</v>
      </c>
      <c r="J458" s="9">
        <v>45000</v>
      </c>
      <c r="K458" s="9">
        <v>616.67200000000003</v>
      </c>
    </row>
    <row r="459" spans="2:11" x14ac:dyDescent="0.2">
      <c r="B459" s="5" t="str">
        <f>_xlfn.XLOOKUP(Total[[#This Row],[Metodo]],TbSolver[Metodo],TbSolver[Solver])</f>
        <v>AdamsBashford</v>
      </c>
      <c r="C459" s="5" t="str">
        <f>_xlfn.XLOOKUP(Total[[#This Row],[Hebras]],TbTecnologia[Hebras],TbTecnologia[Tecnología])</f>
        <v>OMP</v>
      </c>
      <c r="D459" s="10" t="str" cm="1">
        <f t="array" ref="D459">_xlfn.XLOOKUP(Total[[#This Row],[Tecnología]]&amp;Total[[#This Row],[Metodo]],TbTipos[Tecnología]&amp;TbTipos[Metodo],TbTipos[Tipo])</f>
        <v>OMP Elementos</v>
      </c>
      <c r="E459" s="9" t="str" cm="1">
        <f t="array" ref="E459">_xlfn.XLOOKUP(Total[[#This Row],[Tecnología]]&amp;Total[[#This Row],[Problema]],TbNombres[Tecnología]&amp;TbNombres[Problema],TbNombres[Nombre])</f>
        <v>Brusselator2d</v>
      </c>
      <c r="F459" s="9">
        <v>4</v>
      </c>
      <c r="G459" s="9">
        <v>4</v>
      </c>
      <c r="H459" s="9">
        <v>1</v>
      </c>
      <c r="I459" s="9">
        <v>200</v>
      </c>
      <c r="J459" s="9">
        <v>80000</v>
      </c>
      <c r="K459" s="9">
        <v>1104.52</v>
      </c>
    </row>
    <row r="460" spans="2:11" x14ac:dyDescent="0.2">
      <c r="B460" s="5" t="str">
        <f>_xlfn.XLOOKUP(Total[[#This Row],[Metodo]],TbSolver[Metodo],TbSolver[Solver])</f>
        <v>AdamsBashfordMoulton</v>
      </c>
      <c r="C460" s="5" t="str">
        <f>_xlfn.XLOOKUP(Total[[#This Row],[Hebras]],TbTecnologia[Hebras],TbTecnologia[Tecnología])</f>
        <v>CUDA</v>
      </c>
      <c r="D460" s="2" t="str" cm="1">
        <f t="array" ref="D460">_xlfn.XLOOKUP(Total[[#This Row],[Tecnología]]&amp;Total[[#This Row],[Metodo]],TbTipos[Tecnología]&amp;TbTipos[Metodo],TbTipos[Tipo])</f>
        <v>CUDA con graph</v>
      </c>
      <c r="E460" s="2" t="str" cm="1">
        <f t="array" ref="E460">_xlfn.XLOOKUP(Total[[#This Row],[Tecnología]]&amp;Total[[#This Row],[Problema]],TbNombres[Tecnología]&amp;TbNombres[Problema],TbNombres[Nombre])</f>
        <v>Simple Advdiff</v>
      </c>
      <c r="F460" s="2">
        <v>6</v>
      </c>
      <c r="G460" s="2">
        <v>1</v>
      </c>
      <c r="H460" s="2">
        <v>256</v>
      </c>
      <c r="I460" s="2">
        <v>100</v>
      </c>
      <c r="J460" s="2">
        <v>100</v>
      </c>
      <c r="K460" s="2">
        <v>10.407299999999999</v>
      </c>
    </row>
    <row r="461" spans="2:11" x14ac:dyDescent="0.2">
      <c r="B461" s="5" t="str">
        <f>_xlfn.XLOOKUP(Total[[#This Row],[Metodo]],TbSolver[Metodo],TbSolver[Solver])</f>
        <v>AdamsBashfordMoulton</v>
      </c>
      <c r="C461" s="5" t="str">
        <f>_xlfn.XLOOKUP(Total[[#This Row],[Hebras]],TbTecnologia[Hebras],TbTecnologia[Tecnología])</f>
        <v>CUDA</v>
      </c>
      <c r="D461" s="2" t="str" cm="1">
        <f t="array" ref="D461">_xlfn.XLOOKUP(Total[[#This Row],[Tecnología]]&amp;Total[[#This Row],[Metodo]],TbTipos[Tecnología]&amp;TbTipos[Metodo],TbTipos[Tipo])</f>
        <v>CUDA con graph</v>
      </c>
      <c r="E461" s="2" t="str" cm="1">
        <f t="array" ref="E461">_xlfn.XLOOKUP(Total[[#This Row],[Tecnología]]&amp;Total[[#This Row],[Problema]],TbNombres[Tecnología]&amp;TbNombres[Problema],TbNombres[Nombre])</f>
        <v>Simple Advdiff</v>
      </c>
      <c r="F461" s="2">
        <v>6</v>
      </c>
      <c r="G461" s="2">
        <v>2</v>
      </c>
      <c r="H461" s="2">
        <v>256</v>
      </c>
      <c r="I461" s="2">
        <v>100</v>
      </c>
      <c r="J461" s="2">
        <v>100</v>
      </c>
      <c r="K461" s="2">
        <v>10.632999999999999</v>
      </c>
    </row>
    <row r="462" spans="2:11" x14ac:dyDescent="0.2">
      <c r="B462" s="5" t="str">
        <f>_xlfn.XLOOKUP(Total[[#This Row],[Metodo]],TbSolver[Metodo],TbSolver[Solver])</f>
        <v>AdamsBashfordMoulton</v>
      </c>
      <c r="C462" s="5" t="str">
        <f>_xlfn.XLOOKUP(Total[[#This Row],[Hebras]],TbTecnologia[Hebras],TbTecnologia[Tecnología])</f>
        <v>CUDA</v>
      </c>
      <c r="D462" s="2" t="str" cm="1">
        <f t="array" ref="D462">_xlfn.XLOOKUP(Total[[#This Row],[Tecnología]]&amp;Total[[#This Row],[Metodo]],TbTipos[Tecnología]&amp;TbTipos[Metodo],TbTipos[Tipo])</f>
        <v>CUDA sin graph</v>
      </c>
      <c r="E462" s="2" t="str" cm="1">
        <f t="array" ref="E462">_xlfn.XLOOKUP(Total[[#This Row],[Tecnología]]&amp;Total[[#This Row],[Problema]],TbNombres[Tecnología]&amp;TbNombres[Problema],TbNombres[Nombre])</f>
        <v>Simple Advdiff</v>
      </c>
      <c r="F462" s="2">
        <v>5</v>
      </c>
      <c r="G462" s="2">
        <v>1</v>
      </c>
      <c r="H462" s="2">
        <v>256</v>
      </c>
      <c r="I462" s="2">
        <v>100</v>
      </c>
      <c r="J462" s="2">
        <v>100</v>
      </c>
      <c r="K462" s="2">
        <v>11.0381</v>
      </c>
    </row>
    <row r="463" spans="2:11" x14ac:dyDescent="0.2">
      <c r="B463" s="5" t="str">
        <f>_xlfn.XLOOKUP(Total[[#This Row],[Metodo]],TbSolver[Metodo],TbSolver[Solver])</f>
        <v>AdamsBashfordMoulton</v>
      </c>
      <c r="C463" s="5" t="str">
        <f>_xlfn.XLOOKUP(Total[[#This Row],[Hebras]],TbTecnologia[Hebras],TbTecnologia[Tecnología])</f>
        <v>CUDA</v>
      </c>
      <c r="D463" s="2" t="str" cm="1">
        <f t="array" ref="D463">_xlfn.XLOOKUP(Total[[#This Row],[Tecnología]]&amp;Total[[#This Row],[Metodo]],TbTipos[Tecnología]&amp;TbTipos[Metodo],TbTipos[Tipo])</f>
        <v>CUDA sin graph</v>
      </c>
      <c r="E463" s="2" t="str" cm="1">
        <f t="array" ref="E463">_xlfn.XLOOKUP(Total[[#This Row],[Tecnología]]&amp;Total[[#This Row],[Problema]],TbNombres[Tecnología]&amp;TbNombres[Problema],TbNombres[Nombre])</f>
        <v>Simple Advdiff</v>
      </c>
      <c r="F463" s="2">
        <v>5</v>
      </c>
      <c r="G463" s="2">
        <v>2</v>
      </c>
      <c r="H463" s="2">
        <v>256</v>
      </c>
      <c r="I463" s="2">
        <v>100</v>
      </c>
      <c r="J463" s="2">
        <v>100</v>
      </c>
      <c r="K463" s="2">
        <v>11.2033</v>
      </c>
    </row>
    <row r="464" spans="2:11" x14ac:dyDescent="0.2">
      <c r="B464" s="5" t="str">
        <f>_xlfn.XLOOKUP(Total[[#This Row],[Metodo]],TbSolver[Metodo],TbSolver[Solver])</f>
        <v>AdamsBashfordMoulton</v>
      </c>
      <c r="C464" s="5" t="str">
        <f>_xlfn.XLOOKUP(Total[[#This Row],[Hebras]],TbTecnologia[Hebras],TbTecnologia[Tecnología])</f>
        <v>CUDA</v>
      </c>
      <c r="D464" s="2" t="str" cm="1">
        <f t="array" ref="D464">_xlfn.XLOOKUP(Total[[#This Row],[Tecnología]]&amp;Total[[#This Row],[Metodo]],TbTipos[Tecnología]&amp;TbTipos[Metodo],TbTipos[Tipo])</f>
        <v>CUDA con graph</v>
      </c>
      <c r="E464" s="2" t="str" cm="1">
        <f t="array" ref="E464">_xlfn.XLOOKUP(Total[[#This Row],[Tecnología]]&amp;Total[[#This Row],[Problema]],TbNombres[Tecnología]&amp;TbNombres[Problema],TbNombres[Nombre])</f>
        <v>Simple Advdiff</v>
      </c>
      <c r="F464" s="2">
        <v>6</v>
      </c>
      <c r="G464" s="2">
        <v>1</v>
      </c>
      <c r="H464" s="2">
        <v>256</v>
      </c>
      <c r="I464" s="2">
        <v>200</v>
      </c>
      <c r="J464" s="2">
        <v>200</v>
      </c>
      <c r="K464" s="2">
        <v>11.706899999999999</v>
      </c>
    </row>
    <row r="465" spans="2:11" x14ac:dyDescent="0.2">
      <c r="B465" s="5" t="str">
        <f>_xlfn.XLOOKUP(Total[[#This Row],[Metodo]],TbSolver[Metodo],TbSolver[Solver])</f>
        <v>AdamsBashfordMoulton</v>
      </c>
      <c r="C465" s="5" t="str">
        <f>_xlfn.XLOOKUP(Total[[#This Row],[Hebras]],TbTecnologia[Hebras],TbTecnologia[Tecnología])</f>
        <v>CUDA</v>
      </c>
      <c r="D465" s="2" t="str" cm="1">
        <f t="array" ref="D465">_xlfn.XLOOKUP(Total[[#This Row],[Tecnología]]&amp;Total[[#This Row],[Metodo]],TbTipos[Tecnología]&amp;TbTipos[Metodo],TbTipos[Tipo])</f>
        <v>CUDA con graph</v>
      </c>
      <c r="E465" s="2" t="str" cm="1">
        <f t="array" ref="E465">_xlfn.XLOOKUP(Total[[#This Row],[Tecnología]]&amp;Total[[#This Row],[Problema]],TbNombres[Tecnología]&amp;TbNombres[Problema],TbNombres[Nombre])</f>
        <v>Simple Advdiff</v>
      </c>
      <c r="F465" s="2">
        <v>6</v>
      </c>
      <c r="G465" s="2">
        <v>2</v>
      </c>
      <c r="H465" s="2">
        <v>256</v>
      </c>
      <c r="I465" s="2">
        <v>200</v>
      </c>
      <c r="J465" s="2">
        <v>200</v>
      </c>
      <c r="K465" s="2">
        <v>11.7073</v>
      </c>
    </row>
    <row r="466" spans="2:11" x14ac:dyDescent="0.2">
      <c r="B466" s="5" t="str">
        <f>_xlfn.XLOOKUP(Total[[#This Row],[Metodo]],TbSolver[Metodo],TbSolver[Solver])</f>
        <v>AdamsBashfordMoulton</v>
      </c>
      <c r="C466" s="5" t="str">
        <f>_xlfn.XLOOKUP(Total[[#This Row],[Hebras]],TbTecnologia[Hebras],TbTecnologia[Tecnología])</f>
        <v>CUDA</v>
      </c>
      <c r="D466" s="2" t="str" cm="1">
        <f t="array" ref="D466">_xlfn.XLOOKUP(Total[[#This Row],[Tecnología]]&amp;Total[[#This Row],[Metodo]],TbTipos[Tecnología]&amp;TbTipos[Metodo],TbTipos[Tipo])</f>
        <v>CUDA con graph</v>
      </c>
      <c r="E466" s="2" t="str" cm="1">
        <f t="array" ref="E466">_xlfn.XLOOKUP(Total[[#This Row],[Tecnología]]&amp;Total[[#This Row],[Problema]],TbNombres[Tecnología]&amp;TbNombres[Problema],TbNombres[Nombre])</f>
        <v>Simple Advdiff</v>
      </c>
      <c r="F466" s="2">
        <v>6</v>
      </c>
      <c r="G466" s="2">
        <v>1</v>
      </c>
      <c r="H466" s="2">
        <v>256</v>
      </c>
      <c r="I466" s="2">
        <v>500</v>
      </c>
      <c r="J466" s="2">
        <v>500</v>
      </c>
      <c r="K466" s="2">
        <v>12.135899999999999</v>
      </c>
    </row>
    <row r="467" spans="2:11" x14ac:dyDescent="0.2">
      <c r="B467" s="5" t="str">
        <f>_xlfn.XLOOKUP(Total[[#This Row],[Metodo]],TbSolver[Metodo],TbSolver[Solver])</f>
        <v>AdamsBashfordMoulton</v>
      </c>
      <c r="C467" s="5" t="str">
        <f>_xlfn.XLOOKUP(Total[[#This Row],[Hebras]],TbTecnologia[Hebras],TbTecnologia[Tecnología])</f>
        <v>CUDA</v>
      </c>
      <c r="D467" s="2" t="str" cm="1">
        <f t="array" ref="D467">_xlfn.XLOOKUP(Total[[#This Row],[Tecnología]]&amp;Total[[#This Row],[Metodo]],TbTipos[Tecnología]&amp;TbTipos[Metodo],TbTipos[Tipo])</f>
        <v>CUDA con graph</v>
      </c>
      <c r="E467" s="2" t="str" cm="1">
        <f t="array" ref="E467">_xlfn.XLOOKUP(Total[[#This Row],[Tecnología]]&amp;Total[[#This Row],[Problema]],TbNombres[Tecnología]&amp;TbNombres[Problema],TbNombres[Nombre])</f>
        <v>Simple Advdiff</v>
      </c>
      <c r="F467" s="2">
        <v>6</v>
      </c>
      <c r="G467" s="2">
        <v>2</v>
      </c>
      <c r="H467" s="2">
        <v>256</v>
      </c>
      <c r="I467" s="2">
        <v>500</v>
      </c>
      <c r="J467" s="2">
        <v>500</v>
      </c>
      <c r="K467" s="2">
        <v>12.163600000000001</v>
      </c>
    </row>
    <row r="468" spans="2:11" x14ac:dyDescent="0.2">
      <c r="B468" s="5" t="str">
        <f>_xlfn.XLOOKUP(Total[[#This Row],[Metodo]],TbSolver[Metodo],TbSolver[Solver])</f>
        <v>AdamsBashfordMoulton</v>
      </c>
      <c r="C468" s="5" t="str">
        <f>_xlfn.XLOOKUP(Total[[#This Row],[Hebras]],TbTecnologia[Hebras],TbTecnologia[Tecnología])</f>
        <v>CUDA</v>
      </c>
      <c r="D468" s="2" t="str" cm="1">
        <f t="array" ref="D468">_xlfn.XLOOKUP(Total[[#This Row],[Tecnología]]&amp;Total[[#This Row],[Metodo]],TbTipos[Tecnología]&amp;TbTipos[Metodo],TbTipos[Tipo])</f>
        <v>CUDA con graph</v>
      </c>
      <c r="E468" s="2" t="str" cm="1">
        <f t="array" ref="E468">_xlfn.XLOOKUP(Total[[#This Row],[Tecnología]]&amp;Total[[#This Row],[Problema]],TbNombres[Tecnología]&amp;TbNombres[Problema],TbNombres[Nombre])</f>
        <v>Simple Advdiff</v>
      </c>
      <c r="F468" s="2">
        <v>6</v>
      </c>
      <c r="G468" s="2">
        <v>1</v>
      </c>
      <c r="H468" s="2">
        <v>256</v>
      </c>
      <c r="I468" s="2">
        <v>1000</v>
      </c>
      <c r="J468" s="2">
        <v>1000</v>
      </c>
      <c r="K468" s="2">
        <v>12.1858</v>
      </c>
    </row>
    <row r="469" spans="2:11" x14ac:dyDescent="0.2">
      <c r="B469" s="5" t="str">
        <f>_xlfn.XLOOKUP(Total[[#This Row],[Metodo]],TbSolver[Metodo],TbSolver[Solver])</f>
        <v>AdamsBashfordMoulton</v>
      </c>
      <c r="C469" s="5" t="str">
        <f>_xlfn.XLOOKUP(Total[[#This Row],[Hebras]],TbTecnologia[Hebras],TbTecnologia[Tecnología])</f>
        <v>CUDA</v>
      </c>
      <c r="D469" s="2" t="str" cm="1">
        <f t="array" ref="D469">_xlfn.XLOOKUP(Total[[#This Row],[Tecnología]]&amp;Total[[#This Row],[Metodo]],TbTipos[Tecnología]&amp;TbTipos[Metodo],TbTipos[Tipo])</f>
        <v>CUDA con graph</v>
      </c>
      <c r="E469" s="2" t="str" cm="1">
        <f t="array" ref="E469">_xlfn.XLOOKUP(Total[[#This Row],[Tecnología]]&amp;Total[[#This Row],[Problema]],TbNombres[Tecnología]&amp;TbNombres[Problema],TbNombres[Nombre])</f>
        <v>Simple Advdiff</v>
      </c>
      <c r="F469" s="2">
        <v>6</v>
      </c>
      <c r="G469" s="2">
        <v>2</v>
      </c>
      <c r="H469" s="2">
        <v>256</v>
      </c>
      <c r="I469" s="2">
        <v>1000</v>
      </c>
      <c r="J469" s="2">
        <v>1000</v>
      </c>
      <c r="K469" s="2">
        <v>12.204800000000001</v>
      </c>
    </row>
    <row r="470" spans="2:11" x14ac:dyDescent="0.2">
      <c r="B470" s="5" t="str">
        <f>_xlfn.XLOOKUP(Total[[#This Row],[Metodo]],TbSolver[Metodo],TbSolver[Solver])</f>
        <v>AdamsBashfordMoulton</v>
      </c>
      <c r="C470" s="5" t="str">
        <f>_xlfn.XLOOKUP(Total[[#This Row],[Hebras]],TbTecnologia[Hebras],TbTecnologia[Tecnología])</f>
        <v>CUDA</v>
      </c>
      <c r="D470" s="2" t="str" cm="1">
        <f t="array" ref="D470">_xlfn.XLOOKUP(Total[[#This Row],[Tecnología]]&amp;Total[[#This Row],[Metodo]],TbTipos[Tecnología]&amp;TbTipos[Metodo],TbTipos[Tipo])</f>
        <v>CUDA con graph</v>
      </c>
      <c r="E470" s="2" t="str" cm="1">
        <f t="array" ref="E470">_xlfn.XLOOKUP(Total[[#This Row],[Tecnología]]&amp;Total[[#This Row],[Problema]],TbNombres[Tecnología]&amp;TbNombres[Problema],TbNombres[Nombre])</f>
        <v>Simple Advdiff</v>
      </c>
      <c r="F470" s="2">
        <v>6</v>
      </c>
      <c r="G470" s="2">
        <v>1</v>
      </c>
      <c r="H470" s="2">
        <v>256</v>
      </c>
      <c r="I470" s="2">
        <v>2000</v>
      </c>
      <c r="J470" s="2">
        <v>2000</v>
      </c>
      <c r="K470" s="2">
        <v>12.272500000000001</v>
      </c>
    </row>
    <row r="471" spans="2:11" x14ac:dyDescent="0.2">
      <c r="B471" s="5" t="str">
        <f>_xlfn.XLOOKUP(Total[[#This Row],[Metodo]],TbSolver[Metodo],TbSolver[Solver])</f>
        <v>AdamsBashfordMoulton</v>
      </c>
      <c r="C471" s="5" t="str">
        <f>_xlfn.XLOOKUP(Total[[#This Row],[Hebras]],TbTecnologia[Hebras],TbTecnologia[Tecnología])</f>
        <v>CUDA</v>
      </c>
      <c r="D471" s="2" t="str" cm="1">
        <f t="array" ref="D471">_xlfn.XLOOKUP(Total[[#This Row],[Tecnología]]&amp;Total[[#This Row],[Metodo]],TbTipos[Tecnología]&amp;TbTipos[Metodo],TbTipos[Tipo])</f>
        <v>CUDA con graph</v>
      </c>
      <c r="E471" s="2" t="str" cm="1">
        <f t="array" ref="E471">_xlfn.XLOOKUP(Total[[#This Row],[Tecnología]]&amp;Total[[#This Row],[Problema]],TbNombres[Tecnología]&amp;TbNombres[Problema],TbNombres[Nombre])</f>
        <v>Simple Advdiff</v>
      </c>
      <c r="F471" s="2">
        <v>6</v>
      </c>
      <c r="G471" s="2">
        <v>2</v>
      </c>
      <c r="H471" s="2">
        <v>256</v>
      </c>
      <c r="I471" s="2">
        <v>2000</v>
      </c>
      <c r="J471" s="2">
        <v>2000</v>
      </c>
      <c r="K471" s="2">
        <v>12.2935</v>
      </c>
    </row>
    <row r="472" spans="2:11" x14ac:dyDescent="0.2">
      <c r="B472" s="5" t="str">
        <f>_xlfn.XLOOKUP(Total[[#This Row],[Metodo]],TbSolver[Metodo],TbSolver[Solver])</f>
        <v>AdamsBashfordMoulton</v>
      </c>
      <c r="C472" s="5" t="str">
        <f>_xlfn.XLOOKUP(Total[[#This Row],[Hebras]],TbTecnologia[Hebras],TbTecnologia[Tecnología])</f>
        <v>CUDA</v>
      </c>
      <c r="D472" s="2" t="str" cm="1">
        <f t="array" ref="D472">_xlfn.XLOOKUP(Total[[#This Row],[Tecnología]]&amp;Total[[#This Row],[Metodo]],TbTipos[Tecnología]&amp;TbTipos[Metodo],TbTipos[Tipo])</f>
        <v>CUDA con graph</v>
      </c>
      <c r="E472" s="2" t="str" cm="1">
        <f t="array" ref="E472">_xlfn.XLOOKUP(Total[[#This Row],[Tecnología]]&amp;Total[[#This Row],[Problema]],TbNombres[Tecnología]&amp;TbNombres[Problema],TbNombres[Nombre])</f>
        <v>Simple Advdiff</v>
      </c>
      <c r="F472" s="2">
        <v>6</v>
      </c>
      <c r="G472" s="2">
        <v>1</v>
      </c>
      <c r="H472" s="2">
        <v>256</v>
      </c>
      <c r="I472" s="2">
        <v>5000</v>
      </c>
      <c r="J472" s="2">
        <v>5000</v>
      </c>
      <c r="K472" s="2">
        <v>12.4802</v>
      </c>
    </row>
    <row r="473" spans="2:11" x14ac:dyDescent="0.2">
      <c r="B473" s="5" t="str">
        <f>_xlfn.XLOOKUP(Total[[#This Row],[Metodo]],TbSolver[Metodo],TbSolver[Solver])</f>
        <v>AdamsBashfordMoulton</v>
      </c>
      <c r="C473" s="5" t="str">
        <f>_xlfn.XLOOKUP(Total[[#This Row],[Hebras]],TbTecnologia[Hebras],TbTecnologia[Tecnología])</f>
        <v>CUDA</v>
      </c>
      <c r="D473" s="2" t="str" cm="1">
        <f t="array" ref="D473">_xlfn.XLOOKUP(Total[[#This Row],[Tecnología]]&amp;Total[[#This Row],[Metodo]],TbTipos[Tecnología]&amp;TbTipos[Metodo],TbTipos[Tipo])</f>
        <v>CUDA con graph</v>
      </c>
      <c r="E473" s="2" t="str" cm="1">
        <f t="array" ref="E473">_xlfn.XLOOKUP(Total[[#This Row],[Tecnología]]&amp;Total[[#This Row],[Problema]],TbNombres[Tecnología]&amp;TbNombres[Problema],TbNombres[Nombre])</f>
        <v>Simple Advdiff</v>
      </c>
      <c r="F473" s="2">
        <v>6</v>
      </c>
      <c r="G473" s="2">
        <v>2</v>
      </c>
      <c r="H473" s="2">
        <v>256</v>
      </c>
      <c r="I473" s="2">
        <v>5000</v>
      </c>
      <c r="J473" s="2">
        <v>5000</v>
      </c>
      <c r="K473" s="2">
        <v>12.497</v>
      </c>
    </row>
    <row r="474" spans="2:11" x14ac:dyDescent="0.2">
      <c r="B474" s="5" t="str">
        <f>_xlfn.XLOOKUP(Total[[#This Row],[Metodo]],TbSolver[Metodo],TbSolver[Solver])</f>
        <v>AdamsBashfordMoulton</v>
      </c>
      <c r="C474" s="5" t="str">
        <f>_xlfn.XLOOKUP(Total[[#This Row],[Hebras]],TbTecnologia[Hebras],TbTecnologia[Tecnología])</f>
        <v>CUDA</v>
      </c>
      <c r="D474" s="2" t="str" cm="1">
        <f t="array" ref="D474">_xlfn.XLOOKUP(Total[[#This Row],[Tecnología]]&amp;Total[[#This Row],[Metodo]],TbTipos[Tecnología]&amp;TbTipos[Metodo],TbTipos[Tipo])</f>
        <v>CUDA sin graph</v>
      </c>
      <c r="E474" s="2" t="str" cm="1">
        <f t="array" ref="E474">_xlfn.XLOOKUP(Total[[#This Row],[Tecnología]]&amp;Total[[#This Row],[Problema]],TbNombres[Tecnología]&amp;TbNombres[Problema],TbNombres[Nombre])</f>
        <v>Simple Advdiff</v>
      </c>
      <c r="F474" s="2">
        <v>5</v>
      </c>
      <c r="G474" s="2">
        <v>1</v>
      </c>
      <c r="H474" s="2">
        <v>256</v>
      </c>
      <c r="I474" s="2">
        <v>500</v>
      </c>
      <c r="J474" s="2">
        <v>500</v>
      </c>
      <c r="K474" s="2">
        <v>12.7247</v>
      </c>
    </row>
    <row r="475" spans="2:11" x14ac:dyDescent="0.2">
      <c r="B475" s="5" t="str">
        <f>_xlfn.XLOOKUP(Total[[#This Row],[Metodo]],TbSolver[Metodo],TbSolver[Solver])</f>
        <v>AdamsBashfordMoulton</v>
      </c>
      <c r="C475" s="5" t="str">
        <f>_xlfn.XLOOKUP(Total[[#This Row],[Hebras]],TbTecnologia[Hebras],TbTecnologia[Tecnología])</f>
        <v>CUDA</v>
      </c>
      <c r="D475" s="2" t="str" cm="1">
        <f t="array" ref="D475">_xlfn.XLOOKUP(Total[[#This Row],[Tecnología]]&amp;Total[[#This Row],[Metodo]],TbTipos[Tecnología]&amp;TbTipos[Metodo],TbTipos[Tipo])</f>
        <v>CUDA sin graph</v>
      </c>
      <c r="E475" s="2" t="str" cm="1">
        <f t="array" ref="E475">_xlfn.XLOOKUP(Total[[#This Row],[Tecnología]]&amp;Total[[#This Row],[Problema]],TbNombres[Tecnología]&amp;TbNombres[Problema],TbNombres[Nombre])</f>
        <v>Simple Advdiff</v>
      </c>
      <c r="F475" s="2">
        <v>5</v>
      </c>
      <c r="G475" s="2">
        <v>2</v>
      </c>
      <c r="H475" s="2">
        <v>256</v>
      </c>
      <c r="I475" s="2">
        <v>500</v>
      </c>
      <c r="J475" s="2">
        <v>500</v>
      </c>
      <c r="K475" s="2">
        <v>12.746700000000001</v>
      </c>
    </row>
    <row r="476" spans="2:11" x14ac:dyDescent="0.2">
      <c r="B476" s="5" t="str">
        <f>_xlfn.XLOOKUP(Total[[#This Row],[Metodo]],TbSolver[Metodo],TbSolver[Solver])</f>
        <v>AdamsBashfordMoulton</v>
      </c>
      <c r="C476" s="5" t="str">
        <f>_xlfn.XLOOKUP(Total[[#This Row],[Hebras]],TbTecnologia[Hebras],TbTecnologia[Tecnología])</f>
        <v>CUDA</v>
      </c>
      <c r="D476" s="2" t="str" cm="1">
        <f t="array" ref="D476">_xlfn.XLOOKUP(Total[[#This Row],[Tecnología]]&amp;Total[[#This Row],[Metodo]],TbTipos[Tecnología]&amp;TbTipos[Metodo],TbTipos[Tipo])</f>
        <v>CUDA sin graph</v>
      </c>
      <c r="E476" s="2" t="str" cm="1">
        <f t="array" ref="E476">_xlfn.XLOOKUP(Total[[#This Row],[Tecnología]]&amp;Total[[#This Row],[Problema]],TbNombres[Tecnología]&amp;TbNombres[Problema],TbNombres[Nombre])</f>
        <v>Simple Advdiff</v>
      </c>
      <c r="F476" s="2">
        <v>5</v>
      </c>
      <c r="G476" s="2">
        <v>2</v>
      </c>
      <c r="H476" s="2">
        <v>256</v>
      </c>
      <c r="I476" s="2">
        <v>1000</v>
      </c>
      <c r="J476" s="2">
        <v>1000</v>
      </c>
      <c r="K476" s="2">
        <v>12.77</v>
      </c>
    </row>
    <row r="477" spans="2:11" x14ac:dyDescent="0.2">
      <c r="B477" s="5" t="str">
        <f>_xlfn.XLOOKUP(Total[[#This Row],[Metodo]],TbSolver[Metodo],TbSolver[Solver])</f>
        <v>AdamsBashfordMoulton</v>
      </c>
      <c r="C477" s="5" t="str">
        <f>_xlfn.XLOOKUP(Total[[#This Row],[Hebras]],TbTecnologia[Hebras],TbTecnologia[Tecnología])</f>
        <v>CUDA</v>
      </c>
      <c r="D477" s="2" t="str" cm="1">
        <f t="array" ref="D477">_xlfn.XLOOKUP(Total[[#This Row],[Tecnología]]&amp;Total[[#This Row],[Metodo]],TbTipos[Tecnología]&amp;TbTipos[Metodo],TbTipos[Tipo])</f>
        <v>CUDA sin graph</v>
      </c>
      <c r="E477" s="2" t="str" cm="1">
        <f t="array" ref="E477">_xlfn.XLOOKUP(Total[[#This Row],[Tecnología]]&amp;Total[[#This Row],[Problema]],TbNombres[Tecnología]&amp;TbNombres[Problema],TbNombres[Nombre])</f>
        <v>Simple Advdiff</v>
      </c>
      <c r="F477" s="2">
        <v>5</v>
      </c>
      <c r="G477" s="2">
        <v>1</v>
      </c>
      <c r="H477" s="2">
        <v>256</v>
      </c>
      <c r="I477" s="2">
        <v>1000</v>
      </c>
      <c r="J477" s="2">
        <v>1000</v>
      </c>
      <c r="K477" s="2">
        <v>12.7789</v>
      </c>
    </row>
    <row r="478" spans="2:11" x14ac:dyDescent="0.2">
      <c r="B478" s="5" t="str">
        <f>_xlfn.XLOOKUP(Total[[#This Row],[Metodo]],TbSolver[Metodo],TbSolver[Solver])</f>
        <v>AdamsBashfordMoulton</v>
      </c>
      <c r="C478" s="5" t="str">
        <f>_xlfn.XLOOKUP(Total[[#This Row],[Hebras]],TbTecnologia[Hebras],TbTecnologia[Tecnología])</f>
        <v>CUDA</v>
      </c>
      <c r="D478" s="2" t="str" cm="1">
        <f t="array" ref="D478">_xlfn.XLOOKUP(Total[[#This Row],[Tecnología]]&amp;Total[[#This Row],[Metodo]],TbTipos[Tecnología]&amp;TbTipos[Metodo],TbTipos[Tipo])</f>
        <v>CUDA sin graph</v>
      </c>
      <c r="E478" s="2" t="str" cm="1">
        <f t="array" ref="E478">_xlfn.XLOOKUP(Total[[#This Row],[Tecnología]]&amp;Total[[#This Row],[Problema]],TbNombres[Tecnología]&amp;TbNombres[Problema],TbNombres[Nombre])</f>
        <v>Simple Advdiff</v>
      </c>
      <c r="F478" s="2">
        <v>5</v>
      </c>
      <c r="G478" s="2">
        <v>2</v>
      </c>
      <c r="H478" s="2">
        <v>256</v>
      </c>
      <c r="I478" s="2">
        <v>2000</v>
      </c>
      <c r="J478" s="2">
        <v>2000</v>
      </c>
      <c r="K478" s="2">
        <v>12.875999999999999</v>
      </c>
    </row>
    <row r="479" spans="2:11" x14ac:dyDescent="0.2">
      <c r="B479" s="5" t="str">
        <f>_xlfn.XLOOKUP(Total[[#This Row],[Metodo]],TbSolver[Metodo],TbSolver[Solver])</f>
        <v>AdamsBashfordMoulton</v>
      </c>
      <c r="C479" s="5" t="str">
        <f>_xlfn.XLOOKUP(Total[[#This Row],[Hebras]],TbTecnologia[Hebras],TbTecnologia[Tecnología])</f>
        <v>CUDA</v>
      </c>
      <c r="D479" s="2" t="str" cm="1">
        <f t="array" ref="D479">_xlfn.XLOOKUP(Total[[#This Row],[Tecnología]]&amp;Total[[#This Row],[Metodo]],TbTipos[Tecnología]&amp;TbTipos[Metodo],TbTipos[Tipo])</f>
        <v>CUDA sin graph</v>
      </c>
      <c r="E479" s="2" t="str" cm="1">
        <f t="array" ref="E479">_xlfn.XLOOKUP(Total[[#This Row],[Tecnología]]&amp;Total[[#This Row],[Problema]],TbNombres[Tecnología]&amp;TbNombres[Problema],TbNombres[Nombre])</f>
        <v>Simple Advdiff</v>
      </c>
      <c r="F479" s="2">
        <v>5</v>
      </c>
      <c r="G479" s="2">
        <v>1</v>
      </c>
      <c r="H479" s="2">
        <v>256</v>
      </c>
      <c r="I479" s="2">
        <v>2000</v>
      </c>
      <c r="J479" s="2">
        <v>2000</v>
      </c>
      <c r="K479" s="2">
        <v>12.920500000000001</v>
      </c>
    </row>
    <row r="480" spans="2:11" x14ac:dyDescent="0.2">
      <c r="B480" s="5" t="str">
        <f>_xlfn.XLOOKUP(Total[[#This Row],[Metodo]],TbSolver[Metodo],TbSolver[Solver])</f>
        <v>AdamsBashfordMoulton</v>
      </c>
      <c r="C480" s="5" t="str">
        <f>_xlfn.XLOOKUP(Total[[#This Row],[Hebras]],TbTecnologia[Hebras],TbTecnologia[Tecnología])</f>
        <v>CUDA</v>
      </c>
      <c r="D480" s="2" t="str" cm="1">
        <f t="array" ref="D480">_xlfn.XLOOKUP(Total[[#This Row],[Tecnología]]&amp;Total[[#This Row],[Metodo]],TbTipos[Tecnología]&amp;TbTipos[Metodo],TbTipos[Tipo])</f>
        <v>CUDA sin graph</v>
      </c>
      <c r="E480" s="2" t="str" cm="1">
        <f t="array" ref="E480">_xlfn.XLOOKUP(Total[[#This Row],[Tecnología]]&amp;Total[[#This Row],[Problema]],TbNombres[Tecnología]&amp;TbNombres[Problema],TbNombres[Nombre])</f>
        <v>Simple Advdiff</v>
      </c>
      <c r="F480" s="2">
        <v>5</v>
      </c>
      <c r="G480" s="2">
        <v>1</v>
      </c>
      <c r="H480" s="2">
        <v>256</v>
      </c>
      <c r="I480" s="2">
        <v>5000</v>
      </c>
      <c r="J480" s="2">
        <v>5000</v>
      </c>
      <c r="K480" s="2">
        <v>13.1076</v>
      </c>
    </row>
    <row r="481" spans="2:11" x14ac:dyDescent="0.2">
      <c r="B481" s="5" t="str">
        <f>_xlfn.XLOOKUP(Total[[#This Row],[Metodo]],TbSolver[Metodo],TbSolver[Solver])</f>
        <v>AdamsBashfordMoulton</v>
      </c>
      <c r="C481" s="5" t="str">
        <f>_xlfn.XLOOKUP(Total[[#This Row],[Hebras]],TbTecnologia[Hebras],TbTecnologia[Tecnología])</f>
        <v>CUDA</v>
      </c>
      <c r="D481" s="2" t="str" cm="1">
        <f t="array" ref="D481">_xlfn.XLOOKUP(Total[[#This Row],[Tecnología]]&amp;Total[[#This Row],[Metodo]],TbTipos[Tecnología]&amp;TbTipos[Metodo],TbTipos[Tipo])</f>
        <v>CUDA sin graph</v>
      </c>
      <c r="E481" s="2" t="str" cm="1">
        <f t="array" ref="E481">_xlfn.XLOOKUP(Total[[#This Row],[Tecnología]]&amp;Total[[#This Row],[Problema]],TbNombres[Tecnología]&amp;TbNombres[Problema],TbNombres[Nombre])</f>
        <v>Simple Advdiff</v>
      </c>
      <c r="F481" s="2">
        <v>5</v>
      </c>
      <c r="G481" s="2">
        <v>2</v>
      </c>
      <c r="H481" s="2">
        <v>256</v>
      </c>
      <c r="I481" s="2">
        <v>5000</v>
      </c>
      <c r="J481" s="2">
        <v>5000</v>
      </c>
      <c r="K481" s="2">
        <v>13.1449</v>
      </c>
    </row>
    <row r="482" spans="2:11" x14ac:dyDescent="0.2">
      <c r="B482" s="5" t="str">
        <f>_xlfn.XLOOKUP(Total[[#This Row],[Metodo]],TbSolver[Metodo],TbSolver[Solver])</f>
        <v>AdamsBashfordMoulton</v>
      </c>
      <c r="C482" s="5" t="str">
        <f>_xlfn.XLOOKUP(Total[[#This Row],[Hebras]],TbTecnologia[Hebras],TbTecnologia[Tecnología])</f>
        <v>CUDA</v>
      </c>
      <c r="D482" s="2" t="str" cm="1">
        <f t="array" ref="D482">_xlfn.XLOOKUP(Total[[#This Row],[Tecnología]]&amp;Total[[#This Row],[Metodo]],TbTipos[Tecnología]&amp;TbTipos[Metodo],TbTipos[Tipo])</f>
        <v>CUDA sin graph</v>
      </c>
      <c r="E482" s="2" t="str" cm="1">
        <f t="array" ref="E482">_xlfn.XLOOKUP(Total[[#This Row],[Tecnología]]&amp;Total[[#This Row],[Problema]],TbNombres[Tecnología]&amp;TbNombres[Problema],TbNombres[Nombre])</f>
        <v>Simple Advdiff</v>
      </c>
      <c r="F482" s="2">
        <v>5</v>
      </c>
      <c r="G482" s="2">
        <v>1</v>
      </c>
      <c r="H482" s="2">
        <v>256</v>
      </c>
      <c r="I482" s="2">
        <v>10000</v>
      </c>
      <c r="J482" s="2">
        <v>10000</v>
      </c>
      <c r="K482" s="2">
        <v>13.3089</v>
      </c>
    </row>
    <row r="483" spans="2:11" x14ac:dyDescent="0.2">
      <c r="B483" s="5" t="str">
        <f>_xlfn.XLOOKUP(Total[[#This Row],[Metodo]],TbSolver[Metodo],TbSolver[Solver])</f>
        <v>AdamsBashfordMoulton</v>
      </c>
      <c r="C483" s="5" t="str">
        <f>_xlfn.XLOOKUP(Total[[#This Row],[Hebras]],TbTecnologia[Hebras],TbTecnologia[Tecnología])</f>
        <v>CUDA</v>
      </c>
      <c r="D483" s="2" t="str" cm="1">
        <f t="array" ref="D483">_xlfn.XLOOKUP(Total[[#This Row],[Tecnología]]&amp;Total[[#This Row],[Metodo]],TbTipos[Tecnología]&amp;TbTipos[Metodo],TbTipos[Tipo])</f>
        <v>CUDA sin graph</v>
      </c>
      <c r="E483" s="2" t="str" cm="1">
        <f t="array" ref="E483">_xlfn.XLOOKUP(Total[[#This Row],[Tecnología]]&amp;Total[[#This Row],[Problema]],TbNombres[Tecnología]&amp;TbNombres[Problema],TbNombres[Nombre])</f>
        <v>Simple Advdiff</v>
      </c>
      <c r="F483" s="2">
        <v>5</v>
      </c>
      <c r="G483" s="2">
        <v>1</v>
      </c>
      <c r="H483" s="2">
        <v>256</v>
      </c>
      <c r="I483" s="2">
        <v>200</v>
      </c>
      <c r="J483" s="2">
        <v>200</v>
      </c>
      <c r="K483" s="2">
        <v>14.282400000000001</v>
      </c>
    </row>
    <row r="484" spans="2:11" x14ac:dyDescent="0.2">
      <c r="B484" s="5" t="str">
        <f>_xlfn.XLOOKUP(Total[[#This Row],[Metodo]],TbSolver[Metodo],TbSolver[Solver])</f>
        <v>AdamsBashfordMoulton</v>
      </c>
      <c r="C484" s="5" t="str">
        <f>_xlfn.XLOOKUP(Total[[#This Row],[Hebras]],TbTecnologia[Hebras],TbTecnologia[Tecnología])</f>
        <v>CUDA</v>
      </c>
      <c r="D484" s="2" t="str" cm="1">
        <f t="array" ref="D484">_xlfn.XLOOKUP(Total[[#This Row],[Tecnología]]&amp;Total[[#This Row],[Metodo]],TbTipos[Tecnología]&amp;TbTipos[Metodo],TbTipos[Tipo])</f>
        <v>CUDA sin graph</v>
      </c>
      <c r="E484" s="2" t="str" cm="1">
        <f t="array" ref="E484">_xlfn.XLOOKUP(Total[[#This Row],[Tecnología]]&amp;Total[[#This Row],[Problema]],TbNombres[Tecnología]&amp;TbNombres[Problema],TbNombres[Nombre])</f>
        <v>Simple Advdiff</v>
      </c>
      <c r="F484" s="2">
        <v>5</v>
      </c>
      <c r="G484" s="2">
        <v>2</v>
      </c>
      <c r="H484" s="2">
        <v>256</v>
      </c>
      <c r="I484" s="2">
        <v>200</v>
      </c>
      <c r="J484" s="2">
        <v>200</v>
      </c>
      <c r="K484" s="2">
        <v>14.307499999999999</v>
      </c>
    </row>
    <row r="485" spans="2:11" x14ac:dyDescent="0.2">
      <c r="B485" s="5" t="str">
        <f>_xlfn.XLOOKUP(Total[[#This Row],[Metodo]],TbSolver[Metodo],TbSolver[Solver])</f>
        <v>AdamsBashfordMoulton</v>
      </c>
      <c r="C485" s="5" t="str">
        <f>_xlfn.XLOOKUP(Total[[#This Row],[Hebras]],TbTecnologia[Hebras],TbTecnologia[Tecnología])</f>
        <v>CUDA</v>
      </c>
      <c r="D485" s="2" t="str" cm="1">
        <f t="array" ref="D485">_xlfn.XLOOKUP(Total[[#This Row],[Tecnología]]&amp;Total[[#This Row],[Metodo]],TbTipos[Tecnología]&amp;TbTipos[Metodo],TbTipos[Tipo])</f>
        <v>CUDA sin graph</v>
      </c>
      <c r="E485" s="2" t="str" cm="1">
        <f t="array" ref="E485">_xlfn.XLOOKUP(Total[[#This Row],[Tecnología]]&amp;Total[[#This Row],[Problema]],TbNombres[Tecnología]&amp;TbNombres[Problema],TbNombres[Nombre])</f>
        <v>Simple Advdiff</v>
      </c>
      <c r="F485" s="2">
        <v>5</v>
      </c>
      <c r="G485" s="2">
        <v>1</v>
      </c>
      <c r="H485" s="2">
        <v>256</v>
      </c>
      <c r="I485" s="2">
        <v>20000</v>
      </c>
      <c r="J485" s="2">
        <v>20000</v>
      </c>
      <c r="K485" s="2">
        <v>17.305800000000001</v>
      </c>
    </row>
    <row r="486" spans="2:11" x14ac:dyDescent="0.2">
      <c r="B486" s="5" t="str">
        <f>_xlfn.XLOOKUP(Total[[#This Row],[Metodo]],TbSolver[Metodo],TbSolver[Solver])</f>
        <v>AdamsBashfordMoulton</v>
      </c>
      <c r="C486" s="5" t="str">
        <f>_xlfn.XLOOKUP(Total[[#This Row],[Hebras]],TbTecnologia[Hebras],TbTecnologia[Tecnología])</f>
        <v>CUDA</v>
      </c>
      <c r="D486" s="2" t="str" cm="1">
        <f t="array" ref="D486">_xlfn.XLOOKUP(Total[[#This Row],[Tecnología]]&amp;Total[[#This Row],[Metodo]],TbTipos[Tecnología]&amp;TbTipos[Metodo],TbTipos[Tipo])</f>
        <v>CUDA sin graph</v>
      </c>
      <c r="E486" s="2" t="str" cm="1">
        <f t="array" ref="E486">_xlfn.XLOOKUP(Total[[#This Row],[Tecnología]]&amp;Total[[#This Row],[Problema]],TbNombres[Tecnología]&amp;TbNombres[Problema],TbNombres[Nombre])</f>
        <v>Simple Advdiff</v>
      </c>
      <c r="F486" s="2">
        <v>5</v>
      </c>
      <c r="G486" s="2">
        <v>1</v>
      </c>
      <c r="H486" s="2">
        <v>256</v>
      </c>
      <c r="I486" s="2">
        <v>50000</v>
      </c>
      <c r="J486" s="2">
        <v>50000</v>
      </c>
      <c r="K486" s="2">
        <v>22.110499999999998</v>
      </c>
    </row>
    <row r="487" spans="2:11" x14ac:dyDescent="0.2">
      <c r="B487" s="5" t="str">
        <f>_xlfn.XLOOKUP(Total[[#This Row],[Metodo]],TbSolver[Metodo],TbSolver[Solver])</f>
        <v>AdamsBashfordMoulton</v>
      </c>
      <c r="C487" s="5" t="str">
        <f>_xlfn.XLOOKUP(Total[[#This Row],[Hebras]],TbTecnologia[Hebras],TbTecnologia[Tecnología])</f>
        <v>CUDA</v>
      </c>
      <c r="D487" s="2" t="str" cm="1">
        <f t="array" ref="D487">_xlfn.XLOOKUP(Total[[#This Row],[Tecnología]]&amp;Total[[#This Row],[Metodo]],TbTipos[Tecnología]&amp;TbTipos[Metodo],TbTipos[Tipo])</f>
        <v>CUDA sin graph</v>
      </c>
      <c r="E487" s="2" t="str" cm="1">
        <f t="array" ref="E487">_xlfn.XLOOKUP(Total[[#This Row],[Tecnología]]&amp;Total[[#This Row],[Problema]],TbNombres[Tecnología]&amp;TbNombres[Problema],TbNombres[Nombre])</f>
        <v>Simple Advdiff</v>
      </c>
      <c r="F487" s="2">
        <v>5</v>
      </c>
      <c r="G487" s="2">
        <v>1</v>
      </c>
      <c r="H487" s="2">
        <v>256</v>
      </c>
      <c r="I487" s="2">
        <v>100000</v>
      </c>
      <c r="J487" s="2">
        <v>100000</v>
      </c>
      <c r="K487" s="2">
        <v>40.3996</v>
      </c>
    </row>
    <row r="488" spans="2:11" x14ac:dyDescent="0.2">
      <c r="B488" s="5" t="str">
        <f>_xlfn.XLOOKUP(Total[[#This Row],[Metodo]],TbSolver[Metodo],TbSolver[Solver])</f>
        <v>AdamsBashfordMoulton</v>
      </c>
      <c r="C488" s="5" t="str">
        <f>_xlfn.XLOOKUP(Total[[#This Row],[Hebras]],TbTecnologia[Hebras],TbTecnologia[Tecnología])</f>
        <v>CUDA</v>
      </c>
      <c r="D488" s="2" t="str" cm="1">
        <f t="array" ref="D488">_xlfn.XLOOKUP(Total[[#This Row],[Tecnología]]&amp;Total[[#This Row],[Metodo]],TbTipos[Tecnología]&amp;TbTipos[Metodo],TbTipos[Tipo])</f>
        <v>CUDA sin graph</v>
      </c>
      <c r="E488" s="2" t="str" cm="1">
        <f t="array" ref="E488">_xlfn.XLOOKUP(Total[[#This Row],[Tecnología]]&amp;Total[[#This Row],[Problema]],TbNombres[Tecnología]&amp;TbNombres[Problema],TbNombres[Nombre])</f>
        <v>Simple Advdiff</v>
      </c>
      <c r="F488" s="2">
        <v>5</v>
      </c>
      <c r="G488" s="2">
        <v>1</v>
      </c>
      <c r="H488" s="2">
        <v>256</v>
      </c>
      <c r="I488" s="2">
        <v>200000</v>
      </c>
      <c r="J488" s="2">
        <v>200000</v>
      </c>
      <c r="K488" s="2">
        <v>94.000799999999998</v>
      </c>
    </row>
    <row r="489" spans="2:11" x14ac:dyDescent="0.2">
      <c r="B489" s="5" t="str">
        <f>_xlfn.XLOOKUP(Total[[#This Row],[Metodo]],TbSolver[Metodo],TbSolver[Solver])</f>
        <v>AdamsBashfordMoulton</v>
      </c>
      <c r="C489" s="5" t="str">
        <f>_xlfn.XLOOKUP(Total[[#This Row],[Hebras]],TbTecnologia[Hebras],TbTecnologia[Tecnología])</f>
        <v>OMP</v>
      </c>
      <c r="D489" s="7" t="str" cm="1">
        <f t="array" ref="D489">_xlfn.XLOOKUP(Total[[#This Row],[Tecnología]]&amp;Total[[#This Row],[Metodo]],TbTipos[Tecnología]&amp;TbTipos[Metodo],TbTipos[Tipo])</f>
        <v>OMP Operaciones</v>
      </c>
      <c r="E489" s="6" t="str" cm="1">
        <f t="array" ref="E489">_xlfn.XLOOKUP(Total[[#This Row],[Tecnología]]&amp;Total[[#This Row],[Problema]],TbNombres[Tecnología]&amp;TbNombres[Problema],TbNombres[Nombre])</f>
        <v>Simple Advdiff</v>
      </c>
      <c r="F489" s="6">
        <v>5</v>
      </c>
      <c r="G489" s="6">
        <v>1</v>
      </c>
      <c r="H489" s="6">
        <v>1</v>
      </c>
      <c r="I489" s="6">
        <v>100</v>
      </c>
      <c r="J489" s="6">
        <v>100</v>
      </c>
      <c r="K489" s="6">
        <v>4.5551399999999997</v>
      </c>
    </row>
    <row r="490" spans="2:11" x14ac:dyDescent="0.2">
      <c r="B490" s="5" t="str">
        <f>_xlfn.XLOOKUP(Total[[#This Row],[Metodo]],TbSolver[Metodo],TbSolver[Solver])</f>
        <v>AdamsBashfordMoulton</v>
      </c>
      <c r="C490" s="5" t="str">
        <f>_xlfn.XLOOKUP(Total[[#This Row],[Hebras]],TbTecnologia[Hebras],TbTecnologia[Tecnología])</f>
        <v>OMP</v>
      </c>
      <c r="D490" s="7" t="str" cm="1">
        <f t="array" ref="D490">_xlfn.XLOOKUP(Total[[#This Row],[Tecnología]]&amp;Total[[#This Row],[Metodo]],TbTipos[Tecnología]&amp;TbTipos[Metodo],TbTipos[Tipo])</f>
        <v>OMP Operaciones</v>
      </c>
      <c r="E490" s="6" t="str" cm="1">
        <f t="array" ref="E490">_xlfn.XLOOKUP(Total[[#This Row],[Tecnología]]&amp;Total[[#This Row],[Problema]],TbNombres[Tecnología]&amp;TbNombres[Problema],TbNombres[Nombre])</f>
        <v>Simple Advdiff</v>
      </c>
      <c r="F490" s="6">
        <v>5</v>
      </c>
      <c r="G490" s="6">
        <v>1</v>
      </c>
      <c r="H490" s="6">
        <v>4</v>
      </c>
      <c r="I490" s="6">
        <v>100</v>
      </c>
      <c r="J490" s="6">
        <v>100</v>
      </c>
      <c r="K490" s="6">
        <v>43.716000000000001</v>
      </c>
    </row>
    <row r="491" spans="2:11" x14ac:dyDescent="0.2">
      <c r="B491" s="5" t="str">
        <f>_xlfn.XLOOKUP(Total[[#This Row],[Metodo]],TbSolver[Metodo],TbSolver[Solver])</f>
        <v>AdamsBashfordMoulton</v>
      </c>
      <c r="C491" s="5" t="str">
        <f>_xlfn.XLOOKUP(Total[[#This Row],[Hebras]],TbTecnologia[Hebras],TbTecnologia[Tecnología])</f>
        <v>OMP</v>
      </c>
      <c r="D491" s="7" t="str" cm="1">
        <f t="array" ref="D491">_xlfn.XLOOKUP(Total[[#This Row],[Tecnología]]&amp;Total[[#This Row],[Metodo]],TbTipos[Tecnología]&amp;TbTipos[Metodo],TbTipos[Tipo])</f>
        <v>OMP Operaciones</v>
      </c>
      <c r="E491" s="6" t="str" cm="1">
        <f t="array" ref="E491">_xlfn.XLOOKUP(Total[[#This Row],[Tecnología]]&amp;Total[[#This Row],[Problema]],TbNombres[Tecnología]&amp;TbNombres[Problema],TbNombres[Nombre])</f>
        <v>Simple Advdiff</v>
      </c>
      <c r="F491" s="6">
        <v>5</v>
      </c>
      <c r="G491" s="6">
        <v>1</v>
      </c>
      <c r="H491" s="6">
        <v>16</v>
      </c>
      <c r="I491" s="6">
        <v>100</v>
      </c>
      <c r="J491" s="6">
        <v>100</v>
      </c>
      <c r="K491" s="6">
        <v>112.265</v>
      </c>
    </row>
    <row r="492" spans="2:11" x14ac:dyDescent="0.2">
      <c r="B492" s="5" t="str">
        <f>_xlfn.XLOOKUP(Total[[#This Row],[Metodo]],TbSolver[Metodo],TbSolver[Solver])</f>
        <v>AdamsBashfordMoulton</v>
      </c>
      <c r="C492" s="5" t="str">
        <f>_xlfn.XLOOKUP(Total[[#This Row],[Hebras]],TbTecnologia[Hebras],TbTecnologia[Tecnología])</f>
        <v>OMP</v>
      </c>
      <c r="D492" s="7" t="str" cm="1">
        <f t="array" ref="D492">_xlfn.XLOOKUP(Total[[#This Row],[Tecnología]]&amp;Total[[#This Row],[Metodo]],TbTipos[Tecnología]&amp;TbTipos[Metodo],TbTipos[Tipo])</f>
        <v>OMP Operaciones</v>
      </c>
      <c r="E492" s="6" t="str" cm="1">
        <f t="array" ref="E492">_xlfn.XLOOKUP(Total[[#This Row],[Tecnología]]&amp;Total[[#This Row],[Problema]],TbNombres[Tecnología]&amp;TbNombres[Problema],TbNombres[Nombre])</f>
        <v>Simple Advdiff</v>
      </c>
      <c r="F492" s="6">
        <v>5</v>
      </c>
      <c r="G492" s="6">
        <v>1</v>
      </c>
      <c r="H492" s="6">
        <v>1</v>
      </c>
      <c r="I492" s="6">
        <v>200</v>
      </c>
      <c r="J492" s="6">
        <v>200</v>
      </c>
      <c r="K492" s="6">
        <v>5.1783299999999999</v>
      </c>
    </row>
    <row r="493" spans="2:11" x14ac:dyDescent="0.2">
      <c r="B493" s="5" t="str">
        <f>_xlfn.XLOOKUP(Total[[#This Row],[Metodo]],TbSolver[Metodo],TbSolver[Solver])</f>
        <v>AdamsBashfordMoulton</v>
      </c>
      <c r="C493" s="5" t="str">
        <f>_xlfn.XLOOKUP(Total[[#This Row],[Hebras]],TbTecnologia[Hebras],TbTecnologia[Tecnología])</f>
        <v>OMP</v>
      </c>
      <c r="D493" s="7" t="str" cm="1">
        <f t="array" ref="D493">_xlfn.XLOOKUP(Total[[#This Row],[Tecnología]]&amp;Total[[#This Row],[Metodo]],TbTipos[Tecnología]&amp;TbTipos[Metodo],TbTipos[Tipo])</f>
        <v>OMP Operaciones</v>
      </c>
      <c r="E493" s="6" t="str" cm="1">
        <f t="array" ref="E493">_xlfn.XLOOKUP(Total[[#This Row],[Tecnología]]&amp;Total[[#This Row],[Problema]],TbNombres[Tecnología]&amp;TbNombres[Problema],TbNombres[Nombre])</f>
        <v>Simple Advdiff</v>
      </c>
      <c r="F493" s="6">
        <v>5</v>
      </c>
      <c r="G493" s="6">
        <v>1</v>
      </c>
      <c r="H493" s="6">
        <v>4</v>
      </c>
      <c r="I493" s="6">
        <v>200</v>
      </c>
      <c r="J493" s="6">
        <v>200</v>
      </c>
      <c r="K493" s="6">
        <v>38.086300000000001</v>
      </c>
    </row>
    <row r="494" spans="2:11" x14ac:dyDescent="0.2">
      <c r="B494" s="5" t="str">
        <f>_xlfn.XLOOKUP(Total[[#This Row],[Metodo]],TbSolver[Metodo],TbSolver[Solver])</f>
        <v>AdamsBashfordMoulton</v>
      </c>
      <c r="C494" s="5" t="str">
        <f>_xlfn.XLOOKUP(Total[[#This Row],[Hebras]],TbTecnologia[Hebras],TbTecnologia[Tecnología])</f>
        <v>OMP</v>
      </c>
      <c r="D494" s="7" t="str" cm="1">
        <f t="array" ref="D494">_xlfn.XLOOKUP(Total[[#This Row],[Tecnología]]&amp;Total[[#This Row],[Metodo]],TbTipos[Tecnología]&amp;TbTipos[Metodo],TbTipos[Tipo])</f>
        <v>OMP Operaciones</v>
      </c>
      <c r="E494" s="6" t="str" cm="1">
        <f t="array" ref="E494">_xlfn.XLOOKUP(Total[[#This Row],[Tecnología]]&amp;Total[[#This Row],[Problema]],TbNombres[Tecnología]&amp;TbNombres[Problema],TbNombres[Nombre])</f>
        <v>Simple Advdiff</v>
      </c>
      <c r="F494" s="6">
        <v>5</v>
      </c>
      <c r="G494" s="6">
        <v>1</v>
      </c>
      <c r="H494" s="6">
        <v>16</v>
      </c>
      <c r="I494" s="6">
        <v>200</v>
      </c>
      <c r="J494" s="6">
        <v>200</v>
      </c>
      <c r="K494" s="6">
        <v>89.890199999999993</v>
      </c>
    </row>
    <row r="495" spans="2:11" x14ac:dyDescent="0.2">
      <c r="B495" s="5" t="str">
        <f>_xlfn.XLOOKUP(Total[[#This Row],[Metodo]],TbSolver[Metodo],TbSolver[Solver])</f>
        <v>AdamsBashfordMoulton</v>
      </c>
      <c r="C495" s="5" t="str">
        <f>_xlfn.XLOOKUP(Total[[#This Row],[Hebras]],TbTecnologia[Hebras],TbTecnologia[Tecnología])</f>
        <v>OMP</v>
      </c>
      <c r="D495" s="7" t="str" cm="1">
        <f t="array" ref="D495">_xlfn.XLOOKUP(Total[[#This Row],[Tecnología]]&amp;Total[[#This Row],[Metodo]],TbTipos[Tecnología]&amp;TbTipos[Metodo],TbTipos[Tipo])</f>
        <v>OMP Operaciones</v>
      </c>
      <c r="E495" s="6" t="str" cm="1">
        <f t="array" ref="E495">_xlfn.XLOOKUP(Total[[#This Row],[Tecnología]]&amp;Total[[#This Row],[Problema]],TbNombres[Tecnología]&amp;TbNombres[Problema],TbNombres[Nombre])</f>
        <v>Simple Advdiff</v>
      </c>
      <c r="F495" s="6">
        <v>5</v>
      </c>
      <c r="G495" s="6">
        <v>1</v>
      </c>
      <c r="H495" s="6">
        <v>1</v>
      </c>
      <c r="I495" s="6">
        <v>500</v>
      </c>
      <c r="J495" s="6">
        <v>500</v>
      </c>
      <c r="K495" s="6">
        <v>6.8080400000000001</v>
      </c>
    </row>
    <row r="496" spans="2:11" x14ac:dyDescent="0.2">
      <c r="B496" s="5" t="str">
        <f>_xlfn.XLOOKUP(Total[[#This Row],[Metodo]],TbSolver[Metodo],TbSolver[Solver])</f>
        <v>AdamsBashfordMoulton</v>
      </c>
      <c r="C496" s="5" t="str">
        <f>_xlfn.XLOOKUP(Total[[#This Row],[Hebras]],TbTecnologia[Hebras],TbTecnologia[Tecnología])</f>
        <v>OMP</v>
      </c>
      <c r="D496" s="7" t="str" cm="1">
        <f t="array" ref="D496">_xlfn.XLOOKUP(Total[[#This Row],[Tecnología]]&amp;Total[[#This Row],[Metodo]],TbTipos[Tecnología]&amp;TbTipos[Metodo],TbTipos[Tipo])</f>
        <v>OMP Operaciones</v>
      </c>
      <c r="E496" s="6" t="str" cm="1">
        <f t="array" ref="E496">_xlfn.XLOOKUP(Total[[#This Row],[Tecnología]]&amp;Total[[#This Row],[Problema]],TbNombres[Tecnología]&amp;TbNombres[Problema],TbNombres[Nombre])</f>
        <v>Simple Advdiff</v>
      </c>
      <c r="F496" s="6">
        <v>5</v>
      </c>
      <c r="G496" s="6">
        <v>1</v>
      </c>
      <c r="H496" s="6">
        <v>4</v>
      </c>
      <c r="I496" s="6">
        <v>500</v>
      </c>
      <c r="J496" s="6">
        <v>500</v>
      </c>
      <c r="K496" s="6">
        <v>50.9985</v>
      </c>
    </row>
    <row r="497" spans="2:11" x14ac:dyDescent="0.2">
      <c r="B497" s="5" t="str">
        <f>_xlfn.XLOOKUP(Total[[#This Row],[Metodo]],TbSolver[Metodo],TbSolver[Solver])</f>
        <v>AdamsBashfordMoulton</v>
      </c>
      <c r="C497" s="5" t="str">
        <f>_xlfn.XLOOKUP(Total[[#This Row],[Hebras]],TbTecnologia[Hebras],TbTecnologia[Tecnología])</f>
        <v>OMP</v>
      </c>
      <c r="D497" s="7" t="str" cm="1">
        <f t="array" ref="D497">_xlfn.XLOOKUP(Total[[#This Row],[Tecnología]]&amp;Total[[#This Row],[Metodo]],TbTipos[Tecnología]&amp;TbTipos[Metodo],TbTipos[Tipo])</f>
        <v>OMP Operaciones</v>
      </c>
      <c r="E497" s="6" t="str" cm="1">
        <f t="array" ref="E497">_xlfn.XLOOKUP(Total[[#This Row],[Tecnología]]&amp;Total[[#This Row],[Problema]],TbNombres[Tecnología]&amp;TbNombres[Problema],TbNombres[Nombre])</f>
        <v>Simple Advdiff</v>
      </c>
      <c r="F497" s="6">
        <v>5</v>
      </c>
      <c r="G497" s="6">
        <v>1</v>
      </c>
      <c r="H497" s="6">
        <v>16</v>
      </c>
      <c r="I497" s="6">
        <v>500</v>
      </c>
      <c r="J497" s="6">
        <v>500</v>
      </c>
      <c r="K497" s="6">
        <v>106.66200000000001</v>
      </c>
    </row>
    <row r="498" spans="2:11" x14ac:dyDescent="0.2">
      <c r="B498" s="5" t="str">
        <f>_xlfn.XLOOKUP(Total[[#This Row],[Metodo]],TbSolver[Metodo],TbSolver[Solver])</f>
        <v>AdamsBashfordMoulton</v>
      </c>
      <c r="C498" s="5" t="str">
        <f>_xlfn.XLOOKUP(Total[[#This Row],[Hebras]],TbTecnologia[Hebras],TbTecnologia[Tecnología])</f>
        <v>OMP</v>
      </c>
      <c r="D498" s="7" t="str" cm="1">
        <f t="array" ref="D498">_xlfn.XLOOKUP(Total[[#This Row],[Tecnología]]&amp;Total[[#This Row],[Metodo]],TbTipos[Tecnología]&amp;TbTipos[Metodo],TbTipos[Tipo])</f>
        <v>OMP Operaciones</v>
      </c>
      <c r="E498" s="6" t="str" cm="1">
        <f t="array" ref="E498">_xlfn.XLOOKUP(Total[[#This Row],[Tecnología]]&amp;Total[[#This Row],[Problema]],TbNombres[Tecnología]&amp;TbNombres[Problema],TbNombres[Nombre])</f>
        <v>Simple Advdiff</v>
      </c>
      <c r="F498" s="6">
        <v>5</v>
      </c>
      <c r="G498" s="6">
        <v>1</v>
      </c>
      <c r="H498" s="6">
        <v>1</v>
      </c>
      <c r="I498" s="6">
        <v>1000</v>
      </c>
      <c r="J498" s="6">
        <v>1000</v>
      </c>
      <c r="K498" s="6">
        <v>10.2989</v>
      </c>
    </row>
    <row r="499" spans="2:11" x14ac:dyDescent="0.2">
      <c r="B499" s="5" t="str">
        <f>_xlfn.XLOOKUP(Total[[#This Row],[Metodo]],TbSolver[Metodo],TbSolver[Solver])</f>
        <v>AdamsBashfordMoulton</v>
      </c>
      <c r="C499" s="5" t="str">
        <f>_xlfn.XLOOKUP(Total[[#This Row],[Hebras]],TbTecnologia[Hebras],TbTecnologia[Tecnología])</f>
        <v>OMP</v>
      </c>
      <c r="D499" s="7" t="str" cm="1">
        <f t="array" ref="D499">_xlfn.XLOOKUP(Total[[#This Row],[Tecnología]]&amp;Total[[#This Row],[Metodo]],TbTipos[Tecnología]&amp;TbTipos[Metodo],TbTipos[Tipo])</f>
        <v>OMP Operaciones</v>
      </c>
      <c r="E499" s="6" t="str" cm="1">
        <f t="array" ref="E499">_xlfn.XLOOKUP(Total[[#This Row],[Tecnología]]&amp;Total[[#This Row],[Problema]],TbNombres[Tecnología]&amp;TbNombres[Problema],TbNombres[Nombre])</f>
        <v>Simple Advdiff</v>
      </c>
      <c r="F499" s="6">
        <v>5</v>
      </c>
      <c r="G499" s="6">
        <v>1</v>
      </c>
      <c r="H499" s="6">
        <v>4</v>
      </c>
      <c r="I499" s="6">
        <v>1000</v>
      </c>
      <c r="J499" s="6">
        <v>1000</v>
      </c>
      <c r="K499" s="6">
        <v>43.6098</v>
      </c>
    </row>
    <row r="500" spans="2:11" x14ac:dyDescent="0.2">
      <c r="B500" s="5" t="str">
        <f>_xlfn.XLOOKUP(Total[[#This Row],[Metodo]],TbSolver[Metodo],TbSolver[Solver])</f>
        <v>AdamsBashfordMoulton</v>
      </c>
      <c r="C500" s="5" t="str">
        <f>_xlfn.XLOOKUP(Total[[#This Row],[Hebras]],TbTecnologia[Hebras],TbTecnologia[Tecnología])</f>
        <v>OMP</v>
      </c>
      <c r="D500" s="7" t="str" cm="1">
        <f t="array" ref="D500">_xlfn.XLOOKUP(Total[[#This Row],[Tecnología]]&amp;Total[[#This Row],[Metodo]],TbTipos[Tecnología]&amp;TbTipos[Metodo],TbTipos[Tipo])</f>
        <v>OMP Operaciones</v>
      </c>
      <c r="E500" s="6" t="str" cm="1">
        <f t="array" ref="E500">_xlfn.XLOOKUP(Total[[#This Row],[Tecnología]]&amp;Total[[#This Row],[Problema]],TbNombres[Tecnología]&amp;TbNombres[Problema],TbNombres[Nombre])</f>
        <v>Simple Advdiff</v>
      </c>
      <c r="F500" s="6">
        <v>5</v>
      </c>
      <c r="G500" s="6">
        <v>1</v>
      </c>
      <c r="H500" s="6">
        <v>16</v>
      </c>
      <c r="I500" s="6">
        <v>1000</v>
      </c>
      <c r="J500" s="6">
        <v>1000</v>
      </c>
      <c r="K500" s="6">
        <v>85.655199999999994</v>
      </c>
    </row>
    <row r="501" spans="2:11" x14ac:dyDescent="0.2">
      <c r="B501" s="5" t="str">
        <f>_xlfn.XLOOKUP(Total[[#This Row],[Metodo]],TbSolver[Metodo],TbSolver[Solver])</f>
        <v>AdamsBashfordMoulton</v>
      </c>
      <c r="C501" s="5" t="str">
        <f>_xlfn.XLOOKUP(Total[[#This Row],[Hebras]],TbTecnologia[Hebras],TbTecnologia[Tecnología])</f>
        <v>OMP</v>
      </c>
      <c r="D501" s="7" t="str" cm="1">
        <f t="array" ref="D501">_xlfn.XLOOKUP(Total[[#This Row],[Tecnología]]&amp;Total[[#This Row],[Metodo]],TbTipos[Tecnología]&amp;TbTipos[Metodo],TbTipos[Tipo])</f>
        <v>OMP Elementos</v>
      </c>
      <c r="E501" s="6" t="str" cm="1">
        <f t="array" ref="E501">_xlfn.XLOOKUP(Total[[#This Row],[Tecnología]]&amp;Total[[#This Row],[Problema]],TbNombres[Tecnología]&amp;TbNombres[Problema],TbNombres[Nombre])</f>
        <v>Simple Advdiff</v>
      </c>
      <c r="F501" s="6">
        <v>6</v>
      </c>
      <c r="G501" s="6">
        <v>1</v>
      </c>
      <c r="H501" s="6">
        <v>1</v>
      </c>
      <c r="I501" s="6">
        <v>100</v>
      </c>
      <c r="J501" s="6">
        <v>100</v>
      </c>
      <c r="K501" s="6">
        <v>3.1528900000000002</v>
      </c>
    </row>
    <row r="502" spans="2:11" x14ac:dyDescent="0.2">
      <c r="B502" s="5" t="str">
        <f>_xlfn.XLOOKUP(Total[[#This Row],[Metodo]],TbSolver[Metodo],TbSolver[Solver])</f>
        <v>AdamsBashfordMoulton</v>
      </c>
      <c r="C502" s="5" t="str">
        <f>_xlfn.XLOOKUP(Total[[#This Row],[Hebras]],TbTecnologia[Hebras],TbTecnologia[Tecnología])</f>
        <v>OMP</v>
      </c>
      <c r="D502" s="7" t="str" cm="1">
        <f t="array" ref="D502">_xlfn.XLOOKUP(Total[[#This Row],[Tecnología]]&amp;Total[[#This Row],[Metodo]],TbTipos[Tecnología]&amp;TbTipos[Metodo],TbTipos[Tipo])</f>
        <v>OMP Elementos</v>
      </c>
      <c r="E502" s="6" t="str" cm="1">
        <f t="array" ref="E502">_xlfn.XLOOKUP(Total[[#This Row],[Tecnología]]&amp;Total[[#This Row],[Problema]],TbNombres[Tecnología]&amp;TbNombres[Problema],TbNombres[Nombre])</f>
        <v>Simple Advdiff</v>
      </c>
      <c r="F502" s="6">
        <v>6</v>
      </c>
      <c r="G502" s="6">
        <v>1</v>
      </c>
      <c r="H502" s="6">
        <v>4</v>
      </c>
      <c r="I502" s="6">
        <v>100</v>
      </c>
      <c r="J502" s="6">
        <v>100</v>
      </c>
      <c r="K502" s="6">
        <v>9.6583900000000007</v>
      </c>
    </row>
    <row r="503" spans="2:11" x14ac:dyDescent="0.2">
      <c r="B503" s="5" t="str">
        <f>_xlfn.XLOOKUP(Total[[#This Row],[Metodo]],TbSolver[Metodo],TbSolver[Solver])</f>
        <v>AdamsBashfordMoulton</v>
      </c>
      <c r="C503" s="5" t="str">
        <f>_xlfn.XLOOKUP(Total[[#This Row],[Hebras]],TbTecnologia[Hebras],TbTecnologia[Tecnología])</f>
        <v>OMP</v>
      </c>
      <c r="D503" s="7" t="str" cm="1">
        <f t="array" ref="D503">_xlfn.XLOOKUP(Total[[#This Row],[Tecnología]]&amp;Total[[#This Row],[Metodo]],TbTipos[Tecnología]&amp;TbTipos[Metodo],TbTipos[Tipo])</f>
        <v>OMP Elementos</v>
      </c>
      <c r="E503" s="6" t="str" cm="1">
        <f t="array" ref="E503">_xlfn.XLOOKUP(Total[[#This Row],[Tecnología]]&amp;Total[[#This Row],[Problema]],TbNombres[Tecnología]&amp;TbNombres[Problema],TbNombres[Nombre])</f>
        <v>Simple Advdiff</v>
      </c>
      <c r="F503" s="6">
        <v>6</v>
      </c>
      <c r="G503" s="6">
        <v>1</v>
      </c>
      <c r="H503" s="6">
        <v>16</v>
      </c>
      <c r="I503" s="6">
        <v>100</v>
      </c>
      <c r="J503" s="6">
        <v>100</v>
      </c>
      <c r="K503" s="6">
        <v>39.554499999999997</v>
      </c>
    </row>
    <row r="504" spans="2:11" x14ac:dyDescent="0.2">
      <c r="B504" s="5" t="str">
        <f>_xlfn.XLOOKUP(Total[[#This Row],[Metodo]],TbSolver[Metodo],TbSolver[Solver])</f>
        <v>AdamsBashfordMoulton</v>
      </c>
      <c r="C504" s="5" t="str">
        <f>_xlfn.XLOOKUP(Total[[#This Row],[Hebras]],TbTecnologia[Hebras],TbTecnologia[Tecnología])</f>
        <v>OMP</v>
      </c>
      <c r="D504" s="7" t="str" cm="1">
        <f t="array" ref="D504">_xlfn.XLOOKUP(Total[[#This Row],[Tecnología]]&amp;Total[[#This Row],[Metodo]],TbTipos[Tecnología]&amp;TbTipos[Metodo],TbTipos[Tipo])</f>
        <v>OMP Elementos</v>
      </c>
      <c r="E504" s="6" t="str" cm="1">
        <f t="array" ref="E504">_xlfn.XLOOKUP(Total[[#This Row],[Tecnología]]&amp;Total[[#This Row],[Problema]],TbNombres[Tecnología]&amp;TbNombres[Problema],TbNombres[Nombre])</f>
        <v>Simple Advdiff</v>
      </c>
      <c r="F504" s="6">
        <v>6</v>
      </c>
      <c r="G504" s="6">
        <v>1</v>
      </c>
      <c r="H504" s="6">
        <v>1</v>
      </c>
      <c r="I504" s="6">
        <v>200</v>
      </c>
      <c r="J504" s="6">
        <v>200</v>
      </c>
      <c r="K504" s="6">
        <v>5.5153400000000001</v>
      </c>
    </row>
    <row r="505" spans="2:11" x14ac:dyDescent="0.2">
      <c r="B505" s="5" t="str">
        <f>_xlfn.XLOOKUP(Total[[#This Row],[Metodo]],TbSolver[Metodo],TbSolver[Solver])</f>
        <v>AdamsBashfordMoulton</v>
      </c>
      <c r="C505" s="5" t="str">
        <f>_xlfn.XLOOKUP(Total[[#This Row],[Hebras]],TbTecnologia[Hebras],TbTecnologia[Tecnología])</f>
        <v>OMP</v>
      </c>
      <c r="D505" s="7" t="str" cm="1">
        <f t="array" ref="D505">_xlfn.XLOOKUP(Total[[#This Row],[Tecnología]]&amp;Total[[#This Row],[Metodo]],TbTipos[Tecnología]&amp;TbTipos[Metodo],TbTipos[Tipo])</f>
        <v>OMP Elementos</v>
      </c>
      <c r="E505" s="6" t="str" cm="1">
        <f t="array" ref="E505">_xlfn.XLOOKUP(Total[[#This Row],[Tecnología]]&amp;Total[[#This Row],[Problema]],TbNombres[Tecnología]&amp;TbNombres[Problema],TbNombres[Nombre])</f>
        <v>Simple Advdiff</v>
      </c>
      <c r="F505" s="6">
        <v>6</v>
      </c>
      <c r="G505" s="6">
        <v>1</v>
      </c>
      <c r="H505" s="6">
        <v>4</v>
      </c>
      <c r="I505" s="6">
        <v>200</v>
      </c>
      <c r="J505" s="6">
        <v>200</v>
      </c>
      <c r="K505" s="6">
        <v>9.2685300000000002</v>
      </c>
    </row>
    <row r="506" spans="2:11" x14ac:dyDescent="0.2">
      <c r="B506" s="5" t="str">
        <f>_xlfn.XLOOKUP(Total[[#This Row],[Metodo]],TbSolver[Metodo],TbSolver[Solver])</f>
        <v>AdamsBashfordMoulton</v>
      </c>
      <c r="C506" s="5" t="str">
        <f>_xlfn.XLOOKUP(Total[[#This Row],[Hebras]],TbTecnologia[Hebras],TbTecnologia[Tecnología])</f>
        <v>OMP</v>
      </c>
      <c r="D506" s="7" t="str" cm="1">
        <f t="array" ref="D506">_xlfn.XLOOKUP(Total[[#This Row],[Tecnología]]&amp;Total[[#This Row],[Metodo]],TbTipos[Tecnología]&amp;TbTipos[Metodo],TbTipos[Tipo])</f>
        <v>OMP Elementos</v>
      </c>
      <c r="E506" s="6" t="str" cm="1">
        <f t="array" ref="E506">_xlfn.XLOOKUP(Total[[#This Row],[Tecnología]]&amp;Total[[#This Row],[Problema]],TbNombres[Tecnología]&amp;TbNombres[Problema],TbNombres[Nombre])</f>
        <v>Simple Advdiff</v>
      </c>
      <c r="F506" s="6">
        <v>6</v>
      </c>
      <c r="G506" s="6">
        <v>1</v>
      </c>
      <c r="H506" s="6">
        <v>16</v>
      </c>
      <c r="I506" s="6">
        <v>200</v>
      </c>
      <c r="J506" s="6">
        <v>200</v>
      </c>
      <c r="K506" s="6">
        <v>56.233899999999998</v>
      </c>
    </row>
    <row r="507" spans="2:11" x14ac:dyDescent="0.2">
      <c r="B507" s="5" t="str">
        <f>_xlfn.XLOOKUP(Total[[#This Row],[Metodo]],TbSolver[Metodo],TbSolver[Solver])</f>
        <v>AdamsBashfordMoulton</v>
      </c>
      <c r="C507" s="5" t="str">
        <f>_xlfn.XLOOKUP(Total[[#This Row],[Hebras]],TbTecnologia[Hebras],TbTecnologia[Tecnología])</f>
        <v>OMP</v>
      </c>
      <c r="D507" s="7" t="str" cm="1">
        <f t="array" ref="D507">_xlfn.XLOOKUP(Total[[#This Row],[Tecnología]]&amp;Total[[#This Row],[Metodo]],TbTipos[Tecnología]&amp;TbTipos[Metodo],TbTipos[Tipo])</f>
        <v>OMP Elementos</v>
      </c>
      <c r="E507" s="6" t="str" cm="1">
        <f t="array" ref="E507">_xlfn.XLOOKUP(Total[[#This Row],[Tecnología]]&amp;Total[[#This Row],[Problema]],TbNombres[Tecnología]&amp;TbNombres[Problema],TbNombres[Nombre])</f>
        <v>Simple Advdiff</v>
      </c>
      <c r="F507" s="6">
        <v>6</v>
      </c>
      <c r="G507" s="6">
        <v>1</v>
      </c>
      <c r="H507" s="6">
        <v>1</v>
      </c>
      <c r="I507" s="6">
        <v>500</v>
      </c>
      <c r="J507" s="6">
        <v>500</v>
      </c>
      <c r="K507" s="6">
        <v>12.668699999999999</v>
      </c>
    </row>
    <row r="508" spans="2:11" x14ac:dyDescent="0.2">
      <c r="B508" s="5" t="str">
        <f>_xlfn.XLOOKUP(Total[[#This Row],[Metodo]],TbSolver[Metodo],TbSolver[Solver])</f>
        <v>AdamsBashfordMoulton</v>
      </c>
      <c r="C508" s="5" t="str">
        <f>_xlfn.XLOOKUP(Total[[#This Row],[Hebras]],TbTecnologia[Hebras],TbTecnologia[Tecnología])</f>
        <v>OMP</v>
      </c>
      <c r="D508" s="7" t="str" cm="1">
        <f t="array" ref="D508">_xlfn.XLOOKUP(Total[[#This Row],[Tecnología]]&amp;Total[[#This Row],[Metodo]],TbTipos[Tecnología]&amp;TbTipos[Metodo],TbTipos[Tipo])</f>
        <v>OMP Elementos</v>
      </c>
      <c r="E508" s="6" t="str" cm="1">
        <f t="array" ref="E508">_xlfn.XLOOKUP(Total[[#This Row],[Tecnología]]&amp;Total[[#This Row],[Problema]],TbNombres[Tecnología]&amp;TbNombres[Problema],TbNombres[Nombre])</f>
        <v>Simple Advdiff</v>
      </c>
      <c r="F508" s="6">
        <v>6</v>
      </c>
      <c r="G508" s="6">
        <v>1</v>
      </c>
      <c r="H508" s="6">
        <v>4</v>
      </c>
      <c r="I508" s="6">
        <v>500</v>
      </c>
      <c r="J508" s="6">
        <v>500</v>
      </c>
      <c r="K508" s="6">
        <v>11.7508</v>
      </c>
    </row>
    <row r="509" spans="2:11" x14ac:dyDescent="0.2">
      <c r="B509" s="5" t="str">
        <f>_xlfn.XLOOKUP(Total[[#This Row],[Metodo]],TbSolver[Metodo],TbSolver[Solver])</f>
        <v>AdamsBashfordMoulton</v>
      </c>
      <c r="C509" s="5" t="str">
        <f>_xlfn.XLOOKUP(Total[[#This Row],[Hebras]],TbTecnologia[Hebras],TbTecnologia[Tecnología])</f>
        <v>OMP</v>
      </c>
      <c r="D509" s="7" t="str" cm="1">
        <f t="array" ref="D509">_xlfn.XLOOKUP(Total[[#This Row],[Tecnología]]&amp;Total[[#This Row],[Metodo]],TbTipos[Tecnología]&amp;TbTipos[Metodo],TbTipos[Tipo])</f>
        <v>OMP Elementos</v>
      </c>
      <c r="E509" s="6" t="str" cm="1">
        <f t="array" ref="E509">_xlfn.XLOOKUP(Total[[#This Row],[Tecnología]]&amp;Total[[#This Row],[Problema]],TbNombres[Tecnología]&amp;TbNombres[Problema],TbNombres[Nombre])</f>
        <v>Simple Advdiff</v>
      </c>
      <c r="F509" s="6">
        <v>6</v>
      </c>
      <c r="G509" s="6">
        <v>1</v>
      </c>
      <c r="H509" s="6">
        <v>16</v>
      </c>
      <c r="I509" s="6">
        <v>500</v>
      </c>
      <c r="J509" s="6">
        <v>500</v>
      </c>
      <c r="K509" s="6">
        <v>28.921399999999998</v>
      </c>
    </row>
    <row r="510" spans="2:11" x14ac:dyDescent="0.2">
      <c r="B510" s="5" t="str">
        <f>_xlfn.XLOOKUP(Total[[#This Row],[Metodo]],TbSolver[Metodo],TbSolver[Solver])</f>
        <v>AdamsBashfordMoulton</v>
      </c>
      <c r="C510" s="5" t="str">
        <f>_xlfn.XLOOKUP(Total[[#This Row],[Hebras]],TbTecnologia[Hebras],TbTecnologia[Tecnología])</f>
        <v>OMP</v>
      </c>
      <c r="D510" s="7" t="str" cm="1">
        <f t="array" ref="D510">_xlfn.XLOOKUP(Total[[#This Row],[Tecnología]]&amp;Total[[#This Row],[Metodo]],TbTipos[Tecnología]&amp;TbTipos[Metodo],TbTipos[Tipo])</f>
        <v>OMP Elementos</v>
      </c>
      <c r="E510" s="6" t="str" cm="1">
        <f t="array" ref="E510">_xlfn.XLOOKUP(Total[[#This Row],[Tecnología]]&amp;Total[[#This Row],[Problema]],TbNombres[Tecnología]&amp;TbNombres[Problema],TbNombres[Nombre])</f>
        <v>Simple Advdiff</v>
      </c>
      <c r="F510" s="6">
        <v>6</v>
      </c>
      <c r="G510" s="6">
        <v>1</v>
      </c>
      <c r="H510" s="6">
        <v>1</v>
      </c>
      <c r="I510" s="6">
        <v>1000</v>
      </c>
      <c r="J510" s="6">
        <v>1000</v>
      </c>
      <c r="K510" s="6">
        <v>24.557400000000001</v>
      </c>
    </row>
    <row r="511" spans="2:11" x14ac:dyDescent="0.2">
      <c r="B511" s="5" t="str">
        <f>_xlfn.XLOOKUP(Total[[#This Row],[Metodo]],TbSolver[Metodo],TbSolver[Solver])</f>
        <v>AdamsBashfordMoulton</v>
      </c>
      <c r="C511" s="5" t="str">
        <f>_xlfn.XLOOKUP(Total[[#This Row],[Hebras]],TbTecnologia[Hebras],TbTecnologia[Tecnología])</f>
        <v>OMP</v>
      </c>
      <c r="D511" s="7" t="str" cm="1">
        <f t="array" ref="D511">_xlfn.XLOOKUP(Total[[#This Row],[Tecnología]]&amp;Total[[#This Row],[Metodo]],TbTipos[Tecnología]&amp;TbTipos[Metodo],TbTipos[Tipo])</f>
        <v>OMP Elementos</v>
      </c>
      <c r="E511" s="6" t="str" cm="1">
        <f t="array" ref="E511">_xlfn.XLOOKUP(Total[[#This Row],[Tecnología]]&amp;Total[[#This Row],[Problema]],TbNombres[Tecnología]&amp;TbNombres[Problema],TbNombres[Nombre])</f>
        <v>Simple Advdiff</v>
      </c>
      <c r="F511" s="6">
        <v>6</v>
      </c>
      <c r="G511" s="6">
        <v>1</v>
      </c>
      <c r="H511" s="6">
        <v>4</v>
      </c>
      <c r="I511" s="6">
        <v>1000</v>
      </c>
      <c r="J511" s="6">
        <v>1000</v>
      </c>
      <c r="K511" s="6">
        <v>13.700799999999999</v>
      </c>
    </row>
    <row r="512" spans="2:11" x14ac:dyDescent="0.2">
      <c r="B512" s="5" t="str">
        <f>_xlfn.XLOOKUP(Total[[#This Row],[Metodo]],TbSolver[Metodo],TbSolver[Solver])</f>
        <v>AdamsBashfordMoulton</v>
      </c>
      <c r="C512" s="5" t="str">
        <f>_xlfn.XLOOKUP(Total[[#This Row],[Hebras]],TbTecnologia[Hebras],TbTecnologia[Tecnología])</f>
        <v>OMP</v>
      </c>
      <c r="D512" s="7" t="str" cm="1">
        <f t="array" ref="D512">_xlfn.XLOOKUP(Total[[#This Row],[Tecnología]]&amp;Total[[#This Row],[Metodo]],TbTipos[Tecnología]&amp;TbTipos[Metodo],TbTipos[Tipo])</f>
        <v>OMP Elementos</v>
      </c>
      <c r="E512" s="6" t="str" cm="1">
        <f t="array" ref="E512">_xlfn.XLOOKUP(Total[[#This Row],[Tecnología]]&amp;Total[[#This Row],[Problema]],TbNombres[Tecnología]&amp;TbNombres[Problema],TbNombres[Nombre])</f>
        <v>Simple Advdiff</v>
      </c>
      <c r="F512" s="6">
        <v>6</v>
      </c>
      <c r="G512" s="6">
        <v>1</v>
      </c>
      <c r="H512" s="6">
        <v>16</v>
      </c>
      <c r="I512" s="6">
        <v>1000</v>
      </c>
      <c r="J512" s="6">
        <v>1000</v>
      </c>
      <c r="K512" s="6">
        <v>23.094000000000001</v>
      </c>
    </row>
    <row r="513" spans="2:11" x14ac:dyDescent="0.2">
      <c r="B513" s="5" t="str">
        <f>_xlfn.XLOOKUP(Total[[#This Row],[Metodo]],TbSolver[Metodo],TbSolver[Solver])</f>
        <v>AdamsBashfordMoulton</v>
      </c>
      <c r="C513" s="5" t="str">
        <f>_xlfn.XLOOKUP(Total[[#This Row],[Hebras]],TbTecnologia[Hebras],TbTecnologia[Tecnología])</f>
        <v>CUDA</v>
      </c>
      <c r="D513" s="2" t="str" cm="1">
        <f t="array" ref="D513">_xlfn.XLOOKUP(Total[[#This Row],[Tecnología]]&amp;Total[[#This Row],[Metodo]],TbTipos[Tecnología]&amp;TbTipos[Metodo],TbTipos[Tipo])</f>
        <v>CUDA con graph</v>
      </c>
      <c r="E513" s="2" t="str" cm="1">
        <f t="array" ref="E513">_xlfn.XLOOKUP(Total[[#This Row],[Tecnología]]&amp;Total[[#This Row],[Problema]],TbNombres[Tecnología]&amp;TbNombres[Problema],TbNombres[Nombre])</f>
        <v>Advdiff1d</v>
      </c>
      <c r="F513" s="2">
        <v>6</v>
      </c>
      <c r="G513" s="2">
        <v>3</v>
      </c>
      <c r="H513" s="2">
        <v>256</v>
      </c>
      <c r="I513" s="2">
        <v>100</v>
      </c>
      <c r="J513" s="2">
        <v>100</v>
      </c>
      <c r="K513" s="2">
        <v>16.264299999999999</v>
      </c>
    </row>
    <row r="514" spans="2:11" x14ac:dyDescent="0.2">
      <c r="B514" s="5" t="str">
        <f>_xlfn.XLOOKUP(Total[[#This Row],[Metodo]],TbSolver[Metodo],TbSolver[Solver])</f>
        <v>AdamsBashfordMoulton</v>
      </c>
      <c r="C514" s="5" t="str">
        <f>_xlfn.XLOOKUP(Total[[#This Row],[Hebras]],TbTecnologia[Hebras],TbTecnologia[Tecnología])</f>
        <v>CUDA</v>
      </c>
      <c r="D514" s="2" t="str" cm="1">
        <f t="array" ref="D514">_xlfn.XLOOKUP(Total[[#This Row],[Tecnología]]&amp;Total[[#This Row],[Metodo]],TbTipos[Tecnología]&amp;TbTipos[Metodo],TbTipos[Tipo])</f>
        <v>CUDA con graph</v>
      </c>
      <c r="E514" s="2" t="str" cm="1">
        <f t="array" ref="E514">_xlfn.XLOOKUP(Total[[#This Row],[Tecnología]]&amp;Total[[#This Row],[Problema]],TbNombres[Tecnología]&amp;TbNombres[Problema],TbNombres[Nombre])</f>
        <v>Advdiff1d</v>
      </c>
      <c r="F514" s="2">
        <v>6</v>
      </c>
      <c r="G514" s="2">
        <v>4</v>
      </c>
      <c r="H514" s="2">
        <v>256</v>
      </c>
      <c r="I514" s="2">
        <v>100</v>
      </c>
      <c r="J514" s="2">
        <v>100</v>
      </c>
      <c r="K514" s="2">
        <v>16.634699999999999</v>
      </c>
    </row>
    <row r="515" spans="2:11" x14ac:dyDescent="0.2">
      <c r="B515" s="5" t="str">
        <f>_xlfn.XLOOKUP(Total[[#This Row],[Metodo]],TbSolver[Metodo],TbSolver[Solver])</f>
        <v>AdamsBashfordMoulton</v>
      </c>
      <c r="C515" s="5" t="str">
        <f>_xlfn.XLOOKUP(Total[[#This Row],[Hebras]],TbTecnologia[Hebras],TbTecnologia[Tecnología])</f>
        <v>CUDA</v>
      </c>
      <c r="D515" s="2" t="str" cm="1">
        <f t="array" ref="D515">_xlfn.XLOOKUP(Total[[#This Row],[Tecnología]]&amp;Total[[#This Row],[Metodo]],TbTipos[Tecnología]&amp;TbTipos[Metodo],TbTipos[Tipo])</f>
        <v>CUDA sin graph</v>
      </c>
      <c r="E515" s="2" t="str" cm="1">
        <f t="array" ref="E515">_xlfn.XLOOKUP(Total[[#This Row],[Tecnología]]&amp;Total[[#This Row],[Problema]],TbNombres[Tecnología]&amp;TbNombres[Problema],TbNombres[Nombre])</f>
        <v>Advdiff1d</v>
      </c>
      <c r="F515" s="2">
        <v>5</v>
      </c>
      <c r="G515" s="2">
        <v>3</v>
      </c>
      <c r="H515" s="2">
        <v>256</v>
      </c>
      <c r="I515" s="2">
        <v>100</v>
      </c>
      <c r="J515" s="2">
        <v>100</v>
      </c>
      <c r="K515" s="2">
        <v>16.738600000000002</v>
      </c>
    </row>
    <row r="516" spans="2:11" x14ac:dyDescent="0.2">
      <c r="B516" s="5" t="str">
        <f>_xlfn.XLOOKUP(Total[[#This Row],[Metodo]],TbSolver[Metodo],TbSolver[Solver])</f>
        <v>AdamsBashfordMoulton</v>
      </c>
      <c r="C516" s="5" t="str">
        <f>_xlfn.XLOOKUP(Total[[#This Row],[Hebras]],TbTecnologia[Hebras],TbTecnologia[Tecnología])</f>
        <v>CUDA</v>
      </c>
      <c r="D516" s="2" t="str" cm="1">
        <f t="array" ref="D516">_xlfn.XLOOKUP(Total[[#This Row],[Tecnología]]&amp;Total[[#This Row],[Metodo]],TbTipos[Tecnología]&amp;TbTipos[Metodo],TbTipos[Tipo])</f>
        <v>CUDA sin graph</v>
      </c>
      <c r="E516" s="2" t="str" cm="1">
        <f t="array" ref="E516">_xlfn.XLOOKUP(Total[[#This Row],[Tecnología]]&amp;Total[[#This Row],[Problema]],TbNombres[Tecnología]&amp;TbNombres[Problema],TbNombres[Nombre])</f>
        <v>Advdiff1d</v>
      </c>
      <c r="F516" s="2">
        <v>5</v>
      </c>
      <c r="G516" s="2">
        <v>4</v>
      </c>
      <c r="H516" s="2">
        <v>256</v>
      </c>
      <c r="I516" s="2">
        <v>100</v>
      </c>
      <c r="J516" s="2">
        <v>100</v>
      </c>
      <c r="K516" s="2">
        <v>17.1296</v>
      </c>
    </row>
    <row r="517" spans="2:11" x14ac:dyDescent="0.2">
      <c r="B517" s="5" t="str">
        <f>_xlfn.XLOOKUP(Total[[#This Row],[Metodo]],TbSolver[Metodo],TbSolver[Solver])</f>
        <v>AdamsBashfordMoulton</v>
      </c>
      <c r="C517" s="5" t="str">
        <f>_xlfn.XLOOKUP(Total[[#This Row],[Hebras]],TbTecnologia[Hebras],TbTecnologia[Tecnología])</f>
        <v>CUDA</v>
      </c>
      <c r="D517" s="2" t="str" cm="1">
        <f t="array" ref="D517">_xlfn.XLOOKUP(Total[[#This Row],[Tecnología]]&amp;Total[[#This Row],[Metodo]],TbTipos[Tecnología]&amp;TbTipos[Metodo],TbTipos[Tipo])</f>
        <v>CUDA con graph</v>
      </c>
      <c r="E517" s="2" t="str" cm="1">
        <f t="array" ref="E517">_xlfn.XLOOKUP(Total[[#This Row],[Tecnología]]&amp;Total[[#This Row],[Problema]],TbNombres[Tecnología]&amp;TbNombres[Problema],TbNombres[Nombre])</f>
        <v>Advdiff1d</v>
      </c>
      <c r="F517" s="2">
        <v>6</v>
      </c>
      <c r="G517" s="2">
        <v>3</v>
      </c>
      <c r="H517" s="2">
        <v>256</v>
      </c>
      <c r="I517" s="2">
        <v>200</v>
      </c>
      <c r="J517" s="2">
        <v>200</v>
      </c>
      <c r="K517" s="2">
        <v>21.918600000000001</v>
      </c>
    </row>
    <row r="518" spans="2:11" x14ac:dyDescent="0.2">
      <c r="B518" s="5" t="str">
        <f>_xlfn.XLOOKUP(Total[[#This Row],[Metodo]],TbSolver[Metodo],TbSolver[Solver])</f>
        <v>AdamsBashfordMoulton</v>
      </c>
      <c r="C518" s="5" t="str">
        <f>_xlfn.XLOOKUP(Total[[#This Row],[Hebras]],TbTecnologia[Hebras],TbTecnologia[Tecnología])</f>
        <v>CUDA</v>
      </c>
      <c r="D518" s="2" t="str" cm="1">
        <f t="array" ref="D518">_xlfn.XLOOKUP(Total[[#This Row],[Tecnología]]&amp;Total[[#This Row],[Metodo]],TbTipos[Tecnología]&amp;TbTipos[Metodo],TbTipos[Tipo])</f>
        <v>CUDA sin graph</v>
      </c>
      <c r="E518" s="2" t="str" cm="1">
        <f t="array" ref="E518">_xlfn.XLOOKUP(Total[[#This Row],[Tecnología]]&amp;Total[[#This Row],[Problema]],TbNombres[Tecnología]&amp;TbNombres[Problema],TbNombres[Nombre])</f>
        <v>Advdiff1d</v>
      </c>
      <c r="F518" s="2">
        <v>5</v>
      </c>
      <c r="G518" s="2">
        <v>3</v>
      </c>
      <c r="H518" s="2">
        <v>256</v>
      </c>
      <c r="I518" s="2">
        <v>200</v>
      </c>
      <c r="J518" s="2">
        <v>200</v>
      </c>
      <c r="K518" s="2">
        <v>22.3888</v>
      </c>
    </row>
    <row r="519" spans="2:11" x14ac:dyDescent="0.2">
      <c r="B519" s="5" t="str">
        <f>_xlfn.XLOOKUP(Total[[#This Row],[Metodo]],TbSolver[Metodo],TbSolver[Solver])</f>
        <v>AdamsBashfordMoulton</v>
      </c>
      <c r="C519" s="5" t="str">
        <f>_xlfn.XLOOKUP(Total[[#This Row],[Hebras]],TbTecnologia[Hebras],TbTecnologia[Tecnología])</f>
        <v>CUDA</v>
      </c>
      <c r="D519" s="2" t="str" cm="1">
        <f t="array" ref="D519">_xlfn.XLOOKUP(Total[[#This Row],[Tecnología]]&amp;Total[[#This Row],[Metodo]],TbTipos[Tecnología]&amp;TbTipos[Metodo],TbTipos[Tipo])</f>
        <v>CUDA con graph</v>
      </c>
      <c r="E519" s="2" t="str" cm="1">
        <f t="array" ref="E519">_xlfn.XLOOKUP(Total[[#This Row],[Tecnología]]&amp;Total[[#This Row],[Problema]],TbNombres[Tecnología]&amp;TbNombres[Problema],TbNombres[Nombre])</f>
        <v>Advdiff1d</v>
      </c>
      <c r="F519" s="2">
        <v>6</v>
      </c>
      <c r="G519" s="2">
        <v>4</v>
      </c>
      <c r="H519" s="2">
        <v>256</v>
      </c>
      <c r="I519" s="2">
        <v>200</v>
      </c>
      <c r="J519" s="2">
        <v>200</v>
      </c>
      <c r="K519" s="2">
        <v>22.496400000000001</v>
      </c>
    </row>
    <row r="520" spans="2:11" x14ac:dyDescent="0.2">
      <c r="B520" s="5" t="str">
        <f>_xlfn.XLOOKUP(Total[[#This Row],[Metodo]],TbSolver[Metodo],TbSolver[Solver])</f>
        <v>AdamsBashfordMoulton</v>
      </c>
      <c r="C520" s="5" t="str">
        <f>_xlfn.XLOOKUP(Total[[#This Row],[Hebras]],TbTecnologia[Hebras],TbTecnologia[Tecnología])</f>
        <v>CUDA</v>
      </c>
      <c r="D520" s="2" t="str" cm="1">
        <f t="array" ref="D520">_xlfn.XLOOKUP(Total[[#This Row],[Tecnología]]&amp;Total[[#This Row],[Metodo]],TbTipos[Tecnología]&amp;TbTipos[Metodo],TbTipos[Tipo])</f>
        <v>CUDA sin graph</v>
      </c>
      <c r="E520" s="2" t="str" cm="1">
        <f t="array" ref="E520">_xlfn.XLOOKUP(Total[[#This Row],[Tecnología]]&amp;Total[[#This Row],[Problema]],TbNombres[Tecnología]&amp;TbNombres[Problema],TbNombres[Nombre])</f>
        <v>Advdiff1d</v>
      </c>
      <c r="F520" s="2">
        <v>5</v>
      </c>
      <c r="G520" s="2">
        <v>4</v>
      </c>
      <c r="H520" s="2">
        <v>256</v>
      </c>
      <c r="I520" s="2">
        <v>200</v>
      </c>
      <c r="J520" s="2">
        <v>200</v>
      </c>
      <c r="K520" s="2">
        <v>22.726900000000001</v>
      </c>
    </row>
    <row r="521" spans="2:11" x14ac:dyDescent="0.2">
      <c r="B521" s="5" t="str">
        <f>_xlfn.XLOOKUP(Total[[#This Row],[Metodo]],TbSolver[Metodo],TbSolver[Solver])</f>
        <v>AdamsBashfordMoulton</v>
      </c>
      <c r="C521" s="5" t="str">
        <f>_xlfn.XLOOKUP(Total[[#This Row],[Hebras]],TbTecnologia[Hebras],TbTecnologia[Tecnología])</f>
        <v>CUDA</v>
      </c>
      <c r="D521" s="2" t="str" cm="1">
        <f t="array" ref="D521">_xlfn.XLOOKUP(Total[[#This Row],[Tecnología]]&amp;Total[[#This Row],[Metodo]],TbTipos[Tecnología]&amp;TbTipos[Metodo],TbTipos[Tipo])</f>
        <v>CUDA con graph</v>
      </c>
      <c r="E521" s="2" t="str" cm="1">
        <f t="array" ref="E521">_xlfn.XLOOKUP(Total[[#This Row],[Tecnología]]&amp;Total[[#This Row],[Problema]],TbNombres[Tecnología]&amp;TbNombres[Problema],TbNombres[Nombre])</f>
        <v>Advdiff1d</v>
      </c>
      <c r="F521" s="2">
        <v>6</v>
      </c>
      <c r="G521" s="2">
        <v>3</v>
      </c>
      <c r="H521" s="2">
        <v>256</v>
      </c>
      <c r="I521" s="2">
        <v>500</v>
      </c>
      <c r="J521" s="2">
        <v>500</v>
      </c>
      <c r="K521" s="2">
        <v>23.690100000000001</v>
      </c>
    </row>
    <row r="522" spans="2:11" x14ac:dyDescent="0.2">
      <c r="B522" s="5" t="str">
        <f>_xlfn.XLOOKUP(Total[[#This Row],[Metodo]],TbSolver[Metodo],TbSolver[Solver])</f>
        <v>AdamsBashfordMoulton</v>
      </c>
      <c r="C522" s="5" t="str">
        <f>_xlfn.XLOOKUP(Total[[#This Row],[Hebras]],TbTecnologia[Hebras],TbTecnologia[Tecnología])</f>
        <v>CUDA</v>
      </c>
      <c r="D522" s="2" t="str" cm="1">
        <f t="array" ref="D522">_xlfn.XLOOKUP(Total[[#This Row],[Tecnología]]&amp;Total[[#This Row],[Metodo]],TbTipos[Tecnología]&amp;TbTipos[Metodo],TbTipos[Tipo])</f>
        <v>CUDA con graph</v>
      </c>
      <c r="E522" s="2" t="str" cm="1">
        <f t="array" ref="E522">_xlfn.XLOOKUP(Total[[#This Row],[Tecnología]]&amp;Total[[#This Row],[Problema]],TbNombres[Tecnología]&amp;TbNombres[Problema],TbNombres[Nombre])</f>
        <v>Advdiff1d</v>
      </c>
      <c r="F522" s="2">
        <v>6</v>
      </c>
      <c r="G522" s="2">
        <v>3</v>
      </c>
      <c r="H522" s="2">
        <v>256</v>
      </c>
      <c r="I522" s="2">
        <v>1000</v>
      </c>
      <c r="J522" s="2">
        <v>1000</v>
      </c>
      <c r="K522" s="2">
        <v>23.735099999999999</v>
      </c>
    </row>
    <row r="523" spans="2:11" x14ac:dyDescent="0.2">
      <c r="B523" s="5" t="str">
        <f>_xlfn.XLOOKUP(Total[[#This Row],[Metodo]],TbSolver[Metodo],TbSolver[Solver])</f>
        <v>AdamsBashfordMoulton</v>
      </c>
      <c r="C523" s="5" t="str">
        <f>_xlfn.XLOOKUP(Total[[#This Row],[Hebras]],TbTecnologia[Hebras],TbTecnologia[Tecnología])</f>
        <v>CUDA</v>
      </c>
      <c r="D523" s="2" t="str" cm="1">
        <f t="array" ref="D523">_xlfn.XLOOKUP(Total[[#This Row],[Tecnología]]&amp;Total[[#This Row],[Metodo]],TbTipos[Tecnología]&amp;TbTipos[Metodo],TbTipos[Tipo])</f>
        <v>CUDA con graph</v>
      </c>
      <c r="E523" s="2" t="str" cm="1">
        <f t="array" ref="E523">_xlfn.XLOOKUP(Total[[#This Row],[Tecnología]]&amp;Total[[#This Row],[Problema]],TbNombres[Tecnología]&amp;TbNombres[Problema],TbNombres[Nombre])</f>
        <v>Advdiff1d</v>
      </c>
      <c r="F523" s="2">
        <v>6</v>
      </c>
      <c r="G523" s="2">
        <v>3</v>
      </c>
      <c r="H523" s="2">
        <v>256</v>
      </c>
      <c r="I523" s="2">
        <v>2000</v>
      </c>
      <c r="J523" s="2">
        <v>2000</v>
      </c>
      <c r="K523" s="2">
        <v>23.829899999999999</v>
      </c>
    </row>
    <row r="524" spans="2:11" x14ac:dyDescent="0.2">
      <c r="B524" s="5" t="str">
        <f>_xlfn.XLOOKUP(Total[[#This Row],[Metodo]],TbSolver[Metodo],TbSolver[Solver])</f>
        <v>AdamsBashfordMoulton</v>
      </c>
      <c r="C524" s="5" t="str">
        <f>_xlfn.XLOOKUP(Total[[#This Row],[Hebras]],TbTecnologia[Hebras],TbTecnologia[Tecnología])</f>
        <v>CUDA</v>
      </c>
      <c r="D524" s="2" t="str" cm="1">
        <f t="array" ref="D524">_xlfn.XLOOKUP(Total[[#This Row],[Tecnología]]&amp;Total[[#This Row],[Metodo]],TbTipos[Tecnología]&amp;TbTipos[Metodo],TbTipos[Tipo])</f>
        <v>CUDA sin graph</v>
      </c>
      <c r="E524" s="2" t="str" cm="1">
        <f t="array" ref="E524">_xlfn.XLOOKUP(Total[[#This Row],[Tecnología]]&amp;Total[[#This Row],[Problema]],TbNombres[Tecnología]&amp;TbNombres[Problema],TbNombres[Nombre])</f>
        <v>Advdiff1d</v>
      </c>
      <c r="F524" s="2">
        <v>5</v>
      </c>
      <c r="G524" s="2">
        <v>3</v>
      </c>
      <c r="H524" s="2">
        <v>256</v>
      </c>
      <c r="I524" s="2">
        <v>500</v>
      </c>
      <c r="J524" s="2">
        <v>500</v>
      </c>
      <c r="K524" s="2">
        <v>24.028400000000001</v>
      </c>
    </row>
    <row r="525" spans="2:11" x14ac:dyDescent="0.2">
      <c r="B525" s="5" t="str">
        <f>_xlfn.XLOOKUP(Total[[#This Row],[Metodo]],TbSolver[Metodo],TbSolver[Solver])</f>
        <v>AdamsBashfordMoulton</v>
      </c>
      <c r="C525" s="5" t="str">
        <f>_xlfn.XLOOKUP(Total[[#This Row],[Hebras]],TbTecnologia[Hebras],TbTecnologia[Tecnología])</f>
        <v>CUDA</v>
      </c>
      <c r="D525" s="2" t="str" cm="1">
        <f t="array" ref="D525">_xlfn.XLOOKUP(Total[[#This Row],[Tecnología]]&amp;Total[[#This Row],[Metodo]],TbTipos[Tecnología]&amp;TbTipos[Metodo],TbTipos[Tipo])</f>
        <v>CUDA sin graph</v>
      </c>
      <c r="E525" s="2" t="str" cm="1">
        <f t="array" ref="E525">_xlfn.XLOOKUP(Total[[#This Row],[Tecnología]]&amp;Total[[#This Row],[Problema]],TbNombres[Tecnología]&amp;TbNombres[Problema],TbNombres[Nombre])</f>
        <v>Advdiff1d</v>
      </c>
      <c r="F525" s="2">
        <v>5</v>
      </c>
      <c r="G525" s="2">
        <v>3</v>
      </c>
      <c r="H525" s="2">
        <v>256</v>
      </c>
      <c r="I525" s="2">
        <v>1000</v>
      </c>
      <c r="J525" s="2">
        <v>1000</v>
      </c>
      <c r="K525" s="2">
        <v>24.066500000000001</v>
      </c>
    </row>
    <row r="526" spans="2:11" x14ac:dyDescent="0.2">
      <c r="B526" s="5" t="str">
        <f>_xlfn.XLOOKUP(Total[[#This Row],[Metodo]],TbSolver[Metodo],TbSolver[Solver])</f>
        <v>AdamsBashfordMoulton</v>
      </c>
      <c r="C526" s="5" t="str">
        <f>_xlfn.XLOOKUP(Total[[#This Row],[Hebras]],TbTecnologia[Hebras],TbTecnologia[Tecnología])</f>
        <v>CUDA</v>
      </c>
      <c r="D526" s="2" t="str" cm="1">
        <f t="array" ref="D526">_xlfn.XLOOKUP(Total[[#This Row],[Tecnología]]&amp;Total[[#This Row],[Metodo]],TbTipos[Tecnología]&amp;TbTipos[Metodo],TbTipos[Tipo])</f>
        <v>CUDA sin graph</v>
      </c>
      <c r="E526" s="2" t="str" cm="1">
        <f t="array" ref="E526">_xlfn.XLOOKUP(Total[[#This Row],[Tecnología]]&amp;Total[[#This Row],[Problema]],TbNombres[Tecnología]&amp;TbNombres[Problema],TbNombres[Nombre])</f>
        <v>Advdiff1d</v>
      </c>
      <c r="F526" s="2">
        <v>5</v>
      </c>
      <c r="G526" s="2">
        <v>3</v>
      </c>
      <c r="H526" s="2">
        <v>256</v>
      </c>
      <c r="I526" s="2">
        <v>2000</v>
      </c>
      <c r="J526" s="2">
        <v>2000</v>
      </c>
      <c r="K526" s="2">
        <v>24.0976</v>
      </c>
    </row>
    <row r="527" spans="2:11" x14ac:dyDescent="0.2">
      <c r="B527" s="5" t="str">
        <f>_xlfn.XLOOKUP(Total[[#This Row],[Metodo]],TbSolver[Metodo],TbSolver[Solver])</f>
        <v>AdamsBashfordMoulton</v>
      </c>
      <c r="C527" s="5" t="str">
        <f>_xlfn.XLOOKUP(Total[[#This Row],[Hebras]],TbTecnologia[Hebras],TbTecnologia[Tecnología])</f>
        <v>CUDA</v>
      </c>
      <c r="D527" s="2" t="str" cm="1">
        <f t="array" ref="D527">_xlfn.XLOOKUP(Total[[#This Row],[Tecnología]]&amp;Total[[#This Row],[Metodo]],TbTipos[Tecnología]&amp;TbTipos[Metodo],TbTipos[Tipo])</f>
        <v>CUDA con graph</v>
      </c>
      <c r="E527" s="2" t="str" cm="1">
        <f t="array" ref="E527">_xlfn.XLOOKUP(Total[[#This Row],[Tecnología]]&amp;Total[[#This Row],[Problema]],TbNombres[Tecnología]&amp;TbNombres[Problema],TbNombres[Nombre])</f>
        <v>Advdiff1d</v>
      </c>
      <c r="F527" s="2">
        <v>6</v>
      </c>
      <c r="G527" s="2">
        <v>3</v>
      </c>
      <c r="H527" s="2">
        <v>256</v>
      </c>
      <c r="I527" s="2">
        <v>5000</v>
      </c>
      <c r="J527" s="2">
        <v>5000</v>
      </c>
      <c r="K527" s="2">
        <v>24.243200000000002</v>
      </c>
    </row>
    <row r="528" spans="2:11" x14ac:dyDescent="0.2">
      <c r="B528" s="5" t="str">
        <f>_xlfn.XLOOKUP(Total[[#This Row],[Metodo]],TbSolver[Metodo],TbSolver[Solver])</f>
        <v>AdamsBashfordMoulton</v>
      </c>
      <c r="C528" s="5" t="str">
        <f>_xlfn.XLOOKUP(Total[[#This Row],[Hebras]],TbTecnologia[Hebras],TbTecnologia[Tecnología])</f>
        <v>CUDA</v>
      </c>
      <c r="D528" s="2" t="str" cm="1">
        <f t="array" ref="D528">_xlfn.XLOOKUP(Total[[#This Row],[Tecnología]]&amp;Total[[#This Row],[Metodo]],TbTipos[Tecnología]&amp;TbTipos[Metodo],TbTipos[Tipo])</f>
        <v>CUDA con graph</v>
      </c>
      <c r="E528" s="2" t="str" cm="1">
        <f t="array" ref="E528">_xlfn.XLOOKUP(Total[[#This Row],[Tecnología]]&amp;Total[[#This Row],[Problema]],TbNombres[Tecnología]&amp;TbNombres[Problema],TbNombres[Nombre])</f>
        <v>Advdiff1d</v>
      </c>
      <c r="F528" s="2">
        <v>6</v>
      </c>
      <c r="G528" s="2">
        <v>4</v>
      </c>
      <c r="H528" s="2">
        <v>256</v>
      </c>
      <c r="I528" s="2">
        <v>500</v>
      </c>
      <c r="J528" s="2">
        <v>500</v>
      </c>
      <c r="K528" s="2">
        <v>24.4192</v>
      </c>
    </row>
    <row r="529" spans="2:11" x14ac:dyDescent="0.2">
      <c r="B529" s="5" t="str">
        <f>_xlfn.XLOOKUP(Total[[#This Row],[Metodo]],TbSolver[Metodo],TbSolver[Solver])</f>
        <v>AdamsBashfordMoulton</v>
      </c>
      <c r="C529" s="5" t="str">
        <f>_xlfn.XLOOKUP(Total[[#This Row],[Hebras]],TbTecnologia[Hebras],TbTecnologia[Tecnología])</f>
        <v>CUDA</v>
      </c>
      <c r="D529" s="2" t="str" cm="1">
        <f t="array" ref="D529">_xlfn.XLOOKUP(Total[[#This Row],[Tecnología]]&amp;Total[[#This Row],[Metodo]],TbTipos[Tecnología]&amp;TbTipos[Metodo],TbTipos[Tipo])</f>
        <v>CUDA con graph</v>
      </c>
      <c r="E529" s="2" t="str" cm="1">
        <f t="array" ref="E529">_xlfn.XLOOKUP(Total[[#This Row],[Tecnología]]&amp;Total[[#This Row],[Problema]],TbNombres[Tecnología]&amp;TbNombres[Problema],TbNombres[Nombre])</f>
        <v>Advdiff1d</v>
      </c>
      <c r="F529" s="2">
        <v>6</v>
      </c>
      <c r="G529" s="2">
        <v>4</v>
      </c>
      <c r="H529" s="2">
        <v>256</v>
      </c>
      <c r="I529" s="2">
        <v>1000</v>
      </c>
      <c r="J529" s="2">
        <v>1000</v>
      </c>
      <c r="K529" s="2">
        <v>24.433499999999999</v>
      </c>
    </row>
    <row r="530" spans="2:11" x14ac:dyDescent="0.2">
      <c r="B530" s="5" t="str">
        <f>_xlfn.XLOOKUP(Total[[#This Row],[Metodo]],TbSolver[Metodo],TbSolver[Solver])</f>
        <v>AdamsBashfordMoulton</v>
      </c>
      <c r="C530" s="5" t="str">
        <f>_xlfn.XLOOKUP(Total[[#This Row],[Hebras]],TbTecnologia[Hebras],TbTecnologia[Tecnología])</f>
        <v>CUDA</v>
      </c>
      <c r="D530" s="2" t="str" cm="1">
        <f t="array" ref="D530">_xlfn.XLOOKUP(Total[[#This Row],[Tecnología]]&amp;Total[[#This Row],[Metodo]],TbTipos[Tecnología]&amp;TbTipos[Metodo],TbTipos[Tipo])</f>
        <v>CUDA sin graph</v>
      </c>
      <c r="E530" s="2" t="str" cm="1">
        <f t="array" ref="E530">_xlfn.XLOOKUP(Total[[#This Row],[Tecnología]]&amp;Total[[#This Row],[Problema]],TbNombres[Tecnología]&amp;TbNombres[Problema],TbNombres[Nombre])</f>
        <v>Advdiff1d</v>
      </c>
      <c r="F530" s="2">
        <v>5</v>
      </c>
      <c r="G530" s="2">
        <v>3</v>
      </c>
      <c r="H530" s="2">
        <v>256</v>
      </c>
      <c r="I530" s="2">
        <v>5000</v>
      </c>
      <c r="J530" s="2">
        <v>5000</v>
      </c>
      <c r="K530" s="2">
        <v>24.555099999999999</v>
      </c>
    </row>
    <row r="531" spans="2:11" x14ac:dyDescent="0.2">
      <c r="B531" s="5" t="str">
        <f>_xlfn.XLOOKUP(Total[[#This Row],[Metodo]],TbSolver[Metodo],TbSolver[Solver])</f>
        <v>AdamsBashfordMoulton</v>
      </c>
      <c r="C531" s="5" t="str">
        <f>_xlfn.XLOOKUP(Total[[#This Row],[Hebras]],TbTecnologia[Hebras],TbTecnologia[Tecnología])</f>
        <v>CUDA</v>
      </c>
      <c r="D531" s="2" t="str" cm="1">
        <f t="array" ref="D531">_xlfn.XLOOKUP(Total[[#This Row],[Tecnología]]&amp;Total[[#This Row],[Metodo]],TbTipos[Tecnología]&amp;TbTipos[Metodo],TbTipos[Tipo])</f>
        <v>CUDA con graph</v>
      </c>
      <c r="E531" s="2" t="str" cm="1">
        <f t="array" ref="E531">_xlfn.XLOOKUP(Total[[#This Row],[Tecnología]]&amp;Total[[#This Row],[Problema]],TbNombres[Tecnología]&amp;TbNombres[Problema],TbNombres[Nombre])</f>
        <v>Advdiff1d</v>
      </c>
      <c r="F531" s="2">
        <v>6</v>
      </c>
      <c r="G531" s="2">
        <v>4</v>
      </c>
      <c r="H531" s="2">
        <v>256</v>
      </c>
      <c r="I531" s="2">
        <v>2000</v>
      </c>
      <c r="J531" s="2">
        <v>2000</v>
      </c>
      <c r="K531" s="2">
        <v>24.571100000000001</v>
      </c>
    </row>
    <row r="532" spans="2:11" x14ac:dyDescent="0.2">
      <c r="B532" s="5" t="str">
        <f>_xlfn.XLOOKUP(Total[[#This Row],[Metodo]],TbSolver[Metodo],TbSolver[Solver])</f>
        <v>AdamsBashfordMoulton</v>
      </c>
      <c r="C532" s="5" t="str">
        <f>_xlfn.XLOOKUP(Total[[#This Row],[Hebras]],TbTecnologia[Hebras],TbTecnologia[Tecnología])</f>
        <v>CUDA</v>
      </c>
      <c r="D532" s="2" t="str" cm="1">
        <f t="array" ref="D532">_xlfn.XLOOKUP(Total[[#This Row],[Tecnología]]&amp;Total[[#This Row],[Metodo]],TbTipos[Tecnología]&amp;TbTipos[Metodo],TbTipos[Tipo])</f>
        <v>CUDA sin graph</v>
      </c>
      <c r="E532" s="2" t="str" cm="1">
        <f t="array" ref="E532">_xlfn.XLOOKUP(Total[[#This Row],[Tecnología]]&amp;Total[[#This Row],[Problema]],TbNombres[Tecnología]&amp;TbNombres[Problema],TbNombres[Nombre])</f>
        <v>Advdiff1d</v>
      </c>
      <c r="F532" s="2">
        <v>5</v>
      </c>
      <c r="G532" s="2">
        <v>3</v>
      </c>
      <c r="H532" s="2">
        <v>256</v>
      </c>
      <c r="I532" s="2">
        <v>10000</v>
      </c>
      <c r="J532" s="2">
        <v>10000</v>
      </c>
      <c r="K532" s="2">
        <v>24.6816</v>
      </c>
    </row>
    <row r="533" spans="2:11" x14ac:dyDescent="0.2">
      <c r="B533" s="5" t="str">
        <f>_xlfn.XLOOKUP(Total[[#This Row],[Metodo]],TbSolver[Metodo],TbSolver[Solver])</f>
        <v>AdamsBashfordMoulton</v>
      </c>
      <c r="C533" s="5" t="str">
        <f>_xlfn.XLOOKUP(Total[[#This Row],[Hebras]],TbTecnologia[Hebras],TbTecnologia[Tecnología])</f>
        <v>CUDA</v>
      </c>
      <c r="D533" s="2" t="str" cm="1">
        <f t="array" ref="D533">_xlfn.XLOOKUP(Total[[#This Row],[Tecnología]]&amp;Total[[#This Row],[Metodo]],TbTipos[Tecnología]&amp;TbTipos[Metodo],TbTipos[Tipo])</f>
        <v>CUDA sin graph</v>
      </c>
      <c r="E533" s="2" t="str" cm="1">
        <f t="array" ref="E533">_xlfn.XLOOKUP(Total[[#This Row],[Tecnología]]&amp;Total[[#This Row],[Problema]],TbNombres[Tecnología]&amp;TbNombres[Problema],TbNombres[Nombre])</f>
        <v>Advdiff1d</v>
      </c>
      <c r="F533" s="2">
        <v>5</v>
      </c>
      <c r="G533" s="2">
        <v>4</v>
      </c>
      <c r="H533" s="2">
        <v>256</v>
      </c>
      <c r="I533" s="2">
        <v>500</v>
      </c>
      <c r="J533" s="2">
        <v>500</v>
      </c>
      <c r="K533" s="2">
        <v>24.748799999999999</v>
      </c>
    </row>
    <row r="534" spans="2:11" x14ac:dyDescent="0.2">
      <c r="B534" s="5" t="str">
        <f>_xlfn.XLOOKUP(Total[[#This Row],[Metodo]],TbSolver[Metodo],TbSolver[Solver])</f>
        <v>AdamsBashfordMoulton</v>
      </c>
      <c r="C534" s="5" t="str">
        <f>_xlfn.XLOOKUP(Total[[#This Row],[Hebras]],TbTecnologia[Hebras],TbTecnologia[Tecnología])</f>
        <v>CUDA</v>
      </c>
      <c r="D534" s="2" t="str" cm="1">
        <f t="array" ref="D534">_xlfn.XLOOKUP(Total[[#This Row],[Tecnología]]&amp;Total[[#This Row],[Metodo]],TbTipos[Tecnología]&amp;TbTipos[Metodo],TbTipos[Tipo])</f>
        <v>CUDA sin graph</v>
      </c>
      <c r="E534" s="2" t="str" cm="1">
        <f t="array" ref="E534">_xlfn.XLOOKUP(Total[[#This Row],[Tecnología]]&amp;Total[[#This Row],[Problema]],TbNombres[Tecnología]&amp;TbNombres[Problema],TbNombres[Nombre])</f>
        <v>Advdiff1d</v>
      </c>
      <c r="F534" s="2">
        <v>5</v>
      </c>
      <c r="G534" s="2">
        <v>4</v>
      </c>
      <c r="H534" s="2">
        <v>256</v>
      </c>
      <c r="I534" s="2">
        <v>1000</v>
      </c>
      <c r="J534" s="2">
        <v>1000</v>
      </c>
      <c r="K534" s="2">
        <v>24.7605</v>
      </c>
    </row>
    <row r="535" spans="2:11" x14ac:dyDescent="0.2">
      <c r="B535" s="5" t="str">
        <f>_xlfn.XLOOKUP(Total[[#This Row],[Metodo]],TbSolver[Metodo],TbSolver[Solver])</f>
        <v>AdamsBashfordMoulton</v>
      </c>
      <c r="C535" s="5" t="str">
        <f>_xlfn.XLOOKUP(Total[[#This Row],[Hebras]],TbTecnologia[Hebras],TbTecnologia[Tecnología])</f>
        <v>CUDA</v>
      </c>
      <c r="D535" s="2" t="str" cm="1">
        <f t="array" ref="D535">_xlfn.XLOOKUP(Total[[#This Row],[Tecnología]]&amp;Total[[#This Row],[Metodo]],TbTipos[Tecnología]&amp;TbTipos[Metodo],TbTipos[Tipo])</f>
        <v>CUDA con graph</v>
      </c>
      <c r="E535" s="2" t="str" cm="1">
        <f t="array" ref="E535">_xlfn.XLOOKUP(Total[[#This Row],[Tecnología]]&amp;Total[[#This Row],[Problema]],TbNombres[Tecnología]&amp;TbNombres[Problema],TbNombres[Nombre])</f>
        <v>Advdiff1d</v>
      </c>
      <c r="F535" s="2">
        <v>6</v>
      </c>
      <c r="G535" s="2">
        <v>4</v>
      </c>
      <c r="H535" s="2">
        <v>256</v>
      </c>
      <c r="I535" s="2">
        <v>5000</v>
      </c>
      <c r="J535" s="2">
        <v>5000</v>
      </c>
      <c r="K535" s="2">
        <v>24.932500000000001</v>
      </c>
    </row>
    <row r="536" spans="2:11" x14ac:dyDescent="0.2">
      <c r="B536" s="5" t="str">
        <f>_xlfn.XLOOKUP(Total[[#This Row],[Metodo]],TbSolver[Metodo],TbSolver[Solver])</f>
        <v>AdamsBashfordMoulton</v>
      </c>
      <c r="C536" s="5" t="str">
        <f>_xlfn.XLOOKUP(Total[[#This Row],[Hebras]],TbTecnologia[Hebras],TbTecnologia[Tecnología])</f>
        <v>CUDA</v>
      </c>
      <c r="D536" s="2" t="str" cm="1">
        <f t="array" ref="D536">_xlfn.XLOOKUP(Total[[#This Row],[Tecnología]]&amp;Total[[#This Row],[Metodo]],TbTipos[Tecnología]&amp;TbTipos[Metodo],TbTipos[Tipo])</f>
        <v>CUDA sin graph</v>
      </c>
      <c r="E536" s="2" t="str" cm="1">
        <f t="array" ref="E536">_xlfn.XLOOKUP(Total[[#This Row],[Tecnología]]&amp;Total[[#This Row],[Problema]],TbNombres[Tecnología]&amp;TbNombres[Problema],TbNombres[Nombre])</f>
        <v>Advdiff1d</v>
      </c>
      <c r="F536" s="2">
        <v>5</v>
      </c>
      <c r="G536" s="2">
        <v>4</v>
      </c>
      <c r="H536" s="2">
        <v>256</v>
      </c>
      <c r="I536" s="2">
        <v>2000</v>
      </c>
      <c r="J536" s="2">
        <v>2000</v>
      </c>
      <c r="K536" s="2">
        <v>24.953700000000001</v>
      </c>
    </row>
    <row r="537" spans="2:11" x14ac:dyDescent="0.2">
      <c r="B537" s="5" t="str">
        <f>_xlfn.XLOOKUP(Total[[#This Row],[Metodo]],TbSolver[Metodo],TbSolver[Solver])</f>
        <v>AdamsBashfordMoulton</v>
      </c>
      <c r="C537" s="5" t="str">
        <f>_xlfn.XLOOKUP(Total[[#This Row],[Hebras]],TbTecnologia[Hebras],TbTecnologia[Tecnología])</f>
        <v>CUDA</v>
      </c>
      <c r="D537" s="2" t="str" cm="1">
        <f t="array" ref="D537">_xlfn.XLOOKUP(Total[[#This Row],[Tecnología]]&amp;Total[[#This Row],[Metodo]],TbTipos[Tecnología]&amp;TbTipos[Metodo],TbTipos[Tipo])</f>
        <v>CUDA sin graph</v>
      </c>
      <c r="E537" s="2" t="str" cm="1">
        <f t="array" ref="E537">_xlfn.XLOOKUP(Total[[#This Row],[Tecnología]]&amp;Total[[#This Row],[Problema]],TbNombres[Tecnología]&amp;TbNombres[Problema],TbNombres[Nombre])</f>
        <v>Advdiff1d</v>
      </c>
      <c r="F537" s="2">
        <v>5</v>
      </c>
      <c r="G537" s="2">
        <v>4</v>
      </c>
      <c r="H537" s="2">
        <v>256</v>
      </c>
      <c r="I537" s="2">
        <v>5000</v>
      </c>
      <c r="J537" s="2">
        <v>5000</v>
      </c>
      <c r="K537" s="2">
        <v>25.251300000000001</v>
      </c>
    </row>
    <row r="538" spans="2:11" x14ac:dyDescent="0.2">
      <c r="B538" s="5" t="str">
        <f>_xlfn.XLOOKUP(Total[[#This Row],[Metodo]],TbSolver[Metodo],TbSolver[Solver])</f>
        <v>AdamsBashfordMoulton</v>
      </c>
      <c r="C538" s="5" t="str">
        <f>_xlfn.XLOOKUP(Total[[#This Row],[Hebras]],TbTecnologia[Hebras],TbTecnologia[Tecnología])</f>
        <v>CUDA</v>
      </c>
      <c r="D538" s="2" t="str" cm="1">
        <f t="array" ref="D538">_xlfn.XLOOKUP(Total[[#This Row],[Tecnología]]&amp;Total[[#This Row],[Metodo]],TbTipos[Tecnología]&amp;TbTipos[Metodo],TbTipos[Tipo])</f>
        <v>CUDA sin graph</v>
      </c>
      <c r="E538" s="2" t="str" cm="1">
        <f t="array" ref="E538">_xlfn.XLOOKUP(Total[[#This Row],[Tecnología]]&amp;Total[[#This Row],[Problema]],TbNombres[Tecnología]&amp;TbNombres[Problema],TbNombres[Nombre])</f>
        <v>Advdiff1d</v>
      </c>
      <c r="F538" s="2">
        <v>5</v>
      </c>
      <c r="G538" s="2">
        <v>3</v>
      </c>
      <c r="H538" s="2">
        <v>256</v>
      </c>
      <c r="I538" s="2">
        <v>20000</v>
      </c>
      <c r="J538" s="2">
        <v>20000</v>
      </c>
      <c r="K538" s="2">
        <v>40.832700000000003</v>
      </c>
    </row>
    <row r="539" spans="2:11" x14ac:dyDescent="0.2">
      <c r="B539" s="5" t="str">
        <f>_xlfn.XLOOKUP(Total[[#This Row],[Metodo]],TbSolver[Metodo],TbSolver[Solver])</f>
        <v>AdamsBashfordMoulton</v>
      </c>
      <c r="C539" s="5" t="str">
        <f>_xlfn.XLOOKUP(Total[[#This Row],[Hebras]],TbTecnologia[Hebras],TbTecnologia[Tecnología])</f>
        <v>CUDA</v>
      </c>
      <c r="D539" s="2" t="str" cm="1">
        <f t="array" ref="D539">_xlfn.XLOOKUP(Total[[#This Row],[Tecnología]]&amp;Total[[#This Row],[Metodo]],TbTipos[Tecnología]&amp;TbTipos[Metodo],TbTipos[Tipo])</f>
        <v>CUDA sin graph</v>
      </c>
      <c r="E539" s="2" t="str" cm="1">
        <f t="array" ref="E539">_xlfn.XLOOKUP(Total[[#This Row],[Tecnología]]&amp;Total[[#This Row],[Problema]],TbNombres[Tecnología]&amp;TbNombres[Problema],TbNombres[Nombre])</f>
        <v>Advdiff1d</v>
      </c>
      <c r="F539" s="2">
        <v>5</v>
      </c>
      <c r="G539" s="2">
        <v>3</v>
      </c>
      <c r="H539" s="2">
        <v>256</v>
      </c>
      <c r="I539" s="2">
        <v>50000</v>
      </c>
      <c r="J539" s="2">
        <v>50000</v>
      </c>
      <c r="K539" s="2">
        <v>58.4223</v>
      </c>
    </row>
    <row r="540" spans="2:11" x14ac:dyDescent="0.2">
      <c r="B540" s="5" t="str">
        <f>_xlfn.XLOOKUP(Total[[#This Row],[Metodo]],TbSolver[Metodo],TbSolver[Solver])</f>
        <v>AdamsBashfordMoulton</v>
      </c>
      <c r="C540" s="5" t="str">
        <f>_xlfn.XLOOKUP(Total[[#This Row],[Hebras]],TbTecnologia[Hebras],TbTecnologia[Tecnología])</f>
        <v>CUDA</v>
      </c>
      <c r="D540" s="2" t="str" cm="1">
        <f t="array" ref="D540">_xlfn.XLOOKUP(Total[[#This Row],[Tecnología]]&amp;Total[[#This Row],[Metodo]],TbTipos[Tecnología]&amp;TbTipos[Metodo],TbTipos[Tipo])</f>
        <v>CUDA sin graph</v>
      </c>
      <c r="E540" s="2" t="str" cm="1">
        <f t="array" ref="E540">_xlfn.XLOOKUP(Total[[#This Row],[Tecnología]]&amp;Total[[#This Row],[Problema]],TbNombres[Tecnología]&amp;TbNombres[Problema],TbNombres[Nombre])</f>
        <v>Advdiff1d</v>
      </c>
      <c r="F540" s="2">
        <v>5</v>
      </c>
      <c r="G540" s="2">
        <v>3</v>
      </c>
      <c r="H540" s="2">
        <v>256</v>
      </c>
      <c r="I540" s="2">
        <v>100000</v>
      </c>
      <c r="J540" s="2">
        <v>100000</v>
      </c>
      <c r="K540" s="2">
        <v>116.55800000000001</v>
      </c>
    </row>
    <row r="541" spans="2:11" x14ac:dyDescent="0.2">
      <c r="B541" s="5" t="str">
        <f>_xlfn.XLOOKUP(Total[[#This Row],[Metodo]],TbSolver[Metodo],TbSolver[Solver])</f>
        <v>AdamsBashfordMoulton</v>
      </c>
      <c r="C541" s="5" t="str">
        <f>_xlfn.XLOOKUP(Total[[#This Row],[Hebras]],TbTecnologia[Hebras],TbTecnologia[Tecnología])</f>
        <v>CUDA</v>
      </c>
      <c r="D541" s="2" t="str" cm="1">
        <f t="array" ref="D541">_xlfn.XLOOKUP(Total[[#This Row],[Tecnología]]&amp;Total[[#This Row],[Metodo]],TbTipos[Tecnología]&amp;TbTipos[Metodo],TbTipos[Tipo])</f>
        <v>CUDA sin graph</v>
      </c>
      <c r="E541" s="2" t="str" cm="1">
        <f t="array" ref="E541">_xlfn.XLOOKUP(Total[[#This Row],[Tecnología]]&amp;Total[[#This Row],[Problema]],TbNombres[Tecnología]&amp;TbNombres[Problema],TbNombres[Nombre])</f>
        <v>Advdiff1d</v>
      </c>
      <c r="F541" s="2">
        <v>5</v>
      </c>
      <c r="G541" s="2">
        <v>3</v>
      </c>
      <c r="H541" s="2">
        <v>256</v>
      </c>
      <c r="I541" s="2">
        <v>200000</v>
      </c>
      <c r="J541" s="2">
        <v>200000</v>
      </c>
      <c r="K541" s="2">
        <v>240.96799999999999</v>
      </c>
    </row>
    <row r="542" spans="2:11" x14ac:dyDescent="0.2">
      <c r="B542" s="5" t="str">
        <f>_xlfn.XLOOKUP(Total[[#This Row],[Metodo]],TbSolver[Metodo],TbSolver[Solver])</f>
        <v>AdamsBashfordMoulton</v>
      </c>
      <c r="C542" s="5" t="str">
        <f>_xlfn.XLOOKUP(Total[[#This Row],[Hebras]],TbTecnologia[Hebras],TbTecnologia[Tecnología])</f>
        <v>OMP</v>
      </c>
      <c r="D542" s="7" t="str" cm="1">
        <f t="array" ref="D542">_xlfn.XLOOKUP(Total[[#This Row],[Tecnología]]&amp;Total[[#This Row],[Metodo]],TbTipos[Tecnología]&amp;TbTipos[Metodo],TbTipos[Tipo])</f>
        <v>OMP Operaciones</v>
      </c>
      <c r="E542" s="6" t="str" cm="1">
        <f t="array" ref="E542">_xlfn.XLOOKUP(Total[[#This Row],[Tecnología]]&amp;Total[[#This Row],[Problema]],TbNombres[Tecnología]&amp;TbNombres[Problema],TbNombres[Nombre])</f>
        <v>Advdiff1d</v>
      </c>
      <c r="F542" s="6">
        <v>5</v>
      </c>
      <c r="G542" s="6">
        <v>2</v>
      </c>
      <c r="H542" s="6">
        <v>1</v>
      </c>
      <c r="I542" s="6">
        <v>100</v>
      </c>
      <c r="J542" s="6">
        <v>100</v>
      </c>
      <c r="K542" s="6">
        <v>11.7964</v>
      </c>
    </row>
    <row r="543" spans="2:11" x14ac:dyDescent="0.2">
      <c r="B543" s="5" t="str">
        <f>_xlfn.XLOOKUP(Total[[#This Row],[Metodo]],TbSolver[Metodo],TbSolver[Solver])</f>
        <v>AdamsBashfordMoulton</v>
      </c>
      <c r="C543" s="5" t="str">
        <f>_xlfn.XLOOKUP(Total[[#This Row],[Hebras]],TbTecnologia[Hebras],TbTecnologia[Tecnología])</f>
        <v>OMP</v>
      </c>
      <c r="D543" s="7" t="str" cm="1">
        <f t="array" ref="D543">_xlfn.XLOOKUP(Total[[#This Row],[Tecnología]]&amp;Total[[#This Row],[Metodo]],TbTipos[Tecnología]&amp;TbTipos[Metodo],TbTipos[Tipo])</f>
        <v>OMP Operaciones</v>
      </c>
      <c r="E543" s="6" t="str" cm="1">
        <f t="array" ref="E543">_xlfn.XLOOKUP(Total[[#This Row],[Tecnología]]&amp;Total[[#This Row],[Problema]],TbNombres[Tecnología]&amp;TbNombres[Problema],TbNombres[Nombre])</f>
        <v>Advdiff1d</v>
      </c>
      <c r="F543" s="6">
        <v>5</v>
      </c>
      <c r="G543" s="6">
        <v>2</v>
      </c>
      <c r="H543" s="6">
        <v>4</v>
      </c>
      <c r="I543" s="6">
        <v>100</v>
      </c>
      <c r="J543" s="6">
        <v>100</v>
      </c>
      <c r="K543" s="6">
        <v>59.247900000000001</v>
      </c>
    </row>
    <row r="544" spans="2:11" x14ac:dyDescent="0.2">
      <c r="B544" s="5" t="str">
        <f>_xlfn.XLOOKUP(Total[[#This Row],[Metodo]],TbSolver[Metodo],TbSolver[Solver])</f>
        <v>AdamsBashfordMoulton</v>
      </c>
      <c r="C544" s="5" t="str">
        <f>_xlfn.XLOOKUP(Total[[#This Row],[Hebras]],TbTecnologia[Hebras],TbTecnologia[Tecnología])</f>
        <v>OMP</v>
      </c>
      <c r="D544" s="7" t="str" cm="1">
        <f t="array" ref="D544">_xlfn.XLOOKUP(Total[[#This Row],[Tecnología]]&amp;Total[[#This Row],[Metodo]],TbTipos[Tecnología]&amp;TbTipos[Metodo],TbTipos[Tipo])</f>
        <v>OMP Operaciones</v>
      </c>
      <c r="E544" s="6" t="str" cm="1">
        <f t="array" ref="E544">_xlfn.XLOOKUP(Total[[#This Row],[Tecnología]]&amp;Total[[#This Row],[Problema]],TbNombres[Tecnología]&amp;TbNombres[Problema],TbNombres[Nombre])</f>
        <v>Advdiff1d</v>
      </c>
      <c r="F544" s="6">
        <v>5</v>
      </c>
      <c r="G544" s="6">
        <v>2</v>
      </c>
      <c r="H544" s="6">
        <v>16</v>
      </c>
      <c r="I544" s="6">
        <v>100</v>
      </c>
      <c r="J544" s="6">
        <v>100</v>
      </c>
      <c r="K544" s="6">
        <v>139.191</v>
      </c>
    </row>
    <row r="545" spans="2:11" x14ac:dyDescent="0.2">
      <c r="B545" s="5" t="str">
        <f>_xlfn.XLOOKUP(Total[[#This Row],[Metodo]],TbSolver[Metodo],TbSolver[Solver])</f>
        <v>AdamsBashfordMoulton</v>
      </c>
      <c r="C545" s="5" t="str">
        <f>_xlfn.XLOOKUP(Total[[#This Row],[Hebras]],TbTecnologia[Hebras],TbTecnologia[Tecnología])</f>
        <v>OMP</v>
      </c>
      <c r="D545" s="7" t="str" cm="1">
        <f t="array" ref="D545">_xlfn.XLOOKUP(Total[[#This Row],[Tecnología]]&amp;Total[[#This Row],[Metodo]],TbTipos[Tecnología]&amp;TbTipos[Metodo],TbTipos[Tipo])</f>
        <v>OMP Operaciones</v>
      </c>
      <c r="E545" s="6" t="str" cm="1">
        <f t="array" ref="E545">_xlfn.XLOOKUP(Total[[#This Row],[Tecnología]]&amp;Total[[#This Row],[Problema]],TbNombres[Tecnología]&amp;TbNombres[Problema],TbNombres[Nombre])</f>
        <v>Advdiff1d</v>
      </c>
      <c r="F545" s="6">
        <v>5</v>
      </c>
      <c r="G545" s="6">
        <v>2</v>
      </c>
      <c r="H545" s="6">
        <v>1</v>
      </c>
      <c r="I545" s="6">
        <v>200</v>
      </c>
      <c r="J545" s="6">
        <v>200</v>
      </c>
      <c r="K545" s="6">
        <v>18.9529</v>
      </c>
    </row>
    <row r="546" spans="2:11" x14ac:dyDescent="0.2">
      <c r="B546" s="5" t="str">
        <f>_xlfn.XLOOKUP(Total[[#This Row],[Metodo]],TbSolver[Metodo],TbSolver[Solver])</f>
        <v>AdamsBashfordMoulton</v>
      </c>
      <c r="C546" s="5" t="str">
        <f>_xlfn.XLOOKUP(Total[[#This Row],[Hebras]],TbTecnologia[Hebras],TbTecnologia[Tecnología])</f>
        <v>OMP</v>
      </c>
      <c r="D546" s="7" t="str" cm="1">
        <f t="array" ref="D546">_xlfn.XLOOKUP(Total[[#This Row],[Tecnología]]&amp;Total[[#This Row],[Metodo]],TbTipos[Tecnología]&amp;TbTipos[Metodo],TbTipos[Tipo])</f>
        <v>OMP Operaciones</v>
      </c>
      <c r="E546" s="6" t="str" cm="1">
        <f t="array" ref="E546">_xlfn.XLOOKUP(Total[[#This Row],[Tecnología]]&amp;Total[[#This Row],[Problema]],TbNombres[Tecnología]&amp;TbNombres[Problema],TbNombres[Nombre])</f>
        <v>Advdiff1d</v>
      </c>
      <c r="F546" s="6">
        <v>5</v>
      </c>
      <c r="G546" s="6">
        <v>2</v>
      </c>
      <c r="H546" s="6">
        <v>4</v>
      </c>
      <c r="I546" s="6">
        <v>200</v>
      </c>
      <c r="J546" s="6">
        <v>200</v>
      </c>
      <c r="K546" s="6">
        <v>50.182699999999997</v>
      </c>
    </row>
    <row r="547" spans="2:11" x14ac:dyDescent="0.2">
      <c r="B547" s="5" t="str">
        <f>_xlfn.XLOOKUP(Total[[#This Row],[Metodo]],TbSolver[Metodo],TbSolver[Solver])</f>
        <v>AdamsBashfordMoulton</v>
      </c>
      <c r="C547" s="5" t="str">
        <f>_xlfn.XLOOKUP(Total[[#This Row],[Hebras]],TbTecnologia[Hebras],TbTecnologia[Tecnología])</f>
        <v>OMP</v>
      </c>
      <c r="D547" s="7" t="str" cm="1">
        <f t="array" ref="D547">_xlfn.XLOOKUP(Total[[#This Row],[Tecnología]]&amp;Total[[#This Row],[Metodo]],TbTipos[Tecnología]&amp;TbTipos[Metodo],TbTipos[Tipo])</f>
        <v>OMP Operaciones</v>
      </c>
      <c r="E547" s="6" t="str" cm="1">
        <f t="array" ref="E547">_xlfn.XLOOKUP(Total[[#This Row],[Tecnología]]&amp;Total[[#This Row],[Problema]],TbNombres[Tecnología]&amp;TbNombres[Problema],TbNombres[Nombre])</f>
        <v>Advdiff1d</v>
      </c>
      <c r="F547" s="6">
        <v>5</v>
      </c>
      <c r="G547" s="6">
        <v>2</v>
      </c>
      <c r="H547" s="6">
        <v>16</v>
      </c>
      <c r="I547" s="6">
        <v>200</v>
      </c>
      <c r="J547" s="6">
        <v>200</v>
      </c>
      <c r="K547" s="6">
        <v>107.85299999999999</v>
      </c>
    </row>
    <row r="548" spans="2:11" x14ac:dyDescent="0.2">
      <c r="B548" s="5" t="str">
        <f>_xlfn.XLOOKUP(Total[[#This Row],[Metodo]],TbSolver[Metodo],TbSolver[Solver])</f>
        <v>AdamsBashfordMoulton</v>
      </c>
      <c r="C548" s="5" t="str">
        <f>_xlfn.XLOOKUP(Total[[#This Row],[Hebras]],TbTecnologia[Hebras],TbTecnologia[Tecnología])</f>
        <v>OMP</v>
      </c>
      <c r="D548" s="7" t="str" cm="1">
        <f t="array" ref="D548">_xlfn.XLOOKUP(Total[[#This Row],[Tecnología]]&amp;Total[[#This Row],[Metodo]],TbTipos[Tecnología]&amp;TbTipos[Metodo],TbTipos[Tipo])</f>
        <v>OMP Operaciones</v>
      </c>
      <c r="E548" s="6" t="str" cm="1">
        <f t="array" ref="E548">_xlfn.XLOOKUP(Total[[#This Row],[Tecnología]]&amp;Total[[#This Row],[Problema]],TbNombres[Tecnología]&amp;TbNombres[Problema],TbNombres[Nombre])</f>
        <v>Advdiff1d</v>
      </c>
      <c r="F548" s="6">
        <v>5</v>
      </c>
      <c r="G548" s="6">
        <v>2</v>
      </c>
      <c r="H548" s="6">
        <v>1</v>
      </c>
      <c r="I548" s="6">
        <v>500</v>
      </c>
      <c r="J548" s="6">
        <v>500</v>
      </c>
      <c r="K548" s="6">
        <v>38.900799999999997</v>
      </c>
    </row>
    <row r="549" spans="2:11" x14ac:dyDescent="0.2">
      <c r="B549" s="5" t="str">
        <f>_xlfn.XLOOKUP(Total[[#This Row],[Metodo]],TbSolver[Metodo],TbSolver[Solver])</f>
        <v>AdamsBashfordMoulton</v>
      </c>
      <c r="C549" s="5" t="str">
        <f>_xlfn.XLOOKUP(Total[[#This Row],[Hebras]],TbTecnologia[Hebras],TbTecnologia[Tecnología])</f>
        <v>OMP</v>
      </c>
      <c r="D549" s="7" t="str" cm="1">
        <f t="array" ref="D549">_xlfn.XLOOKUP(Total[[#This Row],[Tecnología]]&amp;Total[[#This Row],[Metodo]],TbTipos[Tecnología]&amp;TbTipos[Metodo],TbTipos[Tipo])</f>
        <v>OMP Operaciones</v>
      </c>
      <c r="E549" s="6" t="str" cm="1">
        <f t="array" ref="E549">_xlfn.XLOOKUP(Total[[#This Row],[Tecnología]]&amp;Total[[#This Row],[Problema]],TbNombres[Tecnología]&amp;TbNombres[Problema],TbNombres[Nombre])</f>
        <v>Advdiff1d</v>
      </c>
      <c r="F549" s="6">
        <v>5</v>
      </c>
      <c r="G549" s="6">
        <v>2</v>
      </c>
      <c r="H549" s="6">
        <v>4</v>
      </c>
      <c r="I549" s="6">
        <v>500</v>
      </c>
      <c r="J549" s="6">
        <v>500</v>
      </c>
      <c r="K549" s="6">
        <v>64.753900000000002</v>
      </c>
    </row>
    <row r="550" spans="2:11" x14ac:dyDescent="0.2">
      <c r="B550" s="5" t="str">
        <f>_xlfn.XLOOKUP(Total[[#This Row],[Metodo]],TbSolver[Metodo],TbSolver[Solver])</f>
        <v>AdamsBashfordMoulton</v>
      </c>
      <c r="C550" s="5" t="str">
        <f>_xlfn.XLOOKUP(Total[[#This Row],[Hebras]],TbTecnologia[Hebras],TbTecnologia[Tecnología])</f>
        <v>OMP</v>
      </c>
      <c r="D550" s="7" t="str" cm="1">
        <f t="array" ref="D550">_xlfn.XLOOKUP(Total[[#This Row],[Tecnología]]&amp;Total[[#This Row],[Metodo]],TbTipos[Tecnología]&amp;TbTipos[Metodo],TbTipos[Tipo])</f>
        <v>OMP Operaciones</v>
      </c>
      <c r="E550" s="6" t="str" cm="1">
        <f t="array" ref="E550">_xlfn.XLOOKUP(Total[[#This Row],[Tecnología]]&amp;Total[[#This Row],[Problema]],TbNombres[Tecnología]&amp;TbNombres[Problema],TbNombres[Nombre])</f>
        <v>Advdiff1d</v>
      </c>
      <c r="F550" s="6">
        <v>5</v>
      </c>
      <c r="G550" s="6">
        <v>2</v>
      </c>
      <c r="H550" s="6">
        <v>16</v>
      </c>
      <c r="I550" s="6">
        <v>500</v>
      </c>
      <c r="J550" s="6">
        <v>500</v>
      </c>
      <c r="K550" s="6">
        <v>132.91999999999999</v>
      </c>
    </row>
    <row r="551" spans="2:11" x14ac:dyDescent="0.2">
      <c r="B551" s="5" t="str">
        <f>_xlfn.XLOOKUP(Total[[#This Row],[Metodo]],TbSolver[Metodo],TbSolver[Solver])</f>
        <v>AdamsBashfordMoulton</v>
      </c>
      <c r="C551" s="5" t="str">
        <f>_xlfn.XLOOKUP(Total[[#This Row],[Hebras]],TbTecnologia[Hebras],TbTecnologia[Tecnología])</f>
        <v>OMP</v>
      </c>
      <c r="D551" s="7" t="str" cm="1">
        <f t="array" ref="D551">_xlfn.XLOOKUP(Total[[#This Row],[Tecnología]]&amp;Total[[#This Row],[Metodo]],TbTipos[Tecnología]&amp;TbTipos[Metodo],TbTipos[Tipo])</f>
        <v>OMP Operaciones</v>
      </c>
      <c r="E551" s="6" t="str" cm="1">
        <f t="array" ref="E551">_xlfn.XLOOKUP(Total[[#This Row],[Tecnología]]&amp;Total[[#This Row],[Problema]],TbNombres[Tecnología]&amp;TbNombres[Problema],TbNombres[Nombre])</f>
        <v>Advdiff1d</v>
      </c>
      <c r="F551" s="6">
        <v>5</v>
      </c>
      <c r="G551" s="6">
        <v>2</v>
      </c>
      <c r="H551" s="6">
        <v>1</v>
      </c>
      <c r="I551" s="6">
        <v>1000</v>
      </c>
      <c r="J551" s="6">
        <v>1000</v>
      </c>
      <c r="K551" s="6">
        <v>73.342799999999997</v>
      </c>
    </row>
    <row r="552" spans="2:11" x14ac:dyDescent="0.2">
      <c r="B552" s="5" t="str">
        <f>_xlfn.XLOOKUP(Total[[#This Row],[Metodo]],TbSolver[Metodo],TbSolver[Solver])</f>
        <v>AdamsBashfordMoulton</v>
      </c>
      <c r="C552" s="5" t="str">
        <f>_xlfn.XLOOKUP(Total[[#This Row],[Hebras]],TbTecnologia[Hebras],TbTecnologia[Tecnología])</f>
        <v>OMP</v>
      </c>
      <c r="D552" s="7" t="str" cm="1">
        <f t="array" ref="D552">_xlfn.XLOOKUP(Total[[#This Row],[Tecnología]]&amp;Total[[#This Row],[Metodo]],TbTipos[Tecnología]&amp;TbTipos[Metodo],TbTipos[Tipo])</f>
        <v>OMP Operaciones</v>
      </c>
      <c r="E552" s="6" t="str" cm="1">
        <f t="array" ref="E552">_xlfn.XLOOKUP(Total[[#This Row],[Tecnología]]&amp;Total[[#This Row],[Problema]],TbNombres[Tecnología]&amp;TbNombres[Problema],TbNombres[Nombre])</f>
        <v>Advdiff1d</v>
      </c>
      <c r="F552" s="6">
        <v>5</v>
      </c>
      <c r="G552" s="6">
        <v>2</v>
      </c>
      <c r="H552" s="6">
        <v>4</v>
      </c>
      <c r="I552" s="6">
        <v>1000</v>
      </c>
      <c r="J552" s="6">
        <v>1000</v>
      </c>
      <c r="K552" s="6">
        <v>66.462500000000006</v>
      </c>
    </row>
    <row r="553" spans="2:11" x14ac:dyDescent="0.2">
      <c r="B553" s="5" t="str">
        <f>_xlfn.XLOOKUP(Total[[#This Row],[Metodo]],TbSolver[Metodo],TbSolver[Solver])</f>
        <v>AdamsBashfordMoulton</v>
      </c>
      <c r="C553" s="5" t="str">
        <f>_xlfn.XLOOKUP(Total[[#This Row],[Hebras]],TbTecnologia[Hebras],TbTecnologia[Tecnología])</f>
        <v>OMP</v>
      </c>
      <c r="D553" s="7" t="str" cm="1">
        <f t="array" ref="D553">_xlfn.XLOOKUP(Total[[#This Row],[Tecnología]]&amp;Total[[#This Row],[Metodo]],TbTipos[Tecnología]&amp;TbTipos[Metodo],TbTipos[Tipo])</f>
        <v>OMP Operaciones</v>
      </c>
      <c r="E553" s="6" t="str" cm="1">
        <f t="array" ref="E553">_xlfn.XLOOKUP(Total[[#This Row],[Tecnología]]&amp;Total[[#This Row],[Problema]],TbNombres[Tecnología]&amp;TbNombres[Problema],TbNombres[Nombre])</f>
        <v>Advdiff1d</v>
      </c>
      <c r="F553" s="6">
        <v>5</v>
      </c>
      <c r="G553" s="6">
        <v>2</v>
      </c>
      <c r="H553" s="6">
        <v>16</v>
      </c>
      <c r="I553" s="6">
        <v>1000</v>
      </c>
      <c r="J553" s="6">
        <v>1000</v>
      </c>
      <c r="K553" s="6">
        <v>106.63500000000001</v>
      </c>
    </row>
    <row r="554" spans="2:11" x14ac:dyDescent="0.2">
      <c r="B554" s="5" t="str">
        <f>_xlfn.XLOOKUP(Total[[#This Row],[Metodo]],TbSolver[Metodo],TbSolver[Solver])</f>
        <v>AdamsBashfordMoulton</v>
      </c>
      <c r="C554" s="5" t="str">
        <f>_xlfn.XLOOKUP(Total[[#This Row],[Hebras]],TbTecnologia[Hebras],TbTecnologia[Tecnología])</f>
        <v>OMP</v>
      </c>
      <c r="D554" s="7" t="str" cm="1">
        <f t="array" ref="D554">_xlfn.XLOOKUP(Total[[#This Row],[Tecnología]]&amp;Total[[#This Row],[Metodo]],TbTipos[Tecnología]&amp;TbTipos[Metodo],TbTipos[Tipo])</f>
        <v>OMP Elementos</v>
      </c>
      <c r="E554" s="6" t="str" cm="1">
        <f t="array" ref="E554">_xlfn.XLOOKUP(Total[[#This Row],[Tecnología]]&amp;Total[[#This Row],[Problema]],TbNombres[Tecnología]&amp;TbNombres[Problema],TbNombres[Nombre])</f>
        <v>Advdiff1d</v>
      </c>
      <c r="F554" s="6">
        <v>6</v>
      </c>
      <c r="G554" s="6">
        <v>2</v>
      </c>
      <c r="H554" s="6">
        <v>1</v>
      </c>
      <c r="I554" s="6">
        <v>100</v>
      </c>
      <c r="J554" s="6">
        <v>100</v>
      </c>
      <c r="K554" s="6">
        <v>10.048400000000001</v>
      </c>
    </row>
    <row r="555" spans="2:11" x14ac:dyDescent="0.2">
      <c r="B555" s="5" t="str">
        <f>_xlfn.XLOOKUP(Total[[#This Row],[Metodo]],TbSolver[Metodo],TbSolver[Solver])</f>
        <v>AdamsBashfordMoulton</v>
      </c>
      <c r="C555" s="5" t="str">
        <f>_xlfn.XLOOKUP(Total[[#This Row],[Hebras]],TbTecnologia[Hebras],TbTecnologia[Tecnología])</f>
        <v>OMP</v>
      </c>
      <c r="D555" s="7" t="str" cm="1">
        <f t="array" ref="D555">_xlfn.XLOOKUP(Total[[#This Row],[Tecnología]]&amp;Total[[#This Row],[Metodo]],TbTipos[Tecnología]&amp;TbTipos[Metodo],TbTipos[Tipo])</f>
        <v>OMP Elementos</v>
      </c>
      <c r="E555" s="6" t="str" cm="1">
        <f t="array" ref="E555">_xlfn.XLOOKUP(Total[[#This Row],[Tecnología]]&amp;Total[[#This Row],[Problema]],TbNombres[Tecnología]&amp;TbNombres[Problema],TbNombres[Nombre])</f>
        <v>Advdiff1d</v>
      </c>
      <c r="F555" s="6">
        <v>6</v>
      </c>
      <c r="G555" s="6">
        <v>2</v>
      </c>
      <c r="H555" s="6">
        <v>4</v>
      </c>
      <c r="I555" s="6">
        <v>100</v>
      </c>
      <c r="J555" s="6">
        <v>100</v>
      </c>
      <c r="K555" s="6">
        <v>12.5639</v>
      </c>
    </row>
    <row r="556" spans="2:11" x14ac:dyDescent="0.2">
      <c r="B556" s="5" t="str">
        <f>_xlfn.XLOOKUP(Total[[#This Row],[Metodo]],TbSolver[Metodo],TbSolver[Solver])</f>
        <v>AdamsBashfordMoulton</v>
      </c>
      <c r="C556" s="5" t="str">
        <f>_xlfn.XLOOKUP(Total[[#This Row],[Hebras]],TbTecnologia[Hebras],TbTecnologia[Tecnología])</f>
        <v>OMP</v>
      </c>
      <c r="D556" s="7" t="str" cm="1">
        <f t="array" ref="D556">_xlfn.XLOOKUP(Total[[#This Row],[Tecnología]]&amp;Total[[#This Row],[Metodo]],TbTipos[Tecnología]&amp;TbTipos[Metodo],TbTipos[Tipo])</f>
        <v>OMP Elementos</v>
      </c>
      <c r="E556" s="6" t="str" cm="1">
        <f t="array" ref="E556">_xlfn.XLOOKUP(Total[[#This Row],[Tecnología]]&amp;Total[[#This Row],[Problema]],TbNombres[Tecnología]&amp;TbNombres[Problema],TbNombres[Nombre])</f>
        <v>Advdiff1d</v>
      </c>
      <c r="F556" s="6">
        <v>6</v>
      </c>
      <c r="G556" s="6">
        <v>2</v>
      </c>
      <c r="H556" s="6">
        <v>16</v>
      </c>
      <c r="I556" s="6">
        <v>100</v>
      </c>
      <c r="J556" s="6">
        <v>100</v>
      </c>
      <c r="K556" s="6">
        <v>33.165700000000001</v>
      </c>
    </row>
    <row r="557" spans="2:11" x14ac:dyDescent="0.2">
      <c r="B557" s="5" t="str">
        <f>_xlfn.XLOOKUP(Total[[#This Row],[Metodo]],TbSolver[Metodo],TbSolver[Solver])</f>
        <v>AdamsBashfordMoulton</v>
      </c>
      <c r="C557" s="5" t="str">
        <f>_xlfn.XLOOKUP(Total[[#This Row],[Hebras]],TbTecnologia[Hebras],TbTecnologia[Tecnología])</f>
        <v>OMP</v>
      </c>
      <c r="D557" s="7" t="str" cm="1">
        <f t="array" ref="D557">_xlfn.XLOOKUP(Total[[#This Row],[Tecnología]]&amp;Total[[#This Row],[Metodo]],TbTipos[Tecnología]&amp;TbTipos[Metodo],TbTipos[Tipo])</f>
        <v>OMP Elementos</v>
      </c>
      <c r="E557" s="6" t="str" cm="1">
        <f t="array" ref="E557">_xlfn.XLOOKUP(Total[[#This Row],[Tecnología]]&amp;Total[[#This Row],[Problema]],TbNombres[Tecnología]&amp;TbNombres[Problema],TbNombres[Nombre])</f>
        <v>Advdiff1d</v>
      </c>
      <c r="F557" s="6">
        <v>6</v>
      </c>
      <c r="G557" s="6">
        <v>2</v>
      </c>
      <c r="H557" s="6">
        <v>1</v>
      </c>
      <c r="I557" s="6">
        <v>200</v>
      </c>
      <c r="J557" s="6">
        <v>200</v>
      </c>
      <c r="K557" s="6">
        <v>19.096499999999999</v>
      </c>
    </row>
    <row r="558" spans="2:11" x14ac:dyDescent="0.2">
      <c r="B558" s="5" t="str">
        <f>_xlfn.XLOOKUP(Total[[#This Row],[Metodo]],TbSolver[Metodo],TbSolver[Solver])</f>
        <v>AdamsBashfordMoulton</v>
      </c>
      <c r="C558" s="5" t="str">
        <f>_xlfn.XLOOKUP(Total[[#This Row],[Hebras]],TbTecnologia[Hebras],TbTecnologia[Tecnología])</f>
        <v>OMP</v>
      </c>
      <c r="D558" s="7" t="str" cm="1">
        <f t="array" ref="D558">_xlfn.XLOOKUP(Total[[#This Row],[Tecnología]]&amp;Total[[#This Row],[Metodo]],TbTipos[Tecnología]&amp;TbTipos[Metodo],TbTipos[Tipo])</f>
        <v>OMP Elementos</v>
      </c>
      <c r="E558" s="6" t="str" cm="1">
        <f t="array" ref="E558">_xlfn.XLOOKUP(Total[[#This Row],[Tecnología]]&amp;Total[[#This Row],[Problema]],TbNombres[Tecnología]&amp;TbNombres[Problema],TbNombres[Nombre])</f>
        <v>Advdiff1d</v>
      </c>
      <c r="F558" s="6">
        <v>6</v>
      </c>
      <c r="G558" s="6">
        <v>2</v>
      </c>
      <c r="H558" s="6">
        <v>4</v>
      </c>
      <c r="I558" s="6">
        <v>200</v>
      </c>
      <c r="J558" s="6">
        <v>200</v>
      </c>
      <c r="K558" s="6">
        <v>13.9816</v>
      </c>
    </row>
    <row r="559" spans="2:11" x14ac:dyDescent="0.2">
      <c r="B559" s="5" t="str">
        <f>_xlfn.XLOOKUP(Total[[#This Row],[Metodo]],TbSolver[Metodo],TbSolver[Solver])</f>
        <v>AdamsBashfordMoulton</v>
      </c>
      <c r="C559" s="5" t="str">
        <f>_xlfn.XLOOKUP(Total[[#This Row],[Hebras]],TbTecnologia[Hebras],TbTecnologia[Tecnología])</f>
        <v>OMP</v>
      </c>
      <c r="D559" s="7" t="str" cm="1">
        <f t="array" ref="D559">_xlfn.XLOOKUP(Total[[#This Row],[Tecnología]]&amp;Total[[#This Row],[Metodo]],TbTipos[Tecnología]&amp;TbTipos[Metodo],TbTipos[Tipo])</f>
        <v>OMP Elementos</v>
      </c>
      <c r="E559" s="6" t="str" cm="1">
        <f t="array" ref="E559">_xlfn.XLOOKUP(Total[[#This Row],[Tecnología]]&amp;Total[[#This Row],[Problema]],TbNombres[Tecnología]&amp;TbNombres[Problema],TbNombres[Nombre])</f>
        <v>Advdiff1d</v>
      </c>
      <c r="F559" s="6">
        <v>6</v>
      </c>
      <c r="G559" s="6">
        <v>2</v>
      </c>
      <c r="H559" s="6">
        <v>16</v>
      </c>
      <c r="I559" s="6">
        <v>200</v>
      </c>
      <c r="J559" s="6">
        <v>200</v>
      </c>
      <c r="K559" s="6">
        <v>41.667099999999998</v>
      </c>
    </row>
    <row r="560" spans="2:11" x14ac:dyDescent="0.2">
      <c r="B560" s="5" t="str">
        <f>_xlfn.XLOOKUP(Total[[#This Row],[Metodo]],TbSolver[Metodo],TbSolver[Solver])</f>
        <v>AdamsBashfordMoulton</v>
      </c>
      <c r="C560" s="5" t="str">
        <f>_xlfn.XLOOKUP(Total[[#This Row],[Hebras]],TbTecnologia[Hebras],TbTecnologia[Tecnología])</f>
        <v>OMP</v>
      </c>
      <c r="D560" s="7" t="str" cm="1">
        <f t="array" ref="D560">_xlfn.XLOOKUP(Total[[#This Row],[Tecnología]]&amp;Total[[#This Row],[Metodo]],TbTipos[Tecnología]&amp;TbTipos[Metodo],TbTipos[Tipo])</f>
        <v>OMP Elementos</v>
      </c>
      <c r="E560" s="6" t="str" cm="1">
        <f t="array" ref="E560">_xlfn.XLOOKUP(Total[[#This Row],[Tecnología]]&amp;Total[[#This Row],[Problema]],TbNombres[Tecnología]&amp;TbNombres[Problema],TbNombres[Nombre])</f>
        <v>Advdiff1d</v>
      </c>
      <c r="F560" s="6">
        <v>6</v>
      </c>
      <c r="G560" s="6">
        <v>2</v>
      </c>
      <c r="H560" s="6">
        <v>1</v>
      </c>
      <c r="I560" s="6">
        <v>500</v>
      </c>
      <c r="J560" s="6">
        <v>500</v>
      </c>
      <c r="K560" s="6">
        <v>46.477200000000003</v>
      </c>
    </row>
    <row r="561" spans="2:11" x14ac:dyDescent="0.2">
      <c r="B561" s="5" t="str">
        <f>_xlfn.XLOOKUP(Total[[#This Row],[Metodo]],TbSolver[Metodo],TbSolver[Solver])</f>
        <v>AdamsBashfordMoulton</v>
      </c>
      <c r="C561" s="5" t="str">
        <f>_xlfn.XLOOKUP(Total[[#This Row],[Hebras]],TbTecnologia[Hebras],TbTecnologia[Tecnología])</f>
        <v>OMP</v>
      </c>
      <c r="D561" s="7" t="str" cm="1">
        <f t="array" ref="D561">_xlfn.XLOOKUP(Total[[#This Row],[Tecnología]]&amp;Total[[#This Row],[Metodo]],TbTipos[Tecnología]&amp;TbTipos[Metodo],TbTipos[Tipo])</f>
        <v>OMP Elementos</v>
      </c>
      <c r="E561" s="6" t="str" cm="1">
        <f t="array" ref="E561">_xlfn.XLOOKUP(Total[[#This Row],[Tecnología]]&amp;Total[[#This Row],[Problema]],TbNombres[Tecnología]&amp;TbNombres[Problema],TbNombres[Nombre])</f>
        <v>Advdiff1d</v>
      </c>
      <c r="F561" s="6">
        <v>6</v>
      </c>
      <c r="G561" s="6">
        <v>2</v>
      </c>
      <c r="H561" s="6">
        <v>4</v>
      </c>
      <c r="I561" s="6">
        <v>500</v>
      </c>
      <c r="J561" s="6">
        <v>500</v>
      </c>
      <c r="K561" s="6">
        <v>21.6614</v>
      </c>
    </row>
    <row r="562" spans="2:11" x14ac:dyDescent="0.2">
      <c r="B562" s="5" t="str">
        <f>_xlfn.XLOOKUP(Total[[#This Row],[Metodo]],TbSolver[Metodo],TbSolver[Solver])</f>
        <v>AdamsBashfordMoulton</v>
      </c>
      <c r="C562" s="5" t="str">
        <f>_xlfn.XLOOKUP(Total[[#This Row],[Hebras]],TbTecnologia[Hebras],TbTecnologia[Tecnología])</f>
        <v>OMP</v>
      </c>
      <c r="D562" s="7" t="str" cm="1">
        <f t="array" ref="D562">_xlfn.XLOOKUP(Total[[#This Row],[Tecnología]]&amp;Total[[#This Row],[Metodo]],TbTipos[Tecnología]&amp;TbTipos[Metodo],TbTipos[Tipo])</f>
        <v>OMP Elementos</v>
      </c>
      <c r="E562" s="6" t="str" cm="1">
        <f t="array" ref="E562">_xlfn.XLOOKUP(Total[[#This Row],[Tecnología]]&amp;Total[[#This Row],[Problema]],TbNombres[Tecnología]&amp;TbNombres[Problema],TbNombres[Nombre])</f>
        <v>Advdiff1d</v>
      </c>
      <c r="F562" s="6">
        <v>6</v>
      </c>
      <c r="G562" s="6">
        <v>2</v>
      </c>
      <c r="H562" s="6">
        <v>16</v>
      </c>
      <c r="I562" s="6">
        <v>500</v>
      </c>
      <c r="J562" s="6">
        <v>500</v>
      </c>
      <c r="K562" s="6">
        <v>24.327500000000001</v>
      </c>
    </row>
    <row r="563" spans="2:11" x14ac:dyDescent="0.2">
      <c r="B563" s="5" t="str">
        <f>_xlfn.XLOOKUP(Total[[#This Row],[Metodo]],TbSolver[Metodo],TbSolver[Solver])</f>
        <v>AdamsBashfordMoulton</v>
      </c>
      <c r="C563" s="5" t="str">
        <f>_xlfn.XLOOKUP(Total[[#This Row],[Hebras]],TbTecnologia[Hebras],TbTecnologia[Tecnología])</f>
        <v>OMP</v>
      </c>
      <c r="D563" s="7" t="str" cm="1">
        <f t="array" ref="D563">_xlfn.XLOOKUP(Total[[#This Row],[Tecnología]]&amp;Total[[#This Row],[Metodo]],TbTipos[Tecnología]&amp;TbTipos[Metodo],TbTipos[Tipo])</f>
        <v>OMP Elementos</v>
      </c>
      <c r="E563" s="6" t="str" cm="1">
        <f t="array" ref="E563">_xlfn.XLOOKUP(Total[[#This Row],[Tecnología]]&amp;Total[[#This Row],[Problema]],TbNombres[Tecnología]&amp;TbNombres[Problema],TbNombres[Nombre])</f>
        <v>Advdiff1d</v>
      </c>
      <c r="F563" s="6">
        <v>6</v>
      </c>
      <c r="G563" s="6">
        <v>2</v>
      </c>
      <c r="H563" s="6">
        <v>1</v>
      </c>
      <c r="I563" s="6">
        <v>1000</v>
      </c>
      <c r="J563" s="6">
        <v>1000</v>
      </c>
      <c r="K563" s="6">
        <v>91.630700000000004</v>
      </c>
    </row>
    <row r="564" spans="2:11" x14ac:dyDescent="0.2">
      <c r="B564" s="5" t="str">
        <f>_xlfn.XLOOKUP(Total[[#This Row],[Metodo]],TbSolver[Metodo],TbSolver[Solver])</f>
        <v>AdamsBashfordMoulton</v>
      </c>
      <c r="C564" s="5" t="str">
        <f>_xlfn.XLOOKUP(Total[[#This Row],[Hebras]],TbTecnologia[Hebras],TbTecnologia[Tecnología])</f>
        <v>OMP</v>
      </c>
      <c r="D564" s="7" t="str" cm="1">
        <f t="array" ref="D564">_xlfn.XLOOKUP(Total[[#This Row],[Tecnología]]&amp;Total[[#This Row],[Metodo]],TbTipos[Tecnología]&amp;TbTipos[Metodo],TbTipos[Tipo])</f>
        <v>OMP Elementos</v>
      </c>
      <c r="E564" s="6" t="str" cm="1">
        <f t="array" ref="E564">_xlfn.XLOOKUP(Total[[#This Row],[Tecnología]]&amp;Total[[#This Row],[Problema]],TbNombres[Tecnología]&amp;TbNombres[Problema],TbNombres[Nombre])</f>
        <v>Advdiff1d</v>
      </c>
      <c r="F564" s="6">
        <v>6</v>
      </c>
      <c r="G564" s="6">
        <v>2</v>
      </c>
      <c r="H564" s="6">
        <v>4</v>
      </c>
      <c r="I564" s="6">
        <v>1000</v>
      </c>
      <c r="J564" s="6">
        <v>1000</v>
      </c>
      <c r="K564" s="6">
        <v>32.386699999999998</v>
      </c>
    </row>
    <row r="565" spans="2:11" x14ac:dyDescent="0.2">
      <c r="B565" s="5" t="str">
        <f>_xlfn.XLOOKUP(Total[[#This Row],[Metodo]],TbSolver[Metodo],TbSolver[Solver])</f>
        <v>AdamsBashfordMoulton</v>
      </c>
      <c r="C565" s="5" t="str">
        <f>_xlfn.XLOOKUP(Total[[#This Row],[Hebras]],TbTecnologia[Hebras],TbTecnologia[Tecnología])</f>
        <v>OMP</v>
      </c>
      <c r="D565" s="7" t="str" cm="1">
        <f t="array" ref="D565">_xlfn.XLOOKUP(Total[[#This Row],[Tecnología]]&amp;Total[[#This Row],[Metodo]],TbTipos[Tecnología]&amp;TbTipos[Metodo],TbTipos[Tipo])</f>
        <v>OMP Elementos</v>
      </c>
      <c r="E565" s="6" t="str" cm="1">
        <f t="array" ref="E565">_xlfn.XLOOKUP(Total[[#This Row],[Tecnología]]&amp;Total[[#This Row],[Problema]],TbNombres[Tecnología]&amp;TbNombres[Problema],TbNombres[Nombre])</f>
        <v>Advdiff1d</v>
      </c>
      <c r="F565" s="6">
        <v>6</v>
      </c>
      <c r="G565" s="6">
        <v>2</v>
      </c>
      <c r="H565" s="6">
        <v>16</v>
      </c>
      <c r="I565" s="6">
        <v>1000</v>
      </c>
      <c r="J565" s="6">
        <v>1000</v>
      </c>
      <c r="K565" s="6">
        <v>116.113</v>
      </c>
    </row>
    <row r="566" spans="2:11" x14ac:dyDescent="0.2">
      <c r="B566" s="5" t="str">
        <f>_xlfn.XLOOKUP(Total[[#This Row],[Metodo]],TbSolver[Metodo],TbSolver[Solver])</f>
        <v>AdamsBashfordMoulton</v>
      </c>
      <c r="C566" s="5" t="str">
        <f>_xlfn.XLOOKUP(Total[[#This Row],[Hebras]],TbTecnologia[Hebras],TbTecnologia[Tecnología])</f>
        <v>CUDA</v>
      </c>
      <c r="D566" s="2" t="str" cm="1">
        <f t="array" ref="D566">_xlfn.XLOOKUP(Total[[#This Row],[Tecnología]]&amp;Total[[#This Row],[Metodo]],TbTipos[Tecnología]&amp;TbTipos[Metodo],TbTipos[Tipo])</f>
        <v>CUDA con graph</v>
      </c>
      <c r="E566" s="2" t="str" cm="1">
        <f t="array" ref="E566">_xlfn.XLOOKUP(Total[[#This Row],[Tecnología]]&amp;Total[[#This Row],[Problema]],TbNombres[Tecnología]&amp;TbNombres[Problema],TbNombres[Nombre])</f>
        <v>Brusselator1d</v>
      </c>
      <c r="F566" s="2">
        <v>6</v>
      </c>
      <c r="G566" s="2">
        <v>5</v>
      </c>
      <c r="H566" s="2">
        <v>256</v>
      </c>
      <c r="I566" s="2">
        <v>100</v>
      </c>
      <c r="J566" s="2">
        <v>200</v>
      </c>
      <c r="K566" s="2">
        <v>12.3178</v>
      </c>
    </row>
    <row r="567" spans="2:11" x14ac:dyDescent="0.2">
      <c r="B567" s="5" t="str">
        <f>_xlfn.XLOOKUP(Total[[#This Row],[Metodo]],TbSolver[Metodo],TbSolver[Solver])</f>
        <v>AdamsBashfordMoulton</v>
      </c>
      <c r="C567" s="5" t="str">
        <f>_xlfn.XLOOKUP(Total[[#This Row],[Hebras]],TbTecnologia[Hebras],TbTecnologia[Tecnología])</f>
        <v>CUDA</v>
      </c>
      <c r="D567" s="2" t="str" cm="1">
        <f t="array" ref="D567">_xlfn.XLOOKUP(Total[[#This Row],[Tecnología]]&amp;Total[[#This Row],[Metodo]],TbTipos[Tecnología]&amp;TbTipos[Metodo],TbTipos[Tipo])</f>
        <v>CUDA con graph</v>
      </c>
      <c r="E567" s="2" t="str" cm="1">
        <f t="array" ref="E567">_xlfn.XLOOKUP(Total[[#This Row],[Tecnología]]&amp;Total[[#This Row],[Problema]],TbNombres[Tecnología]&amp;TbNombres[Problema],TbNombres[Nombre])</f>
        <v>Brusselator1d</v>
      </c>
      <c r="F567" s="2">
        <v>6</v>
      </c>
      <c r="G567" s="2">
        <v>6</v>
      </c>
      <c r="H567" s="2">
        <v>256</v>
      </c>
      <c r="I567" s="2">
        <v>100</v>
      </c>
      <c r="J567" s="2">
        <v>200</v>
      </c>
      <c r="K567" s="2">
        <v>12.413600000000001</v>
      </c>
    </row>
    <row r="568" spans="2:11" x14ac:dyDescent="0.2">
      <c r="B568" s="5" t="str">
        <f>_xlfn.XLOOKUP(Total[[#This Row],[Metodo]],TbSolver[Metodo],TbSolver[Solver])</f>
        <v>AdamsBashfordMoulton</v>
      </c>
      <c r="C568" s="5" t="str">
        <f>_xlfn.XLOOKUP(Total[[#This Row],[Hebras]],TbTecnologia[Hebras],TbTecnologia[Tecnología])</f>
        <v>CUDA</v>
      </c>
      <c r="D568" s="2" t="str" cm="1">
        <f t="array" ref="D568">_xlfn.XLOOKUP(Total[[#This Row],[Tecnología]]&amp;Total[[#This Row],[Metodo]],TbTipos[Tecnología]&amp;TbTipos[Metodo],TbTipos[Tipo])</f>
        <v>CUDA con graph</v>
      </c>
      <c r="E568" s="2" t="str" cm="1">
        <f t="array" ref="E568">_xlfn.XLOOKUP(Total[[#This Row],[Tecnología]]&amp;Total[[#This Row],[Problema]],TbNombres[Tecnología]&amp;TbNombres[Problema],TbNombres[Nombre])</f>
        <v>Brusselator1d</v>
      </c>
      <c r="F568" s="2">
        <v>6</v>
      </c>
      <c r="G568" s="2">
        <v>7</v>
      </c>
      <c r="H568" s="2">
        <v>256</v>
      </c>
      <c r="I568" s="2">
        <v>100</v>
      </c>
      <c r="J568" s="2">
        <v>200</v>
      </c>
      <c r="K568" s="2">
        <v>12.7349</v>
      </c>
    </row>
    <row r="569" spans="2:11" x14ac:dyDescent="0.2">
      <c r="B569" s="5" t="str">
        <f>_xlfn.XLOOKUP(Total[[#This Row],[Metodo]],TbSolver[Metodo],TbSolver[Solver])</f>
        <v>AdamsBashfordMoulton</v>
      </c>
      <c r="C569" s="5" t="str">
        <f>_xlfn.XLOOKUP(Total[[#This Row],[Hebras]],TbTecnologia[Hebras],TbTecnologia[Tecnología])</f>
        <v>CUDA</v>
      </c>
      <c r="D569" s="2" t="str" cm="1">
        <f t="array" ref="D569">_xlfn.XLOOKUP(Total[[#This Row],[Tecnología]]&amp;Total[[#This Row],[Metodo]],TbTipos[Tecnología]&amp;TbTipos[Metodo],TbTipos[Tipo])</f>
        <v>CUDA con graph</v>
      </c>
      <c r="E569" s="2" t="str" cm="1">
        <f t="array" ref="E569">_xlfn.XLOOKUP(Total[[#This Row],[Tecnología]]&amp;Total[[#This Row],[Problema]],TbNombres[Tecnología]&amp;TbNombres[Problema],TbNombres[Nombre])</f>
        <v>Brusselator1d</v>
      </c>
      <c r="F569" s="2">
        <v>6</v>
      </c>
      <c r="G569" s="2">
        <v>5</v>
      </c>
      <c r="H569" s="2">
        <v>256</v>
      </c>
      <c r="I569" s="2">
        <v>200</v>
      </c>
      <c r="J569" s="2">
        <v>400</v>
      </c>
      <c r="K569" s="2">
        <v>12.8804</v>
      </c>
    </row>
    <row r="570" spans="2:11" x14ac:dyDescent="0.2">
      <c r="B570" s="5" t="str">
        <f>_xlfn.XLOOKUP(Total[[#This Row],[Metodo]],TbSolver[Metodo],TbSolver[Solver])</f>
        <v>AdamsBashfordMoulton</v>
      </c>
      <c r="C570" s="5" t="str">
        <f>_xlfn.XLOOKUP(Total[[#This Row],[Hebras]],TbTecnologia[Hebras],TbTecnologia[Tecnología])</f>
        <v>CUDA</v>
      </c>
      <c r="D570" s="2" t="str" cm="1">
        <f t="array" ref="D570">_xlfn.XLOOKUP(Total[[#This Row],[Tecnología]]&amp;Total[[#This Row],[Metodo]],TbTipos[Tecnología]&amp;TbTipos[Metodo],TbTipos[Tipo])</f>
        <v>CUDA con graph</v>
      </c>
      <c r="E570" s="2" t="str" cm="1">
        <f t="array" ref="E570">_xlfn.XLOOKUP(Total[[#This Row],[Tecnología]]&amp;Total[[#This Row],[Problema]],TbNombres[Tecnología]&amp;TbNombres[Problema],TbNombres[Nombre])</f>
        <v>Brusselator1d</v>
      </c>
      <c r="F570" s="2">
        <v>6</v>
      </c>
      <c r="G570" s="2">
        <v>5</v>
      </c>
      <c r="H570" s="2">
        <v>256</v>
      </c>
      <c r="I570" s="2">
        <v>500</v>
      </c>
      <c r="J570" s="2">
        <v>1000</v>
      </c>
      <c r="K570" s="2">
        <v>12.9506</v>
      </c>
    </row>
    <row r="571" spans="2:11" x14ac:dyDescent="0.2">
      <c r="B571" s="5" t="str">
        <f>_xlfn.XLOOKUP(Total[[#This Row],[Metodo]],TbSolver[Metodo],TbSolver[Solver])</f>
        <v>AdamsBashfordMoulton</v>
      </c>
      <c r="C571" s="5" t="str">
        <f>_xlfn.XLOOKUP(Total[[#This Row],[Hebras]],TbTecnologia[Hebras],TbTecnologia[Tecnología])</f>
        <v>CUDA</v>
      </c>
      <c r="D571" s="2" t="str" cm="1">
        <f t="array" ref="D571">_xlfn.XLOOKUP(Total[[#This Row],[Tecnología]]&amp;Total[[#This Row],[Metodo]],TbTipos[Tecnología]&amp;TbTipos[Metodo],TbTipos[Tipo])</f>
        <v>CUDA con graph</v>
      </c>
      <c r="E571" s="2" t="str" cm="1">
        <f t="array" ref="E571">_xlfn.XLOOKUP(Total[[#This Row],[Tecnología]]&amp;Total[[#This Row],[Problema]],TbNombres[Tecnología]&amp;TbNombres[Problema],TbNombres[Nombre])</f>
        <v>Brusselator1d</v>
      </c>
      <c r="F571" s="2">
        <v>6</v>
      </c>
      <c r="G571" s="2">
        <v>6</v>
      </c>
      <c r="H571" s="2">
        <v>256</v>
      </c>
      <c r="I571" s="2">
        <v>200</v>
      </c>
      <c r="J571" s="2">
        <v>400</v>
      </c>
      <c r="K571" s="2">
        <v>12.9756</v>
      </c>
    </row>
    <row r="572" spans="2:11" x14ac:dyDescent="0.2">
      <c r="B572" s="5" t="str">
        <f>_xlfn.XLOOKUP(Total[[#This Row],[Metodo]],TbSolver[Metodo],TbSolver[Solver])</f>
        <v>AdamsBashfordMoulton</v>
      </c>
      <c r="C572" s="5" t="str">
        <f>_xlfn.XLOOKUP(Total[[#This Row],[Hebras]],TbTecnologia[Hebras],TbTecnologia[Tecnología])</f>
        <v>CUDA</v>
      </c>
      <c r="D572" s="2" t="str" cm="1">
        <f t="array" ref="D572">_xlfn.XLOOKUP(Total[[#This Row],[Tecnología]]&amp;Total[[#This Row],[Metodo]],TbTipos[Tecnología]&amp;TbTipos[Metodo],TbTipos[Tipo])</f>
        <v>CUDA con graph</v>
      </c>
      <c r="E572" s="2" t="str" cm="1">
        <f t="array" ref="E572">_xlfn.XLOOKUP(Total[[#This Row],[Tecnología]]&amp;Total[[#This Row],[Problema]],TbNombres[Tecnología]&amp;TbNombres[Problema],TbNombres[Nombre])</f>
        <v>Brusselator1d</v>
      </c>
      <c r="F572" s="2">
        <v>6</v>
      </c>
      <c r="G572" s="2">
        <v>7</v>
      </c>
      <c r="H572" s="2">
        <v>256</v>
      </c>
      <c r="I572" s="2">
        <v>200</v>
      </c>
      <c r="J572" s="2">
        <v>400</v>
      </c>
      <c r="K572" s="2">
        <v>12.983700000000001</v>
      </c>
    </row>
    <row r="573" spans="2:11" x14ac:dyDescent="0.2">
      <c r="B573" s="5" t="str">
        <f>_xlfn.XLOOKUP(Total[[#This Row],[Metodo]],TbSolver[Metodo],TbSolver[Solver])</f>
        <v>AdamsBashfordMoulton</v>
      </c>
      <c r="C573" s="5" t="str">
        <f>_xlfn.XLOOKUP(Total[[#This Row],[Hebras]],TbTecnologia[Hebras],TbTecnologia[Tecnología])</f>
        <v>CUDA</v>
      </c>
      <c r="D573" s="2" t="str" cm="1">
        <f t="array" ref="D573">_xlfn.XLOOKUP(Total[[#This Row],[Tecnología]]&amp;Total[[#This Row],[Metodo]],TbTipos[Tecnología]&amp;TbTipos[Metodo],TbTipos[Tipo])</f>
        <v>CUDA con graph</v>
      </c>
      <c r="E573" s="2" t="str" cm="1">
        <f t="array" ref="E573">_xlfn.XLOOKUP(Total[[#This Row],[Tecnología]]&amp;Total[[#This Row],[Problema]],TbNombres[Tecnología]&amp;TbNombres[Problema],TbNombres[Nombre])</f>
        <v>Brusselator1d</v>
      </c>
      <c r="F573" s="2">
        <v>6</v>
      </c>
      <c r="G573" s="2">
        <v>7</v>
      </c>
      <c r="H573" s="2">
        <v>256</v>
      </c>
      <c r="I573" s="2">
        <v>500</v>
      </c>
      <c r="J573" s="2">
        <v>1000</v>
      </c>
      <c r="K573" s="2">
        <v>13.004200000000001</v>
      </c>
    </row>
    <row r="574" spans="2:11" x14ac:dyDescent="0.2">
      <c r="B574" s="5" t="str">
        <f>_xlfn.XLOOKUP(Total[[#This Row],[Metodo]],TbSolver[Metodo],TbSolver[Solver])</f>
        <v>AdamsBashfordMoulton</v>
      </c>
      <c r="C574" s="5" t="str">
        <f>_xlfn.XLOOKUP(Total[[#This Row],[Hebras]],TbTecnologia[Hebras],TbTecnologia[Tecnología])</f>
        <v>CUDA</v>
      </c>
      <c r="D574" s="2" t="str" cm="1">
        <f t="array" ref="D574">_xlfn.XLOOKUP(Total[[#This Row],[Tecnología]]&amp;Total[[#This Row],[Metodo]],TbTipos[Tecnología]&amp;TbTipos[Metodo],TbTipos[Tipo])</f>
        <v>CUDA con graph</v>
      </c>
      <c r="E574" s="2" t="str" cm="1">
        <f t="array" ref="E574">_xlfn.XLOOKUP(Total[[#This Row],[Tecnología]]&amp;Total[[#This Row],[Problema]],TbNombres[Tecnología]&amp;TbNombres[Problema],TbNombres[Nombre])</f>
        <v>Brusselator1d</v>
      </c>
      <c r="F574" s="2">
        <v>6</v>
      </c>
      <c r="G574" s="2">
        <v>5</v>
      </c>
      <c r="H574" s="2">
        <v>256</v>
      </c>
      <c r="I574" s="2">
        <v>1000</v>
      </c>
      <c r="J574" s="2">
        <v>2000</v>
      </c>
      <c r="K574" s="2">
        <v>13.017200000000001</v>
      </c>
    </row>
    <row r="575" spans="2:11" x14ac:dyDescent="0.2">
      <c r="B575" s="5" t="str">
        <f>_xlfn.XLOOKUP(Total[[#This Row],[Metodo]],TbSolver[Metodo],TbSolver[Solver])</f>
        <v>AdamsBashfordMoulton</v>
      </c>
      <c r="C575" s="5" t="str">
        <f>_xlfn.XLOOKUP(Total[[#This Row],[Hebras]],TbTecnologia[Hebras],TbTecnologia[Tecnología])</f>
        <v>CUDA</v>
      </c>
      <c r="D575" s="2" t="str" cm="1">
        <f t="array" ref="D575">_xlfn.XLOOKUP(Total[[#This Row],[Tecnología]]&amp;Total[[#This Row],[Metodo]],TbTipos[Tecnología]&amp;TbTipos[Metodo],TbTipos[Tipo])</f>
        <v>CUDA con graph</v>
      </c>
      <c r="E575" s="2" t="str" cm="1">
        <f t="array" ref="E575">_xlfn.XLOOKUP(Total[[#This Row],[Tecnología]]&amp;Total[[#This Row],[Problema]],TbNombres[Tecnología]&amp;TbNombres[Problema],TbNombres[Nombre])</f>
        <v>Brusselator1d</v>
      </c>
      <c r="F575" s="2">
        <v>6</v>
      </c>
      <c r="G575" s="2">
        <v>6</v>
      </c>
      <c r="H575" s="2">
        <v>256</v>
      </c>
      <c r="I575" s="2">
        <v>500</v>
      </c>
      <c r="J575" s="2">
        <v>1000</v>
      </c>
      <c r="K575" s="2">
        <v>13.020300000000001</v>
      </c>
    </row>
    <row r="576" spans="2:11" x14ac:dyDescent="0.2">
      <c r="B576" s="5" t="str">
        <f>_xlfn.XLOOKUP(Total[[#This Row],[Metodo]],TbSolver[Metodo],TbSolver[Solver])</f>
        <v>AdamsBashfordMoulton</v>
      </c>
      <c r="C576" s="5" t="str">
        <f>_xlfn.XLOOKUP(Total[[#This Row],[Hebras]],TbTecnologia[Hebras],TbTecnologia[Tecnología])</f>
        <v>CUDA</v>
      </c>
      <c r="D576" s="2" t="str" cm="1">
        <f t="array" ref="D576">_xlfn.XLOOKUP(Total[[#This Row],[Tecnología]]&amp;Total[[#This Row],[Metodo]],TbTipos[Tecnología]&amp;TbTipos[Metodo],TbTipos[Tipo])</f>
        <v>CUDA con graph</v>
      </c>
      <c r="E576" s="2" t="str" cm="1">
        <f t="array" ref="E576">_xlfn.XLOOKUP(Total[[#This Row],[Tecnología]]&amp;Total[[#This Row],[Problema]],TbNombres[Tecnología]&amp;TbNombres[Problema],TbNombres[Nombre])</f>
        <v>Brusselator1d</v>
      </c>
      <c r="F576" s="2">
        <v>6</v>
      </c>
      <c r="G576" s="2">
        <v>6</v>
      </c>
      <c r="H576" s="2">
        <v>256</v>
      </c>
      <c r="I576" s="2">
        <v>1000</v>
      </c>
      <c r="J576" s="2">
        <v>2000</v>
      </c>
      <c r="K576" s="2">
        <v>13.092700000000001</v>
      </c>
    </row>
    <row r="577" spans="2:11" x14ac:dyDescent="0.2">
      <c r="B577" s="5" t="str">
        <f>_xlfn.XLOOKUP(Total[[#This Row],[Metodo]],TbSolver[Metodo],TbSolver[Solver])</f>
        <v>AdamsBashfordMoulton</v>
      </c>
      <c r="C577" s="5" t="str">
        <f>_xlfn.XLOOKUP(Total[[#This Row],[Hebras]],TbTecnologia[Hebras],TbTecnologia[Tecnología])</f>
        <v>CUDA</v>
      </c>
      <c r="D577" s="2" t="str" cm="1">
        <f t="array" ref="D577">_xlfn.XLOOKUP(Total[[#This Row],[Tecnología]]&amp;Total[[#This Row],[Metodo]],TbTipos[Tecnología]&amp;TbTipos[Metodo],TbTipos[Tipo])</f>
        <v>CUDA con graph</v>
      </c>
      <c r="E577" s="2" t="str" cm="1">
        <f t="array" ref="E577">_xlfn.XLOOKUP(Total[[#This Row],[Tecnología]]&amp;Total[[#This Row],[Problema]],TbNombres[Tecnología]&amp;TbNombres[Problema],TbNombres[Nombre])</f>
        <v>Brusselator1d</v>
      </c>
      <c r="F577" s="2">
        <v>6</v>
      </c>
      <c r="G577" s="2">
        <v>7</v>
      </c>
      <c r="H577" s="2">
        <v>256</v>
      </c>
      <c r="I577" s="2">
        <v>1000</v>
      </c>
      <c r="J577" s="2">
        <v>2000</v>
      </c>
      <c r="K577" s="2">
        <v>13.118</v>
      </c>
    </row>
    <row r="578" spans="2:11" x14ac:dyDescent="0.2">
      <c r="B578" s="5" t="str">
        <f>_xlfn.XLOOKUP(Total[[#This Row],[Metodo]],TbSolver[Metodo],TbSolver[Solver])</f>
        <v>AdamsBashfordMoulton</v>
      </c>
      <c r="C578" s="5" t="str">
        <f>_xlfn.XLOOKUP(Total[[#This Row],[Hebras]],TbTecnologia[Hebras],TbTecnologia[Tecnología])</f>
        <v>CUDA</v>
      </c>
      <c r="D578" s="2" t="str" cm="1">
        <f t="array" ref="D578">_xlfn.XLOOKUP(Total[[#This Row],[Tecnología]]&amp;Total[[#This Row],[Metodo]],TbTipos[Tecnología]&amp;TbTipos[Metodo],TbTipos[Tipo])</f>
        <v>CUDA con graph</v>
      </c>
      <c r="E578" s="2" t="str" cm="1">
        <f t="array" ref="E578">_xlfn.XLOOKUP(Total[[#This Row],[Tecnología]]&amp;Total[[#This Row],[Problema]],TbNombres[Tecnología]&amp;TbNombres[Problema],TbNombres[Nombre])</f>
        <v>Brusselator1d</v>
      </c>
      <c r="F578" s="2">
        <v>6</v>
      </c>
      <c r="G578" s="2">
        <v>5</v>
      </c>
      <c r="H578" s="2">
        <v>256</v>
      </c>
      <c r="I578" s="2">
        <v>2000</v>
      </c>
      <c r="J578" s="2">
        <v>4000</v>
      </c>
      <c r="K578" s="2">
        <v>13.125999999999999</v>
      </c>
    </row>
    <row r="579" spans="2:11" x14ac:dyDescent="0.2">
      <c r="B579" s="5" t="str">
        <f>_xlfn.XLOOKUP(Total[[#This Row],[Metodo]],TbSolver[Metodo],TbSolver[Solver])</f>
        <v>AdamsBashfordMoulton</v>
      </c>
      <c r="C579" s="5" t="str">
        <f>_xlfn.XLOOKUP(Total[[#This Row],[Hebras]],TbTecnologia[Hebras],TbTecnologia[Tecnología])</f>
        <v>CUDA</v>
      </c>
      <c r="D579" s="2" t="str" cm="1">
        <f t="array" ref="D579">_xlfn.XLOOKUP(Total[[#This Row],[Tecnología]]&amp;Total[[#This Row],[Metodo]],TbTipos[Tecnología]&amp;TbTipos[Metodo],TbTipos[Tipo])</f>
        <v>CUDA con graph</v>
      </c>
      <c r="E579" s="2" t="str" cm="1">
        <f t="array" ref="E579">_xlfn.XLOOKUP(Total[[#This Row],[Tecnología]]&amp;Total[[#This Row],[Problema]],TbNombres[Tecnología]&amp;TbNombres[Problema],TbNombres[Nombre])</f>
        <v>Brusselator1d</v>
      </c>
      <c r="F579" s="2">
        <v>6</v>
      </c>
      <c r="G579" s="2">
        <v>7</v>
      </c>
      <c r="H579" s="2">
        <v>256</v>
      </c>
      <c r="I579" s="2">
        <v>2000</v>
      </c>
      <c r="J579" s="2">
        <v>4000</v>
      </c>
      <c r="K579" s="2">
        <v>13.203900000000001</v>
      </c>
    </row>
    <row r="580" spans="2:11" x14ac:dyDescent="0.2">
      <c r="B580" s="5" t="str">
        <f>_xlfn.XLOOKUP(Total[[#This Row],[Metodo]],TbSolver[Metodo],TbSolver[Solver])</f>
        <v>AdamsBashfordMoulton</v>
      </c>
      <c r="C580" s="5" t="str">
        <f>_xlfn.XLOOKUP(Total[[#This Row],[Hebras]],TbTecnologia[Hebras],TbTecnologia[Tecnología])</f>
        <v>CUDA</v>
      </c>
      <c r="D580" s="2" t="str" cm="1">
        <f t="array" ref="D580">_xlfn.XLOOKUP(Total[[#This Row],[Tecnología]]&amp;Total[[#This Row],[Metodo]],TbTipos[Tecnología]&amp;TbTipos[Metodo],TbTipos[Tipo])</f>
        <v>CUDA con graph</v>
      </c>
      <c r="E580" s="2" t="str" cm="1">
        <f t="array" ref="E580">_xlfn.XLOOKUP(Total[[#This Row],[Tecnología]]&amp;Total[[#This Row],[Problema]],TbNombres[Tecnología]&amp;TbNombres[Problema],TbNombres[Nombre])</f>
        <v>Brusselator1d</v>
      </c>
      <c r="F580" s="2">
        <v>6</v>
      </c>
      <c r="G580" s="2">
        <v>6</v>
      </c>
      <c r="H580" s="2">
        <v>256</v>
      </c>
      <c r="I580" s="2">
        <v>2000</v>
      </c>
      <c r="J580" s="2">
        <v>4000</v>
      </c>
      <c r="K580" s="2">
        <v>13.230600000000001</v>
      </c>
    </row>
    <row r="581" spans="2:11" x14ac:dyDescent="0.2">
      <c r="B581" s="5" t="str">
        <f>_xlfn.XLOOKUP(Total[[#This Row],[Metodo]],TbSolver[Metodo],TbSolver[Solver])</f>
        <v>AdamsBashfordMoulton</v>
      </c>
      <c r="C581" s="5" t="str">
        <f>_xlfn.XLOOKUP(Total[[#This Row],[Hebras]],TbTecnologia[Hebras],TbTecnologia[Tecnología])</f>
        <v>CUDA</v>
      </c>
      <c r="D581" s="2" t="str" cm="1">
        <f t="array" ref="D581">_xlfn.XLOOKUP(Total[[#This Row],[Tecnología]]&amp;Total[[#This Row],[Metodo]],TbTipos[Tecnología]&amp;TbTipos[Metodo],TbTipos[Tipo])</f>
        <v>CUDA sin graph</v>
      </c>
      <c r="E581" s="2" t="str" cm="1">
        <f t="array" ref="E581">_xlfn.XLOOKUP(Total[[#This Row],[Tecnología]]&amp;Total[[#This Row],[Problema]],TbNombres[Tecnología]&amp;TbNombres[Problema],TbNombres[Nombre])</f>
        <v>Brusselator1d</v>
      </c>
      <c r="F581" s="2">
        <v>5</v>
      </c>
      <c r="G581" s="2">
        <v>6</v>
      </c>
      <c r="H581" s="2">
        <v>256</v>
      </c>
      <c r="I581" s="2">
        <v>500</v>
      </c>
      <c r="J581" s="2">
        <v>1000</v>
      </c>
      <c r="K581" s="2">
        <v>13.5906</v>
      </c>
    </row>
    <row r="582" spans="2:11" x14ac:dyDescent="0.2">
      <c r="B582" s="5" t="str">
        <f>_xlfn.XLOOKUP(Total[[#This Row],[Metodo]],TbSolver[Metodo],TbSolver[Solver])</f>
        <v>AdamsBashfordMoulton</v>
      </c>
      <c r="C582" s="5" t="str">
        <f>_xlfn.XLOOKUP(Total[[#This Row],[Hebras]],TbTecnologia[Hebras],TbTecnologia[Tecnología])</f>
        <v>CUDA</v>
      </c>
      <c r="D582" s="2" t="str" cm="1">
        <f t="array" ref="D582">_xlfn.XLOOKUP(Total[[#This Row],[Tecnología]]&amp;Total[[#This Row],[Metodo]],TbTipos[Tecnología]&amp;TbTipos[Metodo],TbTipos[Tipo])</f>
        <v>CUDA sin graph</v>
      </c>
      <c r="E582" s="2" t="str" cm="1">
        <f t="array" ref="E582">_xlfn.XLOOKUP(Total[[#This Row],[Tecnología]]&amp;Total[[#This Row],[Problema]],TbNombres[Tecnología]&amp;TbNombres[Problema],TbNombres[Nombre])</f>
        <v>Brusselator1d</v>
      </c>
      <c r="F582" s="2">
        <v>5</v>
      </c>
      <c r="G582" s="2">
        <v>5</v>
      </c>
      <c r="H582" s="2">
        <v>256</v>
      </c>
      <c r="I582" s="2">
        <v>500</v>
      </c>
      <c r="J582" s="2">
        <v>1000</v>
      </c>
      <c r="K582" s="2">
        <v>13.609400000000001</v>
      </c>
    </row>
    <row r="583" spans="2:11" x14ac:dyDescent="0.2">
      <c r="B583" s="5" t="str">
        <f>_xlfn.XLOOKUP(Total[[#This Row],[Metodo]],TbSolver[Metodo],TbSolver[Solver])</f>
        <v>AdamsBashfordMoulton</v>
      </c>
      <c r="C583" s="5" t="str">
        <f>_xlfn.XLOOKUP(Total[[#This Row],[Hebras]],TbTecnologia[Hebras],TbTecnologia[Tecnología])</f>
        <v>CUDA</v>
      </c>
      <c r="D583" s="2" t="str" cm="1">
        <f t="array" ref="D583">_xlfn.XLOOKUP(Total[[#This Row],[Tecnología]]&amp;Total[[#This Row],[Metodo]],TbTipos[Tecnología]&amp;TbTipos[Metodo],TbTipos[Tipo])</f>
        <v>CUDA con graph</v>
      </c>
      <c r="E583" s="2" t="str" cm="1">
        <f t="array" ref="E583">_xlfn.XLOOKUP(Total[[#This Row],[Tecnología]]&amp;Total[[#This Row],[Problema]],TbNombres[Tecnología]&amp;TbNombres[Problema],TbNombres[Nombre])</f>
        <v>Brusselator1d</v>
      </c>
      <c r="F583" s="2">
        <v>6</v>
      </c>
      <c r="G583" s="2">
        <v>5</v>
      </c>
      <c r="H583" s="2">
        <v>256</v>
      </c>
      <c r="I583" s="2">
        <v>5000</v>
      </c>
      <c r="J583" s="2">
        <v>10000</v>
      </c>
      <c r="K583" s="2">
        <v>13.6365</v>
      </c>
    </row>
    <row r="584" spans="2:11" x14ac:dyDescent="0.2">
      <c r="B584" s="5" t="str">
        <f>_xlfn.XLOOKUP(Total[[#This Row],[Metodo]],TbSolver[Metodo],TbSolver[Solver])</f>
        <v>AdamsBashfordMoulton</v>
      </c>
      <c r="C584" s="5" t="str">
        <f>_xlfn.XLOOKUP(Total[[#This Row],[Hebras]],TbTecnologia[Hebras],TbTecnologia[Tecnología])</f>
        <v>CUDA</v>
      </c>
      <c r="D584" s="2" t="str" cm="1">
        <f t="array" ref="D584">_xlfn.XLOOKUP(Total[[#This Row],[Tecnología]]&amp;Total[[#This Row],[Metodo]],TbTipos[Tecnología]&amp;TbTipos[Metodo],TbTipos[Tipo])</f>
        <v>CUDA sin graph</v>
      </c>
      <c r="E584" s="2" t="str" cm="1">
        <f t="array" ref="E584">_xlfn.XLOOKUP(Total[[#This Row],[Tecnología]]&amp;Total[[#This Row],[Problema]],TbNombres[Tecnología]&amp;TbNombres[Problema],TbNombres[Nombre])</f>
        <v>Brusselator1d</v>
      </c>
      <c r="F584" s="2">
        <v>5</v>
      </c>
      <c r="G584" s="2">
        <v>5</v>
      </c>
      <c r="H584" s="2">
        <v>256</v>
      </c>
      <c r="I584" s="2">
        <v>1000</v>
      </c>
      <c r="J584" s="2">
        <v>2000</v>
      </c>
      <c r="K584" s="2">
        <v>13.638</v>
      </c>
    </row>
    <row r="585" spans="2:11" x14ac:dyDescent="0.2">
      <c r="B585" s="5" t="str">
        <f>_xlfn.XLOOKUP(Total[[#This Row],[Metodo]],TbSolver[Metodo],TbSolver[Solver])</f>
        <v>AdamsBashfordMoulton</v>
      </c>
      <c r="C585" s="5" t="str">
        <f>_xlfn.XLOOKUP(Total[[#This Row],[Hebras]],TbTecnologia[Hebras],TbTecnologia[Tecnología])</f>
        <v>CUDA</v>
      </c>
      <c r="D585" s="2" t="str" cm="1">
        <f t="array" ref="D585">_xlfn.XLOOKUP(Total[[#This Row],[Tecnología]]&amp;Total[[#This Row],[Metodo]],TbTipos[Tecnología]&amp;TbTipos[Metodo],TbTipos[Tipo])</f>
        <v>CUDA con graph</v>
      </c>
      <c r="E585" s="2" t="str" cm="1">
        <f t="array" ref="E585">_xlfn.XLOOKUP(Total[[#This Row],[Tecnología]]&amp;Total[[#This Row],[Problema]],TbNombres[Tecnología]&amp;TbNombres[Problema],TbNombres[Nombre])</f>
        <v>Brusselator1d</v>
      </c>
      <c r="F585" s="2">
        <v>6</v>
      </c>
      <c r="G585" s="2">
        <v>6</v>
      </c>
      <c r="H585" s="2">
        <v>256</v>
      </c>
      <c r="I585" s="2">
        <v>5000</v>
      </c>
      <c r="J585" s="2">
        <v>10000</v>
      </c>
      <c r="K585" s="2">
        <v>13.6557</v>
      </c>
    </row>
    <row r="586" spans="2:11" x14ac:dyDescent="0.2">
      <c r="B586" s="5" t="str">
        <f>_xlfn.XLOOKUP(Total[[#This Row],[Metodo]],TbSolver[Metodo],TbSolver[Solver])</f>
        <v>AdamsBashfordMoulton</v>
      </c>
      <c r="C586" s="5" t="str">
        <f>_xlfn.XLOOKUP(Total[[#This Row],[Hebras]],TbTecnologia[Hebras],TbTecnologia[Tecnología])</f>
        <v>CUDA</v>
      </c>
      <c r="D586" s="2" t="str" cm="1">
        <f t="array" ref="D586">_xlfn.XLOOKUP(Total[[#This Row],[Tecnología]]&amp;Total[[#This Row],[Metodo]],TbTipos[Tecnología]&amp;TbTipos[Metodo],TbTipos[Tipo])</f>
        <v>CUDA con graph</v>
      </c>
      <c r="E586" s="2" t="str" cm="1">
        <f t="array" ref="E586">_xlfn.XLOOKUP(Total[[#This Row],[Tecnología]]&amp;Total[[#This Row],[Problema]],TbNombres[Tecnología]&amp;TbNombres[Problema],TbNombres[Nombre])</f>
        <v>Brusselator1d</v>
      </c>
      <c r="F586" s="2">
        <v>6</v>
      </c>
      <c r="G586" s="2">
        <v>7</v>
      </c>
      <c r="H586" s="2">
        <v>256</v>
      </c>
      <c r="I586" s="2">
        <v>5000</v>
      </c>
      <c r="J586" s="2">
        <v>10000</v>
      </c>
      <c r="K586" s="2">
        <v>13.6754</v>
      </c>
    </row>
    <row r="587" spans="2:11" x14ac:dyDescent="0.2">
      <c r="B587" s="5" t="str">
        <f>_xlfn.XLOOKUP(Total[[#This Row],[Metodo]],TbSolver[Metodo],TbSolver[Solver])</f>
        <v>AdamsBashfordMoulton</v>
      </c>
      <c r="C587" s="5" t="str">
        <f>_xlfn.XLOOKUP(Total[[#This Row],[Hebras]],TbTecnologia[Hebras],TbTecnologia[Tecnología])</f>
        <v>CUDA</v>
      </c>
      <c r="D587" s="2" t="str" cm="1">
        <f t="array" ref="D587">_xlfn.XLOOKUP(Total[[#This Row],[Tecnología]]&amp;Total[[#This Row],[Metodo]],TbTipos[Tecnología]&amp;TbTipos[Metodo],TbTipos[Tipo])</f>
        <v>CUDA sin graph</v>
      </c>
      <c r="E587" s="2" t="str" cm="1">
        <f t="array" ref="E587">_xlfn.XLOOKUP(Total[[#This Row],[Tecnología]]&amp;Total[[#This Row],[Problema]],TbNombres[Tecnología]&amp;TbNombres[Problema],TbNombres[Nombre])</f>
        <v>Brusselator1d</v>
      </c>
      <c r="F587" s="2">
        <v>5</v>
      </c>
      <c r="G587" s="2">
        <v>6</v>
      </c>
      <c r="H587" s="2">
        <v>256</v>
      </c>
      <c r="I587" s="2">
        <v>1000</v>
      </c>
      <c r="J587" s="2">
        <v>2000</v>
      </c>
      <c r="K587" s="2">
        <v>13.6983</v>
      </c>
    </row>
    <row r="588" spans="2:11" x14ac:dyDescent="0.2">
      <c r="B588" s="5" t="str">
        <f>_xlfn.XLOOKUP(Total[[#This Row],[Metodo]],TbSolver[Metodo],TbSolver[Solver])</f>
        <v>AdamsBashfordMoulton</v>
      </c>
      <c r="C588" s="5" t="str">
        <f>_xlfn.XLOOKUP(Total[[#This Row],[Hebras]],TbTecnologia[Hebras],TbTecnologia[Tecnología])</f>
        <v>CUDA</v>
      </c>
      <c r="D588" s="2" t="str" cm="1">
        <f t="array" ref="D588">_xlfn.XLOOKUP(Total[[#This Row],[Tecnología]]&amp;Total[[#This Row],[Metodo]],TbTipos[Tecnología]&amp;TbTipos[Metodo],TbTipos[Tipo])</f>
        <v>CUDA sin graph</v>
      </c>
      <c r="E588" s="2" t="str" cm="1">
        <f t="array" ref="E588">_xlfn.XLOOKUP(Total[[#This Row],[Tecnología]]&amp;Total[[#This Row],[Problema]],TbNombres[Tecnología]&amp;TbNombres[Problema],TbNombres[Nombre])</f>
        <v>Brusselator1d</v>
      </c>
      <c r="F588" s="2">
        <v>5</v>
      </c>
      <c r="G588" s="2">
        <v>7</v>
      </c>
      <c r="H588" s="2">
        <v>256</v>
      </c>
      <c r="I588" s="2">
        <v>500</v>
      </c>
      <c r="J588" s="2">
        <v>1000</v>
      </c>
      <c r="K588" s="2">
        <v>13.730600000000001</v>
      </c>
    </row>
    <row r="589" spans="2:11" x14ac:dyDescent="0.2">
      <c r="B589" s="5" t="str">
        <f>_xlfn.XLOOKUP(Total[[#This Row],[Metodo]],TbSolver[Metodo],TbSolver[Solver])</f>
        <v>AdamsBashfordMoulton</v>
      </c>
      <c r="C589" s="5" t="str">
        <f>_xlfn.XLOOKUP(Total[[#This Row],[Hebras]],TbTecnologia[Hebras],TbTecnologia[Tecnología])</f>
        <v>CUDA</v>
      </c>
      <c r="D589" s="2" t="str" cm="1">
        <f t="array" ref="D589">_xlfn.XLOOKUP(Total[[#This Row],[Tecnología]]&amp;Total[[#This Row],[Metodo]],TbTipos[Tecnología]&amp;TbTipos[Metodo],TbTipos[Tipo])</f>
        <v>CUDA sin graph</v>
      </c>
      <c r="E589" s="2" t="str" cm="1">
        <f t="array" ref="E589">_xlfn.XLOOKUP(Total[[#This Row],[Tecnología]]&amp;Total[[#This Row],[Problema]],TbNombres[Tecnología]&amp;TbNombres[Problema],TbNombres[Nombre])</f>
        <v>Brusselator1d</v>
      </c>
      <c r="F589" s="2">
        <v>5</v>
      </c>
      <c r="G589" s="2">
        <v>7</v>
      </c>
      <c r="H589" s="2">
        <v>256</v>
      </c>
      <c r="I589" s="2">
        <v>2000</v>
      </c>
      <c r="J589" s="2">
        <v>4000</v>
      </c>
      <c r="K589" s="2">
        <v>13.761900000000001</v>
      </c>
    </row>
    <row r="590" spans="2:11" x14ac:dyDescent="0.2">
      <c r="B590" s="5" t="str">
        <f>_xlfn.XLOOKUP(Total[[#This Row],[Metodo]],TbSolver[Metodo],TbSolver[Solver])</f>
        <v>AdamsBashfordMoulton</v>
      </c>
      <c r="C590" s="5" t="str">
        <f>_xlfn.XLOOKUP(Total[[#This Row],[Hebras]],TbTecnologia[Hebras],TbTecnologia[Tecnología])</f>
        <v>CUDA</v>
      </c>
      <c r="D590" s="2" t="str" cm="1">
        <f t="array" ref="D590">_xlfn.XLOOKUP(Total[[#This Row],[Tecnología]]&amp;Total[[#This Row],[Metodo]],TbTipos[Tecnología]&amp;TbTipos[Metodo],TbTipos[Tipo])</f>
        <v>CUDA sin graph</v>
      </c>
      <c r="E590" s="2" t="str" cm="1">
        <f t="array" ref="E590">_xlfn.XLOOKUP(Total[[#This Row],[Tecnología]]&amp;Total[[#This Row],[Problema]],TbNombres[Tecnología]&amp;TbNombres[Problema],TbNombres[Nombre])</f>
        <v>Brusselator1d</v>
      </c>
      <c r="F590" s="2">
        <v>5</v>
      </c>
      <c r="G590" s="2">
        <v>5</v>
      </c>
      <c r="H590" s="2">
        <v>256</v>
      </c>
      <c r="I590" s="2">
        <v>2000</v>
      </c>
      <c r="J590" s="2">
        <v>4000</v>
      </c>
      <c r="K590" s="2">
        <v>13.8041</v>
      </c>
    </row>
    <row r="591" spans="2:11" x14ac:dyDescent="0.2">
      <c r="B591" s="5" t="str">
        <f>_xlfn.XLOOKUP(Total[[#This Row],[Metodo]],TbSolver[Metodo],TbSolver[Solver])</f>
        <v>AdamsBashfordMoulton</v>
      </c>
      <c r="C591" s="5" t="str">
        <f>_xlfn.XLOOKUP(Total[[#This Row],[Hebras]],TbTecnologia[Hebras],TbTecnologia[Tecnología])</f>
        <v>CUDA</v>
      </c>
      <c r="D591" s="2" t="str" cm="1">
        <f t="array" ref="D591">_xlfn.XLOOKUP(Total[[#This Row],[Tecnología]]&amp;Total[[#This Row],[Metodo]],TbTipos[Tecnología]&amp;TbTipos[Metodo],TbTipos[Tipo])</f>
        <v>CUDA sin graph</v>
      </c>
      <c r="E591" s="2" t="str" cm="1">
        <f t="array" ref="E591">_xlfn.XLOOKUP(Total[[#This Row],[Tecnología]]&amp;Total[[#This Row],[Problema]],TbNombres[Tecnología]&amp;TbNombres[Problema],TbNombres[Nombre])</f>
        <v>Brusselator1d</v>
      </c>
      <c r="F591" s="2">
        <v>5</v>
      </c>
      <c r="G591" s="2">
        <v>7</v>
      </c>
      <c r="H591" s="2">
        <v>256</v>
      </c>
      <c r="I591" s="2">
        <v>1000</v>
      </c>
      <c r="J591" s="2">
        <v>2000</v>
      </c>
      <c r="K591" s="2">
        <v>13.8088</v>
      </c>
    </row>
    <row r="592" spans="2:11" x14ac:dyDescent="0.2">
      <c r="B592" s="5" t="str">
        <f>_xlfn.XLOOKUP(Total[[#This Row],[Metodo]],TbSolver[Metodo],TbSolver[Solver])</f>
        <v>AdamsBashfordMoulton</v>
      </c>
      <c r="C592" s="5" t="str">
        <f>_xlfn.XLOOKUP(Total[[#This Row],[Hebras]],TbTecnologia[Hebras],TbTecnologia[Tecnología])</f>
        <v>CUDA</v>
      </c>
      <c r="D592" s="2" t="str" cm="1">
        <f t="array" ref="D592">_xlfn.XLOOKUP(Total[[#This Row],[Tecnología]]&amp;Total[[#This Row],[Metodo]],TbTipos[Tecnología]&amp;TbTipos[Metodo],TbTipos[Tipo])</f>
        <v>CUDA sin graph</v>
      </c>
      <c r="E592" s="2" t="str" cm="1">
        <f t="array" ref="E592">_xlfn.XLOOKUP(Total[[#This Row],[Tecnología]]&amp;Total[[#This Row],[Problema]],TbNombres[Tecnología]&amp;TbNombres[Problema],TbNombres[Nombre])</f>
        <v>Brusselator1d</v>
      </c>
      <c r="F592" s="2">
        <v>5</v>
      </c>
      <c r="G592" s="2">
        <v>6</v>
      </c>
      <c r="H592" s="2">
        <v>256</v>
      </c>
      <c r="I592" s="2">
        <v>2000</v>
      </c>
      <c r="J592" s="2">
        <v>4000</v>
      </c>
      <c r="K592" s="2">
        <v>13.838800000000001</v>
      </c>
    </row>
    <row r="593" spans="2:11" x14ac:dyDescent="0.2">
      <c r="B593" s="5" t="str">
        <f>_xlfn.XLOOKUP(Total[[#This Row],[Metodo]],TbSolver[Metodo],TbSolver[Solver])</f>
        <v>AdamsBashfordMoulton</v>
      </c>
      <c r="C593" s="5" t="str">
        <f>_xlfn.XLOOKUP(Total[[#This Row],[Hebras]],TbTecnologia[Hebras],TbTecnologia[Tecnología])</f>
        <v>CUDA</v>
      </c>
      <c r="D593" s="2" t="str" cm="1">
        <f t="array" ref="D593">_xlfn.XLOOKUP(Total[[#This Row],[Tecnología]]&amp;Total[[#This Row],[Metodo]],TbTipos[Tecnología]&amp;TbTipos[Metodo],TbTipos[Tipo])</f>
        <v>CUDA sin graph</v>
      </c>
      <c r="E593" s="2" t="str" cm="1">
        <f t="array" ref="E593">_xlfn.XLOOKUP(Total[[#This Row],[Tecnología]]&amp;Total[[#This Row],[Problema]],TbNombres[Tecnología]&amp;TbNombres[Problema],TbNombres[Nombre])</f>
        <v>Brusselator1d</v>
      </c>
      <c r="F593" s="2">
        <v>5</v>
      </c>
      <c r="G593" s="2">
        <v>6</v>
      </c>
      <c r="H593" s="2">
        <v>256</v>
      </c>
      <c r="I593" s="2">
        <v>5000</v>
      </c>
      <c r="J593" s="2">
        <v>10000</v>
      </c>
      <c r="K593" s="2">
        <v>14.284000000000001</v>
      </c>
    </row>
    <row r="594" spans="2:11" x14ac:dyDescent="0.2">
      <c r="B594" s="5" t="str">
        <f>_xlfn.XLOOKUP(Total[[#This Row],[Metodo]],TbSolver[Metodo],TbSolver[Solver])</f>
        <v>AdamsBashfordMoulton</v>
      </c>
      <c r="C594" s="5" t="str">
        <f>_xlfn.XLOOKUP(Total[[#This Row],[Hebras]],TbTecnologia[Hebras],TbTecnologia[Tecnología])</f>
        <v>CUDA</v>
      </c>
      <c r="D594" s="2" t="str" cm="1">
        <f t="array" ref="D594">_xlfn.XLOOKUP(Total[[#This Row],[Tecnología]]&amp;Total[[#This Row],[Metodo]],TbTipos[Tecnología]&amp;TbTipos[Metodo],TbTipos[Tipo])</f>
        <v>CUDA sin graph</v>
      </c>
      <c r="E594" s="2" t="str" cm="1">
        <f t="array" ref="E594">_xlfn.XLOOKUP(Total[[#This Row],[Tecnología]]&amp;Total[[#This Row],[Problema]],TbNombres[Tecnología]&amp;TbNombres[Problema],TbNombres[Nombre])</f>
        <v>Brusselator1d</v>
      </c>
      <c r="F594" s="2">
        <v>5</v>
      </c>
      <c r="G594" s="2">
        <v>7</v>
      </c>
      <c r="H594" s="2">
        <v>256</v>
      </c>
      <c r="I594" s="2">
        <v>5000</v>
      </c>
      <c r="J594" s="2">
        <v>10000</v>
      </c>
      <c r="K594" s="2">
        <v>14.284000000000001</v>
      </c>
    </row>
    <row r="595" spans="2:11" x14ac:dyDescent="0.2">
      <c r="B595" s="5" t="str">
        <f>_xlfn.XLOOKUP(Total[[#This Row],[Metodo]],TbSolver[Metodo],TbSolver[Solver])</f>
        <v>AdamsBashfordMoulton</v>
      </c>
      <c r="C595" s="5" t="str">
        <f>_xlfn.XLOOKUP(Total[[#This Row],[Hebras]],TbTecnologia[Hebras],TbTecnologia[Tecnología])</f>
        <v>CUDA</v>
      </c>
      <c r="D595" s="2" t="str" cm="1">
        <f t="array" ref="D595">_xlfn.XLOOKUP(Total[[#This Row],[Tecnología]]&amp;Total[[#This Row],[Metodo]],TbTipos[Tecnología]&amp;TbTipos[Metodo],TbTipos[Tipo])</f>
        <v>CUDA sin graph</v>
      </c>
      <c r="E595" s="2" t="str" cm="1">
        <f t="array" ref="E595">_xlfn.XLOOKUP(Total[[#This Row],[Tecnología]]&amp;Total[[#This Row],[Problema]],TbNombres[Tecnología]&amp;TbNombres[Problema],TbNombres[Nombre])</f>
        <v>Brusselator1d</v>
      </c>
      <c r="F595" s="2">
        <v>5</v>
      </c>
      <c r="G595" s="2">
        <v>5</v>
      </c>
      <c r="H595" s="2">
        <v>256</v>
      </c>
      <c r="I595" s="2">
        <v>5000</v>
      </c>
      <c r="J595" s="2">
        <v>10000</v>
      </c>
      <c r="K595" s="2">
        <v>14.319800000000001</v>
      </c>
    </row>
    <row r="596" spans="2:11" x14ac:dyDescent="0.2">
      <c r="B596" s="5" t="str">
        <f>_xlfn.XLOOKUP(Total[[#This Row],[Metodo]],TbSolver[Metodo],TbSolver[Solver])</f>
        <v>AdamsBashfordMoulton</v>
      </c>
      <c r="C596" s="5" t="str">
        <f>_xlfn.XLOOKUP(Total[[#This Row],[Hebras]],TbTecnologia[Hebras],TbTecnologia[Tecnología])</f>
        <v>CUDA</v>
      </c>
      <c r="D596" s="2" t="str" cm="1">
        <f t="array" ref="D596">_xlfn.XLOOKUP(Total[[#This Row],[Tecnología]]&amp;Total[[#This Row],[Metodo]],TbTipos[Tecnología]&amp;TbTipos[Metodo],TbTipos[Tipo])</f>
        <v>CUDA sin graph</v>
      </c>
      <c r="E596" s="2" t="str" cm="1">
        <f t="array" ref="E596">_xlfn.XLOOKUP(Total[[#This Row],[Tecnología]]&amp;Total[[#This Row],[Problema]],TbNombres[Tecnología]&amp;TbNombres[Problema],TbNombres[Nombre])</f>
        <v>Brusselator1d</v>
      </c>
      <c r="F596" s="2">
        <v>5</v>
      </c>
      <c r="G596" s="2">
        <v>5</v>
      </c>
      <c r="H596" s="2">
        <v>256</v>
      </c>
      <c r="I596" s="2">
        <v>100</v>
      </c>
      <c r="J596" s="2">
        <v>200</v>
      </c>
      <c r="K596" s="2">
        <v>14.4727</v>
      </c>
    </row>
    <row r="597" spans="2:11" x14ac:dyDescent="0.2">
      <c r="B597" s="5" t="str">
        <f>_xlfn.XLOOKUP(Total[[#This Row],[Metodo]],TbSolver[Metodo],TbSolver[Solver])</f>
        <v>AdamsBashfordMoulton</v>
      </c>
      <c r="C597" s="5" t="str">
        <f>_xlfn.XLOOKUP(Total[[#This Row],[Hebras]],TbTecnologia[Hebras],TbTecnologia[Tecnología])</f>
        <v>CUDA</v>
      </c>
      <c r="D597" s="2" t="str" cm="1">
        <f t="array" ref="D597">_xlfn.XLOOKUP(Total[[#This Row],[Tecnología]]&amp;Total[[#This Row],[Metodo]],TbTipos[Tecnología]&amp;TbTipos[Metodo],TbTipos[Tipo])</f>
        <v>CUDA sin graph</v>
      </c>
      <c r="E597" s="2" t="str" cm="1">
        <f t="array" ref="E597">_xlfn.XLOOKUP(Total[[#This Row],[Tecnología]]&amp;Total[[#This Row],[Problema]],TbNombres[Tecnología]&amp;TbNombres[Problema],TbNombres[Nombre])</f>
        <v>Brusselator1d</v>
      </c>
      <c r="F597" s="2">
        <v>5</v>
      </c>
      <c r="G597" s="2">
        <v>7</v>
      </c>
      <c r="H597" s="2">
        <v>256</v>
      </c>
      <c r="I597" s="2">
        <v>100</v>
      </c>
      <c r="J597" s="2">
        <v>200</v>
      </c>
      <c r="K597" s="2">
        <v>14.5009</v>
      </c>
    </row>
    <row r="598" spans="2:11" x14ac:dyDescent="0.2">
      <c r="B598" s="5" t="str">
        <f>_xlfn.XLOOKUP(Total[[#This Row],[Metodo]],TbSolver[Metodo],TbSolver[Solver])</f>
        <v>AdamsBashfordMoulton</v>
      </c>
      <c r="C598" s="5" t="str">
        <f>_xlfn.XLOOKUP(Total[[#This Row],[Hebras]],TbTecnologia[Hebras],TbTecnologia[Tecnología])</f>
        <v>CUDA</v>
      </c>
      <c r="D598" s="2" t="str" cm="1">
        <f t="array" ref="D598">_xlfn.XLOOKUP(Total[[#This Row],[Tecnología]]&amp;Total[[#This Row],[Metodo]],TbTipos[Tecnología]&amp;TbTipos[Metodo],TbTipos[Tipo])</f>
        <v>CUDA sin graph</v>
      </c>
      <c r="E598" s="2" t="str" cm="1">
        <f t="array" ref="E598">_xlfn.XLOOKUP(Total[[#This Row],[Tecnología]]&amp;Total[[#This Row],[Problema]],TbNombres[Tecnología]&amp;TbNombres[Problema],TbNombres[Nombre])</f>
        <v>Brusselator1d</v>
      </c>
      <c r="F598" s="2">
        <v>5</v>
      </c>
      <c r="G598" s="2">
        <v>6</v>
      </c>
      <c r="H598" s="2">
        <v>256</v>
      </c>
      <c r="I598" s="2">
        <v>100</v>
      </c>
      <c r="J598" s="2">
        <v>200</v>
      </c>
      <c r="K598" s="2">
        <v>14.540699999999999</v>
      </c>
    </row>
    <row r="599" spans="2:11" x14ac:dyDescent="0.2">
      <c r="B599" s="5" t="str">
        <f>_xlfn.XLOOKUP(Total[[#This Row],[Metodo]],TbSolver[Metodo],TbSolver[Solver])</f>
        <v>AdamsBashfordMoulton</v>
      </c>
      <c r="C599" s="5" t="str">
        <f>_xlfn.XLOOKUP(Total[[#This Row],[Hebras]],TbTecnologia[Hebras],TbTecnologia[Tecnología])</f>
        <v>CUDA</v>
      </c>
      <c r="D599" s="2" t="str" cm="1">
        <f t="array" ref="D599">_xlfn.XLOOKUP(Total[[#This Row],[Tecnología]]&amp;Total[[#This Row],[Metodo]],TbTipos[Tecnología]&amp;TbTipos[Metodo],TbTipos[Tipo])</f>
        <v>CUDA sin graph</v>
      </c>
      <c r="E599" s="2" t="str" cm="1">
        <f t="array" ref="E599">_xlfn.XLOOKUP(Total[[#This Row],[Tecnología]]&amp;Total[[#This Row],[Problema]],TbNombres[Tecnología]&amp;TbNombres[Problema],TbNombres[Nombre])</f>
        <v>Brusselator1d</v>
      </c>
      <c r="F599" s="2">
        <v>5</v>
      </c>
      <c r="G599" s="2">
        <v>5</v>
      </c>
      <c r="H599" s="2">
        <v>256</v>
      </c>
      <c r="I599" s="2">
        <v>200</v>
      </c>
      <c r="J599" s="2">
        <v>400</v>
      </c>
      <c r="K599" s="2">
        <v>14.583500000000001</v>
      </c>
    </row>
    <row r="600" spans="2:11" x14ac:dyDescent="0.2">
      <c r="B600" s="5" t="str">
        <f>_xlfn.XLOOKUP(Total[[#This Row],[Metodo]],TbSolver[Metodo],TbSolver[Solver])</f>
        <v>AdamsBashfordMoulton</v>
      </c>
      <c r="C600" s="5" t="str">
        <f>_xlfn.XLOOKUP(Total[[#This Row],[Hebras]],TbTecnologia[Hebras],TbTecnologia[Tecnología])</f>
        <v>CUDA</v>
      </c>
      <c r="D600" s="2" t="str" cm="1">
        <f t="array" ref="D600">_xlfn.XLOOKUP(Total[[#This Row],[Tecnología]]&amp;Total[[#This Row],[Metodo]],TbTipos[Tecnología]&amp;TbTipos[Metodo],TbTipos[Tipo])</f>
        <v>CUDA sin graph</v>
      </c>
      <c r="E600" s="2" t="str" cm="1">
        <f t="array" ref="E600">_xlfn.XLOOKUP(Total[[#This Row],[Tecnología]]&amp;Total[[#This Row],[Problema]],TbNombres[Tecnología]&amp;TbNombres[Problema],TbNombres[Nombre])</f>
        <v>Brusselator1d</v>
      </c>
      <c r="F600" s="2">
        <v>5</v>
      </c>
      <c r="G600" s="2">
        <v>7</v>
      </c>
      <c r="H600" s="2">
        <v>256</v>
      </c>
      <c r="I600" s="2">
        <v>200</v>
      </c>
      <c r="J600" s="2">
        <v>400</v>
      </c>
      <c r="K600" s="2">
        <v>14.6775</v>
      </c>
    </row>
    <row r="601" spans="2:11" x14ac:dyDescent="0.2">
      <c r="B601" s="5" t="str">
        <f>_xlfn.XLOOKUP(Total[[#This Row],[Metodo]],TbSolver[Metodo],TbSolver[Solver])</f>
        <v>AdamsBashfordMoulton</v>
      </c>
      <c r="C601" s="5" t="str">
        <f>_xlfn.XLOOKUP(Total[[#This Row],[Hebras]],TbTecnologia[Hebras],TbTecnologia[Tecnología])</f>
        <v>CUDA</v>
      </c>
      <c r="D601" s="2" t="str" cm="1">
        <f t="array" ref="D601">_xlfn.XLOOKUP(Total[[#This Row],[Tecnología]]&amp;Total[[#This Row],[Metodo]],TbTipos[Tecnología]&amp;TbTipos[Metodo],TbTipos[Tipo])</f>
        <v>CUDA sin graph</v>
      </c>
      <c r="E601" s="2" t="str" cm="1">
        <f t="array" ref="E601">_xlfn.XLOOKUP(Total[[#This Row],[Tecnología]]&amp;Total[[#This Row],[Problema]],TbNombres[Tecnología]&amp;TbNombres[Problema],TbNombres[Nombre])</f>
        <v>Brusselator1d</v>
      </c>
      <c r="F601" s="2">
        <v>5</v>
      </c>
      <c r="G601" s="2">
        <v>6</v>
      </c>
      <c r="H601" s="2">
        <v>256</v>
      </c>
      <c r="I601" s="2">
        <v>200</v>
      </c>
      <c r="J601" s="2">
        <v>400</v>
      </c>
      <c r="K601" s="2">
        <v>14.7171</v>
      </c>
    </row>
    <row r="602" spans="2:11" x14ac:dyDescent="0.2">
      <c r="B602" s="5" t="str">
        <f>_xlfn.XLOOKUP(Total[[#This Row],[Metodo]],TbSolver[Metodo],TbSolver[Solver])</f>
        <v>AdamsBashfordMoulton</v>
      </c>
      <c r="C602" s="5" t="str">
        <f>_xlfn.XLOOKUP(Total[[#This Row],[Hebras]],TbTecnologia[Hebras],TbTecnologia[Tecnología])</f>
        <v>CUDA</v>
      </c>
      <c r="D602" s="2" t="str" cm="1">
        <f t="array" ref="D602">_xlfn.XLOOKUP(Total[[#This Row],[Tecnología]]&amp;Total[[#This Row],[Metodo]],TbTipos[Tecnología]&amp;TbTipos[Metodo],TbTipos[Tipo])</f>
        <v>CUDA sin graph</v>
      </c>
      <c r="E602" s="2" t="str" cm="1">
        <f t="array" ref="E602">_xlfn.XLOOKUP(Total[[#This Row],[Tecnología]]&amp;Total[[#This Row],[Problema]],TbNombres[Tecnología]&amp;TbNombres[Problema],TbNombres[Nombre])</f>
        <v>Brusselator1d</v>
      </c>
      <c r="F602" s="2">
        <v>5</v>
      </c>
      <c r="G602" s="2">
        <v>5</v>
      </c>
      <c r="H602" s="2">
        <v>256</v>
      </c>
      <c r="I602" s="2">
        <v>10000</v>
      </c>
      <c r="J602" s="2">
        <v>20000</v>
      </c>
      <c r="K602" s="2">
        <v>18.740500000000001</v>
      </c>
    </row>
    <row r="603" spans="2:11" x14ac:dyDescent="0.2">
      <c r="B603" s="5" t="str">
        <f>_xlfn.XLOOKUP(Total[[#This Row],[Metodo]],TbSolver[Metodo],TbSolver[Solver])</f>
        <v>AdamsBashfordMoulton</v>
      </c>
      <c r="C603" s="5" t="str">
        <f>_xlfn.XLOOKUP(Total[[#This Row],[Hebras]],TbTecnologia[Hebras],TbTecnologia[Tecnología])</f>
        <v>CUDA</v>
      </c>
      <c r="D603" s="2" t="str" cm="1">
        <f t="array" ref="D603">_xlfn.XLOOKUP(Total[[#This Row],[Tecnología]]&amp;Total[[#This Row],[Metodo]],TbTipos[Tecnología]&amp;TbTipos[Metodo],TbTipos[Tipo])</f>
        <v>CUDA sin graph</v>
      </c>
      <c r="E603" s="2" t="str" cm="1">
        <f t="array" ref="E603">_xlfn.XLOOKUP(Total[[#This Row],[Tecnología]]&amp;Total[[#This Row],[Problema]],TbNombres[Tecnología]&amp;TbNombres[Problema],TbNombres[Nombre])</f>
        <v>Brusselator1d</v>
      </c>
      <c r="F603" s="2">
        <v>5</v>
      </c>
      <c r="G603" s="2">
        <v>5</v>
      </c>
      <c r="H603" s="2">
        <v>256</v>
      </c>
      <c r="I603" s="2">
        <v>20000</v>
      </c>
      <c r="J603" s="2">
        <v>40000</v>
      </c>
      <c r="K603" s="2">
        <v>23.7239</v>
      </c>
    </row>
    <row r="604" spans="2:11" x14ac:dyDescent="0.2">
      <c r="B604" s="5" t="str">
        <f>_xlfn.XLOOKUP(Total[[#This Row],[Metodo]],TbSolver[Metodo],TbSolver[Solver])</f>
        <v>AdamsBashfordMoulton</v>
      </c>
      <c r="C604" s="5" t="str">
        <f>_xlfn.XLOOKUP(Total[[#This Row],[Hebras]],TbTecnologia[Hebras],TbTecnologia[Tecnología])</f>
        <v>CUDA</v>
      </c>
      <c r="D604" s="2" t="str" cm="1">
        <f t="array" ref="D604">_xlfn.XLOOKUP(Total[[#This Row],[Tecnología]]&amp;Total[[#This Row],[Metodo]],TbTipos[Tecnología]&amp;TbTipos[Metodo],TbTipos[Tipo])</f>
        <v>CUDA sin graph</v>
      </c>
      <c r="E604" s="2" t="str" cm="1">
        <f t="array" ref="E604">_xlfn.XLOOKUP(Total[[#This Row],[Tecnología]]&amp;Total[[#This Row],[Problema]],TbNombres[Tecnología]&amp;TbNombres[Problema],TbNombres[Nombre])</f>
        <v>Brusselator1d</v>
      </c>
      <c r="F604" s="2">
        <v>5</v>
      </c>
      <c r="G604" s="2">
        <v>5</v>
      </c>
      <c r="H604" s="2">
        <v>256</v>
      </c>
      <c r="I604" s="2">
        <v>50000</v>
      </c>
      <c r="J604" s="2">
        <v>100000</v>
      </c>
      <c r="K604" s="2">
        <v>51.010599999999997</v>
      </c>
    </row>
    <row r="605" spans="2:11" x14ac:dyDescent="0.2">
      <c r="B605" s="5" t="str">
        <f>_xlfn.XLOOKUP(Total[[#This Row],[Metodo]],TbSolver[Metodo],TbSolver[Solver])</f>
        <v>AdamsBashfordMoulton</v>
      </c>
      <c r="C605" s="5" t="str">
        <f>_xlfn.XLOOKUP(Total[[#This Row],[Hebras]],TbTecnologia[Hebras],TbTecnologia[Tecnología])</f>
        <v>CUDA</v>
      </c>
      <c r="D605" s="2" t="str" cm="1">
        <f t="array" ref="D605">_xlfn.XLOOKUP(Total[[#This Row],[Tecnología]]&amp;Total[[#This Row],[Metodo]],TbTipos[Tecnología]&amp;TbTipos[Metodo],TbTipos[Tipo])</f>
        <v>CUDA sin graph</v>
      </c>
      <c r="E605" s="2" t="str" cm="1">
        <f t="array" ref="E605">_xlfn.XLOOKUP(Total[[#This Row],[Tecnología]]&amp;Total[[#This Row],[Problema]],TbNombres[Tecnología]&amp;TbNombres[Problema],TbNombres[Nombre])</f>
        <v>Brusselator1d</v>
      </c>
      <c r="F605" s="2">
        <v>5</v>
      </c>
      <c r="G605" s="2">
        <v>5</v>
      </c>
      <c r="H605" s="2">
        <v>256</v>
      </c>
      <c r="I605" s="2">
        <v>100000</v>
      </c>
      <c r="J605" s="2">
        <v>200000</v>
      </c>
      <c r="K605" s="2">
        <v>104.756</v>
      </c>
    </row>
    <row r="606" spans="2:11" x14ac:dyDescent="0.2">
      <c r="B606" s="5" t="str">
        <f>_xlfn.XLOOKUP(Total[[#This Row],[Metodo]],TbSolver[Metodo],TbSolver[Solver])</f>
        <v>AdamsBashfordMoulton</v>
      </c>
      <c r="C606" s="5" t="str">
        <f>_xlfn.XLOOKUP(Total[[#This Row],[Hebras]],TbTecnologia[Hebras],TbTecnologia[Tecnología])</f>
        <v>CUDA</v>
      </c>
      <c r="D606" s="2" t="str" cm="1">
        <f t="array" ref="D606">_xlfn.XLOOKUP(Total[[#This Row],[Tecnología]]&amp;Total[[#This Row],[Metodo]],TbTipos[Tecnología]&amp;TbTipos[Metodo],TbTipos[Tipo])</f>
        <v>CUDA sin graph</v>
      </c>
      <c r="E606" s="2" t="str" cm="1">
        <f t="array" ref="E606">_xlfn.XLOOKUP(Total[[#This Row],[Tecnología]]&amp;Total[[#This Row],[Problema]],TbNombres[Tecnología]&amp;TbNombres[Problema],TbNombres[Nombre])</f>
        <v>Brusselator1d</v>
      </c>
      <c r="F606" s="2">
        <v>5</v>
      </c>
      <c r="G606" s="2">
        <v>5</v>
      </c>
      <c r="H606" s="2">
        <v>256</v>
      </c>
      <c r="I606" s="2">
        <v>200000</v>
      </c>
      <c r="J606" s="2">
        <v>400000</v>
      </c>
      <c r="K606" s="2">
        <v>208.50399999999999</v>
      </c>
    </row>
    <row r="607" spans="2:11" x14ac:dyDescent="0.2">
      <c r="B607" s="5" t="str">
        <f>_xlfn.XLOOKUP(Total[[#This Row],[Metodo]],TbSolver[Metodo],TbSolver[Solver])</f>
        <v>AdamsBashfordMoulton</v>
      </c>
      <c r="C607" s="5" t="str">
        <f>_xlfn.XLOOKUP(Total[[#This Row],[Hebras]],TbTecnologia[Hebras],TbTecnologia[Tecnología])</f>
        <v>OMP</v>
      </c>
      <c r="D607" s="7" t="str" cm="1">
        <f t="array" ref="D607">_xlfn.XLOOKUP(Total[[#This Row],[Tecnología]]&amp;Total[[#This Row],[Metodo]],TbTipos[Tecnología]&amp;TbTipos[Metodo],TbTipos[Tipo])</f>
        <v>OMP Operaciones</v>
      </c>
      <c r="E607" s="6" t="str" cm="1">
        <f t="array" ref="E607">_xlfn.XLOOKUP(Total[[#This Row],[Tecnología]]&amp;Total[[#This Row],[Problema]],TbNombres[Tecnología]&amp;TbNombres[Problema],TbNombres[Nombre])</f>
        <v>Brusselator1d</v>
      </c>
      <c r="F607" s="6">
        <v>5</v>
      </c>
      <c r="G607" s="6">
        <v>3</v>
      </c>
      <c r="H607" s="6">
        <v>1</v>
      </c>
      <c r="I607" s="6">
        <v>100</v>
      </c>
      <c r="J607" s="6">
        <v>200</v>
      </c>
      <c r="K607" s="6">
        <v>6.8280700000000003</v>
      </c>
    </row>
    <row r="608" spans="2:11" x14ac:dyDescent="0.2">
      <c r="B608" s="5" t="str">
        <f>_xlfn.XLOOKUP(Total[[#This Row],[Metodo]],TbSolver[Metodo],TbSolver[Solver])</f>
        <v>AdamsBashfordMoulton</v>
      </c>
      <c r="C608" s="5" t="str">
        <f>_xlfn.XLOOKUP(Total[[#This Row],[Hebras]],TbTecnologia[Hebras],TbTecnologia[Tecnología])</f>
        <v>OMP</v>
      </c>
      <c r="D608" s="7" t="str" cm="1">
        <f t="array" ref="D608">_xlfn.XLOOKUP(Total[[#This Row],[Tecnología]]&amp;Total[[#This Row],[Metodo]],TbTipos[Tecnología]&amp;TbTipos[Metodo],TbTipos[Tipo])</f>
        <v>OMP Operaciones</v>
      </c>
      <c r="E608" s="6" t="str" cm="1">
        <f t="array" ref="E608">_xlfn.XLOOKUP(Total[[#This Row],[Tecnología]]&amp;Total[[#This Row],[Problema]],TbNombres[Tecnología]&amp;TbNombres[Problema],TbNombres[Nombre])</f>
        <v>Brusselator1d</v>
      </c>
      <c r="F608" s="6">
        <v>5</v>
      </c>
      <c r="G608" s="6">
        <v>3</v>
      </c>
      <c r="H608" s="6">
        <v>4</v>
      </c>
      <c r="I608" s="6">
        <v>100</v>
      </c>
      <c r="J608" s="6">
        <v>200</v>
      </c>
      <c r="K608" s="6">
        <v>45.3827</v>
      </c>
    </row>
    <row r="609" spans="2:11" x14ac:dyDescent="0.2">
      <c r="B609" s="5" t="str">
        <f>_xlfn.XLOOKUP(Total[[#This Row],[Metodo]],TbSolver[Metodo],TbSolver[Solver])</f>
        <v>AdamsBashfordMoulton</v>
      </c>
      <c r="C609" s="5" t="str">
        <f>_xlfn.XLOOKUP(Total[[#This Row],[Hebras]],TbTecnologia[Hebras],TbTecnologia[Tecnología])</f>
        <v>OMP</v>
      </c>
      <c r="D609" s="7" t="str" cm="1">
        <f t="array" ref="D609">_xlfn.XLOOKUP(Total[[#This Row],[Tecnología]]&amp;Total[[#This Row],[Metodo]],TbTipos[Tecnología]&amp;TbTipos[Metodo],TbTipos[Tipo])</f>
        <v>OMP Operaciones</v>
      </c>
      <c r="E609" s="6" t="str" cm="1">
        <f t="array" ref="E609">_xlfn.XLOOKUP(Total[[#This Row],[Tecnología]]&amp;Total[[#This Row],[Problema]],TbNombres[Tecnología]&amp;TbNombres[Problema],TbNombres[Nombre])</f>
        <v>Brusselator1d</v>
      </c>
      <c r="F609" s="6">
        <v>5</v>
      </c>
      <c r="G609" s="6">
        <v>3</v>
      </c>
      <c r="H609" s="6">
        <v>16</v>
      </c>
      <c r="I609" s="6">
        <v>100</v>
      </c>
      <c r="J609" s="6">
        <v>200</v>
      </c>
      <c r="K609" s="6">
        <v>103.395</v>
      </c>
    </row>
    <row r="610" spans="2:11" x14ac:dyDescent="0.2">
      <c r="B610" s="5" t="str">
        <f>_xlfn.XLOOKUP(Total[[#This Row],[Metodo]],TbSolver[Metodo],TbSolver[Solver])</f>
        <v>AdamsBashfordMoulton</v>
      </c>
      <c r="C610" s="5" t="str">
        <f>_xlfn.XLOOKUP(Total[[#This Row],[Hebras]],TbTecnologia[Hebras],TbTecnologia[Tecnología])</f>
        <v>OMP</v>
      </c>
      <c r="D610" s="7" t="str" cm="1">
        <f t="array" ref="D610">_xlfn.XLOOKUP(Total[[#This Row],[Tecnología]]&amp;Total[[#This Row],[Metodo]],TbTipos[Tecnología]&amp;TbTipos[Metodo],TbTipos[Tipo])</f>
        <v>OMP Operaciones</v>
      </c>
      <c r="E610" s="6" t="str" cm="1">
        <f t="array" ref="E610">_xlfn.XLOOKUP(Total[[#This Row],[Tecnología]]&amp;Total[[#This Row],[Problema]],TbNombres[Tecnología]&amp;TbNombres[Problema],TbNombres[Nombre])</f>
        <v>Brusselator1d</v>
      </c>
      <c r="F610" s="6">
        <v>5</v>
      </c>
      <c r="G610" s="6">
        <v>3</v>
      </c>
      <c r="H610" s="6">
        <v>1</v>
      </c>
      <c r="I610" s="6">
        <v>200</v>
      </c>
      <c r="J610" s="6">
        <v>400</v>
      </c>
      <c r="K610" s="6">
        <v>8.7159899999999997</v>
      </c>
    </row>
    <row r="611" spans="2:11" x14ac:dyDescent="0.2">
      <c r="B611" s="5" t="str">
        <f>_xlfn.XLOOKUP(Total[[#This Row],[Metodo]],TbSolver[Metodo],TbSolver[Solver])</f>
        <v>AdamsBashfordMoulton</v>
      </c>
      <c r="C611" s="5" t="str">
        <f>_xlfn.XLOOKUP(Total[[#This Row],[Hebras]],TbTecnologia[Hebras],TbTecnologia[Tecnología])</f>
        <v>OMP</v>
      </c>
      <c r="D611" s="7" t="str" cm="1">
        <f t="array" ref="D611">_xlfn.XLOOKUP(Total[[#This Row],[Tecnología]]&amp;Total[[#This Row],[Metodo]],TbTipos[Tecnología]&amp;TbTipos[Metodo],TbTipos[Tipo])</f>
        <v>OMP Operaciones</v>
      </c>
      <c r="E611" s="6" t="str" cm="1">
        <f t="array" ref="E611">_xlfn.XLOOKUP(Total[[#This Row],[Tecnología]]&amp;Total[[#This Row],[Problema]],TbNombres[Tecnología]&amp;TbNombres[Problema],TbNombres[Nombre])</f>
        <v>Brusselator1d</v>
      </c>
      <c r="F611" s="6">
        <v>5</v>
      </c>
      <c r="G611" s="6">
        <v>3</v>
      </c>
      <c r="H611" s="6">
        <v>4</v>
      </c>
      <c r="I611" s="6">
        <v>200</v>
      </c>
      <c r="J611" s="6">
        <v>400</v>
      </c>
      <c r="K611" s="6">
        <v>52.7333</v>
      </c>
    </row>
    <row r="612" spans="2:11" x14ac:dyDescent="0.2">
      <c r="B612" s="5" t="str">
        <f>_xlfn.XLOOKUP(Total[[#This Row],[Metodo]],TbSolver[Metodo],TbSolver[Solver])</f>
        <v>AdamsBashfordMoulton</v>
      </c>
      <c r="C612" s="5" t="str">
        <f>_xlfn.XLOOKUP(Total[[#This Row],[Hebras]],TbTecnologia[Hebras],TbTecnologia[Tecnología])</f>
        <v>OMP</v>
      </c>
      <c r="D612" s="7" t="str" cm="1">
        <f t="array" ref="D612">_xlfn.XLOOKUP(Total[[#This Row],[Tecnología]]&amp;Total[[#This Row],[Metodo]],TbTipos[Tecnología]&amp;TbTipos[Metodo],TbTipos[Tipo])</f>
        <v>OMP Operaciones</v>
      </c>
      <c r="E612" s="6" t="str" cm="1">
        <f t="array" ref="E612">_xlfn.XLOOKUP(Total[[#This Row],[Tecnología]]&amp;Total[[#This Row],[Problema]],TbNombres[Tecnología]&amp;TbNombres[Problema],TbNombres[Nombre])</f>
        <v>Brusselator1d</v>
      </c>
      <c r="F612" s="6">
        <v>5</v>
      </c>
      <c r="G612" s="6">
        <v>3</v>
      </c>
      <c r="H612" s="6">
        <v>16</v>
      </c>
      <c r="I612" s="6">
        <v>200</v>
      </c>
      <c r="J612" s="6">
        <v>400</v>
      </c>
      <c r="K612" s="6">
        <v>132.62700000000001</v>
      </c>
    </row>
    <row r="613" spans="2:11" x14ac:dyDescent="0.2">
      <c r="B613" s="5" t="str">
        <f>_xlfn.XLOOKUP(Total[[#This Row],[Metodo]],TbSolver[Metodo],TbSolver[Solver])</f>
        <v>AdamsBashfordMoulton</v>
      </c>
      <c r="C613" s="5" t="str">
        <f>_xlfn.XLOOKUP(Total[[#This Row],[Hebras]],TbTecnologia[Hebras],TbTecnologia[Tecnología])</f>
        <v>OMP</v>
      </c>
      <c r="D613" s="7" t="str" cm="1">
        <f t="array" ref="D613">_xlfn.XLOOKUP(Total[[#This Row],[Tecnología]]&amp;Total[[#This Row],[Metodo]],TbTipos[Tecnología]&amp;TbTipos[Metodo],TbTipos[Tipo])</f>
        <v>OMP Operaciones</v>
      </c>
      <c r="E613" s="6" t="str" cm="1">
        <f t="array" ref="E613">_xlfn.XLOOKUP(Total[[#This Row],[Tecnología]]&amp;Total[[#This Row],[Problema]],TbNombres[Tecnología]&amp;TbNombres[Problema],TbNombres[Nombre])</f>
        <v>Brusselator1d</v>
      </c>
      <c r="F613" s="6">
        <v>5</v>
      </c>
      <c r="G613" s="6">
        <v>3</v>
      </c>
      <c r="H613" s="6">
        <v>1</v>
      </c>
      <c r="I613" s="6">
        <v>500</v>
      </c>
      <c r="J613" s="6">
        <v>1000</v>
      </c>
      <c r="K613" s="6">
        <v>14.595599999999999</v>
      </c>
    </row>
    <row r="614" spans="2:11" x14ac:dyDescent="0.2">
      <c r="B614" s="5" t="str">
        <f>_xlfn.XLOOKUP(Total[[#This Row],[Metodo]],TbSolver[Metodo],TbSolver[Solver])</f>
        <v>AdamsBashfordMoulton</v>
      </c>
      <c r="C614" s="5" t="str">
        <f>_xlfn.XLOOKUP(Total[[#This Row],[Hebras]],TbTecnologia[Hebras],TbTecnologia[Tecnología])</f>
        <v>OMP</v>
      </c>
      <c r="D614" s="7" t="str" cm="1">
        <f t="array" ref="D614">_xlfn.XLOOKUP(Total[[#This Row],[Tecnología]]&amp;Total[[#This Row],[Metodo]],TbTipos[Tecnología]&amp;TbTipos[Metodo],TbTipos[Tipo])</f>
        <v>OMP Operaciones</v>
      </c>
      <c r="E614" s="6" t="str" cm="1">
        <f t="array" ref="E614">_xlfn.XLOOKUP(Total[[#This Row],[Tecnología]]&amp;Total[[#This Row],[Problema]],TbNombres[Tecnología]&amp;TbNombres[Problema],TbNombres[Nombre])</f>
        <v>Brusselator1d</v>
      </c>
      <c r="F614" s="6">
        <v>5</v>
      </c>
      <c r="G614" s="6">
        <v>3</v>
      </c>
      <c r="H614" s="6">
        <v>4</v>
      </c>
      <c r="I614" s="6">
        <v>500</v>
      </c>
      <c r="J614" s="6">
        <v>1000</v>
      </c>
      <c r="K614" s="6">
        <v>51.3416</v>
      </c>
    </row>
    <row r="615" spans="2:11" x14ac:dyDescent="0.2">
      <c r="B615" s="5" t="str">
        <f>_xlfn.XLOOKUP(Total[[#This Row],[Metodo]],TbSolver[Metodo],TbSolver[Solver])</f>
        <v>AdamsBashfordMoulton</v>
      </c>
      <c r="C615" s="5" t="str">
        <f>_xlfn.XLOOKUP(Total[[#This Row],[Hebras]],TbTecnologia[Hebras],TbTecnologia[Tecnología])</f>
        <v>OMP</v>
      </c>
      <c r="D615" s="7" t="str" cm="1">
        <f t="array" ref="D615">_xlfn.XLOOKUP(Total[[#This Row],[Tecnología]]&amp;Total[[#This Row],[Metodo]],TbTipos[Tecnología]&amp;TbTipos[Metodo],TbTipos[Tipo])</f>
        <v>OMP Operaciones</v>
      </c>
      <c r="E615" s="6" t="str" cm="1">
        <f t="array" ref="E615">_xlfn.XLOOKUP(Total[[#This Row],[Tecnología]]&amp;Total[[#This Row],[Problema]],TbNombres[Tecnología]&amp;TbNombres[Problema],TbNombres[Nombre])</f>
        <v>Brusselator1d</v>
      </c>
      <c r="F615" s="6">
        <v>5</v>
      </c>
      <c r="G615" s="6">
        <v>3</v>
      </c>
      <c r="H615" s="6">
        <v>16</v>
      </c>
      <c r="I615" s="6">
        <v>500</v>
      </c>
      <c r="J615" s="6">
        <v>1000</v>
      </c>
      <c r="K615" s="6">
        <v>100.569</v>
      </c>
    </row>
    <row r="616" spans="2:11" x14ac:dyDescent="0.2">
      <c r="B616" s="5" t="str">
        <f>_xlfn.XLOOKUP(Total[[#This Row],[Metodo]],TbSolver[Metodo],TbSolver[Solver])</f>
        <v>AdamsBashfordMoulton</v>
      </c>
      <c r="C616" s="5" t="str">
        <f>_xlfn.XLOOKUP(Total[[#This Row],[Hebras]],TbTecnologia[Hebras],TbTecnologia[Tecnología])</f>
        <v>OMP</v>
      </c>
      <c r="D616" s="7" t="str" cm="1">
        <f t="array" ref="D616">_xlfn.XLOOKUP(Total[[#This Row],[Tecnología]]&amp;Total[[#This Row],[Metodo]],TbTipos[Tecnología]&amp;TbTipos[Metodo],TbTipos[Tipo])</f>
        <v>OMP Operaciones</v>
      </c>
      <c r="E616" s="6" t="str" cm="1">
        <f t="array" ref="E616">_xlfn.XLOOKUP(Total[[#This Row],[Tecnología]]&amp;Total[[#This Row],[Problema]],TbNombres[Tecnología]&amp;TbNombres[Problema],TbNombres[Nombre])</f>
        <v>Brusselator1d</v>
      </c>
      <c r="F616" s="6">
        <v>5</v>
      </c>
      <c r="G616" s="6">
        <v>3</v>
      </c>
      <c r="H616" s="6">
        <v>1</v>
      </c>
      <c r="I616" s="6">
        <v>1000</v>
      </c>
      <c r="J616" s="6">
        <v>2000</v>
      </c>
      <c r="K616" s="6">
        <v>24.846499999999999</v>
      </c>
    </row>
    <row r="617" spans="2:11" x14ac:dyDescent="0.2">
      <c r="B617" s="5" t="str">
        <f>_xlfn.XLOOKUP(Total[[#This Row],[Metodo]],TbSolver[Metodo],TbSolver[Solver])</f>
        <v>AdamsBashfordMoulton</v>
      </c>
      <c r="C617" s="5" t="str">
        <f>_xlfn.XLOOKUP(Total[[#This Row],[Hebras]],TbTecnologia[Hebras],TbTecnologia[Tecnología])</f>
        <v>OMP</v>
      </c>
      <c r="D617" s="7" t="str" cm="1">
        <f t="array" ref="D617">_xlfn.XLOOKUP(Total[[#This Row],[Tecnología]]&amp;Total[[#This Row],[Metodo]],TbTipos[Tecnología]&amp;TbTipos[Metodo],TbTipos[Tipo])</f>
        <v>OMP Operaciones</v>
      </c>
      <c r="E617" s="6" t="str" cm="1">
        <f t="array" ref="E617">_xlfn.XLOOKUP(Total[[#This Row],[Tecnología]]&amp;Total[[#This Row],[Problema]],TbNombres[Tecnología]&amp;TbNombres[Problema],TbNombres[Nombre])</f>
        <v>Brusselator1d</v>
      </c>
      <c r="F617" s="6">
        <v>5</v>
      </c>
      <c r="G617" s="6">
        <v>3</v>
      </c>
      <c r="H617" s="6">
        <v>4</v>
      </c>
      <c r="I617" s="6">
        <v>1000</v>
      </c>
      <c r="J617" s="6">
        <v>2000</v>
      </c>
      <c r="K617" s="6">
        <v>56.811799999999998</v>
      </c>
    </row>
    <row r="618" spans="2:11" x14ac:dyDescent="0.2">
      <c r="B618" s="5" t="str">
        <f>_xlfn.XLOOKUP(Total[[#This Row],[Metodo]],TbSolver[Metodo],TbSolver[Solver])</f>
        <v>AdamsBashfordMoulton</v>
      </c>
      <c r="C618" s="5" t="str">
        <f>_xlfn.XLOOKUP(Total[[#This Row],[Hebras]],TbTecnologia[Hebras],TbTecnologia[Tecnología])</f>
        <v>OMP</v>
      </c>
      <c r="D618" s="7" t="str" cm="1">
        <f t="array" ref="D618">_xlfn.XLOOKUP(Total[[#This Row],[Tecnología]]&amp;Total[[#This Row],[Metodo]],TbTipos[Tecnología]&amp;TbTipos[Metodo],TbTipos[Tipo])</f>
        <v>OMP Operaciones</v>
      </c>
      <c r="E618" s="6" t="str" cm="1">
        <f t="array" ref="E618">_xlfn.XLOOKUP(Total[[#This Row],[Tecnología]]&amp;Total[[#This Row],[Problema]],TbNombres[Tecnología]&amp;TbNombres[Problema],TbNombres[Nombre])</f>
        <v>Brusselator1d</v>
      </c>
      <c r="F618" s="6">
        <v>5</v>
      </c>
      <c r="G618" s="6">
        <v>3</v>
      </c>
      <c r="H618" s="6">
        <v>16</v>
      </c>
      <c r="I618" s="6">
        <v>1000</v>
      </c>
      <c r="J618" s="6">
        <v>2000</v>
      </c>
      <c r="K618" s="6">
        <v>123.637</v>
      </c>
    </row>
    <row r="619" spans="2:11" x14ac:dyDescent="0.2">
      <c r="B619" s="5" t="str">
        <f>_xlfn.XLOOKUP(Total[[#This Row],[Metodo]],TbSolver[Metodo],TbSolver[Solver])</f>
        <v>AdamsBashfordMoulton</v>
      </c>
      <c r="C619" s="5" t="str">
        <f>_xlfn.XLOOKUP(Total[[#This Row],[Hebras]],TbTecnologia[Hebras],TbTecnologia[Tecnología])</f>
        <v>OMP</v>
      </c>
      <c r="D619" s="7" t="str" cm="1">
        <f t="array" ref="D619">_xlfn.XLOOKUP(Total[[#This Row],[Tecnología]]&amp;Total[[#This Row],[Metodo]],TbTipos[Tecnología]&amp;TbTipos[Metodo],TbTipos[Tipo])</f>
        <v>OMP Elementos</v>
      </c>
      <c r="E619" s="6" t="str" cm="1">
        <f t="array" ref="E619">_xlfn.XLOOKUP(Total[[#This Row],[Tecnología]]&amp;Total[[#This Row],[Problema]],TbNombres[Tecnología]&amp;TbNombres[Problema],TbNombres[Nombre])</f>
        <v>Brusselator1d</v>
      </c>
      <c r="F619" s="6">
        <v>6</v>
      </c>
      <c r="G619" s="6">
        <v>3</v>
      </c>
      <c r="H619" s="6">
        <v>1</v>
      </c>
      <c r="I619" s="6">
        <v>100</v>
      </c>
      <c r="J619" s="6">
        <v>200</v>
      </c>
      <c r="K619" s="6">
        <v>5.8336199999999998</v>
      </c>
    </row>
    <row r="620" spans="2:11" x14ac:dyDescent="0.2">
      <c r="B620" s="5" t="str">
        <f>_xlfn.XLOOKUP(Total[[#This Row],[Metodo]],TbSolver[Metodo],TbSolver[Solver])</f>
        <v>AdamsBashfordMoulton</v>
      </c>
      <c r="C620" s="5" t="str">
        <f>_xlfn.XLOOKUP(Total[[#This Row],[Hebras]],TbTecnologia[Hebras],TbTecnologia[Tecnología])</f>
        <v>OMP</v>
      </c>
      <c r="D620" s="7" t="str" cm="1">
        <f t="array" ref="D620">_xlfn.XLOOKUP(Total[[#This Row],[Tecnología]]&amp;Total[[#This Row],[Metodo]],TbTipos[Tecnología]&amp;TbTipos[Metodo],TbTipos[Tipo])</f>
        <v>OMP Elementos</v>
      </c>
      <c r="E620" s="6" t="str" cm="1">
        <f t="array" ref="E620">_xlfn.XLOOKUP(Total[[#This Row],[Tecnología]]&amp;Total[[#This Row],[Problema]],TbNombres[Tecnología]&amp;TbNombres[Problema],TbNombres[Nombre])</f>
        <v>Brusselator1d</v>
      </c>
      <c r="F620" s="6">
        <v>6</v>
      </c>
      <c r="G620" s="6">
        <v>3</v>
      </c>
      <c r="H620" s="6">
        <v>4</v>
      </c>
      <c r="I620" s="6">
        <v>100</v>
      </c>
      <c r="J620" s="6">
        <v>200</v>
      </c>
      <c r="K620" s="6">
        <v>9.4379600000000003</v>
      </c>
    </row>
    <row r="621" spans="2:11" x14ac:dyDescent="0.2">
      <c r="B621" s="5" t="str">
        <f>_xlfn.XLOOKUP(Total[[#This Row],[Metodo]],TbSolver[Metodo],TbSolver[Solver])</f>
        <v>AdamsBashfordMoulton</v>
      </c>
      <c r="C621" s="5" t="str">
        <f>_xlfn.XLOOKUP(Total[[#This Row],[Hebras]],TbTecnologia[Hebras],TbTecnologia[Tecnología])</f>
        <v>OMP</v>
      </c>
      <c r="D621" s="7" t="str" cm="1">
        <f t="array" ref="D621">_xlfn.XLOOKUP(Total[[#This Row],[Tecnología]]&amp;Total[[#This Row],[Metodo]],TbTipos[Tecnología]&amp;TbTipos[Metodo],TbTipos[Tipo])</f>
        <v>OMP Elementos</v>
      </c>
      <c r="E621" s="6" t="str" cm="1">
        <f t="array" ref="E621">_xlfn.XLOOKUP(Total[[#This Row],[Tecnología]]&amp;Total[[#This Row],[Problema]],TbNombres[Tecnología]&amp;TbNombres[Problema],TbNombres[Nombre])</f>
        <v>Brusselator1d</v>
      </c>
      <c r="F621" s="6">
        <v>6</v>
      </c>
      <c r="G621" s="6">
        <v>3</v>
      </c>
      <c r="H621" s="6">
        <v>16</v>
      </c>
      <c r="I621" s="6">
        <v>100</v>
      </c>
      <c r="J621" s="6">
        <v>200</v>
      </c>
      <c r="K621" s="6">
        <v>38.313299999999998</v>
      </c>
    </row>
    <row r="622" spans="2:11" x14ac:dyDescent="0.2">
      <c r="B622" s="5" t="str">
        <f>_xlfn.XLOOKUP(Total[[#This Row],[Metodo]],TbSolver[Metodo],TbSolver[Solver])</f>
        <v>AdamsBashfordMoulton</v>
      </c>
      <c r="C622" s="5" t="str">
        <f>_xlfn.XLOOKUP(Total[[#This Row],[Hebras]],TbTecnologia[Hebras],TbTecnologia[Tecnología])</f>
        <v>OMP</v>
      </c>
      <c r="D622" s="7" t="str" cm="1">
        <f t="array" ref="D622">_xlfn.XLOOKUP(Total[[#This Row],[Tecnología]]&amp;Total[[#This Row],[Metodo]],TbTipos[Tecnología]&amp;TbTipos[Metodo],TbTipos[Tipo])</f>
        <v>OMP Elementos</v>
      </c>
      <c r="E622" s="6" t="str" cm="1">
        <f t="array" ref="E622">_xlfn.XLOOKUP(Total[[#This Row],[Tecnología]]&amp;Total[[#This Row],[Problema]],TbNombres[Tecnología]&amp;TbNombres[Problema],TbNombres[Nombre])</f>
        <v>Brusselator1d</v>
      </c>
      <c r="F622" s="6">
        <v>6</v>
      </c>
      <c r="G622" s="6">
        <v>3</v>
      </c>
      <c r="H622" s="6">
        <v>1</v>
      </c>
      <c r="I622" s="6">
        <v>200</v>
      </c>
      <c r="J622" s="6">
        <v>400</v>
      </c>
      <c r="K622" s="6">
        <v>10.9026</v>
      </c>
    </row>
    <row r="623" spans="2:11" x14ac:dyDescent="0.2">
      <c r="B623" s="5" t="str">
        <f>_xlfn.XLOOKUP(Total[[#This Row],[Metodo]],TbSolver[Metodo],TbSolver[Solver])</f>
        <v>AdamsBashfordMoulton</v>
      </c>
      <c r="C623" s="5" t="str">
        <f>_xlfn.XLOOKUP(Total[[#This Row],[Hebras]],TbTecnologia[Hebras],TbTecnologia[Tecnología])</f>
        <v>OMP</v>
      </c>
      <c r="D623" s="7" t="str" cm="1">
        <f t="array" ref="D623">_xlfn.XLOOKUP(Total[[#This Row],[Tecnología]]&amp;Total[[#This Row],[Metodo]],TbTipos[Tecnología]&amp;TbTipos[Metodo],TbTipos[Tipo])</f>
        <v>OMP Elementos</v>
      </c>
      <c r="E623" s="6" t="str" cm="1">
        <f t="array" ref="E623">_xlfn.XLOOKUP(Total[[#This Row],[Tecnología]]&amp;Total[[#This Row],[Problema]],TbNombres[Tecnología]&amp;TbNombres[Problema],TbNombres[Nombre])</f>
        <v>Brusselator1d</v>
      </c>
      <c r="F623" s="6">
        <v>6</v>
      </c>
      <c r="G623" s="6">
        <v>3</v>
      </c>
      <c r="H623" s="6">
        <v>4</v>
      </c>
      <c r="I623" s="6">
        <v>200</v>
      </c>
      <c r="J623" s="6">
        <v>400</v>
      </c>
      <c r="K623" s="6">
        <v>11.3154</v>
      </c>
    </row>
    <row r="624" spans="2:11" x14ac:dyDescent="0.2">
      <c r="B624" s="5" t="str">
        <f>_xlfn.XLOOKUP(Total[[#This Row],[Metodo]],TbSolver[Metodo],TbSolver[Solver])</f>
        <v>AdamsBashfordMoulton</v>
      </c>
      <c r="C624" s="5" t="str">
        <f>_xlfn.XLOOKUP(Total[[#This Row],[Hebras]],TbTecnologia[Hebras],TbTecnologia[Tecnología])</f>
        <v>OMP</v>
      </c>
      <c r="D624" s="7" t="str" cm="1">
        <f t="array" ref="D624">_xlfn.XLOOKUP(Total[[#This Row],[Tecnología]]&amp;Total[[#This Row],[Metodo]],TbTipos[Tecnología]&amp;TbTipos[Metodo],TbTipos[Tipo])</f>
        <v>OMP Elementos</v>
      </c>
      <c r="E624" s="6" t="str" cm="1">
        <f t="array" ref="E624">_xlfn.XLOOKUP(Total[[#This Row],[Tecnología]]&amp;Total[[#This Row],[Problema]],TbNombres[Tecnología]&amp;TbNombres[Problema],TbNombres[Nombre])</f>
        <v>Brusselator1d</v>
      </c>
      <c r="F624" s="6">
        <v>6</v>
      </c>
      <c r="G624" s="6">
        <v>3</v>
      </c>
      <c r="H624" s="6">
        <v>16</v>
      </c>
      <c r="I624" s="6">
        <v>200</v>
      </c>
      <c r="J624" s="6">
        <v>400</v>
      </c>
      <c r="K624" s="6">
        <v>31.756699999999999</v>
      </c>
    </row>
    <row r="625" spans="2:11" x14ac:dyDescent="0.2">
      <c r="B625" s="5" t="str">
        <f>_xlfn.XLOOKUP(Total[[#This Row],[Metodo]],TbSolver[Metodo],TbSolver[Solver])</f>
        <v>AdamsBashfordMoulton</v>
      </c>
      <c r="C625" s="5" t="str">
        <f>_xlfn.XLOOKUP(Total[[#This Row],[Hebras]],TbTecnologia[Hebras],TbTecnologia[Tecnología])</f>
        <v>OMP</v>
      </c>
      <c r="D625" s="7" t="str" cm="1">
        <f t="array" ref="D625">_xlfn.XLOOKUP(Total[[#This Row],[Tecnología]]&amp;Total[[#This Row],[Metodo]],TbTipos[Tecnología]&amp;TbTipos[Metodo],TbTipos[Tipo])</f>
        <v>OMP Elementos</v>
      </c>
      <c r="E625" s="6" t="str" cm="1">
        <f t="array" ref="E625">_xlfn.XLOOKUP(Total[[#This Row],[Tecnología]]&amp;Total[[#This Row],[Problema]],TbNombres[Tecnología]&amp;TbNombres[Problema],TbNombres[Nombre])</f>
        <v>Brusselator1d</v>
      </c>
      <c r="F625" s="6">
        <v>6</v>
      </c>
      <c r="G625" s="6">
        <v>3</v>
      </c>
      <c r="H625" s="6">
        <v>1</v>
      </c>
      <c r="I625" s="6">
        <v>500</v>
      </c>
      <c r="J625" s="6">
        <v>1000</v>
      </c>
      <c r="K625" s="6">
        <v>26.178599999999999</v>
      </c>
    </row>
    <row r="626" spans="2:11" x14ac:dyDescent="0.2">
      <c r="B626" s="5" t="str">
        <f>_xlfn.XLOOKUP(Total[[#This Row],[Metodo]],TbSolver[Metodo],TbSolver[Solver])</f>
        <v>AdamsBashfordMoulton</v>
      </c>
      <c r="C626" s="5" t="str">
        <f>_xlfn.XLOOKUP(Total[[#This Row],[Hebras]],TbTecnologia[Hebras],TbTecnologia[Tecnología])</f>
        <v>OMP</v>
      </c>
      <c r="D626" s="7" t="str" cm="1">
        <f t="array" ref="D626">_xlfn.XLOOKUP(Total[[#This Row],[Tecnología]]&amp;Total[[#This Row],[Metodo]],TbTipos[Tecnología]&amp;TbTipos[Metodo],TbTipos[Tipo])</f>
        <v>OMP Elementos</v>
      </c>
      <c r="E626" s="6" t="str" cm="1">
        <f t="array" ref="E626">_xlfn.XLOOKUP(Total[[#This Row],[Tecnología]]&amp;Total[[#This Row],[Problema]],TbNombres[Tecnología]&amp;TbNombres[Problema],TbNombres[Nombre])</f>
        <v>Brusselator1d</v>
      </c>
      <c r="F626" s="6">
        <v>6</v>
      </c>
      <c r="G626" s="6">
        <v>3</v>
      </c>
      <c r="H626" s="6">
        <v>4</v>
      </c>
      <c r="I626" s="6">
        <v>500</v>
      </c>
      <c r="J626" s="6">
        <v>1000</v>
      </c>
      <c r="K626" s="6">
        <v>14.4763</v>
      </c>
    </row>
    <row r="627" spans="2:11" x14ac:dyDescent="0.2">
      <c r="B627" s="5" t="str">
        <f>_xlfn.XLOOKUP(Total[[#This Row],[Metodo]],TbSolver[Metodo],TbSolver[Solver])</f>
        <v>AdamsBashfordMoulton</v>
      </c>
      <c r="C627" s="5" t="str">
        <f>_xlfn.XLOOKUP(Total[[#This Row],[Hebras]],TbTecnologia[Hebras],TbTecnologia[Tecnología])</f>
        <v>OMP</v>
      </c>
      <c r="D627" s="7" t="str" cm="1">
        <f t="array" ref="D627">_xlfn.XLOOKUP(Total[[#This Row],[Tecnología]]&amp;Total[[#This Row],[Metodo]],TbTipos[Tecnología]&amp;TbTipos[Metodo],TbTipos[Tipo])</f>
        <v>OMP Elementos</v>
      </c>
      <c r="E627" s="6" t="str" cm="1">
        <f t="array" ref="E627">_xlfn.XLOOKUP(Total[[#This Row],[Tecnología]]&amp;Total[[#This Row],[Problema]],TbNombres[Tecnología]&amp;TbNombres[Problema],TbNombres[Nombre])</f>
        <v>Brusselator1d</v>
      </c>
      <c r="F627" s="6">
        <v>6</v>
      </c>
      <c r="G627" s="6">
        <v>3</v>
      </c>
      <c r="H627" s="6">
        <v>16</v>
      </c>
      <c r="I627" s="6">
        <v>500</v>
      </c>
      <c r="J627" s="6">
        <v>1000</v>
      </c>
      <c r="K627" s="6">
        <v>20.375399999999999</v>
      </c>
    </row>
    <row r="628" spans="2:11" x14ac:dyDescent="0.2">
      <c r="B628" s="5" t="str">
        <f>_xlfn.XLOOKUP(Total[[#This Row],[Metodo]],TbSolver[Metodo],TbSolver[Solver])</f>
        <v>AdamsBashfordMoulton</v>
      </c>
      <c r="C628" s="5" t="str">
        <f>_xlfn.XLOOKUP(Total[[#This Row],[Hebras]],TbTecnologia[Hebras],TbTecnologia[Tecnología])</f>
        <v>OMP</v>
      </c>
      <c r="D628" s="7" t="str" cm="1">
        <f t="array" ref="D628">_xlfn.XLOOKUP(Total[[#This Row],[Tecnología]]&amp;Total[[#This Row],[Metodo]],TbTipos[Tecnología]&amp;TbTipos[Metodo],TbTipos[Tipo])</f>
        <v>OMP Elementos</v>
      </c>
      <c r="E628" s="6" t="str" cm="1">
        <f t="array" ref="E628">_xlfn.XLOOKUP(Total[[#This Row],[Tecnología]]&amp;Total[[#This Row],[Problema]],TbNombres[Tecnología]&amp;TbNombres[Problema],TbNombres[Nombre])</f>
        <v>Brusselator1d</v>
      </c>
      <c r="F628" s="6">
        <v>6</v>
      </c>
      <c r="G628" s="6">
        <v>3</v>
      </c>
      <c r="H628" s="6">
        <v>1</v>
      </c>
      <c r="I628" s="6">
        <v>1000</v>
      </c>
      <c r="J628" s="6">
        <v>2000</v>
      </c>
      <c r="K628" s="6">
        <v>51.4666</v>
      </c>
    </row>
    <row r="629" spans="2:11" x14ac:dyDescent="0.2">
      <c r="B629" s="5" t="str">
        <f>_xlfn.XLOOKUP(Total[[#This Row],[Metodo]],TbSolver[Metodo],TbSolver[Solver])</f>
        <v>AdamsBashfordMoulton</v>
      </c>
      <c r="C629" s="5" t="str">
        <f>_xlfn.XLOOKUP(Total[[#This Row],[Hebras]],TbTecnologia[Hebras],TbTecnologia[Tecnología])</f>
        <v>OMP</v>
      </c>
      <c r="D629" s="7" t="str" cm="1">
        <f t="array" ref="D629">_xlfn.XLOOKUP(Total[[#This Row],[Tecnología]]&amp;Total[[#This Row],[Metodo]],TbTipos[Tecnología]&amp;TbTipos[Metodo],TbTipos[Tipo])</f>
        <v>OMP Elementos</v>
      </c>
      <c r="E629" s="6" t="str" cm="1">
        <f t="array" ref="E629">_xlfn.XLOOKUP(Total[[#This Row],[Tecnología]]&amp;Total[[#This Row],[Problema]],TbNombres[Tecnología]&amp;TbNombres[Problema],TbNombres[Nombre])</f>
        <v>Brusselator1d</v>
      </c>
      <c r="F629" s="6">
        <v>6</v>
      </c>
      <c r="G629" s="6">
        <v>3</v>
      </c>
      <c r="H629" s="6">
        <v>4</v>
      </c>
      <c r="I629" s="6">
        <v>1000</v>
      </c>
      <c r="J629" s="6">
        <v>2000</v>
      </c>
      <c r="K629" s="6">
        <v>21.136500000000002</v>
      </c>
    </row>
    <row r="630" spans="2:11" x14ac:dyDescent="0.2">
      <c r="B630" s="5" t="str">
        <f>_xlfn.XLOOKUP(Total[[#This Row],[Metodo]],TbSolver[Metodo],TbSolver[Solver])</f>
        <v>AdamsBashfordMoulton</v>
      </c>
      <c r="C630" s="5" t="str">
        <f>_xlfn.XLOOKUP(Total[[#This Row],[Hebras]],TbTecnologia[Hebras],TbTecnologia[Tecnología])</f>
        <v>OMP</v>
      </c>
      <c r="D630" s="7" t="str" cm="1">
        <f t="array" ref="D630">_xlfn.XLOOKUP(Total[[#This Row],[Tecnología]]&amp;Total[[#This Row],[Metodo]],TbTipos[Tecnología]&amp;TbTipos[Metodo],TbTipos[Tipo])</f>
        <v>OMP Elementos</v>
      </c>
      <c r="E630" s="6" t="str" cm="1">
        <f t="array" ref="E630">_xlfn.XLOOKUP(Total[[#This Row],[Tecnología]]&amp;Total[[#This Row],[Problema]],TbNombres[Tecnología]&amp;TbNombres[Problema],TbNombres[Nombre])</f>
        <v>Brusselator1d</v>
      </c>
      <c r="F630" s="6">
        <v>6</v>
      </c>
      <c r="G630" s="6">
        <v>3</v>
      </c>
      <c r="H630" s="6">
        <v>16</v>
      </c>
      <c r="I630" s="6">
        <v>1000</v>
      </c>
      <c r="J630" s="6">
        <v>2000</v>
      </c>
      <c r="K630" s="6">
        <v>31.011299999999999</v>
      </c>
    </row>
    <row r="631" spans="2:11" x14ac:dyDescent="0.2">
      <c r="B631" s="5" t="str">
        <f>_xlfn.XLOOKUP(Total[[#This Row],[Metodo]],TbSolver[Metodo],TbSolver[Solver])</f>
        <v>AdamsBashfordMoulton</v>
      </c>
      <c r="C631" s="5" t="str">
        <f>_xlfn.XLOOKUP(Total[[#This Row],[Hebras]],TbTecnologia[Hebras],TbTecnologia[Tecnología])</f>
        <v>CUDA</v>
      </c>
      <c r="D631" s="2" t="str" cm="1">
        <f t="array" ref="D631">_xlfn.XLOOKUP(Total[[#This Row],[Tecnología]]&amp;Total[[#This Row],[Metodo]],TbTipos[Tecnología]&amp;TbTipos[Metodo],TbTipos[Tipo])</f>
        <v>CUDA con graph</v>
      </c>
      <c r="E631" s="2" t="str" cm="1">
        <f t="array" ref="E631">_xlfn.XLOOKUP(Total[[#This Row],[Tecnología]]&amp;Total[[#This Row],[Problema]],TbNombres[Tecnología]&amp;TbNombres[Problema],TbNombres[Nombre])</f>
        <v>Brusselator2d</v>
      </c>
      <c r="F631" s="2">
        <v>6</v>
      </c>
      <c r="G631" s="2">
        <v>8</v>
      </c>
      <c r="H631" s="2">
        <v>256</v>
      </c>
      <c r="I631" s="2">
        <v>50</v>
      </c>
      <c r="J631" s="2">
        <v>5000</v>
      </c>
      <c r="K631" s="2">
        <v>15.341100000000001</v>
      </c>
    </row>
    <row r="632" spans="2:11" x14ac:dyDescent="0.2">
      <c r="B632" s="5" t="str">
        <f>_xlfn.XLOOKUP(Total[[#This Row],[Metodo]],TbSolver[Metodo],TbSolver[Solver])</f>
        <v>AdamsBashfordMoulton</v>
      </c>
      <c r="C632" s="5" t="str">
        <f>_xlfn.XLOOKUP(Total[[#This Row],[Hebras]],TbTecnologia[Hebras],TbTecnologia[Tecnología])</f>
        <v>CUDA</v>
      </c>
      <c r="D632" s="2" t="str" cm="1">
        <f t="array" ref="D632">_xlfn.XLOOKUP(Total[[#This Row],[Tecnología]]&amp;Total[[#This Row],[Metodo]],TbTipos[Tecnología]&amp;TbTipos[Metodo],TbTipos[Tipo])</f>
        <v>CUDA con graph</v>
      </c>
      <c r="E632" s="2" t="str" cm="1">
        <f t="array" ref="E632">_xlfn.XLOOKUP(Total[[#This Row],[Tecnología]]&amp;Total[[#This Row],[Problema]],TbNombres[Tecnología]&amp;TbNombres[Problema],TbNombres[Nombre])</f>
        <v>Brusselator2d</v>
      </c>
      <c r="F632" s="2">
        <v>6</v>
      </c>
      <c r="G632" s="2">
        <v>9</v>
      </c>
      <c r="H632" s="2">
        <v>256</v>
      </c>
      <c r="I632" s="2">
        <v>50</v>
      </c>
      <c r="J632" s="2">
        <v>5000</v>
      </c>
      <c r="K632" s="2">
        <v>15.3935</v>
      </c>
    </row>
    <row r="633" spans="2:11" x14ac:dyDescent="0.2">
      <c r="B633" s="5" t="str">
        <f>_xlfn.XLOOKUP(Total[[#This Row],[Metodo]],TbSolver[Metodo],TbSolver[Solver])</f>
        <v>AdamsBashfordMoulton</v>
      </c>
      <c r="C633" s="5" t="str">
        <f>_xlfn.XLOOKUP(Total[[#This Row],[Hebras]],TbTecnologia[Hebras],TbTecnologia[Tecnología])</f>
        <v>CUDA</v>
      </c>
      <c r="D633" s="2" t="str" cm="1">
        <f t="array" ref="D633">_xlfn.XLOOKUP(Total[[#This Row],[Tecnología]]&amp;Total[[#This Row],[Metodo]],TbTipos[Tecnología]&amp;TbTipos[Metodo],TbTipos[Tipo])</f>
        <v>CUDA sin graph</v>
      </c>
      <c r="E633" s="2" t="str" cm="1">
        <f t="array" ref="E633">_xlfn.XLOOKUP(Total[[#This Row],[Tecnología]]&amp;Total[[#This Row],[Problema]],TbNombres[Tecnología]&amp;TbNombres[Problema],TbNombres[Nombre])</f>
        <v>Brusselator2d</v>
      </c>
      <c r="F633" s="2">
        <v>5</v>
      </c>
      <c r="G633" s="2">
        <v>9</v>
      </c>
      <c r="H633" s="2">
        <v>256</v>
      </c>
      <c r="I633" s="2">
        <v>50</v>
      </c>
      <c r="J633" s="2">
        <v>5000</v>
      </c>
      <c r="K633" s="2">
        <v>15.685700000000001</v>
      </c>
    </row>
    <row r="634" spans="2:11" x14ac:dyDescent="0.2">
      <c r="B634" s="5" t="str">
        <f>_xlfn.XLOOKUP(Total[[#This Row],[Metodo]],TbSolver[Metodo],TbSolver[Solver])</f>
        <v>AdamsBashfordMoulton</v>
      </c>
      <c r="C634" s="5" t="str">
        <f>_xlfn.XLOOKUP(Total[[#This Row],[Hebras]],TbTecnologia[Hebras],TbTecnologia[Tecnología])</f>
        <v>CUDA</v>
      </c>
      <c r="D634" s="2" t="str" cm="1">
        <f t="array" ref="D634">_xlfn.XLOOKUP(Total[[#This Row],[Tecnología]]&amp;Total[[#This Row],[Metodo]],TbTipos[Tecnología]&amp;TbTipos[Metodo],TbTipos[Tipo])</f>
        <v>CUDA sin graph</v>
      </c>
      <c r="E634" s="2" t="str" cm="1">
        <f t="array" ref="E634">_xlfn.XLOOKUP(Total[[#This Row],[Tecnología]]&amp;Total[[#This Row],[Problema]],TbNombres[Tecnología]&amp;TbNombres[Problema],TbNombres[Nombre])</f>
        <v>Brusselator2d</v>
      </c>
      <c r="F634" s="2">
        <v>5</v>
      </c>
      <c r="G634" s="2">
        <v>8</v>
      </c>
      <c r="H634" s="2">
        <v>256</v>
      </c>
      <c r="I634" s="2">
        <v>50</v>
      </c>
      <c r="J634" s="2">
        <v>5000</v>
      </c>
      <c r="K634" s="2">
        <v>15.7544</v>
      </c>
    </row>
    <row r="635" spans="2:11" x14ac:dyDescent="0.2">
      <c r="B635" s="5" t="str">
        <f>_xlfn.XLOOKUP(Total[[#This Row],[Metodo]],TbSolver[Metodo],TbSolver[Solver])</f>
        <v>AdamsBashfordMoulton</v>
      </c>
      <c r="C635" s="5" t="str">
        <f>_xlfn.XLOOKUP(Total[[#This Row],[Hebras]],TbTecnologia[Hebras],TbTecnologia[Tecnología])</f>
        <v>OMP</v>
      </c>
      <c r="D635" s="10" t="str" cm="1">
        <f t="array" ref="D635">_xlfn.XLOOKUP(Total[[#This Row],[Tecnología]]&amp;Total[[#This Row],[Metodo]],TbTipos[Tecnología]&amp;TbTipos[Metodo],TbTipos[Tipo])</f>
        <v>OMP Operaciones</v>
      </c>
      <c r="E635" s="9" t="str" cm="1">
        <f t="array" ref="E635">_xlfn.XLOOKUP(Total[[#This Row],[Tecnología]]&amp;Total[[#This Row],[Problema]],TbNombres[Tecnología]&amp;TbNombres[Problema],TbNombres[Nombre])</f>
        <v>Brusselator2d</v>
      </c>
      <c r="F635" s="9">
        <v>5</v>
      </c>
      <c r="G635" s="9">
        <v>4</v>
      </c>
      <c r="H635" s="9">
        <v>4</v>
      </c>
      <c r="I635" s="9">
        <v>50</v>
      </c>
      <c r="J635" s="9">
        <v>5000</v>
      </c>
      <c r="K635" s="9">
        <v>66.832300000000004</v>
      </c>
    </row>
    <row r="636" spans="2:11" x14ac:dyDescent="0.2">
      <c r="B636" s="5" t="str">
        <f>_xlfn.XLOOKUP(Total[[#This Row],[Metodo]],TbSolver[Metodo],TbSolver[Solver])</f>
        <v>AdamsBashfordMoulton</v>
      </c>
      <c r="C636" s="5" t="str">
        <f>_xlfn.XLOOKUP(Total[[#This Row],[Hebras]],TbTecnologia[Hebras],TbTecnologia[Tecnología])</f>
        <v>OMP</v>
      </c>
      <c r="D636" s="10" t="str" cm="1">
        <f t="array" ref="D636">_xlfn.XLOOKUP(Total[[#This Row],[Tecnología]]&amp;Total[[#This Row],[Metodo]],TbTipos[Tecnología]&amp;TbTipos[Metodo],TbTipos[Tipo])</f>
        <v>OMP Elementos</v>
      </c>
      <c r="E636" s="9" t="str" cm="1">
        <f t="array" ref="E636">_xlfn.XLOOKUP(Total[[#This Row],[Tecnología]]&amp;Total[[#This Row],[Problema]],TbNombres[Tecnología]&amp;TbNombres[Problema],TbNombres[Nombre])</f>
        <v>Brusselator2d</v>
      </c>
      <c r="F636" s="9">
        <v>6</v>
      </c>
      <c r="G636" s="9">
        <v>4</v>
      </c>
      <c r="H636" s="9">
        <v>4</v>
      </c>
      <c r="I636" s="9">
        <v>50</v>
      </c>
      <c r="J636" s="9">
        <v>5000</v>
      </c>
      <c r="K636" s="9">
        <v>68.414500000000004</v>
      </c>
    </row>
    <row r="637" spans="2:11" x14ac:dyDescent="0.2">
      <c r="B637" s="5" t="str">
        <f>_xlfn.XLOOKUP(Total[[#This Row],[Metodo]],TbSolver[Metodo],TbSolver[Solver])</f>
        <v>AdamsBashfordMoulton</v>
      </c>
      <c r="C637" s="5" t="str">
        <f>_xlfn.XLOOKUP(Total[[#This Row],[Hebras]],TbTecnologia[Hebras],TbTecnologia[Tecnología])</f>
        <v>OMP</v>
      </c>
      <c r="D637" s="10" t="str" cm="1">
        <f t="array" ref="D637">_xlfn.XLOOKUP(Total[[#This Row],[Tecnología]]&amp;Total[[#This Row],[Metodo]],TbTipos[Tecnología]&amp;TbTipos[Metodo],TbTipos[Tipo])</f>
        <v>OMP Elementos</v>
      </c>
      <c r="E637" s="9" t="str" cm="1">
        <f t="array" ref="E637">_xlfn.XLOOKUP(Total[[#This Row],[Tecnología]]&amp;Total[[#This Row],[Problema]],TbNombres[Tecnología]&amp;TbNombres[Problema],TbNombres[Nombre])</f>
        <v>Brusselator2d</v>
      </c>
      <c r="F637" s="9">
        <v>6</v>
      </c>
      <c r="G637" s="9">
        <v>4</v>
      </c>
      <c r="H637" s="9">
        <v>16</v>
      </c>
      <c r="I637" s="9">
        <v>50</v>
      </c>
      <c r="J637" s="9">
        <v>5000</v>
      </c>
      <c r="K637" s="9">
        <v>91.386899999999997</v>
      </c>
    </row>
    <row r="638" spans="2:11" x14ac:dyDescent="0.2">
      <c r="B638" s="5" t="str">
        <f>_xlfn.XLOOKUP(Total[[#This Row],[Metodo]],TbSolver[Metodo],TbSolver[Solver])</f>
        <v>AdamsBashfordMoulton</v>
      </c>
      <c r="C638" s="5" t="str">
        <f>_xlfn.XLOOKUP(Total[[#This Row],[Hebras]],TbTecnologia[Hebras],TbTecnologia[Tecnología])</f>
        <v>OMP</v>
      </c>
      <c r="D638" s="10" t="str" cm="1">
        <f t="array" ref="D638">_xlfn.XLOOKUP(Total[[#This Row],[Tecnología]]&amp;Total[[#This Row],[Metodo]],TbTipos[Tecnología]&amp;TbTipos[Metodo],TbTipos[Tipo])</f>
        <v>OMP Operaciones</v>
      </c>
      <c r="E638" s="9" t="str" cm="1">
        <f t="array" ref="E638">_xlfn.XLOOKUP(Total[[#This Row],[Tecnología]]&amp;Total[[#This Row],[Problema]],TbNombres[Tecnología]&amp;TbNombres[Problema],TbNombres[Nombre])</f>
        <v>Brusselator2d</v>
      </c>
      <c r="F638" s="9">
        <v>5</v>
      </c>
      <c r="G638" s="9">
        <v>4</v>
      </c>
      <c r="H638" s="9">
        <v>1</v>
      </c>
      <c r="I638" s="9">
        <v>50</v>
      </c>
      <c r="J638" s="9">
        <v>5000</v>
      </c>
      <c r="K638" s="9">
        <v>92.678600000000003</v>
      </c>
    </row>
    <row r="639" spans="2:11" x14ac:dyDescent="0.2">
      <c r="B639" s="5" t="str">
        <f>_xlfn.XLOOKUP(Total[[#This Row],[Metodo]],TbSolver[Metodo],TbSolver[Solver])</f>
        <v>AdamsBashfordMoulton</v>
      </c>
      <c r="C639" s="5" t="str">
        <f>_xlfn.XLOOKUP(Total[[#This Row],[Hebras]],TbTecnologia[Hebras],TbTecnologia[Tecnología])</f>
        <v>OMP</v>
      </c>
      <c r="D639" s="10" t="str" cm="1">
        <f t="array" ref="D639">_xlfn.XLOOKUP(Total[[#This Row],[Tecnología]]&amp;Total[[#This Row],[Metodo]],TbTipos[Tecnología]&amp;TbTipos[Metodo],TbTipos[Tipo])</f>
        <v>OMP Operaciones</v>
      </c>
      <c r="E639" s="9" t="str" cm="1">
        <f t="array" ref="E639">_xlfn.XLOOKUP(Total[[#This Row],[Tecnología]]&amp;Total[[#This Row],[Problema]],TbNombres[Tecnología]&amp;TbNombres[Problema],TbNombres[Nombre])</f>
        <v>Brusselator2d</v>
      </c>
      <c r="F639" s="9">
        <v>5</v>
      </c>
      <c r="G639" s="9">
        <v>4</v>
      </c>
      <c r="H639" s="9">
        <v>16</v>
      </c>
      <c r="I639" s="9">
        <v>50</v>
      </c>
      <c r="J639" s="9">
        <v>5000</v>
      </c>
      <c r="K639" s="9">
        <v>100.818</v>
      </c>
    </row>
    <row r="640" spans="2:11" x14ac:dyDescent="0.2">
      <c r="B640" s="5" t="str">
        <f>_xlfn.XLOOKUP(Total[[#This Row],[Metodo]],TbSolver[Metodo],TbSolver[Solver])</f>
        <v>AdamsBashfordMoulton</v>
      </c>
      <c r="C640" s="5" t="str">
        <f>_xlfn.XLOOKUP(Total[[#This Row],[Hebras]],TbTecnologia[Hebras],TbTecnologia[Tecnología])</f>
        <v>OMP</v>
      </c>
      <c r="D640" s="10" t="str" cm="1">
        <f t="array" ref="D640">_xlfn.XLOOKUP(Total[[#This Row],[Tecnología]]&amp;Total[[#This Row],[Metodo]],TbTipos[Tecnología]&amp;TbTipos[Metodo],TbTipos[Tipo])</f>
        <v>OMP Elementos</v>
      </c>
      <c r="E640" s="9" t="str" cm="1">
        <f t="array" ref="E640">_xlfn.XLOOKUP(Total[[#This Row],[Tecnología]]&amp;Total[[#This Row],[Problema]],TbNombres[Tecnología]&amp;TbNombres[Problema],TbNombres[Nombre])</f>
        <v>Brusselator2d</v>
      </c>
      <c r="F640" s="9">
        <v>6</v>
      </c>
      <c r="G640" s="9">
        <v>4</v>
      </c>
      <c r="H640" s="9">
        <v>1</v>
      </c>
      <c r="I640" s="9">
        <v>50</v>
      </c>
      <c r="J640" s="9">
        <v>5000</v>
      </c>
      <c r="K640" s="9">
        <v>231.11699999999999</v>
      </c>
    </row>
    <row r="641" spans="2:11" x14ac:dyDescent="0.2">
      <c r="B641" s="5" t="str">
        <f>_xlfn.XLOOKUP(Total[[#This Row],[Metodo]],TbSolver[Metodo],TbSolver[Solver])</f>
        <v>AdamsBashfordMoulton</v>
      </c>
      <c r="C641" s="5" t="str">
        <f>_xlfn.XLOOKUP(Total[[#This Row],[Hebras]],TbTecnologia[Hebras],TbTecnologia[Tecnología])</f>
        <v>CUDA</v>
      </c>
      <c r="D641" s="2" t="str" cm="1">
        <f t="array" ref="D641">_xlfn.XLOOKUP(Total[[#This Row],[Tecnología]]&amp;Total[[#This Row],[Metodo]],TbTipos[Tecnología]&amp;TbTipos[Metodo],TbTipos[Tipo])</f>
        <v>CUDA con graph</v>
      </c>
      <c r="E641" s="2" t="str" cm="1">
        <f t="array" ref="E641">_xlfn.XLOOKUP(Total[[#This Row],[Tecnología]]&amp;Total[[#This Row],[Problema]],TbNombres[Tecnología]&amp;TbNombres[Problema],TbNombres[Nombre])</f>
        <v>Brusselator2d</v>
      </c>
      <c r="F641" s="2">
        <v>6</v>
      </c>
      <c r="G641" s="2">
        <v>9</v>
      </c>
      <c r="H641" s="2">
        <v>256</v>
      </c>
      <c r="I641" s="2">
        <v>100</v>
      </c>
      <c r="J641" s="2">
        <v>20000</v>
      </c>
      <c r="K641" s="2">
        <v>22.558299999999999</v>
      </c>
    </row>
    <row r="642" spans="2:11" x14ac:dyDescent="0.2">
      <c r="B642" s="5" t="str">
        <f>_xlfn.XLOOKUP(Total[[#This Row],[Metodo]],TbSolver[Metodo],TbSolver[Solver])</f>
        <v>AdamsBashfordMoulton</v>
      </c>
      <c r="C642" s="5" t="str">
        <f>_xlfn.XLOOKUP(Total[[#This Row],[Hebras]],TbTecnologia[Hebras],TbTecnologia[Tecnología])</f>
        <v>CUDA</v>
      </c>
      <c r="D642" s="2" t="str" cm="1">
        <f t="array" ref="D642">_xlfn.XLOOKUP(Total[[#This Row],[Tecnología]]&amp;Total[[#This Row],[Metodo]],TbTipos[Tecnología]&amp;TbTipos[Metodo],TbTipos[Tipo])</f>
        <v>CUDA con graph</v>
      </c>
      <c r="E642" s="2" t="str" cm="1">
        <f t="array" ref="E642">_xlfn.XLOOKUP(Total[[#This Row],[Tecnología]]&amp;Total[[#This Row],[Problema]],TbNombres[Tecnología]&amp;TbNombres[Problema],TbNombres[Nombre])</f>
        <v>Brusselator2d</v>
      </c>
      <c r="F642" s="2">
        <v>6</v>
      </c>
      <c r="G642" s="2">
        <v>8</v>
      </c>
      <c r="H642" s="2">
        <v>256</v>
      </c>
      <c r="I642" s="2">
        <v>100</v>
      </c>
      <c r="J642" s="2">
        <v>20000</v>
      </c>
      <c r="K642" s="2">
        <v>22.657800000000002</v>
      </c>
    </row>
    <row r="643" spans="2:11" x14ac:dyDescent="0.2">
      <c r="B643" s="5" t="str">
        <f>_xlfn.XLOOKUP(Total[[#This Row],[Metodo]],TbSolver[Metodo],TbSolver[Solver])</f>
        <v>AdamsBashfordMoulton</v>
      </c>
      <c r="C643" s="5" t="str">
        <f>_xlfn.XLOOKUP(Total[[#This Row],[Hebras]],TbTecnologia[Hebras],TbTecnologia[Tecnología])</f>
        <v>CUDA</v>
      </c>
      <c r="D643" s="2" t="str" cm="1">
        <f t="array" ref="D643">_xlfn.XLOOKUP(Total[[#This Row],[Tecnología]]&amp;Total[[#This Row],[Metodo]],TbTipos[Tecnología]&amp;TbTipos[Metodo],TbTipos[Tipo])</f>
        <v>CUDA sin graph</v>
      </c>
      <c r="E643" s="2" t="str" cm="1">
        <f t="array" ref="E643">_xlfn.XLOOKUP(Total[[#This Row],[Tecnología]]&amp;Total[[#This Row],[Problema]],TbNombres[Tecnología]&amp;TbNombres[Problema],TbNombres[Nombre])</f>
        <v>Brusselator2d</v>
      </c>
      <c r="F643" s="2">
        <v>5</v>
      </c>
      <c r="G643" s="2">
        <v>8</v>
      </c>
      <c r="H643" s="2">
        <v>256</v>
      </c>
      <c r="I643" s="2">
        <v>100</v>
      </c>
      <c r="J643" s="2">
        <v>20000</v>
      </c>
      <c r="K643" s="2">
        <v>22.6586</v>
      </c>
    </row>
    <row r="644" spans="2:11" x14ac:dyDescent="0.2">
      <c r="B644" s="5" t="str">
        <f>_xlfn.XLOOKUP(Total[[#This Row],[Metodo]],TbSolver[Metodo],TbSolver[Solver])</f>
        <v>AdamsBashfordMoulton</v>
      </c>
      <c r="C644" s="5" t="str">
        <f>_xlfn.XLOOKUP(Total[[#This Row],[Hebras]],TbTecnologia[Hebras],TbTecnologia[Tecnología])</f>
        <v>CUDA</v>
      </c>
      <c r="D644" s="2" t="str" cm="1">
        <f t="array" ref="D644">_xlfn.XLOOKUP(Total[[#This Row],[Tecnología]]&amp;Total[[#This Row],[Metodo]],TbTipos[Tecnología]&amp;TbTipos[Metodo],TbTipos[Tipo])</f>
        <v>CUDA sin graph</v>
      </c>
      <c r="E644" s="2" t="str" cm="1">
        <f t="array" ref="E644">_xlfn.XLOOKUP(Total[[#This Row],[Tecnología]]&amp;Total[[#This Row],[Problema]],TbNombres[Tecnología]&amp;TbNombres[Problema],TbNombres[Nombre])</f>
        <v>Brusselator2d</v>
      </c>
      <c r="F644" s="2">
        <v>5</v>
      </c>
      <c r="G644" s="2">
        <v>9</v>
      </c>
      <c r="H644" s="2">
        <v>256</v>
      </c>
      <c r="I644" s="2">
        <v>100</v>
      </c>
      <c r="J644" s="2">
        <v>20000</v>
      </c>
      <c r="K644" s="2">
        <v>22.6951</v>
      </c>
    </row>
    <row r="645" spans="2:11" x14ac:dyDescent="0.2">
      <c r="B645" s="5" t="str">
        <f>_xlfn.XLOOKUP(Total[[#This Row],[Metodo]],TbSolver[Metodo],TbSolver[Solver])</f>
        <v>AdamsBashfordMoulton</v>
      </c>
      <c r="C645" s="5" t="str">
        <f>_xlfn.XLOOKUP(Total[[#This Row],[Hebras]],TbTecnologia[Hebras],TbTecnologia[Tecnología])</f>
        <v>OMP</v>
      </c>
      <c r="D645" s="10" t="str" cm="1">
        <f t="array" ref="D645">_xlfn.XLOOKUP(Total[[#This Row],[Tecnología]]&amp;Total[[#This Row],[Metodo]],TbTipos[Tecnología]&amp;TbTipos[Metodo],TbTipos[Tipo])</f>
        <v>OMP Elementos</v>
      </c>
      <c r="E645" s="9" t="str" cm="1">
        <f t="array" ref="E645">_xlfn.XLOOKUP(Total[[#This Row],[Tecnología]]&amp;Total[[#This Row],[Problema]],TbNombres[Tecnología]&amp;TbNombres[Problema],TbNombres[Nombre])</f>
        <v>Brusselator2d</v>
      </c>
      <c r="F645" s="9">
        <v>6</v>
      </c>
      <c r="G645" s="9">
        <v>4</v>
      </c>
      <c r="H645" s="9">
        <v>16</v>
      </c>
      <c r="I645" s="9">
        <v>100</v>
      </c>
      <c r="J645" s="9">
        <v>20000</v>
      </c>
      <c r="K645" s="9">
        <v>136.40299999999999</v>
      </c>
    </row>
    <row r="646" spans="2:11" x14ac:dyDescent="0.2">
      <c r="B646" s="5" t="str">
        <f>_xlfn.XLOOKUP(Total[[#This Row],[Metodo]],TbSolver[Metodo],TbSolver[Solver])</f>
        <v>AdamsBashfordMoulton</v>
      </c>
      <c r="C646" s="5" t="str">
        <f>_xlfn.XLOOKUP(Total[[#This Row],[Hebras]],TbTecnologia[Hebras],TbTecnologia[Tecnología])</f>
        <v>OMP</v>
      </c>
      <c r="D646" s="10" t="str" cm="1">
        <f t="array" ref="D646">_xlfn.XLOOKUP(Total[[#This Row],[Tecnología]]&amp;Total[[#This Row],[Metodo]],TbTipos[Tecnología]&amp;TbTipos[Metodo],TbTipos[Tipo])</f>
        <v>OMP Operaciones</v>
      </c>
      <c r="E646" s="9" t="str" cm="1">
        <f t="array" ref="E646">_xlfn.XLOOKUP(Total[[#This Row],[Tecnología]]&amp;Total[[#This Row],[Problema]],TbNombres[Tecnología]&amp;TbNombres[Problema],TbNombres[Nombre])</f>
        <v>Brusselator2d</v>
      </c>
      <c r="F646" s="9">
        <v>5</v>
      </c>
      <c r="G646" s="9">
        <v>4</v>
      </c>
      <c r="H646" s="9">
        <v>4</v>
      </c>
      <c r="I646" s="9">
        <v>100</v>
      </c>
      <c r="J646" s="9">
        <v>20000</v>
      </c>
      <c r="K646" s="9">
        <v>138.566</v>
      </c>
    </row>
    <row r="647" spans="2:11" x14ac:dyDescent="0.2">
      <c r="B647" s="5" t="str">
        <f>_xlfn.XLOOKUP(Total[[#This Row],[Metodo]],TbSolver[Metodo],TbSolver[Solver])</f>
        <v>AdamsBashfordMoulton</v>
      </c>
      <c r="C647" s="5" t="str">
        <f>_xlfn.XLOOKUP(Total[[#This Row],[Hebras]],TbTecnologia[Hebras],TbTecnologia[Tecnología])</f>
        <v>OMP</v>
      </c>
      <c r="D647" s="10" t="str" cm="1">
        <f t="array" ref="D647">_xlfn.XLOOKUP(Total[[#This Row],[Tecnología]]&amp;Total[[#This Row],[Metodo]],TbTipos[Tecnología]&amp;TbTipos[Metodo],TbTipos[Tipo])</f>
        <v>OMP Operaciones</v>
      </c>
      <c r="E647" s="9" t="str" cm="1">
        <f t="array" ref="E647">_xlfn.XLOOKUP(Total[[#This Row],[Tecnología]]&amp;Total[[#This Row],[Problema]],TbNombres[Tecnología]&amp;TbNombres[Problema],TbNombres[Nombre])</f>
        <v>Brusselator2d</v>
      </c>
      <c r="F647" s="9">
        <v>5</v>
      </c>
      <c r="G647" s="9">
        <v>4</v>
      </c>
      <c r="H647" s="9">
        <v>16</v>
      </c>
      <c r="I647" s="9">
        <v>100</v>
      </c>
      <c r="J647" s="9">
        <v>20000</v>
      </c>
      <c r="K647" s="9">
        <v>141.82</v>
      </c>
    </row>
    <row r="648" spans="2:11" x14ac:dyDescent="0.2">
      <c r="B648" s="5" t="str">
        <f>_xlfn.XLOOKUP(Total[[#This Row],[Metodo]],TbSolver[Metodo],TbSolver[Solver])</f>
        <v>AdamsBashfordMoulton</v>
      </c>
      <c r="C648" s="5" t="str">
        <f>_xlfn.XLOOKUP(Total[[#This Row],[Hebras]],TbTecnologia[Hebras],TbTecnologia[Tecnología])</f>
        <v>OMP</v>
      </c>
      <c r="D648" s="10" t="str" cm="1">
        <f t="array" ref="D648">_xlfn.XLOOKUP(Total[[#This Row],[Tecnología]]&amp;Total[[#This Row],[Metodo]],TbTipos[Tecnología]&amp;TbTipos[Metodo],TbTipos[Tipo])</f>
        <v>OMP Elementos</v>
      </c>
      <c r="E648" s="9" t="str" cm="1">
        <f t="array" ref="E648">_xlfn.XLOOKUP(Total[[#This Row],[Tecnología]]&amp;Total[[#This Row],[Problema]],TbNombres[Tecnología]&amp;TbNombres[Problema],TbNombres[Nombre])</f>
        <v>Brusselator2d</v>
      </c>
      <c r="F648" s="9">
        <v>6</v>
      </c>
      <c r="G648" s="9">
        <v>4</v>
      </c>
      <c r="H648" s="9">
        <v>4</v>
      </c>
      <c r="I648" s="9">
        <v>100</v>
      </c>
      <c r="J648" s="9">
        <v>20000</v>
      </c>
      <c r="K648" s="9">
        <v>257.80200000000002</v>
      </c>
    </row>
    <row r="649" spans="2:11" x14ac:dyDescent="0.2">
      <c r="B649" s="5" t="str">
        <f>_xlfn.XLOOKUP(Total[[#This Row],[Metodo]],TbSolver[Metodo],TbSolver[Solver])</f>
        <v>AdamsBashfordMoulton</v>
      </c>
      <c r="C649" s="5" t="str">
        <f>_xlfn.XLOOKUP(Total[[#This Row],[Hebras]],TbTecnologia[Hebras],TbTecnologia[Tecnología])</f>
        <v>OMP</v>
      </c>
      <c r="D649" s="10" t="str" cm="1">
        <f t="array" ref="D649">_xlfn.XLOOKUP(Total[[#This Row],[Tecnología]]&amp;Total[[#This Row],[Metodo]],TbTipos[Tecnología]&amp;TbTipos[Metodo],TbTipos[Tipo])</f>
        <v>OMP Operaciones</v>
      </c>
      <c r="E649" s="9" t="str" cm="1">
        <f t="array" ref="E649">_xlfn.XLOOKUP(Total[[#This Row],[Tecnología]]&amp;Total[[#This Row],[Problema]],TbNombres[Tecnología]&amp;TbNombres[Problema],TbNombres[Nombre])</f>
        <v>Brusselator2d</v>
      </c>
      <c r="F649" s="9">
        <v>5</v>
      </c>
      <c r="G649" s="9">
        <v>4</v>
      </c>
      <c r="H649" s="9">
        <v>1</v>
      </c>
      <c r="I649" s="9">
        <v>100</v>
      </c>
      <c r="J649" s="9">
        <v>20000</v>
      </c>
      <c r="K649" s="9">
        <v>395.86900000000003</v>
      </c>
    </row>
    <row r="650" spans="2:11" x14ac:dyDescent="0.2">
      <c r="B650" s="5" t="str">
        <f>_xlfn.XLOOKUP(Total[[#This Row],[Metodo]],TbSolver[Metodo],TbSolver[Solver])</f>
        <v>AdamsBashfordMoulton</v>
      </c>
      <c r="C650" s="5" t="str">
        <f>_xlfn.XLOOKUP(Total[[#This Row],[Hebras]],TbTecnologia[Hebras],TbTecnologia[Tecnología])</f>
        <v>OMP</v>
      </c>
      <c r="D650" s="10" t="str" cm="1">
        <f t="array" ref="D650">_xlfn.XLOOKUP(Total[[#This Row],[Tecnología]]&amp;Total[[#This Row],[Metodo]],TbTipos[Tecnología]&amp;TbTipos[Metodo],TbTipos[Tipo])</f>
        <v>OMP Elementos</v>
      </c>
      <c r="E650" s="9" t="str" cm="1">
        <f t="array" ref="E650">_xlfn.XLOOKUP(Total[[#This Row],[Tecnología]]&amp;Total[[#This Row],[Problema]],TbNombres[Tecnología]&amp;TbNombres[Problema],TbNombres[Nombre])</f>
        <v>Brusselator2d</v>
      </c>
      <c r="F650" s="9">
        <v>6</v>
      </c>
      <c r="G650" s="9">
        <v>4</v>
      </c>
      <c r="H650" s="9">
        <v>1</v>
      </c>
      <c r="I650" s="9">
        <v>100</v>
      </c>
      <c r="J650" s="9">
        <v>20000</v>
      </c>
      <c r="K650" s="9">
        <v>941.42700000000002</v>
      </c>
    </row>
    <row r="651" spans="2:11" x14ac:dyDescent="0.2">
      <c r="B651" s="5" t="str">
        <f>_xlfn.XLOOKUP(Total[[#This Row],[Metodo]],TbSolver[Metodo],TbSolver[Solver])</f>
        <v>AdamsBashfordMoulton</v>
      </c>
      <c r="C651" s="5" t="str">
        <f>_xlfn.XLOOKUP(Total[[#This Row],[Hebras]],TbTecnologia[Hebras],TbTecnologia[Tecnología])</f>
        <v>OMP</v>
      </c>
      <c r="D651" s="10" t="str" cm="1">
        <f t="array" ref="D651">_xlfn.XLOOKUP(Total[[#This Row],[Tecnología]]&amp;Total[[#This Row],[Metodo]],TbTipos[Tecnología]&amp;TbTipos[Metodo],TbTipos[Tipo])</f>
        <v>OMP Operaciones</v>
      </c>
      <c r="E651" s="9" t="str" cm="1">
        <f t="array" ref="E651">_xlfn.XLOOKUP(Total[[#This Row],[Tecnología]]&amp;Total[[#This Row],[Problema]],TbNombres[Tecnología]&amp;TbNombres[Problema],TbNombres[Nombre])</f>
        <v>Brusselator2d</v>
      </c>
      <c r="F651" s="9">
        <v>5</v>
      </c>
      <c r="G651" s="9">
        <v>4</v>
      </c>
      <c r="H651" s="9">
        <v>16</v>
      </c>
      <c r="I651" s="9">
        <v>150</v>
      </c>
      <c r="J651" s="9">
        <v>45000</v>
      </c>
      <c r="K651" s="9">
        <v>180.66200000000001</v>
      </c>
    </row>
    <row r="652" spans="2:11" x14ac:dyDescent="0.2">
      <c r="B652" s="5" t="str">
        <f>_xlfn.XLOOKUP(Total[[#This Row],[Metodo]],TbSolver[Metodo],TbSolver[Solver])</f>
        <v>AdamsBashfordMoulton</v>
      </c>
      <c r="C652" s="5" t="str">
        <f>_xlfn.XLOOKUP(Total[[#This Row],[Hebras]],TbTecnologia[Hebras],TbTecnologia[Tecnología])</f>
        <v>OMP</v>
      </c>
      <c r="D652" s="10" t="str" cm="1">
        <f t="array" ref="D652">_xlfn.XLOOKUP(Total[[#This Row],[Tecnología]]&amp;Total[[#This Row],[Metodo]],TbTipos[Tecnología]&amp;TbTipos[Metodo],TbTipos[Tipo])</f>
        <v>OMP Elementos</v>
      </c>
      <c r="E652" s="9" t="str" cm="1">
        <f t="array" ref="E652">_xlfn.XLOOKUP(Total[[#This Row],[Tecnología]]&amp;Total[[#This Row],[Problema]],TbNombres[Tecnología]&amp;TbNombres[Problema],TbNombres[Nombre])</f>
        <v>Brusselator2d</v>
      </c>
      <c r="F652" s="9">
        <v>6</v>
      </c>
      <c r="G652" s="9">
        <v>4</v>
      </c>
      <c r="H652" s="9">
        <v>16</v>
      </c>
      <c r="I652" s="9">
        <v>150</v>
      </c>
      <c r="J652" s="9">
        <v>45000</v>
      </c>
      <c r="K652" s="9">
        <v>206.744</v>
      </c>
    </row>
    <row r="653" spans="2:11" x14ac:dyDescent="0.2">
      <c r="B653" s="5" t="str">
        <f>_xlfn.XLOOKUP(Total[[#This Row],[Metodo]],TbSolver[Metodo],TbSolver[Solver])</f>
        <v>AdamsBashfordMoulton</v>
      </c>
      <c r="C653" s="5" t="str">
        <f>_xlfn.XLOOKUP(Total[[#This Row],[Hebras]],TbTecnologia[Hebras],TbTecnologia[Tecnología])</f>
        <v>OMP</v>
      </c>
      <c r="D653" s="10" t="str" cm="1">
        <f t="array" ref="D653">_xlfn.XLOOKUP(Total[[#This Row],[Tecnología]]&amp;Total[[#This Row],[Metodo]],TbTipos[Tecnología]&amp;TbTipos[Metodo],TbTipos[Tipo])</f>
        <v>OMP Operaciones</v>
      </c>
      <c r="E653" s="9" t="str" cm="1">
        <f t="array" ref="E653">_xlfn.XLOOKUP(Total[[#This Row],[Tecnología]]&amp;Total[[#This Row],[Problema]],TbNombres[Tecnología]&amp;TbNombres[Problema],TbNombres[Nombre])</f>
        <v>Brusselator2d</v>
      </c>
      <c r="F653" s="9">
        <v>5</v>
      </c>
      <c r="G653" s="9">
        <v>4</v>
      </c>
      <c r="H653" s="9">
        <v>4</v>
      </c>
      <c r="I653" s="9">
        <v>150</v>
      </c>
      <c r="J653" s="9">
        <v>45000</v>
      </c>
      <c r="K653" s="9">
        <v>263.08100000000002</v>
      </c>
    </row>
    <row r="654" spans="2:11" x14ac:dyDescent="0.2">
      <c r="B654" s="5" t="str">
        <f>_xlfn.XLOOKUP(Total[[#This Row],[Metodo]],TbSolver[Metodo],TbSolver[Solver])</f>
        <v>AdamsBashfordMoulton</v>
      </c>
      <c r="C654" s="5" t="str">
        <f>_xlfn.XLOOKUP(Total[[#This Row],[Hebras]],TbTecnologia[Hebras],TbTecnologia[Tecnología])</f>
        <v>OMP</v>
      </c>
      <c r="D654" s="10" t="str" cm="1">
        <f t="array" ref="D654">_xlfn.XLOOKUP(Total[[#This Row],[Tecnología]]&amp;Total[[#This Row],[Metodo]],TbTipos[Tecnología]&amp;TbTipos[Metodo],TbTipos[Tipo])</f>
        <v>OMP Elementos</v>
      </c>
      <c r="E654" s="9" t="str" cm="1">
        <f t="array" ref="E654">_xlfn.XLOOKUP(Total[[#This Row],[Tecnología]]&amp;Total[[#This Row],[Problema]],TbNombres[Tecnología]&amp;TbNombres[Problema],TbNombres[Nombre])</f>
        <v>Brusselator2d</v>
      </c>
      <c r="F654" s="9">
        <v>6</v>
      </c>
      <c r="G654" s="9">
        <v>4</v>
      </c>
      <c r="H654" s="9">
        <v>4</v>
      </c>
      <c r="I654" s="9">
        <v>150</v>
      </c>
      <c r="J654" s="9">
        <v>45000</v>
      </c>
      <c r="K654" s="9">
        <v>569.69299999999998</v>
      </c>
    </row>
    <row r="655" spans="2:11" x14ac:dyDescent="0.2">
      <c r="B655" s="5" t="str">
        <f>_xlfn.XLOOKUP(Total[[#This Row],[Metodo]],TbSolver[Metodo],TbSolver[Solver])</f>
        <v>AdamsBashfordMoulton</v>
      </c>
      <c r="C655" s="5" t="str">
        <f>_xlfn.XLOOKUP(Total[[#This Row],[Hebras]],TbTecnologia[Hebras],TbTecnologia[Tecnología])</f>
        <v>OMP</v>
      </c>
      <c r="D655" s="10" t="str" cm="1">
        <f t="array" ref="D655">_xlfn.XLOOKUP(Total[[#This Row],[Tecnología]]&amp;Total[[#This Row],[Metodo]],TbTipos[Tecnología]&amp;TbTipos[Metodo],TbTipos[Tipo])</f>
        <v>OMP Operaciones</v>
      </c>
      <c r="E655" s="9" t="str" cm="1">
        <f t="array" ref="E655">_xlfn.XLOOKUP(Total[[#This Row],[Tecnología]]&amp;Total[[#This Row],[Problema]],TbNombres[Tecnología]&amp;TbNombres[Problema],TbNombres[Nombre])</f>
        <v>Brusselator2d</v>
      </c>
      <c r="F655" s="9">
        <v>5</v>
      </c>
      <c r="G655" s="9">
        <v>4</v>
      </c>
      <c r="H655" s="9">
        <v>1</v>
      </c>
      <c r="I655" s="9">
        <v>150</v>
      </c>
      <c r="J655" s="9">
        <v>45000</v>
      </c>
      <c r="K655" s="9">
        <v>976.06100000000004</v>
      </c>
    </row>
    <row r="656" spans="2:11" x14ac:dyDescent="0.2">
      <c r="B656" s="5" t="str">
        <f>_xlfn.XLOOKUP(Total[[#This Row],[Metodo]],TbSolver[Metodo],TbSolver[Solver])</f>
        <v>AdamsBashfordMoulton</v>
      </c>
      <c r="C656" s="5" t="str">
        <f>_xlfn.XLOOKUP(Total[[#This Row],[Hebras]],TbTecnologia[Hebras],TbTecnologia[Tecnología])</f>
        <v>OMP</v>
      </c>
      <c r="D656" s="10" t="str" cm="1">
        <f t="array" ref="D656">_xlfn.XLOOKUP(Total[[#This Row],[Tecnología]]&amp;Total[[#This Row],[Metodo]],TbTipos[Tecnología]&amp;TbTipos[Metodo],TbTipos[Tipo])</f>
        <v>OMP Elementos</v>
      </c>
      <c r="E656" s="9" t="str" cm="1">
        <f t="array" ref="E656">_xlfn.XLOOKUP(Total[[#This Row],[Tecnología]]&amp;Total[[#This Row],[Problema]],TbNombres[Tecnología]&amp;TbNombres[Problema],TbNombres[Nombre])</f>
        <v>Brusselator2d</v>
      </c>
      <c r="F656" s="9">
        <v>6</v>
      </c>
      <c r="G656" s="9">
        <v>4</v>
      </c>
      <c r="H656" s="9">
        <v>1</v>
      </c>
      <c r="I656" s="9">
        <v>150</v>
      </c>
      <c r="J656" s="9">
        <v>45000</v>
      </c>
      <c r="K656" s="9">
        <v>2151.79</v>
      </c>
    </row>
    <row r="657" spans="2:11" x14ac:dyDescent="0.2">
      <c r="B657" s="5" t="str">
        <f>_xlfn.XLOOKUP(Total[[#This Row],[Metodo]],TbSolver[Metodo],TbSolver[Solver])</f>
        <v>AdamsBashfordMoulton</v>
      </c>
      <c r="C657" s="5" t="str">
        <f>_xlfn.XLOOKUP(Total[[#This Row],[Hebras]],TbTecnologia[Hebras],TbTecnologia[Tecnología])</f>
        <v>CUDA</v>
      </c>
      <c r="D657" s="2" t="str" cm="1">
        <f t="array" ref="D657">_xlfn.XLOOKUP(Total[[#This Row],[Tecnología]]&amp;Total[[#This Row],[Metodo]],TbTipos[Tecnología]&amp;TbTipos[Metodo],TbTipos[Tipo])</f>
        <v>CUDA sin graph</v>
      </c>
      <c r="E657" s="2" t="str" cm="1">
        <f t="array" ref="E657">_xlfn.XLOOKUP(Total[[#This Row],[Tecnología]]&amp;Total[[#This Row],[Problema]],TbNombres[Tecnología]&amp;TbNombres[Problema],TbNombres[Nombre])</f>
        <v>Brusselator2d</v>
      </c>
      <c r="F657" s="2">
        <v>5</v>
      </c>
      <c r="G657" s="2">
        <v>9</v>
      </c>
      <c r="H657" s="2">
        <v>256</v>
      </c>
      <c r="I657" s="2">
        <v>200</v>
      </c>
      <c r="J657" s="2">
        <v>80000</v>
      </c>
      <c r="K657" s="2">
        <v>42.954099999999997</v>
      </c>
    </row>
    <row r="658" spans="2:11" x14ac:dyDescent="0.2">
      <c r="B658" s="5" t="str">
        <f>_xlfn.XLOOKUP(Total[[#This Row],[Metodo]],TbSolver[Metodo],TbSolver[Solver])</f>
        <v>AdamsBashfordMoulton</v>
      </c>
      <c r="C658" s="5" t="str">
        <f>_xlfn.XLOOKUP(Total[[#This Row],[Hebras]],TbTecnologia[Hebras],TbTecnologia[Tecnología])</f>
        <v>CUDA</v>
      </c>
      <c r="D658" s="2" t="str" cm="1">
        <f t="array" ref="D658">_xlfn.XLOOKUP(Total[[#This Row],[Tecnología]]&amp;Total[[#This Row],[Metodo]],TbTipos[Tecnología]&amp;TbTipos[Metodo],TbTipos[Tipo])</f>
        <v>CUDA sin graph</v>
      </c>
      <c r="E658" s="2" t="str" cm="1">
        <f t="array" ref="E658">_xlfn.XLOOKUP(Total[[#This Row],[Tecnología]]&amp;Total[[#This Row],[Problema]],TbNombres[Tecnología]&amp;TbNombres[Problema],TbNombres[Nombre])</f>
        <v>Brusselator2d</v>
      </c>
      <c r="F658" s="2">
        <v>5</v>
      </c>
      <c r="G658" s="2">
        <v>8</v>
      </c>
      <c r="H658" s="2">
        <v>256</v>
      </c>
      <c r="I658" s="2">
        <v>200</v>
      </c>
      <c r="J658" s="2">
        <v>80000</v>
      </c>
      <c r="K658" s="2">
        <v>43.573999999999998</v>
      </c>
    </row>
    <row r="659" spans="2:11" x14ac:dyDescent="0.2">
      <c r="B659" s="5" t="str">
        <f>_xlfn.XLOOKUP(Total[[#This Row],[Metodo]],TbSolver[Metodo],TbSolver[Solver])</f>
        <v>AdamsBashfordMoulton</v>
      </c>
      <c r="C659" s="5" t="str">
        <f>_xlfn.XLOOKUP(Total[[#This Row],[Hebras]],TbTecnologia[Hebras],TbTecnologia[Tecnología])</f>
        <v>CUDA</v>
      </c>
      <c r="D659" s="2" t="str" cm="1">
        <f t="array" ref="D659">_xlfn.XLOOKUP(Total[[#This Row],[Tecnología]]&amp;Total[[#This Row],[Metodo]],TbTipos[Tecnología]&amp;TbTipos[Metodo],TbTipos[Tipo])</f>
        <v>CUDA con graph</v>
      </c>
      <c r="E659" s="2" t="str" cm="1">
        <f t="array" ref="E659">_xlfn.XLOOKUP(Total[[#This Row],[Tecnología]]&amp;Total[[#This Row],[Problema]],TbNombres[Tecnología]&amp;TbNombres[Problema],TbNombres[Nombre])</f>
        <v>Brusselator2d</v>
      </c>
      <c r="F659" s="2">
        <v>6</v>
      </c>
      <c r="G659" s="2">
        <v>8</v>
      </c>
      <c r="H659" s="2">
        <v>256</v>
      </c>
      <c r="I659" s="2">
        <v>200</v>
      </c>
      <c r="J659" s="2">
        <v>80000</v>
      </c>
      <c r="K659" s="2">
        <v>47.031500000000001</v>
      </c>
    </row>
    <row r="660" spans="2:11" x14ac:dyDescent="0.2">
      <c r="B660" s="5" t="str">
        <f>_xlfn.XLOOKUP(Total[[#This Row],[Metodo]],TbSolver[Metodo],TbSolver[Solver])</f>
        <v>AdamsBashfordMoulton</v>
      </c>
      <c r="C660" s="5" t="str">
        <f>_xlfn.XLOOKUP(Total[[#This Row],[Hebras]],TbTecnologia[Hebras],TbTecnologia[Tecnología])</f>
        <v>CUDA</v>
      </c>
      <c r="D660" s="2" t="str" cm="1">
        <f t="array" ref="D660">_xlfn.XLOOKUP(Total[[#This Row],[Tecnología]]&amp;Total[[#This Row],[Metodo]],TbTipos[Tecnología]&amp;TbTipos[Metodo],TbTipos[Tipo])</f>
        <v>CUDA con graph</v>
      </c>
      <c r="E660" s="2" t="str" cm="1">
        <f t="array" ref="E660">_xlfn.XLOOKUP(Total[[#This Row],[Tecnología]]&amp;Total[[#This Row],[Problema]],TbNombres[Tecnología]&amp;TbNombres[Problema],TbNombres[Nombre])</f>
        <v>Brusselator2d</v>
      </c>
      <c r="F660" s="2">
        <v>6</v>
      </c>
      <c r="G660" s="2">
        <v>9</v>
      </c>
      <c r="H660" s="2">
        <v>256</v>
      </c>
      <c r="I660" s="2">
        <v>200</v>
      </c>
      <c r="J660" s="2">
        <v>80000</v>
      </c>
      <c r="K660" s="2">
        <v>47.367899999999999</v>
      </c>
    </row>
    <row r="661" spans="2:11" x14ac:dyDescent="0.2">
      <c r="B661" s="5" t="str">
        <f>_xlfn.XLOOKUP(Total[[#This Row],[Metodo]],TbSolver[Metodo],TbSolver[Solver])</f>
        <v>AdamsBashfordMoulton</v>
      </c>
      <c r="C661" s="5" t="str">
        <f>_xlfn.XLOOKUP(Total[[#This Row],[Hebras]],TbTecnologia[Hebras],TbTecnologia[Tecnología])</f>
        <v>OMP</v>
      </c>
      <c r="D661" s="10" t="str" cm="1">
        <f t="array" ref="D661">_xlfn.XLOOKUP(Total[[#This Row],[Tecnología]]&amp;Total[[#This Row],[Metodo]],TbTipos[Tecnología]&amp;TbTipos[Metodo],TbTipos[Tipo])</f>
        <v>OMP Operaciones</v>
      </c>
      <c r="E661" s="9" t="str" cm="1">
        <f t="array" ref="E661">_xlfn.XLOOKUP(Total[[#This Row],[Tecnología]]&amp;Total[[#This Row],[Problema]],TbNombres[Tecnología]&amp;TbNombres[Problema],TbNombres[Nombre])</f>
        <v>Brusselator2d</v>
      </c>
      <c r="F661" s="9">
        <v>5</v>
      </c>
      <c r="G661" s="9">
        <v>4</v>
      </c>
      <c r="H661" s="9">
        <v>16</v>
      </c>
      <c r="I661" s="9">
        <v>200</v>
      </c>
      <c r="J661" s="9">
        <v>80000</v>
      </c>
      <c r="K661" s="9">
        <v>214.67</v>
      </c>
    </row>
    <row r="662" spans="2:11" x14ac:dyDescent="0.2">
      <c r="B662" s="5" t="str">
        <f>_xlfn.XLOOKUP(Total[[#This Row],[Metodo]],TbSolver[Metodo],TbSolver[Solver])</f>
        <v>AdamsBashfordMoulton</v>
      </c>
      <c r="C662" s="5" t="str">
        <f>_xlfn.XLOOKUP(Total[[#This Row],[Hebras]],TbTecnologia[Hebras],TbTecnologia[Tecnología])</f>
        <v>OMP</v>
      </c>
      <c r="D662" s="10" t="str" cm="1">
        <f t="array" ref="D662">_xlfn.XLOOKUP(Total[[#This Row],[Tecnología]]&amp;Total[[#This Row],[Metodo]],TbTipos[Tecnología]&amp;TbTipos[Metodo],TbTipos[Tipo])</f>
        <v>OMP Elementos</v>
      </c>
      <c r="E662" s="9" t="str" cm="1">
        <f t="array" ref="E662">_xlfn.XLOOKUP(Total[[#This Row],[Tecnología]]&amp;Total[[#This Row],[Problema]],TbNombres[Tecnología]&amp;TbNombres[Problema],TbNombres[Nombre])</f>
        <v>Brusselator2d</v>
      </c>
      <c r="F662" s="9">
        <v>6</v>
      </c>
      <c r="G662" s="9">
        <v>4</v>
      </c>
      <c r="H662" s="9">
        <v>16</v>
      </c>
      <c r="I662" s="9">
        <v>200</v>
      </c>
      <c r="J662" s="9">
        <v>80000</v>
      </c>
      <c r="K662" s="9">
        <v>331.80900000000003</v>
      </c>
    </row>
    <row r="663" spans="2:11" x14ac:dyDescent="0.2">
      <c r="B663" s="5" t="str">
        <f>_xlfn.XLOOKUP(Total[[#This Row],[Metodo]],TbSolver[Metodo],TbSolver[Solver])</f>
        <v>AdamsBashfordMoulton</v>
      </c>
      <c r="C663" s="5" t="str">
        <f>_xlfn.XLOOKUP(Total[[#This Row],[Hebras]],TbTecnologia[Hebras],TbTecnologia[Tecnología])</f>
        <v>OMP</v>
      </c>
      <c r="D663" s="10" t="str" cm="1">
        <f t="array" ref="D663">_xlfn.XLOOKUP(Total[[#This Row],[Tecnología]]&amp;Total[[#This Row],[Metodo]],TbTipos[Tecnología]&amp;TbTipos[Metodo],TbTipos[Tipo])</f>
        <v>OMP Operaciones</v>
      </c>
      <c r="E663" s="9" t="str" cm="1">
        <f t="array" ref="E663">_xlfn.XLOOKUP(Total[[#This Row],[Tecnología]]&amp;Total[[#This Row],[Problema]],TbNombres[Tecnología]&amp;TbNombres[Problema],TbNombres[Nombre])</f>
        <v>Brusselator2d</v>
      </c>
      <c r="F663" s="9">
        <v>5</v>
      </c>
      <c r="G663" s="9">
        <v>4</v>
      </c>
      <c r="H663" s="9">
        <v>4</v>
      </c>
      <c r="I663" s="9">
        <v>200</v>
      </c>
      <c r="J663" s="9">
        <v>80000</v>
      </c>
      <c r="K663" s="9">
        <v>466.28199999999998</v>
      </c>
    </row>
    <row r="664" spans="2:11" x14ac:dyDescent="0.2">
      <c r="B664" s="5" t="str">
        <f>_xlfn.XLOOKUP(Total[[#This Row],[Metodo]],TbSolver[Metodo],TbSolver[Solver])</f>
        <v>AdamsBashfordMoulton</v>
      </c>
      <c r="C664" s="5" t="str">
        <f>_xlfn.XLOOKUP(Total[[#This Row],[Hebras]],TbTecnologia[Hebras],TbTecnologia[Tecnología])</f>
        <v>OMP</v>
      </c>
      <c r="D664" s="10" t="str" cm="1">
        <f t="array" ref="D664">_xlfn.XLOOKUP(Total[[#This Row],[Tecnología]]&amp;Total[[#This Row],[Metodo]],TbTipos[Tecnología]&amp;TbTipos[Metodo],TbTipos[Tipo])</f>
        <v>OMP Elementos</v>
      </c>
      <c r="E664" s="9" t="str" cm="1">
        <f t="array" ref="E664">_xlfn.XLOOKUP(Total[[#This Row],[Tecnología]]&amp;Total[[#This Row],[Problema]],TbNombres[Tecnología]&amp;TbNombres[Problema],TbNombres[Nombre])</f>
        <v>Brusselator2d</v>
      </c>
      <c r="F664" s="9">
        <v>6</v>
      </c>
      <c r="G664" s="9">
        <v>4</v>
      </c>
      <c r="H664" s="9">
        <v>4</v>
      </c>
      <c r="I664" s="9">
        <v>200</v>
      </c>
      <c r="J664" s="9">
        <v>80000</v>
      </c>
      <c r="K664" s="9">
        <v>1049.3499999999999</v>
      </c>
    </row>
    <row r="665" spans="2:11" x14ac:dyDescent="0.2">
      <c r="B665" s="5" t="str">
        <f>_xlfn.XLOOKUP(Total[[#This Row],[Metodo]],TbSolver[Metodo],TbSolver[Solver])</f>
        <v>AdamsBashfordMoulton</v>
      </c>
      <c r="C665" s="5" t="str">
        <f>_xlfn.XLOOKUP(Total[[#This Row],[Hebras]],TbTecnologia[Hebras],TbTecnologia[Tecnología])</f>
        <v>OMP</v>
      </c>
      <c r="D665" s="10" t="str" cm="1">
        <f t="array" ref="D665">_xlfn.XLOOKUP(Total[[#This Row],[Tecnología]]&amp;Total[[#This Row],[Metodo]],TbTipos[Tecnología]&amp;TbTipos[Metodo],TbTipos[Tipo])</f>
        <v>OMP Operaciones</v>
      </c>
      <c r="E665" s="9" t="str" cm="1">
        <f t="array" ref="E665">_xlfn.XLOOKUP(Total[[#This Row],[Tecnología]]&amp;Total[[#This Row],[Problema]],TbNombres[Tecnología]&amp;TbNombres[Problema],TbNombres[Nombre])</f>
        <v>Brusselator2d</v>
      </c>
      <c r="F665" s="9">
        <v>5</v>
      </c>
      <c r="G665" s="9">
        <v>4</v>
      </c>
      <c r="H665" s="9">
        <v>1</v>
      </c>
      <c r="I665" s="9">
        <v>200</v>
      </c>
      <c r="J665" s="9">
        <v>80000</v>
      </c>
      <c r="K665" s="9">
        <v>1825.86</v>
      </c>
    </row>
    <row r="666" spans="2:11" x14ac:dyDescent="0.2">
      <c r="B666" s="5" t="str">
        <f>_xlfn.XLOOKUP(Total[[#This Row],[Metodo]],TbSolver[Metodo],TbSolver[Solver])</f>
        <v>AdamsBashfordMoulton</v>
      </c>
      <c r="C666" s="5" t="str">
        <f>_xlfn.XLOOKUP(Total[[#This Row],[Hebras]],TbTecnologia[Hebras],TbTecnologia[Tecnología])</f>
        <v>OMP</v>
      </c>
      <c r="D666" s="10" t="str" cm="1">
        <f t="array" ref="D666">_xlfn.XLOOKUP(Total[[#This Row],[Tecnología]]&amp;Total[[#This Row],[Metodo]],TbTipos[Tecnología]&amp;TbTipos[Metodo],TbTipos[Tipo])</f>
        <v>OMP Elementos</v>
      </c>
      <c r="E666" s="9" t="str" cm="1">
        <f t="array" ref="E666">_xlfn.XLOOKUP(Total[[#This Row],[Tecnología]]&amp;Total[[#This Row],[Problema]],TbNombres[Tecnología]&amp;TbNombres[Problema],TbNombres[Nombre])</f>
        <v>Brusselator2d</v>
      </c>
      <c r="F666" s="9">
        <v>6</v>
      </c>
      <c r="G666" s="9">
        <v>4</v>
      </c>
      <c r="H666" s="9">
        <v>1</v>
      </c>
      <c r="I666" s="9">
        <v>200</v>
      </c>
      <c r="J666" s="9">
        <v>80000</v>
      </c>
      <c r="K666" s="9">
        <v>3809.65</v>
      </c>
    </row>
    <row r="667" spans="2:11" x14ac:dyDescent="0.2">
      <c r="B667" s="5" t="str">
        <f>_xlfn.XLOOKUP(Total[[#This Row],[Metodo]],TbSolver[Metodo],TbSolver[Solver])</f>
        <v>AdamsBashfordMoulton</v>
      </c>
      <c r="C667" s="5" t="str">
        <f>_xlfn.XLOOKUP(Total[[#This Row],[Hebras]],TbTecnologia[Hebras],TbTecnologia[Tecnología])</f>
        <v>OMP</v>
      </c>
      <c r="D667" s="10" t="str" cm="1">
        <f t="array" ref="D667">_xlfn.XLOOKUP(Total[[#This Row],[Tecnología]]&amp;Total[[#This Row],[Metodo]],TbTipos[Tecnología]&amp;TbTipos[Metodo],TbTipos[Tipo])</f>
        <v>OMP Elementos</v>
      </c>
      <c r="E667" s="9" t="str" cm="1">
        <f t="array" ref="E667">_xlfn.XLOOKUP(Total[[#This Row],[Tecnología]]&amp;Total[[#This Row],[Problema]],TbNombres[Tecnología]&amp;TbNombres[Problema],TbNombres[Nombre])</f>
        <v>Brusselator2d</v>
      </c>
      <c r="F667" s="9">
        <v>6</v>
      </c>
      <c r="G667" s="9">
        <v>4</v>
      </c>
      <c r="H667" s="9">
        <v>1</v>
      </c>
      <c r="I667" s="9">
        <v>200</v>
      </c>
      <c r="J667" s="9">
        <v>80000</v>
      </c>
      <c r="K667" s="9">
        <v>3970.37</v>
      </c>
    </row>
    <row r="668" spans="2:11" x14ac:dyDescent="0.2">
      <c r="B668" s="5" t="str">
        <f>_xlfn.XLOOKUP(Total[[#This Row],[Metodo]],TbSolver[Metodo],TbSolver[Solver])</f>
        <v>AdamsBashfordMoulton</v>
      </c>
      <c r="C668" s="5" t="str">
        <f>_xlfn.XLOOKUP(Total[[#This Row],[Hebras]],TbTecnologia[Hebras],TbTecnologia[Tecnología])</f>
        <v>CUDA</v>
      </c>
      <c r="D668" s="2" t="str" cm="1">
        <f t="array" ref="D668">_xlfn.XLOOKUP(Total[[#This Row],[Tecnología]]&amp;Total[[#This Row],[Metodo]],TbTipos[Tecnología]&amp;TbTipos[Metodo],TbTipos[Tipo])</f>
        <v>CUDA sin graph</v>
      </c>
      <c r="E668" s="2" t="str" cm="1">
        <f t="array" ref="E668">_xlfn.XLOOKUP(Total[[#This Row],[Tecnología]]&amp;Total[[#This Row],[Problema]],TbNombres[Tecnología]&amp;TbNombres[Problema],TbNombres[Nombre])</f>
        <v>Brusselator2d</v>
      </c>
      <c r="F668" s="2">
        <v>5</v>
      </c>
      <c r="G668" s="2">
        <v>9</v>
      </c>
      <c r="H668" s="2">
        <v>256</v>
      </c>
      <c r="I668" s="2">
        <v>500</v>
      </c>
      <c r="J668" s="2">
        <v>500000</v>
      </c>
      <c r="K668" s="2">
        <v>310.68200000000002</v>
      </c>
    </row>
    <row r="669" spans="2:11" x14ac:dyDescent="0.2">
      <c r="B669" s="5" t="str">
        <f>_xlfn.XLOOKUP(Total[[#This Row],[Metodo]],TbSolver[Metodo],TbSolver[Solver])</f>
        <v>AdamsBashfordMoulton</v>
      </c>
      <c r="C669" s="5" t="str">
        <f>_xlfn.XLOOKUP(Total[[#This Row],[Hebras]],TbTecnologia[Hebras],TbTecnologia[Tecnología])</f>
        <v>CUDA</v>
      </c>
      <c r="D669" s="2" t="str" cm="1">
        <f t="array" ref="D669">_xlfn.XLOOKUP(Total[[#This Row],[Tecnología]]&amp;Total[[#This Row],[Metodo]],TbTipos[Tecnología]&amp;TbTipos[Metodo],TbTipos[Tipo])</f>
        <v>CUDA sin graph</v>
      </c>
      <c r="E669" s="2" t="str" cm="1">
        <f t="array" ref="E669">_xlfn.XLOOKUP(Total[[#This Row],[Tecnología]]&amp;Total[[#This Row],[Problema]],TbNombres[Tecnología]&amp;TbNombres[Problema],TbNombres[Nombre])</f>
        <v>Brusselator2d</v>
      </c>
      <c r="F669" s="2">
        <v>5</v>
      </c>
      <c r="G669" s="2">
        <v>8</v>
      </c>
      <c r="H669" s="2">
        <v>256</v>
      </c>
      <c r="I669" s="2">
        <v>500</v>
      </c>
      <c r="J669" s="2">
        <v>500000</v>
      </c>
      <c r="K669" s="2">
        <v>313.98399999999998</v>
      </c>
    </row>
    <row r="670" spans="2:11" x14ac:dyDescent="0.2">
      <c r="B670" s="5" t="str">
        <f>_xlfn.XLOOKUP(Total[[#This Row],[Metodo]],TbSolver[Metodo],TbSolver[Solver])</f>
        <v>AdamsBashfordMoulton</v>
      </c>
      <c r="C670" s="5" t="str">
        <f>_xlfn.XLOOKUP(Total[[#This Row],[Hebras]],TbTecnologia[Hebras],TbTecnologia[Tecnología])</f>
        <v>CUDA</v>
      </c>
      <c r="D670" s="2" t="str" cm="1">
        <f t="array" ref="D670">_xlfn.XLOOKUP(Total[[#This Row],[Tecnología]]&amp;Total[[#This Row],[Metodo]],TbTipos[Tecnología]&amp;TbTipos[Metodo],TbTipos[Tipo])</f>
        <v>CUDA con graph</v>
      </c>
      <c r="E670" s="2" t="str" cm="1">
        <f t="array" ref="E670">_xlfn.XLOOKUP(Total[[#This Row],[Tecnología]]&amp;Total[[#This Row],[Problema]],TbNombres[Tecnología]&amp;TbNombres[Problema],TbNombres[Nombre])</f>
        <v>Brusselator2d</v>
      </c>
      <c r="F670" s="2">
        <v>6</v>
      </c>
      <c r="G670" s="2">
        <v>8</v>
      </c>
      <c r="H670" s="2">
        <v>256</v>
      </c>
      <c r="I670" s="2">
        <v>500</v>
      </c>
      <c r="J670" s="2">
        <v>500000</v>
      </c>
      <c r="K670" s="2">
        <v>392.97199999999998</v>
      </c>
    </row>
    <row r="671" spans="2:11" x14ac:dyDescent="0.2">
      <c r="B671" s="5" t="str">
        <f>_xlfn.XLOOKUP(Total[[#This Row],[Metodo]],TbSolver[Metodo],TbSolver[Solver])</f>
        <v>AdamsBashfordMoulton</v>
      </c>
      <c r="C671" s="5" t="str">
        <f>_xlfn.XLOOKUP(Total[[#This Row],[Hebras]],TbTecnologia[Hebras],TbTecnologia[Tecnología])</f>
        <v>CUDA</v>
      </c>
      <c r="D671" s="2" t="str" cm="1">
        <f t="array" ref="D671">_xlfn.XLOOKUP(Total[[#This Row],[Tecnología]]&amp;Total[[#This Row],[Metodo]],TbTipos[Tecnología]&amp;TbTipos[Metodo],TbTipos[Tipo])</f>
        <v>CUDA con graph</v>
      </c>
      <c r="E671" s="2" t="str" cm="1">
        <f t="array" ref="E671">_xlfn.XLOOKUP(Total[[#This Row],[Tecnología]]&amp;Total[[#This Row],[Problema]],TbNombres[Tecnología]&amp;TbNombres[Problema],TbNombres[Nombre])</f>
        <v>Brusselator2d</v>
      </c>
      <c r="F671" s="2">
        <v>6</v>
      </c>
      <c r="G671" s="2">
        <v>9</v>
      </c>
      <c r="H671" s="2">
        <v>256</v>
      </c>
      <c r="I671" s="2">
        <v>500</v>
      </c>
      <c r="J671" s="2">
        <v>500000</v>
      </c>
      <c r="K671" s="2">
        <v>393.34699999999998</v>
      </c>
    </row>
    <row r="672" spans="2:11" ht="15" x14ac:dyDescent="0.2">
      <c r="B672" s="5" t="str">
        <f>_xlfn.XLOOKUP(Total[[#This Row],[Metodo]],TbSolver[Metodo],TbSolver[Solver])</f>
        <v>RungeKutta</v>
      </c>
      <c r="C672" s="5" t="str">
        <f>_xlfn.XLOOKUP(Total[[#This Row],[Hebras]],TbTecnologia[Hebras],TbTecnologia[Tecnología])</f>
        <v>CUDA</v>
      </c>
      <c r="D672" s="14" t="str" cm="1">
        <f t="array" ref="D672">_xlfn.XLOOKUP(Total[[#This Row],[Tecnología]]&amp;Total[[#This Row],[Metodo]],TbTipos[Tecnología]&amp;TbTipos[Metodo],TbTipos[Tipo])</f>
        <v>CUDA sin graph</v>
      </c>
      <c r="E672" s="14" t="str" cm="1">
        <f t="array" ref="E672">_xlfn.XLOOKUP(Total[[#This Row],[Tecnología]]&amp;Total[[#This Row],[Problema]],TbNombres[Tecnología]&amp;TbNombres[Problema],TbNombres[Nombre])</f>
        <v>Simple Advdiff</v>
      </c>
      <c r="F672" s="8">
        <v>1</v>
      </c>
      <c r="G672" s="8">
        <v>1</v>
      </c>
      <c r="H672" s="8">
        <v>256</v>
      </c>
      <c r="I672" s="8">
        <v>75000</v>
      </c>
      <c r="J672" s="8">
        <v>75000</v>
      </c>
      <c r="K672" s="8">
        <v>31.302900000000001</v>
      </c>
    </row>
    <row r="673" spans="2:11" ht="15" x14ac:dyDescent="0.2">
      <c r="B673" s="5" t="str">
        <f>_xlfn.XLOOKUP(Total[[#This Row],[Metodo]],TbSolver[Metodo],TbSolver[Solver])</f>
        <v>RungeKutta</v>
      </c>
      <c r="C673" s="5" t="str">
        <f>_xlfn.XLOOKUP(Total[[#This Row],[Hebras]],TbTecnologia[Hebras],TbTecnologia[Tecnología])</f>
        <v>CUDA</v>
      </c>
      <c r="D673" s="14" t="str" cm="1">
        <f t="array" ref="D673">_xlfn.XLOOKUP(Total[[#This Row],[Tecnología]]&amp;Total[[#This Row],[Metodo]],TbTipos[Tecnología]&amp;TbTipos[Metodo],TbTipos[Tipo])</f>
        <v>CUDA sin graph</v>
      </c>
      <c r="E673" s="14" t="str" cm="1">
        <f t="array" ref="E673">_xlfn.XLOOKUP(Total[[#This Row],[Tecnología]]&amp;Total[[#This Row],[Problema]],TbNombres[Tecnología]&amp;TbNombres[Problema],TbNombres[Nombre])</f>
        <v>Simple Advdiff</v>
      </c>
      <c r="F673" s="8">
        <v>1</v>
      </c>
      <c r="G673" s="8">
        <v>1</v>
      </c>
      <c r="H673" s="8">
        <v>256</v>
      </c>
      <c r="I673" s="8">
        <v>150000</v>
      </c>
      <c r="J673" s="8">
        <v>150000</v>
      </c>
      <c r="K673" s="8">
        <v>53.823599999999999</v>
      </c>
    </row>
    <row r="674" spans="2:11" ht="15" x14ac:dyDescent="0.2">
      <c r="B674" s="5" t="str">
        <f>_xlfn.XLOOKUP(Total[[#This Row],[Metodo]],TbSolver[Metodo],TbSolver[Solver])</f>
        <v>RungeKutta</v>
      </c>
      <c r="C674" s="5" t="str">
        <f>_xlfn.XLOOKUP(Total[[#This Row],[Hebras]],TbTecnologia[Hebras],TbTecnologia[Tecnología])</f>
        <v>CUDA</v>
      </c>
      <c r="D674" s="14" t="str" cm="1">
        <f t="array" ref="D674">_xlfn.XLOOKUP(Total[[#This Row],[Tecnología]]&amp;Total[[#This Row],[Metodo]],TbTipos[Tecnología]&amp;TbTipos[Metodo],TbTipos[Tipo])</f>
        <v>CUDA sin graph</v>
      </c>
      <c r="E674" s="14" t="str" cm="1">
        <f t="array" ref="E674">_xlfn.XLOOKUP(Total[[#This Row],[Tecnología]]&amp;Total[[#This Row],[Problema]],TbNombres[Tecnología]&amp;TbNombres[Problema],TbNombres[Nombre])</f>
        <v>Simple Advdiff</v>
      </c>
      <c r="F674" s="8">
        <v>1</v>
      </c>
      <c r="G674" s="8">
        <v>1</v>
      </c>
      <c r="H674" s="8">
        <v>256</v>
      </c>
      <c r="I674" s="8">
        <v>250000</v>
      </c>
      <c r="J674" s="8">
        <v>250000</v>
      </c>
      <c r="K674" s="8">
        <v>94.997200000000007</v>
      </c>
    </row>
    <row r="675" spans="2:11" ht="15" x14ac:dyDescent="0.2">
      <c r="B675" s="5" t="str">
        <f>_xlfn.XLOOKUP(Total[[#This Row],[Metodo]],TbSolver[Metodo],TbSolver[Solver])</f>
        <v>RungeKutta</v>
      </c>
      <c r="C675" s="5" t="str">
        <f>_xlfn.XLOOKUP(Total[[#This Row],[Hebras]],TbTecnologia[Hebras],TbTecnologia[Tecnología])</f>
        <v>CUDA</v>
      </c>
      <c r="D675" s="14" t="str" cm="1">
        <f t="array" ref="D675">_xlfn.XLOOKUP(Total[[#This Row],[Tecnología]]&amp;Total[[#This Row],[Metodo]],TbTipos[Tecnología]&amp;TbTipos[Metodo],TbTipos[Tipo])</f>
        <v>CUDA sin graph</v>
      </c>
      <c r="E675" s="14" t="str" cm="1">
        <f t="array" ref="E675">_xlfn.XLOOKUP(Total[[#This Row],[Tecnología]]&amp;Total[[#This Row],[Problema]],TbNombres[Tecnología]&amp;TbNombres[Problema],TbNombres[Nombre])</f>
        <v>Simple Advdiff</v>
      </c>
      <c r="F675" s="8">
        <v>1</v>
      </c>
      <c r="G675" s="8">
        <v>1</v>
      </c>
      <c r="H675" s="8">
        <v>256</v>
      </c>
      <c r="I675" s="8">
        <v>300000</v>
      </c>
      <c r="J675" s="8">
        <v>300000</v>
      </c>
      <c r="K675" s="8">
        <v>113.41</v>
      </c>
    </row>
    <row r="676" spans="2:11" ht="15" x14ac:dyDescent="0.2">
      <c r="B676" s="5" t="str">
        <f>_xlfn.XLOOKUP(Total[[#This Row],[Metodo]],TbSolver[Metodo],TbSolver[Solver])</f>
        <v>RungeKutta</v>
      </c>
      <c r="C676" s="5" t="str">
        <f>_xlfn.XLOOKUP(Total[[#This Row],[Hebras]],TbTecnologia[Hebras],TbTecnologia[Tecnología])</f>
        <v>CUDA</v>
      </c>
      <c r="D676" s="14" t="str" cm="1">
        <f t="array" ref="D676">_xlfn.XLOOKUP(Total[[#This Row],[Tecnología]]&amp;Total[[#This Row],[Metodo]],TbTipos[Tecnología]&amp;TbTipos[Metodo],TbTipos[Tipo])</f>
        <v>CUDA sin graph</v>
      </c>
      <c r="E676" s="14" t="str" cm="1">
        <f t="array" ref="E676">_xlfn.XLOOKUP(Total[[#This Row],[Tecnología]]&amp;Total[[#This Row],[Problema]],TbNombres[Tecnología]&amp;TbNombres[Problema],TbNombres[Nombre])</f>
        <v>Simple Advdiff</v>
      </c>
      <c r="F676" s="8">
        <v>1</v>
      </c>
      <c r="G676" s="8">
        <v>1</v>
      </c>
      <c r="H676" s="8">
        <v>256</v>
      </c>
      <c r="I676" s="8">
        <v>350000</v>
      </c>
      <c r="J676" s="8">
        <v>350000</v>
      </c>
      <c r="K676" s="8">
        <v>136.81</v>
      </c>
    </row>
    <row r="677" spans="2:11" ht="15" x14ac:dyDescent="0.2">
      <c r="B677" s="5" t="str">
        <f>_xlfn.XLOOKUP(Total[[#This Row],[Metodo]],TbSolver[Metodo],TbSolver[Solver])</f>
        <v>RungeKutta</v>
      </c>
      <c r="C677" s="5" t="str">
        <f>_xlfn.XLOOKUP(Total[[#This Row],[Hebras]],TbTecnologia[Hebras],TbTecnologia[Tecnología])</f>
        <v>CUDA</v>
      </c>
      <c r="D677" s="14" t="str" cm="1">
        <f t="array" ref="D677">_xlfn.XLOOKUP(Total[[#This Row],[Tecnología]]&amp;Total[[#This Row],[Metodo]],TbTipos[Tecnología]&amp;TbTipos[Metodo],TbTipos[Tipo])</f>
        <v>CUDA sin graph</v>
      </c>
      <c r="E677" s="14" t="str" cm="1">
        <f t="array" ref="E677">_xlfn.XLOOKUP(Total[[#This Row],[Tecnología]]&amp;Total[[#This Row],[Problema]],TbNombres[Tecnología]&amp;TbNombres[Problema],TbNombres[Nombre])</f>
        <v>Simple Advdiff</v>
      </c>
      <c r="F677" s="8">
        <v>1</v>
      </c>
      <c r="G677" s="8">
        <v>1</v>
      </c>
      <c r="H677" s="8">
        <v>256</v>
      </c>
      <c r="I677" s="8">
        <v>400000</v>
      </c>
      <c r="J677" s="8">
        <v>400000</v>
      </c>
      <c r="K677" s="8">
        <v>159.56</v>
      </c>
    </row>
    <row r="678" spans="2:11" ht="15" x14ac:dyDescent="0.2">
      <c r="B678" s="5" t="str">
        <f>_xlfn.XLOOKUP(Total[[#This Row],[Metodo]],TbSolver[Metodo],TbSolver[Solver])</f>
        <v>RungeKutta</v>
      </c>
      <c r="C678" s="5" t="str">
        <f>_xlfn.XLOOKUP(Total[[#This Row],[Hebras]],TbTecnologia[Hebras],TbTecnologia[Tecnología])</f>
        <v>CUDA</v>
      </c>
      <c r="D678" s="14" t="str" cm="1">
        <f t="array" ref="D678">_xlfn.XLOOKUP(Total[[#This Row],[Tecnología]]&amp;Total[[#This Row],[Metodo]],TbTipos[Tecnología]&amp;TbTipos[Metodo],TbTipos[Tipo])</f>
        <v>CUDA sin graph</v>
      </c>
      <c r="E678" s="14" t="str" cm="1">
        <f t="array" ref="E678">_xlfn.XLOOKUP(Total[[#This Row],[Tecnología]]&amp;Total[[#This Row],[Problema]],TbNombres[Tecnología]&amp;TbNombres[Problema],TbNombres[Nombre])</f>
        <v>Simple Advdiff</v>
      </c>
      <c r="F678" s="8">
        <v>1</v>
      </c>
      <c r="G678" s="8">
        <v>1</v>
      </c>
      <c r="H678" s="8">
        <v>256</v>
      </c>
      <c r="I678" s="8">
        <v>450000</v>
      </c>
      <c r="J678" s="8">
        <v>450000</v>
      </c>
      <c r="K678" s="8">
        <v>185.614</v>
      </c>
    </row>
    <row r="679" spans="2:11" ht="15" x14ac:dyDescent="0.2">
      <c r="B679" s="5" t="str">
        <f>_xlfn.XLOOKUP(Total[[#This Row],[Metodo]],TbSolver[Metodo],TbSolver[Solver])</f>
        <v>RungeKutta</v>
      </c>
      <c r="C679" s="5" t="str">
        <f>_xlfn.XLOOKUP(Total[[#This Row],[Hebras]],TbTecnologia[Hebras],TbTecnologia[Tecnología])</f>
        <v>CUDA</v>
      </c>
      <c r="D679" s="14" t="str" cm="1">
        <f t="array" ref="D679">_xlfn.XLOOKUP(Total[[#This Row],[Tecnología]]&amp;Total[[#This Row],[Metodo]],TbTipos[Tecnología]&amp;TbTipos[Metodo],TbTipos[Tipo])</f>
        <v>CUDA sin graph</v>
      </c>
      <c r="E679" s="14" t="str" cm="1">
        <f t="array" ref="E679">_xlfn.XLOOKUP(Total[[#This Row],[Tecnología]]&amp;Total[[#This Row],[Problema]],TbNombres[Tecnología]&amp;TbNombres[Problema],TbNombres[Nombre])</f>
        <v>Simple Advdiff</v>
      </c>
      <c r="F679" s="8">
        <v>1</v>
      </c>
      <c r="G679" s="8">
        <v>1</v>
      </c>
      <c r="H679" s="8">
        <v>256</v>
      </c>
      <c r="I679" s="8">
        <v>500000</v>
      </c>
      <c r="J679" s="8">
        <v>500000</v>
      </c>
      <c r="K679" s="8">
        <v>214.54400000000001</v>
      </c>
    </row>
    <row r="680" spans="2:11" ht="15" x14ac:dyDescent="0.2">
      <c r="B680" s="5" t="str">
        <f>_xlfn.XLOOKUP(Total[[#This Row],[Metodo]],TbSolver[Metodo],TbSolver[Solver])</f>
        <v>RungeKutta</v>
      </c>
      <c r="C680" s="5" t="str">
        <f>_xlfn.XLOOKUP(Total[[#This Row],[Hebras]],TbTecnologia[Hebras],TbTecnologia[Tecnología])</f>
        <v>CUDA</v>
      </c>
      <c r="D680" s="14" t="str" cm="1">
        <f t="array" ref="D680">_xlfn.XLOOKUP(Total[[#This Row],[Tecnología]]&amp;Total[[#This Row],[Metodo]],TbTipos[Tecnología]&amp;TbTipos[Metodo],TbTipos[Tipo])</f>
        <v>CUDA sin graph</v>
      </c>
      <c r="E680" s="14" t="str" cm="1">
        <f t="array" ref="E680">_xlfn.XLOOKUP(Total[[#This Row],[Tecnología]]&amp;Total[[#This Row],[Problema]],TbNombres[Tecnología]&amp;TbNombres[Problema],TbNombres[Nombre])</f>
        <v>Advdiff1d</v>
      </c>
      <c r="F680" s="8">
        <v>1</v>
      </c>
      <c r="G680" s="8">
        <v>3</v>
      </c>
      <c r="H680" s="8">
        <v>256</v>
      </c>
      <c r="I680" s="8">
        <v>75000</v>
      </c>
      <c r="J680" s="8">
        <v>75000</v>
      </c>
      <c r="K680" s="8">
        <v>113.012</v>
      </c>
    </row>
    <row r="681" spans="2:11" ht="15" x14ac:dyDescent="0.2">
      <c r="B681" s="5" t="str">
        <f>_xlfn.XLOOKUP(Total[[#This Row],[Metodo]],TbSolver[Metodo],TbSolver[Solver])</f>
        <v>RungeKutta</v>
      </c>
      <c r="C681" s="5" t="str">
        <f>_xlfn.XLOOKUP(Total[[#This Row],[Hebras]],TbTecnologia[Hebras],TbTecnologia[Tecnología])</f>
        <v>CUDA</v>
      </c>
      <c r="D681" s="14" t="str" cm="1">
        <f t="array" ref="D681">_xlfn.XLOOKUP(Total[[#This Row],[Tecnología]]&amp;Total[[#This Row],[Metodo]],TbTipos[Tecnología]&amp;TbTipos[Metodo],TbTipos[Tipo])</f>
        <v>CUDA sin graph</v>
      </c>
      <c r="E681" s="14" t="str" cm="1">
        <f t="array" ref="E681">_xlfn.XLOOKUP(Total[[#This Row],[Tecnología]]&amp;Total[[#This Row],[Problema]],TbNombres[Tecnología]&amp;TbNombres[Problema],TbNombres[Nombre])</f>
        <v>Advdiff1d</v>
      </c>
      <c r="F681" s="8">
        <v>1</v>
      </c>
      <c r="G681" s="8">
        <v>3</v>
      </c>
      <c r="H681" s="8">
        <v>256</v>
      </c>
      <c r="I681" s="8">
        <v>150000</v>
      </c>
      <c r="J681" s="8">
        <v>150000</v>
      </c>
      <c r="K681" s="8">
        <v>202.547</v>
      </c>
    </row>
    <row r="682" spans="2:11" ht="15" x14ac:dyDescent="0.2">
      <c r="B682" s="5" t="str">
        <f>_xlfn.XLOOKUP(Total[[#This Row],[Metodo]],TbSolver[Metodo],TbSolver[Solver])</f>
        <v>RungeKutta</v>
      </c>
      <c r="C682" s="5" t="str">
        <f>_xlfn.XLOOKUP(Total[[#This Row],[Hebras]],TbTecnologia[Hebras],TbTecnologia[Tecnología])</f>
        <v>CUDA</v>
      </c>
      <c r="D682" s="14" t="str" cm="1">
        <f t="array" ref="D682">_xlfn.XLOOKUP(Total[[#This Row],[Tecnología]]&amp;Total[[#This Row],[Metodo]],TbTipos[Tecnología]&amp;TbTipos[Metodo],TbTipos[Tipo])</f>
        <v>CUDA sin graph</v>
      </c>
      <c r="E682" s="14" t="str" cm="1">
        <f t="array" ref="E682">_xlfn.XLOOKUP(Total[[#This Row],[Tecnología]]&amp;Total[[#This Row],[Problema]],TbNombres[Tecnología]&amp;TbNombres[Problema],TbNombres[Nombre])</f>
        <v>Advdiff1d</v>
      </c>
      <c r="F682" s="8">
        <v>1</v>
      </c>
      <c r="G682" s="8">
        <v>3</v>
      </c>
      <c r="H682" s="8">
        <v>256</v>
      </c>
      <c r="I682" s="8">
        <v>250000</v>
      </c>
      <c r="J682" s="8">
        <v>250000</v>
      </c>
      <c r="K682" s="8">
        <v>340.20699999999999</v>
      </c>
    </row>
    <row r="683" spans="2:11" ht="15" x14ac:dyDescent="0.2">
      <c r="B683" s="5" t="str">
        <f>_xlfn.XLOOKUP(Total[[#This Row],[Metodo]],TbSolver[Metodo],TbSolver[Solver])</f>
        <v>RungeKutta</v>
      </c>
      <c r="C683" s="5" t="str">
        <f>_xlfn.XLOOKUP(Total[[#This Row],[Hebras]],TbTecnologia[Hebras],TbTecnologia[Tecnología])</f>
        <v>CUDA</v>
      </c>
      <c r="D683" s="14" t="str" cm="1">
        <f t="array" ref="D683">_xlfn.XLOOKUP(Total[[#This Row],[Tecnología]]&amp;Total[[#This Row],[Metodo]],TbTipos[Tecnología]&amp;TbTipos[Metodo],TbTipos[Tipo])</f>
        <v>CUDA sin graph</v>
      </c>
      <c r="E683" s="14" t="str" cm="1">
        <f t="array" ref="E683">_xlfn.XLOOKUP(Total[[#This Row],[Tecnología]]&amp;Total[[#This Row],[Problema]],TbNombres[Tecnología]&amp;TbNombres[Problema],TbNombres[Nombre])</f>
        <v>Advdiff1d</v>
      </c>
      <c r="F683" s="8">
        <v>1</v>
      </c>
      <c r="G683" s="8">
        <v>3</v>
      </c>
      <c r="H683" s="8">
        <v>256</v>
      </c>
      <c r="I683" s="8">
        <v>300000</v>
      </c>
      <c r="J683" s="8">
        <v>300000</v>
      </c>
      <c r="K683" s="8">
        <v>411.625</v>
      </c>
    </row>
    <row r="684" spans="2:11" ht="15" x14ac:dyDescent="0.2">
      <c r="B684" s="5" t="str">
        <f>_xlfn.XLOOKUP(Total[[#This Row],[Metodo]],TbSolver[Metodo],TbSolver[Solver])</f>
        <v>RungeKutta</v>
      </c>
      <c r="C684" s="5" t="str">
        <f>_xlfn.XLOOKUP(Total[[#This Row],[Hebras]],TbTecnologia[Hebras],TbTecnologia[Tecnología])</f>
        <v>CUDA</v>
      </c>
      <c r="D684" s="14" t="str" cm="1">
        <f t="array" ref="D684">_xlfn.XLOOKUP(Total[[#This Row],[Tecnología]]&amp;Total[[#This Row],[Metodo]],TbTipos[Tecnología]&amp;TbTipos[Metodo],TbTipos[Tipo])</f>
        <v>CUDA sin graph</v>
      </c>
      <c r="E684" s="14" t="str" cm="1">
        <f t="array" ref="E684">_xlfn.XLOOKUP(Total[[#This Row],[Tecnología]]&amp;Total[[#This Row],[Problema]],TbNombres[Tecnología]&amp;TbNombres[Problema],TbNombres[Nombre])</f>
        <v>Advdiff1d</v>
      </c>
      <c r="F684" s="8">
        <v>1</v>
      </c>
      <c r="G684" s="8">
        <v>3</v>
      </c>
      <c r="H684" s="8">
        <v>256</v>
      </c>
      <c r="I684" s="8">
        <v>350000</v>
      </c>
      <c r="J684" s="8">
        <v>350000</v>
      </c>
      <c r="K684" s="8">
        <v>484.81400000000002</v>
      </c>
    </row>
    <row r="685" spans="2:11" ht="15" x14ac:dyDescent="0.2">
      <c r="B685" s="5" t="str">
        <f>_xlfn.XLOOKUP(Total[[#This Row],[Metodo]],TbSolver[Metodo],TbSolver[Solver])</f>
        <v>RungeKutta</v>
      </c>
      <c r="C685" s="5" t="str">
        <f>_xlfn.XLOOKUP(Total[[#This Row],[Hebras]],TbTecnologia[Hebras],TbTecnologia[Tecnología])</f>
        <v>CUDA</v>
      </c>
      <c r="D685" s="14" t="str" cm="1">
        <f t="array" ref="D685">_xlfn.XLOOKUP(Total[[#This Row],[Tecnología]]&amp;Total[[#This Row],[Metodo]],TbTipos[Tecnología]&amp;TbTipos[Metodo],TbTipos[Tipo])</f>
        <v>CUDA sin graph</v>
      </c>
      <c r="E685" s="14" t="str" cm="1">
        <f t="array" ref="E685">_xlfn.XLOOKUP(Total[[#This Row],[Tecnología]]&amp;Total[[#This Row],[Problema]],TbNombres[Tecnología]&amp;TbNombres[Problema],TbNombres[Nombre])</f>
        <v>Advdiff1d</v>
      </c>
      <c r="F685" s="8">
        <v>1</v>
      </c>
      <c r="G685" s="8">
        <v>3</v>
      </c>
      <c r="H685" s="8">
        <v>256</v>
      </c>
      <c r="I685" s="8">
        <v>400000</v>
      </c>
      <c r="J685" s="8">
        <v>400000</v>
      </c>
      <c r="K685" s="8">
        <v>542.48699999999997</v>
      </c>
    </row>
    <row r="686" spans="2:11" ht="15" x14ac:dyDescent="0.2">
      <c r="B686" s="5" t="str">
        <f>_xlfn.XLOOKUP(Total[[#This Row],[Metodo]],TbSolver[Metodo],TbSolver[Solver])</f>
        <v>RungeKutta</v>
      </c>
      <c r="C686" s="5" t="str">
        <f>_xlfn.XLOOKUP(Total[[#This Row],[Hebras]],TbTecnologia[Hebras],TbTecnologia[Tecnología])</f>
        <v>CUDA</v>
      </c>
      <c r="D686" s="14" t="str" cm="1">
        <f t="array" ref="D686">_xlfn.XLOOKUP(Total[[#This Row],[Tecnología]]&amp;Total[[#This Row],[Metodo]],TbTipos[Tecnología]&amp;TbTipos[Metodo],TbTipos[Tipo])</f>
        <v>CUDA sin graph</v>
      </c>
      <c r="E686" s="14" t="str" cm="1">
        <f t="array" ref="E686">_xlfn.XLOOKUP(Total[[#This Row],[Tecnología]]&amp;Total[[#This Row],[Problema]],TbNombres[Tecnología]&amp;TbNombres[Problema],TbNombres[Nombre])</f>
        <v>Advdiff1d</v>
      </c>
      <c r="F686" s="8">
        <v>1</v>
      </c>
      <c r="G686" s="8">
        <v>3</v>
      </c>
      <c r="H686" s="8">
        <v>256</v>
      </c>
      <c r="I686" s="8">
        <v>450000</v>
      </c>
      <c r="J686" s="8">
        <v>450000</v>
      </c>
      <c r="K686" s="8">
        <v>615.779</v>
      </c>
    </row>
    <row r="687" spans="2:11" ht="15" x14ac:dyDescent="0.2">
      <c r="B687" s="5" t="str">
        <f>_xlfn.XLOOKUP(Total[[#This Row],[Metodo]],TbSolver[Metodo],TbSolver[Solver])</f>
        <v>RungeKutta</v>
      </c>
      <c r="C687" s="5" t="str">
        <f>_xlfn.XLOOKUP(Total[[#This Row],[Hebras]],TbTecnologia[Hebras],TbTecnologia[Tecnología])</f>
        <v>CUDA</v>
      </c>
      <c r="D687" s="14" t="str" cm="1">
        <f t="array" ref="D687">_xlfn.XLOOKUP(Total[[#This Row],[Tecnología]]&amp;Total[[#This Row],[Metodo]],TbTipos[Tecnología]&amp;TbTipos[Metodo],TbTipos[Tipo])</f>
        <v>CUDA sin graph</v>
      </c>
      <c r="E687" s="14" t="str" cm="1">
        <f t="array" ref="E687">_xlfn.XLOOKUP(Total[[#This Row],[Tecnología]]&amp;Total[[#This Row],[Problema]],TbNombres[Tecnología]&amp;TbNombres[Problema],TbNombres[Nombre])</f>
        <v>Advdiff1d</v>
      </c>
      <c r="F687" s="8">
        <v>1</v>
      </c>
      <c r="G687" s="8">
        <v>3</v>
      </c>
      <c r="H687" s="8">
        <v>256</v>
      </c>
      <c r="I687" s="8">
        <v>500000</v>
      </c>
      <c r="J687" s="8">
        <v>500000</v>
      </c>
      <c r="K687" s="8">
        <v>687.30799999999999</v>
      </c>
    </row>
    <row r="688" spans="2:11" ht="15" x14ac:dyDescent="0.2">
      <c r="B688" s="5" t="str">
        <f>_xlfn.XLOOKUP(Total[[#This Row],[Metodo]],TbSolver[Metodo],TbSolver[Solver])</f>
        <v>RungeKutta</v>
      </c>
      <c r="C688" s="5" t="str">
        <f>_xlfn.XLOOKUP(Total[[#This Row],[Hebras]],TbTecnologia[Hebras],TbTecnologia[Tecnología])</f>
        <v>CUDA</v>
      </c>
      <c r="D688" s="14" t="str" cm="1">
        <f t="array" ref="D688">_xlfn.XLOOKUP(Total[[#This Row],[Tecnología]]&amp;Total[[#This Row],[Metodo]],TbTipos[Tecnología]&amp;TbTipos[Metodo],TbTipos[Tipo])</f>
        <v>CUDA sin graph</v>
      </c>
      <c r="E688" s="14" t="str" cm="1">
        <f t="array" ref="E688">_xlfn.XLOOKUP(Total[[#This Row],[Tecnología]]&amp;Total[[#This Row],[Problema]],TbNombres[Tecnología]&amp;TbNombres[Problema],TbNombres[Nombre])</f>
        <v>Brusselator1d</v>
      </c>
      <c r="F688" s="8">
        <v>1</v>
      </c>
      <c r="G688" s="8">
        <v>5</v>
      </c>
      <c r="H688" s="8">
        <v>256</v>
      </c>
      <c r="I688" s="8">
        <v>75000</v>
      </c>
      <c r="J688" s="8">
        <v>150000</v>
      </c>
      <c r="K688" s="8">
        <v>66.495599999999996</v>
      </c>
    </row>
    <row r="689" spans="2:11" ht="15" x14ac:dyDescent="0.2">
      <c r="B689" s="5" t="str">
        <f>_xlfn.XLOOKUP(Total[[#This Row],[Metodo]],TbSolver[Metodo],TbSolver[Solver])</f>
        <v>RungeKutta</v>
      </c>
      <c r="C689" s="5" t="str">
        <f>_xlfn.XLOOKUP(Total[[#This Row],[Hebras]],TbTecnologia[Hebras],TbTecnologia[Tecnología])</f>
        <v>CUDA</v>
      </c>
      <c r="D689" s="14" t="str" cm="1">
        <f t="array" ref="D689">_xlfn.XLOOKUP(Total[[#This Row],[Tecnología]]&amp;Total[[#This Row],[Metodo]],TbTipos[Tecnología]&amp;TbTipos[Metodo],TbTipos[Tipo])</f>
        <v>CUDA sin graph</v>
      </c>
      <c r="E689" s="14" t="str" cm="1">
        <f t="array" ref="E689">_xlfn.XLOOKUP(Total[[#This Row],[Tecnología]]&amp;Total[[#This Row],[Problema]],TbNombres[Tecnología]&amp;TbNombres[Problema],TbNombres[Nombre])</f>
        <v>Brusselator1d</v>
      </c>
      <c r="F689" s="8">
        <v>1</v>
      </c>
      <c r="G689" s="8">
        <v>5</v>
      </c>
      <c r="H689" s="8">
        <v>256</v>
      </c>
      <c r="I689" s="8">
        <v>150000</v>
      </c>
      <c r="J689" s="8">
        <v>300000</v>
      </c>
      <c r="K689" s="8">
        <v>141.374</v>
      </c>
    </row>
    <row r="690" spans="2:11" ht="15" x14ac:dyDescent="0.2">
      <c r="B690" s="5" t="str">
        <f>_xlfn.XLOOKUP(Total[[#This Row],[Metodo]],TbSolver[Metodo],TbSolver[Solver])</f>
        <v>RungeKutta</v>
      </c>
      <c r="C690" s="5" t="str">
        <f>_xlfn.XLOOKUP(Total[[#This Row],[Hebras]],TbTecnologia[Hebras],TbTecnologia[Tecnología])</f>
        <v>CUDA</v>
      </c>
      <c r="D690" s="14" t="str" cm="1">
        <f t="array" ref="D690">_xlfn.XLOOKUP(Total[[#This Row],[Tecnología]]&amp;Total[[#This Row],[Metodo]],TbTipos[Tecnología]&amp;TbTipos[Metodo],TbTipos[Tipo])</f>
        <v>CUDA sin graph</v>
      </c>
      <c r="E690" s="14" t="str" cm="1">
        <f t="array" ref="E690">_xlfn.XLOOKUP(Total[[#This Row],[Tecnología]]&amp;Total[[#This Row],[Problema]],TbNombres[Tecnología]&amp;TbNombres[Problema],TbNombres[Nombre])</f>
        <v>Brusselator1d</v>
      </c>
      <c r="F690" s="8">
        <v>1</v>
      </c>
      <c r="G690" s="8">
        <v>5</v>
      </c>
      <c r="H690" s="8">
        <v>256</v>
      </c>
      <c r="I690" s="8">
        <v>250000</v>
      </c>
      <c r="J690" s="8">
        <v>500000</v>
      </c>
      <c r="K690" s="8">
        <v>246.38900000000001</v>
      </c>
    </row>
    <row r="691" spans="2:11" ht="15" x14ac:dyDescent="0.2">
      <c r="B691" s="5" t="str">
        <f>_xlfn.XLOOKUP(Total[[#This Row],[Metodo]],TbSolver[Metodo],TbSolver[Solver])</f>
        <v>RungeKutta</v>
      </c>
      <c r="C691" s="5" t="str">
        <f>_xlfn.XLOOKUP(Total[[#This Row],[Hebras]],TbTecnologia[Hebras],TbTecnologia[Tecnología])</f>
        <v>CUDA</v>
      </c>
      <c r="D691" s="14" t="str" cm="1">
        <f t="array" ref="D691">_xlfn.XLOOKUP(Total[[#This Row],[Tecnología]]&amp;Total[[#This Row],[Metodo]],TbTipos[Tecnología]&amp;TbTipos[Metodo],TbTipos[Tipo])</f>
        <v>CUDA sin graph</v>
      </c>
      <c r="E691" s="14" t="str" cm="1">
        <f t="array" ref="E691">_xlfn.XLOOKUP(Total[[#This Row],[Tecnología]]&amp;Total[[#This Row],[Problema]],TbNombres[Tecnología]&amp;TbNombres[Problema],TbNombres[Nombre])</f>
        <v>Brusselator1d</v>
      </c>
      <c r="F691" s="8">
        <v>1</v>
      </c>
      <c r="G691" s="8">
        <v>5</v>
      </c>
      <c r="H691" s="8">
        <v>256</v>
      </c>
      <c r="I691" s="8">
        <v>300000</v>
      </c>
      <c r="J691" s="8">
        <v>600000</v>
      </c>
      <c r="K691" s="8">
        <v>291.95100000000002</v>
      </c>
    </row>
    <row r="692" spans="2:11" ht="15" x14ac:dyDescent="0.2">
      <c r="B692" s="5" t="str">
        <f>_xlfn.XLOOKUP(Total[[#This Row],[Metodo]],TbSolver[Metodo],TbSolver[Solver])</f>
        <v>RungeKutta</v>
      </c>
      <c r="C692" s="5" t="str">
        <f>_xlfn.XLOOKUP(Total[[#This Row],[Hebras]],TbTecnologia[Hebras],TbTecnologia[Tecnología])</f>
        <v>CUDA</v>
      </c>
      <c r="D692" s="14" t="str" cm="1">
        <f t="array" ref="D692">_xlfn.XLOOKUP(Total[[#This Row],[Tecnología]]&amp;Total[[#This Row],[Metodo]],TbTipos[Tecnología]&amp;TbTipos[Metodo],TbTipos[Tipo])</f>
        <v>CUDA sin graph</v>
      </c>
      <c r="E692" s="14" t="str" cm="1">
        <f t="array" ref="E692">_xlfn.XLOOKUP(Total[[#This Row],[Tecnología]]&amp;Total[[#This Row],[Problema]],TbNombres[Tecnología]&amp;TbNombres[Problema],TbNombres[Nombre])</f>
        <v>Brusselator1d</v>
      </c>
      <c r="F692" s="8">
        <v>1</v>
      </c>
      <c r="G692" s="8">
        <v>5</v>
      </c>
      <c r="H692" s="8">
        <v>256</v>
      </c>
      <c r="I692" s="8">
        <v>350000</v>
      </c>
      <c r="J692" s="8">
        <v>700000</v>
      </c>
      <c r="K692" s="8">
        <v>335.23500000000001</v>
      </c>
    </row>
    <row r="693" spans="2:11" ht="15" x14ac:dyDescent="0.2">
      <c r="B693" s="5" t="str">
        <f>_xlfn.XLOOKUP(Total[[#This Row],[Metodo]],TbSolver[Metodo],TbSolver[Solver])</f>
        <v>RungeKutta</v>
      </c>
      <c r="C693" s="5" t="str">
        <f>_xlfn.XLOOKUP(Total[[#This Row],[Hebras]],TbTecnologia[Hebras],TbTecnologia[Tecnología])</f>
        <v>CUDA</v>
      </c>
      <c r="D693" s="14" t="str" cm="1">
        <f t="array" ref="D693">_xlfn.XLOOKUP(Total[[#This Row],[Tecnología]]&amp;Total[[#This Row],[Metodo]],TbTipos[Tecnología]&amp;TbTipos[Metodo],TbTipos[Tipo])</f>
        <v>CUDA sin graph</v>
      </c>
      <c r="E693" s="14" t="str" cm="1">
        <f t="array" ref="E693">_xlfn.XLOOKUP(Total[[#This Row],[Tecnología]]&amp;Total[[#This Row],[Problema]],TbNombres[Tecnología]&amp;TbNombres[Problema],TbNombres[Nombre])</f>
        <v>Brusselator1d</v>
      </c>
      <c r="F693" s="8">
        <v>1</v>
      </c>
      <c r="G693" s="8">
        <v>5</v>
      </c>
      <c r="H693" s="8">
        <v>256</v>
      </c>
      <c r="I693" s="8">
        <v>400000</v>
      </c>
      <c r="J693" s="8">
        <v>800000</v>
      </c>
      <c r="K693" s="8">
        <v>379.27300000000002</v>
      </c>
    </row>
    <row r="694" spans="2:11" ht="15" x14ac:dyDescent="0.2">
      <c r="B694" s="5" t="str">
        <f>_xlfn.XLOOKUP(Total[[#This Row],[Metodo]],TbSolver[Metodo],TbSolver[Solver])</f>
        <v>RungeKutta</v>
      </c>
      <c r="C694" s="5" t="str">
        <f>_xlfn.XLOOKUP(Total[[#This Row],[Hebras]],TbTecnologia[Hebras],TbTecnologia[Tecnología])</f>
        <v>CUDA</v>
      </c>
      <c r="D694" s="14" t="str" cm="1">
        <f t="array" ref="D694">_xlfn.XLOOKUP(Total[[#This Row],[Tecnología]]&amp;Total[[#This Row],[Metodo]],TbTipos[Tecnología]&amp;TbTipos[Metodo],TbTipos[Tipo])</f>
        <v>CUDA sin graph</v>
      </c>
      <c r="E694" s="14" t="str" cm="1">
        <f t="array" ref="E694">_xlfn.XLOOKUP(Total[[#This Row],[Tecnología]]&amp;Total[[#This Row],[Problema]],TbNombres[Tecnología]&amp;TbNombres[Problema],TbNombres[Nombre])</f>
        <v>Brusselator1d</v>
      </c>
      <c r="F694" s="8">
        <v>1</v>
      </c>
      <c r="G694" s="8">
        <v>5</v>
      </c>
      <c r="H694" s="8">
        <v>256</v>
      </c>
      <c r="I694" s="8">
        <v>450000</v>
      </c>
      <c r="J694" s="8">
        <v>900000</v>
      </c>
      <c r="K694" s="8">
        <v>423.52100000000002</v>
      </c>
    </row>
    <row r="695" spans="2:11" ht="15" x14ac:dyDescent="0.2">
      <c r="B695" s="5" t="str">
        <f>_xlfn.XLOOKUP(Total[[#This Row],[Metodo]],TbSolver[Metodo],TbSolver[Solver])</f>
        <v>RungeKutta</v>
      </c>
      <c r="C695" s="5" t="str">
        <f>_xlfn.XLOOKUP(Total[[#This Row],[Hebras]],TbTecnologia[Hebras],TbTecnologia[Tecnología])</f>
        <v>CUDA</v>
      </c>
      <c r="D695" s="14" t="str" cm="1">
        <f t="array" ref="D695">_xlfn.XLOOKUP(Total[[#This Row],[Tecnología]]&amp;Total[[#This Row],[Metodo]],TbTipos[Tecnología]&amp;TbTipos[Metodo],TbTipos[Tipo])</f>
        <v>CUDA sin graph</v>
      </c>
      <c r="E695" s="14" t="str" cm="1">
        <f t="array" ref="E695">_xlfn.XLOOKUP(Total[[#This Row],[Tecnología]]&amp;Total[[#This Row],[Problema]],TbNombres[Tecnología]&amp;TbNombres[Problema],TbNombres[Nombre])</f>
        <v>Brusselator1d</v>
      </c>
      <c r="F695" s="8">
        <v>1</v>
      </c>
      <c r="G695" s="8">
        <v>5</v>
      </c>
      <c r="H695" s="8">
        <v>256</v>
      </c>
      <c r="I695" s="8">
        <v>500000</v>
      </c>
      <c r="J695" s="8">
        <v>1000000</v>
      </c>
      <c r="K695" s="8">
        <v>469.07100000000003</v>
      </c>
    </row>
    <row r="696" spans="2:11" ht="15" x14ac:dyDescent="0.2">
      <c r="B696" s="5" t="str">
        <f>_xlfn.XLOOKUP(Total[[#This Row],[Metodo]],TbSolver[Metodo],TbSolver[Solver])</f>
        <v>RungeKutta</v>
      </c>
      <c r="C696" s="5" t="str">
        <f>_xlfn.XLOOKUP(Total[[#This Row],[Hebras]],TbTecnologia[Hebras],TbTecnologia[Tecnología])</f>
        <v>CUDA</v>
      </c>
      <c r="D696" s="14" t="str" cm="1">
        <f t="array" ref="D696">_xlfn.XLOOKUP(Total[[#This Row],[Tecnología]]&amp;Total[[#This Row],[Metodo]],TbTipos[Tecnología]&amp;TbTipos[Metodo],TbTipos[Tipo])</f>
        <v>CUDA sin graph</v>
      </c>
      <c r="E696" s="14" t="str" cm="1">
        <f t="array" ref="E696">_xlfn.XLOOKUP(Total[[#This Row],[Tecnología]]&amp;Total[[#This Row],[Problema]],TbNombres[Tecnología]&amp;TbNombres[Problema],TbNombres[Nombre])</f>
        <v>Brusselator1d</v>
      </c>
      <c r="F696" s="8">
        <v>1</v>
      </c>
      <c r="G696" s="8">
        <v>7</v>
      </c>
      <c r="H696" s="8">
        <v>256</v>
      </c>
      <c r="I696" s="8">
        <v>300</v>
      </c>
      <c r="J696" s="8">
        <v>600</v>
      </c>
      <c r="K696" s="8">
        <v>17.123699999999999</v>
      </c>
    </row>
    <row r="697" spans="2:11" ht="15" x14ac:dyDescent="0.2">
      <c r="B697" s="5" t="str">
        <f>_xlfn.XLOOKUP(Total[[#This Row],[Metodo]],TbSolver[Metodo],TbSolver[Solver])</f>
        <v>RungeKutta</v>
      </c>
      <c r="C697" s="5" t="str">
        <f>_xlfn.XLOOKUP(Total[[#This Row],[Hebras]],TbTecnologia[Hebras],TbTecnologia[Tecnología])</f>
        <v>CUDA</v>
      </c>
      <c r="D697" s="14" t="str" cm="1">
        <f t="array" ref="D697">_xlfn.XLOOKUP(Total[[#This Row],[Tecnología]]&amp;Total[[#This Row],[Metodo]],TbTipos[Tecnología]&amp;TbTipos[Metodo],TbTipos[Tipo])</f>
        <v>CUDA sin graph</v>
      </c>
      <c r="E697" s="14" t="str" cm="1">
        <f t="array" ref="E697">_xlfn.XLOOKUP(Total[[#This Row],[Tecnología]]&amp;Total[[#This Row],[Problema]],TbNombres[Tecnología]&amp;TbNombres[Problema],TbNombres[Nombre])</f>
        <v>Brusselator1d</v>
      </c>
      <c r="F697" s="8">
        <v>1</v>
      </c>
      <c r="G697" s="8">
        <v>7</v>
      </c>
      <c r="H697" s="8">
        <v>256</v>
      </c>
      <c r="I697" s="8">
        <v>350</v>
      </c>
      <c r="J697" s="8">
        <v>700</v>
      </c>
      <c r="K697" s="8">
        <v>17.1724</v>
      </c>
    </row>
    <row r="698" spans="2:11" ht="15" x14ac:dyDescent="0.2">
      <c r="B698" s="5" t="str">
        <f>_xlfn.XLOOKUP(Total[[#This Row],[Metodo]],TbSolver[Metodo],TbSolver[Solver])</f>
        <v>RungeKutta</v>
      </c>
      <c r="C698" s="5" t="str">
        <f>_xlfn.XLOOKUP(Total[[#This Row],[Hebras]],TbTecnologia[Hebras],TbTecnologia[Tecnología])</f>
        <v>CUDA</v>
      </c>
      <c r="D698" s="14" t="str" cm="1">
        <f t="array" ref="D698">_xlfn.XLOOKUP(Total[[#This Row],[Tecnología]]&amp;Total[[#This Row],[Metodo]],TbTipos[Tecnología]&amp;TbTipos[Metodo],TbTipos[Tipo])</f>
        <v>CUDA sin graph</v>
      </c>
      <c r="E698" s="14" t="str" cm="1">
        <f t="array" ref="E698">_xlfn.XLOOKUP(Total[[#This Row],[Tecnología]]&amp;Total[[#This Row],[Problema]],TbNombres[Tecnología]&amp;TbNombres[Problema],TbNombres[Nombre])</f>
        <v>Brusselator1d</v>
      </c>
      <c r="F698" s="8">
        <v>1</v>
      </c>
      <c r="G698" s="8">
        <v>7</v>
      </c>
      <c r="H698" s="8">
        <v>256</v>
      </c>
      <c r="I698" s="8">
        <v>400</v>
      </c>
      <c r="J698" s="8">
        <v>800</v>
      </c>
      <c r="K698" s="8">
        <v>17.241</v>
      </c>
    </row>
    <row r="699" spans="2:11" ht="15" x14ac:dyDescent="0.2">
      <c r="B699" s="5" t="str">
        <f>_xlfn.XLOOKUP(Total[[#This Row],[Metodo]],TbSolver[Metodo],TbSolver[Solver])</f>
        <v>RungeKutta</v>
      </c>
      <c r="C699" s="5" t="str">
        <f>_xlfn.XLOOKUP(Total[[#This Row],[Hebras]],TbTecnologia[Hebras],TbTecnologia[Tecnología])</f>
        <v>CUDA</v>
      </c>
      <c r="D699" s="14" t="str" cm="1">
        <f t="array" ref="D699">_xlfn.XLOOKUP(Total[[#This Row],[Tecnología]]&amp;Total[[#This Row],[Metodo]],TbTipos[Tecnología]&amp;TbTipos[Metodo],TbTipos[Tipo])</f>
        <v>CUDA sin graph</v>
      </c>
      <c r="E699" s="14" t="str" cm="1">
        <f t="array" ref="E699">_xlfn.XLOOKUP(Total[[#This Row],[Tecnología]]&amp;Total[[#This Row],[Problema]],TbNombres[Tecnología]&amp;TbNombres[Problema],TbNombres[Nombre])</f>
        <v>Brusselator1d</v>
      </c>
      <c r="F699" s="8">
        <v>1</v>
      </c>
      <c r="G699" s="8">
        <v>7</v>
      </c>
      <c r="H699" s="8">
        <v>256</v>
      </c>
      <c r="I699" s="8">
        <v>450</v>
      </c>
      <c r="J699" s="8">
        <v>900</v>
      </c>
      <c r="K699" s="8">
        <v>17.2881</v>
      </c>
    </row>
    <row r="700" spans="2:11" ht="15" x14ac:dyDescent="0.2">
      <c r="B700" s="5" t="str">
        <f>_xlfn.XLOOKUP(Total[[#This Row],[Metodo]],TbSolver[Metodo],TbSolver[Solver])</f>
        <v>RungeKutta</v>
      </c>
      <c r="C700" s="5" t="str">
        <f>_xlfn.XLOOKUP(Total[[#This Row],[Hebras]],TbTecnologia[Hebras],TbTecnologia[Tecnología])</f>
        <v>CUDA</v>
      </c>
      <c r="D700" s="14" t="str" cm="1">
        <f t="array" ref="D700">_xlfn.XLOOKUP(Total[[#This Row],[Tecnología]]&amp;Total[[#This Row],[Metodo]],TbTipos[Tecnología]&amp;TbTipos[Metodo],TbTipos[Tipo])</f>
        <v>CUDA sin graph</v>
      </c>
      <c r="E700" s="14" t="str" cm="1">
        <f t="array" ref="E700">_xlfn.XLOOKUP(Total[[#This Row],[Tecnología]]&amp;Total[[#This Row],[Problema]],TbNombres[Tecnología]&amp;TbNombres[Problema],TbNombres[Nombre])</f>
        <v>Brusselator1d</v>
      </c>
      <c r="F700" s="8">
        <v>1</v>
      </c>
      <c r="G700" s="8">
        <v>7</v>
      </c>
      <c r="H700" s="8">
        <v>256</v>
      </c>
      <c r="I700" s="8">
        <v>150</v>
      </c>
      <c r="J700" s="8">
        <v>300</v>
      </c>
      <c r="K700" s="8">
        <v>17.3857</v>
      </c>
    </row>
    <row r="701" spans="2:11" ht="15" x14ac:dyDescent="0.2">
      <c r="B701" s="5" t="str">
        <f>_xlfn.XLOOKUP(Total[[#This Row],[Metodo]],TbSolver[Metodo],TbSolver[Solver])</f>
        <v>RungeKutta</v>
      </c>
      <c r="C701" s="5" t="str">
        <f>_xlfn.XLOOKUP(Total[[#This Row],[Hebras]],TbTecnologia[Hebras],TbTecnologia[Tecnología])</f>
        <v>CUDA</v>
      </c>
      <c r="D701" s="14" t="str" cm="1">
        <f t="array" ref="D701">_xlfn.XLOOKUP(Total[[#This Row],[Tecnología]]&amp;Total[[#This Row],[Metodo]],TbTipos[Tecnología]&amp;TbTipos[Metodo],TbTipos[Tipo])</f>
        <v>CUDA sin graph</v>
      </c>
      <c r="E701" s="14" t="str" cm="1">
        <f t="array" ref="E701">_xlfn.XLOOKUP(Total[[#This Row],[Tecnología]]&amp;Total[[#This Row],[Problema]],TbNombres[Tecnología]&amp;TbNombres[Problema],TbNombres[Nombre])</f>
        <v>Brusselator1d</v>
      </c>
      <c r="F701" s="8">
        <v>1</v>
      </c>
      <c r="G701" s="8">
        <v>7</v>
      </c>
      <c r="H701" s="8">
        <v>256</v>
      </c>
      <c r="I701" s="8">
        <v>250</v>
      </c>
      <c r="J701" s="8">
        <v>500</v>
      </c>
      <c r="K701" s="8">
        <v>17.446200000000001</v>
      </c>
    </row>
    <row r="702" spans="2:11" ht="15" x14ac:dyDescent="0.2">
      <c r="B702" s="5" t="str">
        <f>_xlfn.XLOOKUP(Total[[#This Row],[Metodo]],TbSolver[Metodo],TbSolver[Solver])</f>
        <v>RungeKutta</v>
      </c>
      <c r="C702" s="5" t="str">
        <f>_xlfn.XLOOKUP(Total[[#This Row],[Hebras]],TbTecnologia[Hebras],TbTecnologia[Tecnología])</f>
        <v>CUDA</v>
      </c>
      <c r="D702" s="14" t="str" cm="1">
        <f t="array" ref="D702">_xlfn.XLOOKUP(Total[[#This Row],[Tecnología]]&amp;Total[[#This Row],[Metodo]],TbTipos[Tecnología]&amp;TbTipos[Metodo],TbTipos[Tipo])</f>
        <v>CUDA con graph</v>
      </c>
      <c r="E702" s="14" t="str" cm="1">
        <f t="array" ref="E702">_xlfn.XLOOKUP(Total[[#This Row],[Tecnología]]&amp;Total[[#This Row],[Problema]],TbNombres[Tecnología]&amp;TbNombres[Problema],TbNombres[Nombre])</f>
        <v>Simple Advdiff</v>
      </c>
      <c r="F702" s="8">
        <v>2</v>
      </c>
      <c r="G702" s="8">
        <v>1</v>
      </c>
      <c r="H702" s="8">
        <v>256</v>
      </c>
      <c r="I702" s="8">
        <v>10000</v>
      </c>
      <c r="J702" s="8">
        <v>10000</v>
      </c>
      <c r="K702" s="8">
        <v>12.9445</v>
      </c>
    </row>
    <row r="703" spans="2:11" ht="15" x14ac:dyDescent="0.2">
      <c r="B703" s="5" t="str">
        <f>_xlfn.XLOOKUP(Total[[#This Row],[Metodo]],TbSolver[Metodo],TbSolver[Solver])</f>
        <v>RungeKutta</v>
      </c>
      <c r="C703" s="5" t="str">
        <f>_xlfn.XLOOKUP(Total[[#This Row],[Hebras]],TbTecnologia[Hebras],TbTecnologia[Tecnología])</f>
        <v>CUDA</v>
      </c>
      <c r="D703" s="14" t="str" cm="1">
        <f t="array" ref="D703">_xlfn.XLOOKUP(Total[[#This Row],[Tecnología]]&amp;Total[[#This Row],[Metodo]],TbTipos[Tecnología]&amp;TbTipos[Metodo],TbTipos[Tipo])</f>
        <v>CUDA con graph</v>
      </c>
      <c r="E703" s="14" t="str" cm="1">
        <f t="array" ref="E703">_xlfn.XLOOKUP(Total[[#This Row],[Tecnología]]&amp;Total[[#This Row],[Problema]],TbNombres[Tecnología]&amp;TbNombres[Problema],TbNombres[Nombre])</f>
        <v>Simple Advdiff</v>
      </c>
      <c r="F703" s="8">
        <v>2</v>
      </c>
      <c r="G703" s="8">
        <v>1</v>
      </c>
      <c r="H703" s="8">
        <v>256</v>
      </c>
      <c r="I703" s="8">
        <v>20000</v>
      </c>
      <c r="J703" s="8">
        <v>20000</v>
      </c>
      <c r="K703" s="8">
        <v>16.968599999999999</v>
      </c>
    </row>
    <row r="704" spans="2:11" ht="15" x14ac:dyDescent="0.2">
      <c r="B704" s="5" t="str">
        <f>_xlfn.XLOOKUP(Total[[#This Row],[Metodo]],TbSolver[Metodo],TbSolver[Solver])</f>
        <v>RungeKutta</v>
      </c>
      <c r="C704" s="5" t="str">
        <f>_xlfn.XLOOKUP(Total[[#This Row],[Hebras]],TbTecnologia[Hebras],TbTecnologia[Tecnología])</f>
        <v>CUDA</v>
      </c>
      <c r="D704" s="14" t="str" cm="1">
        <f t="array" ref="D704">_xlfn.XLOOKUP(Total[[#This Row],[Tecnología]]&amp;Total[[#This Row],[Metodo]],TbTipos[Tecnología]&amp;TbTipos[Metodo],TbTipos[Tipo])</f>
        <v>CUDA con graph</v>
      </c>
      <c r="E704" s="14" t="str" cm="1">
        <f t="array" ref="E704">_xlfn.XLOOKUP(Total[[#This Row],[Tecnología]]&amp;Total[[#This Row],[Problema]],TbNombres[Tecnología]&amp;TbNombres[Problema],TbNombres[Nombre])</f>
        <v>Simple Advdiff</v>
      </c>
      <c r="F704" s="8">
        <v>2</v>
      </c>
      <c r="G704" s="8">
        <v>1</v>
      </c>
      <c r="H704" s="8">
        <v>256</v>
      </c>
      <c r="I704" s="8">
        <v>50000</v>
      </c>
      <c r="J704" s="8">
        <v>50000</v>
      </c>
      <c r="K704" s="8">
        <v>21.761800000000001</v>
      </c>
    </row>
    <row r="705" spans="2:11" ht="15" x14ac:dyDescent="0.2">
      <c r="B705" s="5" t="str">
        <f>_xlfn.XLOOKUP(Total[[#This Row],[Metodo]],TbSolver[Metodo],TbSolver[Solver])</f>
        <v>RungeKutta</v>
      </c>
      <c r="C705" s="5" t="str">
        <f>_xlfn.XLOOKUP(Total[[#This Row],[Hebras]],TbTecnologia[Hebras],TbTecnologia[Tecnología])</f>
        <v>CUDA</v>
      </c>
      <c r="D705" s="14" t="str" cm="1">
        <f t="array" ref="D705">_xlfn.XLOOKUP(Total[[#This Row],[Tecnología]]&amp;Total[[#This Row],[Metodo]],TbTipos[Tecnología]&amp;TbTipos[Metodo],TbTipos[Tipo])</f>
        <v>CUDA con graph</v>
      </c>
      <c r="E705" s="14" t="str" cm="1">
        <f t="array" ref="E705">_xlfn.XLOOKUP(Total[[#This Row],[Tecnología]]&amp;Total[[#This Row],[Problema]],TbNombres[Tecnología]&amp;TbNombres[Problema],TbNombres[Nombre])</f>
        <v>Simple Advdiff</v>
      </c>
      <c r="F705" s="8">
        <v>2</v>
      </c>
      <c r="G705" s="8">
        <v>1</v>
      </c>
      <c r="H705" s="8">
        <v>256</v>
      </c>
      <c r="I705" s="8">
        <v>75000</v>
      </c>
      <c r="J705" s="8">
        <v>75000</v>
      </c>
      <c r="K705" s="8">
        <v>28.4298</v>
      </c>
    </row>
    <row r="706" spans="2:11" ht="15" x14ac:dyDescent="0.2">
      <c r="B706" s="5" t="str">
        <f>_xlfn.XLOOKUP(Total[[#This Row],[Metodo]],TbSolver[Metodo],TbSolver[Solver])</f>
        <v>RungeKutta</v>
      </c>
      <c r="C706" s="5" t="str">
        <f>_xlfn.XLOOKUP(Total[[#This Row],[Hebras]],TbTecnologia[Hebras],TbTecnologia[Tecnología])</f>
        <v>CUDA</v>
      </c>
      <c r="D706" s="14" t="str" cm="1">
        <f t="array" ref="D706">_xlfn.XLOOKUP(Total[[#This Row],[Tecnología]]&amp;Total[[#This Row],[Metodo]],TbTipos[Tecnología]&amp;TbTipos[Metodo],TbTipos[Tipo])</f>
        <v>CUDA con graph</v>
      </c>
      <c r="E706" s="14" t="str" cm="1">
        <f t="array" ref="E706">_xlfn.XLOOKUP(Total[[#This Row],[Tecnología]]&amp;Total[[#This Row],[Problema]],TbNombres[Tecnología]&amp;TbNombres[Problema],TbNombres[Nombre])</f>
        <v>Simple Advdiff</v>
      </c>
      <c r="F706" s="8">
        <v>2</v>
      </c>
      <c r="G706" s="8">
        <v>1</v>
      </c>
      <c r="H706" s="8">
        <v>256</v>
      </c>
      <c r="I706" s="8">
        <v>100000</v>
      </c>
      <c r="J706" s="8">
        <v>100000</v>
      </c>
      <c r="K706" s="8">
        <v>32.409700000000001</v>
      </c>
    </row>
    <row r="707" spans="2:11" ht="15" x14ac:dyDescent="0.2">
      <c r="B707" s="5" t="str">
        <f>_xlfn.XLOOKUP(Total[[#This Row],[Metodo]],TbSolver[Metodo],TbSolver[Solver])</f>
        <v>RungeKutta</v>
      </c>
      <c r="C707" s="5" t="str">
        <f>_xlfn.XLOOKUP(Total[[#This Row],[Hebras]],TbTecnologia[Hebras],TbTecnologia[Tecnología])</f>
        <v>CUDA</v>
      </c>
      <c r="D707" s="14" t="str" cm="1">
        <f t="array" ref="D707">_xlfn.XLOOKUP(Total[[#This Row],[Tecnología]]&amp;Total[[#This Row],[Metodo]],TbTipos[Tecnología]&amp;TbTipos[Metodo],TbTipos[Tipo])</f>
        <v>CUDA con graph</v>
      </c>
      <c r="E707" s="14" t="str" cm="1">
        <f t="array" ref="E707">_xlfn.XLOOKUP(Total[[#This Row],[Tecnología]]&amp;Total[[#This Row],[Problema]],TbNombres[Tecnología]&amp;TbNombres[Problema],TbNombres[Nombre])</f>
        <v>Simple Advdiff</v>
      </c>
      <c r="F707" s="8">
        <v>2</v>
      </c>
      <c r="G707" s="8">
        <v>1</v>
      </c>
      <c r="H707" s="8">
        <v>256</v>
      </c>
      <c r="I707" s="8">
        <v>150000</v>
      </c>
      <c r="J707" s="8">
        <v>150000</v>
      </c>
      <c r="K707" s="8">
        <v>50.311100000000003</v>
      </c>
    </row>
    <row r="708" spans="2:11" ht="15" x14ac:dyDescent="0.2">
      <c r="B708" s="5" t="str">
        <f>_xlfn.XLOOKUP(Total[[#This Row],[Metodo]],TbSolver[Metodo],TbSolver[Solver])</f>
        <v>RungeKutta</v>
      </c>
      <c r="C708" s="5" t="str">
        <f>_xlfn.XLOOKUP(Total[[#This Row],[Hebras]],TbTecnologia[Hebras],TbTecnologia[Tecnología])</f>
        <v>CUDA</v>
      </c>
      <c r="D708" s="14" t="str" cm="1">
        <f t="array" ref="D708">_xlfn.XLOOKUP(Total[[#This Row],[Tecnología]]&amp;Total[[#This Row],[Metodo]],TbTipos[Tecnología]&amp;TbTipos[Metodo],TbTipos[Tipo])</f>
        <v>CUDA con graph</v>
      </c>
      <c r="E708" s="14" t="str" cm="1">
        <f t="array" ref="E708">_xlfn.XLOOKUP(Total[[#This Row],[Tecnología]]&amp;Total[[#This Row],[Problema]],TbNombres[Tecnología]&amp;TbNombres[Problema],TbNombres[Nombre])</f>
        <v>Simple Advdiff</v>
      </c>
      <c r="F708" s="8">
        <v>2</v>
      </c>
      <c r="G708" s="8">
        <v>1</v>
      </c>
      <c r="H708" s="8">
        <v>256</v>
      </c>
      <c r="I708" s="8">
        <v>200000</v>
      </c>
      <c r="J708" s="8">
        <v>200000</v>
      </c>
      <c r="K708" s="8">
        <v>68.772999999999996</v>
      </c>
    </row>
    <row r="709" spans="2:11" ht="15" x14ac:dyDescent="0.2">
      <c r="B709" s="5" t="str">
        <f>_xlfn.XLOOKUP(Total[[#This Row],[Metodo]],TbSolver[Metodo],TbSolver[Solver])</f>
        <v>RungeKutta</v>
      </c>
      <c r="C709" s="5" t="str">
        <f>_xlfn.XLOOKUP(Total[[#This Row],[Hebras]],TbTecnologia[Hebras],TbTecnologia[Tecnología])</f>
        <v>CUDA</v>
      </c>
      <c r="D709" s="14" t="str" cm="1">
        <f t="array" ref="D709">_xlfn.XLOOKUP(Total[[#This Row],[Tecnología]]&amp;Total[[#This Row],[Metodo]],TbTipos[Tecnología]&amp;TbTipos[Metodo],TbTipos[Tipo])</f>
        <v>CUDA con graph</v>
      </c>
      <c r="E709" s="14" t="str" cm="1">
        <f t="array" ref="E709">_xlfn.XLOOKUP(Total[[#This Row],[Tecnología]]&amp;Total[[#This Row],[Problema]],TbNombres[Tecnología]&amp;TbNombres[Problema],TbNombres[Nombre])</f>
        <v>Simple Advdiff</v>
      </c>
      <c r="F709" s="8">
        <v>2</v>
      </c>
      <c r="G709" s="8">
        <v>1</v>
      </c>
      <c r="H709" s="8">
        <v>256</v>
      </c>
      <c r="I709" s="8">
        <v>250000</v>
      </c>
      <c r="J709" s="8">
        <v>250000</v>
      </c>
      <c r="K709" s="8">
        <v>90.616900000000001</v>
      </c>
    </row>
    <row r="710" spans="2:11" ht="15" x14ac:dyDescent="0.2">
      <c r="B710" s="5" t="str">
        <f>_xlfn.XLOOKUP(Total[[#This Row],[Metodo]],TbSolver[Metodo],TbSolver[Solver])</f>
        <v>RungeKutta</v>
      </c>
      <c r="C710" s="5" t="str">
        <f>_xlfn.XLOOKUP(Total[[#This Row],[Hebras]],TbTecnologia[Hebras],TbTecnologia[Tecnología])</f>
        <v>CUDA</v>
      </c>
      <c r="D710" s="14" t="str" cm="1">
        <f t="array" ref="D710">_xlfn.XLOOKUP(Total[[#This Row],[Tecnología]]&amp;Total[[#This Row],[Metodo]],TbTipos[Tecnología]&amp;TbTipos[Metodo],TbTipos[Tipo])</f>
        <v>CUDA con graph</v>
      </c>
      <c r="E710" s="14" t="str" cm="1">
        <f t="array" ref="E710">_xlfn.XLOOKUP(Total[[#This Row],[Tecnología]]&amp;Total[[#This Row],[Problema]],TbNombres[Tecnología]&amp;TbNombres[Problema],TbNombres[Nombre])</f>
        <v>Simple Advdiff</v>
      </c>
      <c r="F710" s="8">
        <v>2</v>
      </c>
      <c r="G710" s="8">
        <v>1</v>
      </c>
      <c r="H710" s="8">
        <v>256</v>
      </c>
      <c r="I710" s="8">
        <v>300000</v>
      </c>
      <c r="J710" s="8">
        <v>300000</v>
      </c>
      <c r="K710" s="8">
        <v>109.379</v>
      </c>
    </row>
    <row r="711" spans="2:11" ht="15" x14ac:dyDescent="0.2">
      <c r="B711" s="5" t="str">
        <f>_xlfn.XLOOKUP(Total[[#This Row],[Metodo]],TbSolver[Metodo],TbSolver[Solver])</f>
        <v>RungeKutta</v>
      </c>
      <c r="C711" s="5" t="str">
        <f>_xlfn.XLOOKUP(Total[[#This Row],[Hebras]],TbTecnologia[Hebras],TbTecnologia[Tecnología])</f>
        <v>CUDA</v>
      </c>
      <c r="D711" s="14" t="str" cm="1">
        <f t="array" ref="D711">_xlfn.XLOOKUP(Total[[#This Row],[Tecnología]]&amp;Total[[#This Row],[Metodo]],TbTipos[Tecnología]&amp;TbTipos[Metodo],TbTipos[Tipo])</f>
        <v>CUDA con graph</v>
      </c>
      <c r="E711" s="14" t="str" cm="1">
        <f t="array" ref="E711">_xlfn.XLOOKUP(Total[[#This Row],[Tecnología]]&amp;Total[[#This Row],[Problema]],TbNombres[Tecnología]&amp;TbNombres[Problema],TbNombres[Nombre])</f>
        <v>Simple Advdiff</v>
      </c>
      <c r="F711" s="8">
        <v>2</v>
      </c>
      <c r="G711" s="8">
        <v>1</v>
      </c>
      <c r="H711" s="8">
        <v>256</v>
      </c>
      <c r="I711" s="8">
        <v>350000</v>
      </c>
      <c r="J711" s="8">
        <v>350000</v>
      </c>
      <c r="K711" s="8">
        <v>132.48500000000001</v>
      </c>
    </row>
    <row r="712" spans="2:11" ht="15" x14ac:dyDescent="0.2">
      <c r="B712" s="5" t="str">
        <f>_xlfn.XLOOKUP(Total[[#This Row],[Metodo]],TbSolver[Metodo],TbSolver[Solver])</f>
        <v>RungeKutta</v>
      </c>
      <c r="C712" s="5" t="str">
        <f>_xlfn.XLOOKUP(Total[[#This Row],[Hebras]],TbTecnologia[Hebras],TbTecnologia[Tecnología])</f>
        <v>CUDA</v>
      </c>
      <c r="D712" s="14" t="str" cm="1">
        <f t="array" ref="D712">_xlfn.XLOOKUP(Total[[#This Row],[Tecnología]]&amp;Total[[#This Row],[Metodo]],TbTipos[Tecnología]&amp;TbTipos[Metodo],TbTipos[Tipo])</f>
        <v>CUDA con graph</v>
      </c>
      <c r="E712" s="14" t="str" cm="1">
        <f t="array" ref="E712">_xlfn.XLOOKUP(Total[[#This Row],[Tecnología]]&amp;Total[[#This Row],[Problema]],TbNombres[Tecnología]&amp;TbNombres[Problema],TbNombres[Nombre])</f>
        <v>Simple Advdiff</v>
      </c>
      <c r="F712" s="8">
        <v>2</v>
      </c>
      <c r="G712" s="8">
        <v>1</v>
      </c>
      <c r="H712" s="8">
        <v>256</v>
      </c>
      <c r="I712" s="8">
        <v>400000</v>
      </c>
      <c r="J712" s="8">
        <v>400000</v>
      </c>
      <c r="K712" s="8">
        <v>154.892</v>
      </c>
    </row>
    <row r="713" spans="2:11" ht="15" x14ac:dyDescent="0.2">
      <c r="B713" s="5" t="str">
        <f>_xlfn.XLOOKUP(Total[[#This Row],[Metodo]],TbSolver[Metodo],TbSolver[Solver])</f>
        <v>RungeKutta</v>
      </c>
      <c r="C713" s="5" t="str">
        <f>_xlfn.XLOOKUP(Total[[#This Row],[Hebras]],TbTecnologia[Hebras],TbTecnologia[Tecnología])</f>
        <v>CUDA</v>
      </c>
      <c r="D713" s="14" t="str" cm="1">
        <f t="array" ref="D713">_xlfn.XLOOKUP(Total[[#This Row],[Tecnología]]&amp;Total[[#This Row],[Metodo]],TbTipos[Tecnología]&amp;TbTipos[Metodo],TbTipos[Tipo])</f>
        <v>CUDA con graph</v>
      </c>
      <c r="E713" s="14" t="str" cm="1">
        <f t="array" ref="E713">_xlfn.XLOOKUP(Total[[#This Row],[Tecnología]]&amp;Total[[#This Row],[Problema]],TbNombres[Tecnología]&amp;TbNombres[Problema],TbNombres[Nombre])</f>
        <v>Simple Advdiff</v>
      </c>
      <c r="F713" s="8">
        <v>2</v>
      </c>
      <c r="G713" s="8">
        <v>1</v>
      </c>
      <c r="H713" s="8">
        <v>256</v>
      </c>
      <c r="I713" s="8">
        <v>450000</v>
      </c>
      <c r="J713" s="8">
        <v>450000</v>
      </c>
      <c r="K713" s="8">
        <v>180.83099999999999</v>
      </c>
    </row>
    <row r="714" spans="2:11" ht="15" x14ac:dyDescent="0.2">
      <c r="B714" s="5" t="str">
        <f>_xlfn.XLOOKUP(Total[[#This Row],[Metodo]],TbSolver[Metodo],TbSolver[Solver])</f>
        <v>RungeKutta</v>
      </c>
      <c r="C714" s="5" t="str">
        <f>_xlfn.XLOOKUP(Total[[#This Row],[Hebras]],TbTecnologia[Hebras],TbTecnologia[Tecnología])</f>
        <v>CUDA</v>
      </c>
      <c r="D714" s="14" t="str" cm="1">
        <f t="array" ref="D714">_xlfn.XLOOKUP(Total[[#This Row],[Tecnología]]&amp;Total[[#This Row],[Metodo]],TbTipos[Tecnología]&amp;TbTipos[Metodo],TbTipos[Tipo])</f>
        <v>CUDA con graph</v>
      </c>
      <c r="E714" s="14" t="str" cm="1">
        <f t="array" ref="E714">_xlfn.XLOOKUP(Total[[#This Row],[Tecnología]]&amp;Total[[#This Row],[Problema]],TbNombres[Tecnología]&amp;TbNombres[Problema],TbNombres[Nombre])</f>
        <v>Simple Advdiff</v>
      </c>
      <c r="F714" s="8">
        <v>2</v>
      </c>
      <c r="G714" s="8">
        <v>1</v>
      </c>
      <c r="H714" s="8">
        <v>256</v>
      </c>
      <c r="I714" s="8">
        <v>500000</v>
      </c>
      <c r="J714" s="8">
        <v>500000</v>
      </c>
      <c r="K714" s="8">
        <v>209.68299999999999</v>
      </c>
    </row>
    <row r="715" spans="2:11" ht="15" x14ac:dyDescent="0.2">
      <c r="B715" s="5" t="str">
        <f>_xlfn.XLOOKUP(Total[[#This Row],[Metodo]],TbSolver[Metodo],TbSolver[Solver])</f>
        <v>RungeKutta</v>
      </c>
      <c r="C715" s="5" t="str">
        <f>_xlfn.XLOOKUP(Total[[#This Row],[Hebras]],TbTecnologia[Hebras],TbTecnologia[Tecnología])</f>
        <v>CUDA</v>
      </c>
      <c r="D715" s="14" t="str" cm="1">
        <f t="array" ref="D715">_xlfn.XLOOKUP(Total[[#This Row],[Tecnología]]&amp;Total[[#This Row],[Metodo]],TbTipos[Tecnología]&amp;TbTipos[Metodo],TbTipos[Tipo])</f>
        <v>CUDA con graph</v>
      </c>
      <c r="E715" s="14" t="str" cm="1">
        <f t="array" ref="E715">_xlfn.XLOOKUP(Total[[#This Row],[Tecnología]]&amp;Total[[#This Row],[Problema]],TbNombres[Tecnología]&amp;TbNombres[Problema],TbNombres[Nombre])</f>
        <v>Advdiff1d</v>
      </c>
      <c r="F715" s="8">
        <v>2</v>
      </c>
      <c r="G715" s="8">
        <v>3</v>
      </c>
      <c r="H715" s="8">
        <v>256</v>
      </c>
      <c r="I715" s="8">
        <v>10000</v>
      </c>
      <c r="J715" s="8">
        <v>10000</v>
      </c>
      <c r="K715" s="8">
        <v>28.323499999999999</v>
      </c>
    </row>
    <row r="716" spans="2:11" ht="15" x14ac:dyDescent="0.2">
      <c r="B716" s="5" t="str">
        <f>_xlfn.XLOOKUP(Total[[#This Row],[Metodo]],TbSolver[Metodo],TbSolver[Solver])</f>
        <v>RungeKutta</v>
      </c>
      <c r="C716" s="5" t="str">
        <f>_xlfn.XLOOKUP(Total[[#This Row],[Hebras]],TbTecnologia[Hebras],TbTecnologia[Tecnología])</f>
        <v>CUDA</v>
      </c>
      <c r="D716" s="14" t="str" cm="1">
        <f t="array" ref="D716">_xlfn.XLOOKUP(Total[[#This Row],[Tecnología]]&amp;Total[[#This Row],[Metodo]],TbTipos[Tecnología]&amp;TbTipos[Metodo],TbTipos[Tipo])</f>
        <v>CUDA con graph</v>
      </c>
      <c r="E716" s="14" t="str" cm="1">
        <f t="array" ref="E716">_xlfn.XLOOKUP(Total[[#This Row],[Tecnología]]&amp;Total[[#This Row],[Problema]],TbNombres[Tecnología]&amp;TbNombres[Problema],TbNombres[Nombre])</f>
        <v>Advdiff1d</v>
      </c>
      <c r="F716" s="8">
        <v>2</v>
      </c>
      <c r="G716" s="8">
        <v>3</v>
      </c>
      <c r="H716" s="8">
        <v>256</v>
      </c>
      <c r="I716" s="8">
        <v>20000</v>
      </c>
      <c r="J716" s="8">
        <v>20000</v>
      </c>
      <c r="K716" s="8">
        <v>48.682600000000001</v>
      </c>
    </row>
    <row r="717" spans="2:11" ht="15" x14ac:dyDescent="0.2">
      <c r="B717" s="5" t="str">
        <f>_xlfn.XLOOKUP(Total[[#This Row],[Metodo]],TbSolver[Metodo],TbSolver[Solver])</f>
        <v>RungeKutta</v>
      </c>
      <c r="C717" s="5" t="str">
        <f>_xlfn.XLOOKUP(Total[[#This Row],[Hebras]],TbTecnologia[Hebras],TbTecnologia[Tecnología])</f>
        <v>CUDA</v>
      </c>
      <c r="D717" s="14" t="str" cm="1">
        <f t="array" ref="D717">_xlfn.XLOOKUP(Total[[#This Row],[Tecnología]]&amp;Total[[#This Row],[Metodo]],TbTipos[Tecnología]&amp;TbTipos[Metodo],TbTipos[Tipo])</f>
        <v>CUDA con graph</v>
      </c>
      <c r="E717" s="14" t="str" cm="1">
        <f t="array" ref="E717">_xlfn.XLOOKUP(Total[[#This Row],[Tecnología]]&amp;Total[[#This Row],[Problema]],TbNombres[Tecnología]&amp;TbNombres[Problema],TbNombres[Nombre])</f>
        <v>Advdiff1d</v>
      </c>
      <c r="F717" s="8">
        <v>2</v>
      </c>
      <c r="G717" s="8">
        <v>3</v>
      </c>
      <c r="H717" s="8">
        <v>256</v>
      </c>
      <c r="I717" s="8">
        <v>50000</v>
      </c>
      <c r="J717" s="8">
        <v>50000</v>
      </c>
      <c r="K717" s="8">
        <v>70.976600000000005</v>
      </c>
    </row>
    <row r="718" spans="2:11" ht="15" x14ac:dyDescent="0.2">
      <c r="B718" s="5" t="str">
        <f>_xlfn.XLOOKUP(Total[[#This Row],[Metodo]],TbSolver[Metodo],TbSolver[Solver])</f>
        <v>RungeKutta</v>
      </c>
      <c r="C718" s="5" t="str">
        <f>_xlfn.XLOOKUP(Total[[#This Row],[Hebras]],TbTecnologia[Hebras],TbTecnologia[Tecnología])</f>
        <v>CUDA</v>
      </c>
      <c r="D718" s="14" t="str" cm="1">
        <f t="array" ref="D718">_xlfn.XLOOKUP(Total[[#This Row],[Tecnología]]&amp;Total[[#This Row],[Metodo]],TbTipos[Tecnología]&amp;TbTipos[Metodo],TbTipos[Tipo])</f>
        <v>CUDA con graph</v>
      </c>
      <c r="E718" s="14" t="str" cm="1">
        <f t="array" ref="E718">_xlfn.XLOOKUP(Total[[#This Row],[Tecnología]]&amp;Total[[#This Row],[Problema]],TbNombres[Tecnología]&amp;TbNombres[Problema],TbNombres[Nombre])</f>
        <v>Advdiff1d</v>
      </c>
      <c r="F718" s="8">
        <v>2</v>
      </c>
      <c r="G718" s="8">
        <v>3</v>
      </c>
      <c r="H718" s="8">
        <v>256</v>
      </c>
      <c r="I718" s="8">
        <v>75000</v>
      </c>
      <c r="J718" s="8">
        <v>75000</v>
      </c>
      <c r="K718" s="8">
        <v>111.44499999999999</v>
      </c>
    </row>
    <row r="719" spans="2:11" ht="15" x14ac:dyDescent="0.2">
      <c r="B719" s="5" t="str">
        <f>_xlfn.XLOOKUP(Total[[#This Row],[Metodo]],TbSolver[Metodo],TbSolver[Solver])</f>
        <v>RungeKutta</v>
      </c>
      <c r="C719" s="5" t="str">
        <f>_xlfn.XLOOKUP(Total[[#This Row],[Hebras]],TbTecnologia[Hebras],TbTecnologia[Tecnología])</f>
        <v>CUDA</v>
      </c>
      <c r="D719" s="14" t="str" cm="1">
        <f t="array" ref="D719">_xlfn.XLOOKUP(Total[[#This Row],[Tecnología]]&amp;Total[[#This Row],[Metodo]],TbTipos[Tecnología]&amp;TbTipos[Metodo],TbTipos[Tipo])</f>
        <v>CUDA con graph</v>
      </c>
      <c r="E719" s="14" t="str" cm="1">
        <f t="array" ref="E719">_xlfn.XLOOKUP(Total[[#This Row],[Tecnología]]&amp;Total[[#This Row],[Problema]],TbNombres[Tecnología]&amp;TbNombres[Problema],TbNombres[Nombre])</f>
        <v>Advdiff1d</v>
      </c>
      <c r="F719" s="8">
        <v>2</v>
      </c>
      <c r="G719" s="8">
        <v>3</v>
      </c>
      <c r="H719" s="8">
        <v>256</v>
      </c>
      <c r="I719" s="8">
        <v>100000</v>
      </c>
      <c r="J719" s="8">
        <v>100000</v>
      </c>
      <c r="K719" s="8">
        <v>132.828</v>
      </c>
    </row>
    <row r="720" spans="2:11" ht="15" x14ac:dyDescent="0.2">
      <c r="B720" s="5" t="str">
        <f>_xlfn.XLOOKUP(Total[[#This Row],[Metodo]],TbSolver[Metodo],TbSolver[Solver])</f>
        <v>RungeKutta</v>
      </c>
      <c r="C720" s="5" t="str">
        <f>_xlfn.XLOOKUP(Total[[#This Row],[Hebras]],TbTecnologia[Hebras],TbTecnologia[Tecnología])</f>
        <v>CUDA</v>
      </c>
      <c r="D720" s="14" t="str" cm="1">
        <f t="array" ref="D720">_xlfn.XLOOKUP(Total[[#This Row],[Tecnología]]&amp;Total[[#This Row],[Metodo]],TbTipos[Tecnología]&amp;TbTipos[Metodo],TbTipos[Tipo])</f>
        <v>CUDA con graph</v>
      </c>
      <c r="E720" s="14" t="str" cm="1">
        <f t="array" ref="E720">_xlfn.XLOOKUP(Total[[#This Row],[Tecnología]]&amp;Total[[#This Row],[Problema]],TbNombres[Tecnología]&amp;TbNombres[Problema],TbNombres[Nombre])</f>
        <v>Advdiff1d</v>
      </c>
      <c r="F720" s="8">
        <v>2</v>
      </c>
      <c r="G720" s="8">
        <v>3</v>
      </c>
      <c r="H720" s="8">
        <v>256</v>
      </c>
      <c r="I720" s="8">
        <v>150000</v>
      </c>
      <c r="J720" s="8">
        <v>150000</v>
      </c>
      <c r="K720" s="8">
        <v>201.69</v>
      </c>
    </row>
    <row r="721" spans="2:11" ht="15" x14ac:dyDescent="0.2">
      <c r="B721" s="5" t="str">
        <f>_xlfn.XLOOKUP(Total[[#This Row],[Metodo]],TbSolver[Metodo],TbSolver[Solver])</f>
        <v>RungeKutta</v>
      </c>
      <c r="C721" s="5" t="str">
        <f>_xlfn.XLOOKUP(Total[[#This Row],[Hebras]],TbTecnologia[Hebras],TbTecnologia[Tecnología])</f>
        <v>CUDA</v>
      </c>
      <c r="D721" s="14" t="str" cm="1">
        <f t="array" ref="D721">_xlfn.XLOOKUP(Total[[#This Row],[Tecnología]]&amp;Total[[#This Row],[Metodo]],TbTipos[Tecnología]&amp;TbTipos[Metodo],TbTipos[Tipo])</f>
        <v>CUDA con graph</v>
      </c>
      <c r="E721" s="14" t="str" cm="1">
        <f t="array" ref="E721">_xlfn.XLOOKUP(Total[[#This Row],[Tecnología]]&amp;Total[[#This Row],[Problema]],TbNombres[Tecnología]&amp;TbNombres[Problema],TbNombres[Nombre])</f>
        <v>Advdiff1d</v>
      </c>
      <c r="F721" s="8">
        <v>2</v>
      </c>
      <c r="G721" s="8">
        <v>3</v>
      </c>
      <c r="H721" s="8">
        <v>256</v>
      </c>
      <c r="I721" s="8">
        <v>200000</v>
      </c>
      <c r="J721" s="8">
        <v>200000</v>
      </c>
      <c r="K721" s="8">
        <v>269.69499999999999</v>
      </c>
    </row>
    <row r="722" spans="2:11" ht="15" x14ac:dyDescent="0.2">
      <c r="B722" s="5" t="str">
        <f>_xlfn.XLOOKUP(Total[[#This Row],[Metodo]],TbSolver[Metodo],TbSolver[Solver])</f>
        <v>RungeKutta</v>
      </c>
      <c r="C722" s="5" t="str">
        <f>_xlfn.XLOOKUP(Total[[#This Row],[Hebras]],TbTecnologia[Hebras],TbTecnologia[Tecnología])</f>
        <v>CUDA</v>
      </c>
      <c r="D722" s="14" t="str" cm="1">
        <f t="array" ref="D722">_xlfn.XLOOKUP(Total[[#This Row],[Tecnología]]&amp;Total[[#This Row],[Metodo]],TbTipos[Tecnología]&amp;TbTipos[Metodo],TbTipos[Tipo])</f>
        <v>CUDA con graph</v>
      </c>
      <c r="E722" s="14" t="str" cm="1">
        <f t="array" ref="E722">_xlfn.XLOOKUP(Total[[#This Row],[Tecnología]]&amp;Total[[#This Row],[Problema]],TbNombres[Tecnología]&amp;TbNombres[Problema],TbNombres[Nombre])</f>
        <v>Advdiff1d</v>
      </c>
      <c r="F722" s="8">
        <v>2</v>
      </c>
      <c r="G722" s="8">
        <v>3</v>
      </c>
      <c r="H722" s="8">
        <v>256</v>
      </c>
      <c r="I722" s="8">
        <v>250000</v>
      </c>
      <c r="J722" s="8">
        <v>250000</v>
      </c>
      <c r="K722" s="8">
        <v>340.43</v>
      </c>
    </row>
    <row r="723" spans="2:11" ht="15" x14ac:dyDescent="0.2">
      <c r="B723" s="5" t="str">
        <f>_xlfn.XLOOKUP(Total[[#This Row],[Metodo]],TbSolver[Metodo],TbSolver[Solver])</f>
        <v>RungeKutta</v>
      </c>
      <c r="C723" s="5" t="str">
        <f>_xlfn.XLOOKUP(Total[[#This Row],[Hebras]],TbTecnologia[Hebras],TbTecnologia[Tecnología])</f>
        <v>CUDA</v>
      </c>
      <c r="D723" s="14" t="str" cm="1">
        <f t="array" ref="D723">_xlfn.XLOOKUP(Total[[#This Row],[Tecnología]]&amp;Total[[#This Row],[Metodo]],TbTipos[Tecnología]&amp;TbTipos[Metodo],TbTipos[Tipo])</f>
        <v>CUDA con graph</v>
      </c>
      <c r="E723" s="14" t="str" cm="1">
        <f t="array" ref="E723">_xlfn.XLOOKUP(Total[[#This Row],[Tecnología]]&amp;Total[[#This Row],[Problema]],TbNombres[Tecnología]&amp;TbNombres[Problema],TbNombres[Nombre])</f>
        <v>Advdiff1d</v>
      </c>
      <c r="F723" s="8">
        <v>2</v>
      </c>
      <c r="G723" s="8">
        <v>3</v>
      </c>
      <c r="H723" s="8">
        <v>256</v>
      </c>
      <c r="I723" s="8">
        <v>300000</v>
      </c>
      <c r="J723" s="8">
        <v>300000</v>
      </c>
      <c r="K723" s="8">
        <v>412.34100000000001</v>
      </c>
    </row>
    <row r="724" spans="2:11" ht="15" x14ac:dyDescent="0.2">
      <c r="B724" s="5" t="str">
        <f>_xlfn.XLOOKUP(Total[[#This Row],[Metodo]],TbSolver[Metodo],TbSolver[Solver])</f>
        <v>RungeKutta</v>
      </c>
      <c r="C724" s="5" t="str">
        <f>_xlfn.XLOOKUP(Total[[#This Row],[Hebras]],TbTecnologia[Hebras],TbTecnologia[Tecnología])</f>
        <v>CUDA</v>
      </c>
      <c r="D724" s="14" t="str" cm="1">
        <f t="array" ref="D724">_xlfn.XLOOKUP(Total[[#This Row],[Tecnología]]&amp;Total[[#This Row],[Metodo]],TbTipos[Tecnología]&amp;TbTipos[Metodo],TbTipos[Tipo])</f>
        <v>CUDA con graph</v>
      </c>
      <c r="E724" s="14" t="str" cm="1">
        <f t="array" ref="E724">_xlfn.XLOOKUP(Total[[#This Row],[Tecnología]]&amp;Total[[#This Row],[Problema]],TbNombres[Tecnología]&amp;TbNombres[Problema],TbNombres[Nombre])</f>
        <v>Advdiff1d</v>
      </c>
      <c r="F724" s="8">
        <v>2</v>
      </c>
      <c r="G724" s="8">
        <v>3</v>
      </c>
      <c r="H724" s="8">
        <v>256</v>
      </c>
      <c r="I724" s="8">
        <v>350000</v>
      </c>
      <c r="J724" s="8">
        <v>350000</v>
      </c>
      <c r="K724" s="8">
        <v>485.90699999999998</v>
      </c>
    </row>
    <row r="725" spans="2:11" ht="15" x14ac:dyDescent="0.2">
      <c r="B725" s="5" t="str">
        <f>_xlfn.XLOOKUP(Total[[#This Row],[Metodo]],TbSolver[Metodo],TbSolver[Solver])</f>
        <v>RungeKutta</v>
      </c>
      <c r="C725" s="5" t="str">
        <f>_xlfn.XLOOKUP(Total[[#This Row],[Hebras]],TbTecnologia[Hebras],TbTecnologia[Tecnología])</f>
        <v>CUDA</v>
      </c>
      <c r="D725" s="14" t="str" cm="1">
        <f t="array" ref="D725">_xlfn.XLOOKUP(Total[[#This Row],[Tecnología]]&amp;Total[[#This Row],[Metodo]],TbTipos[Tecnología]&amp;TbTipos[Metodo],TbTipos[Tipo])</f>
        <v>CUDA con graph</v>
      </c>
      <c r="E725" s="14" t="str" cm="1">
        <f t="array" ref="E725">_xlfn.XLOOKUP(Total[[#This Row],[Tecnología]]&amp;Total[[#This Row],[Problema]],TbNombres[Tecnología]&amp;TbNombres[Problema],TbNombres[Nombre])</f>
        <v>Advdiff1d</v>
      </c>
      <c r="F725" s="8">
        <v>2</v>
      </c>
      <c r="G725" s="8">
        <v>3</v>
      </c>
      <c r="H725" s="8">
        <v>256</v>
      </c>
      <c r="I725" s="8">
        <v>400000</v>
      </c>
      <c r="J725" s="8">
        <v>400000</v>
      </c>
      <c r="K725" s="8">
        <v>544.51099999999997</v>
      </c>
    </row>
    <row r="726" spans="2:11" ht="15" x14ac:dyDescent="0.2">
      <c r="B726" s="5" t="str">
        <f>_xlfn.XLOOKUP(Total[[#This Row],[Metodo]],TbSolver[Metodo],TbSolver[Solver])</f>
        <v>RungeKutta</v>
      </c>
      <c r="C726" s="5" t="str">
        <f>_xlfn.XLOOKUP(Total[[#This Row],[Hebras]],TbTecnologia[Hebras],TbTecnologia[Tecnología])</f>
        <v>CUDA</v>
      </c>
      <c r="D726" s="14" t="str" cm="1">
        <f t="array" ref="D726">_xlfn.XLOOKUP(Total[[#This Row],[Tecnología]]&amp;Total[[#This Row],[Metodo]],TbTipos[Tecnología]&amp;TbTipos[Metodo],TbTipos[Tipo])</f>
        <v>CUDA con graph</v>
      </c>
      <c r="E726" s="14" t="str" cm="1">
        <f t="array" ref="E726">_xlfn.XLOOKUP(Total[[#This Row],[Tecnología]]&amp;Total[[#This Row],[Problema]],TbNombres[Tecnología]&amp;TbNombres[Problema],TbNombres[Nombre])</f>
        <v>Advdiff1d</v>
      </c>
      <c r="F726" s="8">
        <v>2</v>
      </c>
      <c r="G726" s="8">
        <v>3</v>
      </c>
      <c r="H726" s="8">
        <v>256</v>
      </c>
      <c r="I726" s="8">
        <v>450000</v>
      </c>
      <c r="J726" s="8">
        <v>450000</v>
      </c>
      <c r="K726" s="8">
        <v>618.33900000000006</v>
      </c>
    </row>
    <row r="727" spans="2:11" ht="15" x14ac:dyDescent="0.2">
      <c r="B727" s="5" t="str">
        <f>_xlfn.XLOOKUP(Total[[#This Row],[Metodo]],TbSolver[Metodo],TbSolver[Solver])</f>
        <v>RungeKutta</v>
      </c>
      <c r="C727" s="5" t="str">
        <f>_xlfn.XLOOKUP(Total[[#This Row],[Hebras]],TbTecnologia[Hebras],TbTecnologia[Tecnología])</f>
        <v>CUDA</v>
      </c>
      <c r="D727" s="14" t="str" cm="1">
        <f t="array" ref="D727">_xlfn.XLOOKUP(Total[[#This Row],[Tecnología]]&amp;Total[[#This Row],[Metodo]],TbTipos[Tecnología]&amp;TbTipos[Metodo],TbTipos[Tipo])</f>
        <v>CUDA con graph</v>
      </c>
      <c r="E727" s="14" t="str" cm="1">
        <f t="array" ref="E727">_xlfn.XLOOKUP(Total[[#This Row],[Tecnología]]&amp;Total[[#This Row],[Problema]],TbNombres[Tecnología]&amp;TbNombres[Problema],TbNombres[Nombre])</f>
        <v>Advdiff1d</v>
      </c>
      <c r="F727" s="8">
        <v>2</v>
      </c>
      <c r="G727" s="8">
        <v>3</v>
      </c>
      <c r="H727" s="8">
        <v>256</v>
      </c>
      <c r="I727" s="8">
        <v>500000</v>
      </c>
      <c r="J727" s="8">
        <v>500000</v>
      </c>
      <c r="K727" s="8">
        <v>690.38900000000001</v>
      </c>
    </row>
    <row r="728" spans="2:11" ht="15" x14ac:dyDescent="0.2">
      <c r="B728" s="5" t="str">
        <f>_xlfn.XLOOKUP(Total[[#This Row],[Metodo]],TbSolver[Metodo],TbSolver[Solver])</f>
        <v>RungeKutta</v>
      </c>
      <c r="C728" s="5" t="str">
        <f>_xlfn.XLOOKUP(Total[[#This Row],[Hebras]],TbTecnologia[Hebras],TbTecnologia[Tecnología])</f>
        <v>CUDA</v>
      </c>
      <c r="D728" s="14" t="str" cm="1">
        <f t="array" ref="D728">_xlfn.XLOOKUP(Total[[#This Row],[Tecnología]]&amp;Total[[#This Row],[Metodo]],TbTipos[Tecnología]&amp;TbTipos[Metodo],TbTipos[Tipo])</f>
        <v>CUDA con graph</v>
      </c>
      <c r="E728" s="14" t="str" cm="1">
        <f t="array" ref="E728">_xlfn.XLOOKUP(Total[[#This Row],[Tecnología]]&amp;Total[[#This Row],[Problema]],TbNombres[Tecnología]&amp;TbNombres[Problema],TbNombres[Nombre])</f>
        <v>Brusselator1d</v>
      </c>
      <c r="F728" s="8">
        <v>2</v>
      </c>
      <c r="G728" s="8">
        <v>5</v>
      </c>
      <c r="H728" s="8">
        <v>256</v>
      </c>
      <c r="I728" s="8">
        <v>10000</v>
      </c>
      <c r="J728" s="8">
        <v>20000</v>
      </c>
      <c r="K728" s="8">
        <v>18.899000000000001</v>
      </c>
    </row>
    <row r="729" spans="2:11" ht="15" x14ac:dyDescent="0.2">
      <c r="B729" s="5" t="str">
        <f>_xlfn.XLOOKUP(Total[[#This Row],[Metodo]],TbSolver[Metodo],TbSolver[Solver])</f>
        <v>RungeKutta</v>
      </c>
      <c r="C729" s="5" t="str">
        <f>_xlfn.XLOOKUP(Total[[#This Row],[Hebras]],TbTecnologia[Hebras],TbTecnologia[Tecnología])</f>
        <v>CUDA</v>
      </c>
      <c r="D729" s="14" t="str" cm="1">
        <f t="array" ref="D729">_xlfn.XLOOKUP(Total[[#This Row],[Tecnología]]&amp;Total[[#This Row],[Metodo]],TbTipos[Tecnología]&amp;TbTipos[Metodo],TbTipos[Tipo])</f>
        <v>CUDA con graph</v>
      </c>
      <c r="E729" s="14" t="str" cm="1">
        <f t="array" ref="E729">_xlfn.XLOOKUP(Total[[#This Row],[Tecnología]]&amp;Total[[#This Row],[Problema]],TbNombres[Tecnología]&amp;TbNombres[Problema],TbNombres[Nombre])</f>
        <v>Brusselator1d</v>
      </c>
      <c r="F729" s="8">
        <v>2</v>
      </c>
      <c r="G729" s="8">
        <v>5</v>
      </c>
      <c r="H729" s="8">
        <v>256</v>
      </c>
      <c r="I729" s="8">
        <v>20000</v>
      </c>
      <c r="J729" s="8">
        <v>40000</v>
      </c>
      <c r="K729" s="8">
        <v>24.3675</v>
      </c>
    </row>
    <row r="730" spans="2:11" ht="15" x14ac:dyDescent="0.2">
      <c r="B730" s="5" t="str">
        <f>_xlfn.XLOOKUP(Total[[#This Row],[Metodo]],TbSolver[Metodo],TbSolver[Solver])</f>
        <v>RungeKutta</v>
      </c>
      <c r="C730" s="5" t="str">
        <f>_xlfn.XLOOKUP(Total[[#This Row],[Hebras]],TbTecnologia[Hebras],TbTecnologia[Tecnología])</f>
        <v>CUDA</v>
      </c>
      <c r="D730" s="14" t="str" cm="1">
        <f t="array" ref="D730">_xlfn.XLOOKUP(Total[[#This Row],[Tecnología]]&amp;Total[[#This Row],[Metodo]],TbTipos[Tecnología]&amp;TbTipos[Metodo],TbTipos[Tipo])</f>
        <v>CUDA con graph</v>
      </c>
      <c r="E730" s="14" t="str" cm="1">
        <f t="array" ref="E730">_xlfn.XLOOKUP(Total[[#This Row],[Tecnología]]&amp;Total[[#This Row],[Problema]],TbNombres[Tecnología]&amp;TbNombres[Problema],TbNombres[Nombre])</f>
        <v>Brusselator1d</v>
      </c>
      <c r="F730" s="8">
        <v>2</v>
      </c>
      <c r="G730" s="8">
        <v>5</v>
      </c>
      <c r="H730" s="8">
        <v>256</v>
      </c>
      <c r="I730" s="8">
        <v>50000</v>
      </c>
      <c r="J730" s="8">
        <v>100000</v>
      </c>
      <c r="K730" s="8">
        <v>39.9285</v>
      </c>
    </row>
    <row r="731" spans="2:11" ht="15" x14ac:dyDescent="0.2">
      <c r="B731" s="5" t="str">
        <f>_xlfn.XLOOKUP(Total[[#This Row],[Metodo]],TbSolver[Metodo],TbSolver[Solver])</f>
        <v>RungeKutta</v>
      </c>
      <c r="C731" s="5" t="str">
        <f>_xlfn.XLOOKUP(Total[[#This Row],[Hebras]],TbTecnologia[Hebras],TbTecnologia[Tecnología])</f>
        <v>CUDA</v>
      </c>
      <c r="D731" s="14" t="str" cm="1">
        <f t="array" ref="D731">_xlfn.XLOOKUP(Total[[#This Row],[Tecnología]]&amp;Total[[#This Row],[Metodo]],TbTipos[Tecnología]&amp;TbTipos[Metodo],TbTipos[Tipo])</f>
        <v>CUDA con graph</v>
      </c>
      <c r="E731" s="14" t="str" cm="1">
        <f t="array" ref="E731">_xlfn.XLOOKUP(Total[[#This Row],[Tecnología]]&amp;Total[[#This Row],[Problema]],TbNombres[Tecnología]&amp;TbNombres[Problema],TbNombres[Nombre])</f>
        <v>Brusselator1d</v>
      </c>
      <c r="F731" s="8">
        <v>2</v>
      </c>
      <c r="G731" s="8">
        <v>5</v>
      </c>
      <c r="H731" s="8">
        <v>256</v>
      </c>
      <c r="I731" s="8">
        <v>75000</v>
      </c>
      <c r="J731" s="8">
        <v>150000</v>
      </c>
      <c r="K731" s="8">
        <v>62.948599999999999</v>
      </c>
    </row>
    <row r="732" spans="2:11" ht="15" x14ac:dyDescent="0.2">
      <c r="B732" s="5" t="str">
        <f>_xlfn.XLOOKUP(Total[[#This Row],[Metodo]],TbSolver[Metodo],TbSolver[Solver])</f>
        <v>RungeKutta</v>
      </c>
      <c r="C732" s="5" t="str">
        <f>_xlfn.XLOOKUP(Total[[#This Row],[Hebras]],TbTecnologia[Hebras],TbTecnologia[Tecnología])</f>
        <v>CUDA</v>
      </c>
      <c r="D732" s="14" t="str" cm="1">
        <f t="array" ref="D732">_xlfn.XLOOKUP(Total[[#This Row],[Tecnología]]&amp;Total[[#This Row],[Metodo]],TbTipos[Tecnología]&amp;TbTipos[Metodo],TbTipos[Tipo])</f>
        <v>CUDA con graph</v>
      </c>
      <c r="E732" s="14" t="str" cm="1">
        <f t="array" ref="E732">_xlfn.XLOOKUP(Total[[#This Row],[Tecnología]]&amp;Total[[#This Row],[Problema]],TbNombres[Tecnología]&amp;TbNombres[Problema],TbNombres[Nombre])</f>
        <v>Brusselator1d</v>
      </c>
      <c r="F732" s="8">
        <v>2</v>
      </c>
      <c r="G732" s="8">
        <v>5</v>
      </c>
      <c r="H732" s="8">
        <v>256</v>
      </c>
      <c r="I732" s="8">
        <v>100000</v>
      </c>
      <c r="J732" s="8">
        <v>200000</v>
      </c>
      <c r="K732" s="8">
        <v>85.591800000000006</v>
      </c>
    </row>
    <row r="733" spans="2:11" ht="15" x14ac:dyDescent="0.2">
      <c r="B733" s="5" t="str">
        <f>_xlfn.XLOOKUP(Total[[#This Row],[Metodo]],TbSolver[Metodo],TbSolver[Solver])</f>
        <v>RungeKutta</v>
      </c>
      <c r="C733" s="5" t="str">
        <f>_xlfn.XLOOKUP(Total[[#This Row],[Hebras]],TbTecnologia[Hebras],TbTecnologia[Tecnología])</f>
        <v>CUDA</v>
      </c>
      <c r="D733" s="14" t="str" cm="1">
        <f t="array" ref="D733">_xlfn.XLOOKUP(Total[[#This Row],[Tecnología]]&amp;Total[[#This Row],[Metodo]],TbTipos[Tecnología]&amp;TbTipos[Metodo],TbTipos[Tipo])</f>
        <v>CUDA con graph</v>
      </c>
      <c r="E733" s="14" t="str" cm="1">
        <f t="array" ref="E733">_xlfn.XLOOKUP(Total[[#This Row],[Tecnología]]&amp;Total[[#This Row],[Problema]],TbNombres[Tecnología]&amp;TbNombres[Problema],TbNombres[Nombre])</f>
        <v>Brusselator1d</v>
      </c>
      <c r="F733" s="8">
        <v>2</v>
      </c>
      <c r="G733" s="8">
        <v>5</v>
      </c>
      <c r="H733" s="8">
        <v>256</v>
      </c>
      <c r="I733" s="8">
        <v>150000</v>
      </c>
      <c r="J733" s="8">
        <v>300000</v>
      </c>
      <c r="K733" s="8">
        <v>136.15</v>
      </c>
    </row>
    <row r="734" spans="2:11" ht="15" x14ac:dyDescent="0.2">
      <c r="B734" s="5" t="str">
        <f>_xlfn.XLOOKUP(Total[[#This Row],[Metodo]],TbSolver[Metodo],TbSolver[Solver])</f>
        <v>RungeKutta</v>
      </c>
      <c r="C734" s="5" t="str">
        <f>_xlfn.XLOOKUP(Total[[#This Row],[Hebras]],TbTecnologia[Hebras],TbTecnologia[Tecnología])</f>
        <v>CUDA</v>
      </c>
      <c r="D734" s="14" t="str" cm="1">
        <f t="array" ref="D734">_xlfn.XLOOKUP(Total[[#This Row],[Tecnología]]&amp;Total[[#This Row],[Metodo]],TbTipos[Tecnología]&amp;TbTipos[Metodo],TbTipos[Tipo])</f>
        <v>CUDA con graph</v>
      </c>
      <c r="E734" s="14" t="str" cm="1">
        <f t="array" ref="E734">_xlfn.XLOOKUP(Total[[#This Row],[Tecnología]]&amp;Total[[#This Row],[Problema]],TbNombres[Tecnología]&amp;TbNombres[Problema],TbNombres[Nombre])</f>
        <v>Brusselator1d</v>
      </c>
      <c r="F734" s="8">
        <v>2</v>
      </c>
      <c r="G734" s="8">
        <v>5</v>
      </c>
      <c r="H734" s="8">
        <v>256</v>
      </c>
      <c r="I734" s="8">
        <v>200000</v>
      </c>
      <c r="J734" s="8">
        <v>400000</v>
      </c>
      <c r="K734" s="8">
        <v>190.59800000000001</v>
      </c>
    </row>
    <row r="735" spans="2:11" ht="15" x14ac:dyDescent="0.2">
      <c r="B735" s="5" t="str">
        <f>_xlfn.XLOOKUP(Total[[#This Row],[Metodo]],TbSolver[Metodo],TbSolver[Solver])</f>
        <v>RungeKutta</v>
      </c>
      <c r="C735" s="5" t="str">
        <f>_xlfn.XLOOKUP(Total[[#This Row],[Hebras]],TbTecnologia[Hebras],TbTecnologia[Tecnología])</f>
        <v>CUDA</v>
      </c>
      <c r="D735" s="14" t="str" cm="1">
        <f t="array" ref="D735">_xlfn.XLOOKUP(Total[[#This Row],[Tecnología]]&amp;Total[[#This Row],[Metodo]],TbTipos[Tecnología]&amp;TbTipos[Metodo],TbTipos[Tipo])</f>
        <v>CUDA con graph</v>
      </c>
      <c r="E735" s="14" t="str" cm="1">
        <f t="array" ref="E735">_xlfn.XLOOKUP(Total[[#This Row],[Tecnología]]&amp;Total[[#This Row],[Problema]],TbNombres[Tecnología]&amp;TbNombres[Problema],TbNombres[Nombre])</f>
        <v>Brusselator1d</v>
      </c>
      <c r="F735" s="8">
        <v>2</v>
      </c>
      <c r="G735" s="8">
        <v>5</v>
      </c>
      <c r="H735" s="8">
        <v>256</v>
      </c>
      <c r="I735" s="8">
        <v>250000</v>
      </c>
      <c r="J735" s="8">
        <v>500000</v>
      </c>
      <c r="K735" s="8">
        <v>241.274</v>
      </c>
    </row>
    <row r="736" spans="2:11" ht="15" x14ac:dyDescent="0.2">
      <c r="B736" s="5" t="str">
        <f>_xlfn.XLOOKUP(Total[[#This Row],[Metodo]],TbSolver[Metodo],TbSolver[Solver])</f>
        <v>RungeKutta</v>
      </c>
      <c r="C736" s="5" t="str">
        <f>_xlfn.XLOOKUP(Total[[#This Row],[Hebras]],TbTecnologia[Hebras],TbTecnologia[Tecnología])</f>
        <v>CUDA</v>
      </c>
      <c r="D736" s="14" t="str" cm="1">
        <f t="array" ref="D736">_xlfn.XLOOKUP(Total[[#This Row],[Tecnología]]&amp;Total[[#This Row],[Metodo]],TbTipos[Tecnología]&amp;TbTipos[Metodo],TbTipos[Tipo])</f>
        <v>CUDA con graph</v>
      </c>
      <c r="E736" s="14" t="str" cm="1">
        <f t="array" ref="E736">_xlfn.XLOOKUP(Total[[#This Row],[Tecnología]]&amp;Total[[#This Row],[Problema]],TbNombres[Tecnología]&amp;TbNombres[Problema],TbNombres[Nombre])</f>
        <v>Brusselator1d</v>
      </c>
      <c r="F736" s="8">
        <v>2</v>
      </c>
      <c r="G736" s="8">
        <v>5</v>
      </c>
      <c r="H736" s="8">
        <v>256</v>
      </c>
      <c r="I736" s="8">
        <v>300000</v>
      </c>
      <c r="J736" s="8">
        <v>600000</v>
      </c>
      <c r="K736" s="8">
        <v>286.33699999999999</v>
      </c>
    </row>
    <row r="737" spans="2:11" ht="15" x14ac:dyDescent="0.2">
      <c r="B737" s="5" t="str">
        <f>_xlfn.XLOOKUP(Total[[#This Row],[Metodo]],TbSolver[Metodo],TbSolver[Solver])</f>
        <v>RungeKutta</v>
      </c>
      <c r="C737" s="5" t="str">
        <f>_xlfn.XLOOKUP(Total[[#This Row],[Hebras]],TbTecnologia[Hebras],TbTecnologia[Tecnología])</f>
        <v>CUDA</v>
      </c>
      <c r="D737" s="14" t="str" cm="1">
        <f t="array" ref="D737">_xlfn.XLOOKUP(Total[[#This Row],[Tecnología]]&amp;Total[[#This Row],[Metodo]],TbTipos[Tecnología]&amp;TbTipos[Metodo],TbTipos[Tipo])</f>
        <v>CUDA con graph</v>
      </c>
      <c r="E737" s="14" t="str" cm="1">
        <f t="array" ref="E737">_xlfn.XLOOKUP(Total[[#This Row],[Tecnología]]&amp;Total[[#This Row],[Problema]],TbNombres[Tecnología]&amp;TbNombres[Problema],TbNombres[Nombre])</f>
        <v>Brusselator1d</v>
      </c>
      <c r="F737" s="8">
        <v>2</v>
      </c>
      <c r="G737" s="8">
        <v>5</v>
      </c>
      <c r="H737" s="8">
        <v>256</v>
      </c>
      <c r="I737" s="8">
        <v>350000</v>
      </c>
      <c r="J737" s="8">
        <v>700000</v>
      </c>
      <c r="K737" s="8">
        <v>330.11399999999998</v>
      </c>
    </row>
    <row r="738" spans="2:11" ht="15" x14ac:dyDescent="0.2">
      <c r="B738" s="5" t="str">
        <f>_xlfn.XLOOKUP(Total[[#This Row],[Metodo]],TbSolver[Metodo],TbSolver[Solver])</f>
        <v>RungeKutta</v>
      </c>
      <c r="C738" s="5" t="str">
        <f>_xlfn.XLOOKUP(Total[[#This Row],[Hebras]],TbTecnologia[Hebras],TbTecnologia[Tecnología])</f>
        <v>CUDA</v>
      </c>
      <c r="D738" s="14" t="str" cm="1">
        <f t="array" ref="D738">_xlfn.XLOOKUP(Total[[#This Row],[Tecnología]]&amp;Total[[#This Row],[Metodo]],TbTipos[Tecnología]&amp;TbTipos[Metodo],TbTipos[Tipo])</f>
        <v>CUDA con graph</v>
      </c>
      <c r="E738" s="14" t="str" cm="1">
        <f t="array" ref="E738">_xlfn.XLOOKUP(Total[[#This Row],[Tecnología]]&amp;Total[[#This Row],[Problema]],TbNombres[Tecnología]&amp;TbNombres[Problema],TbNombres[Nombre])</f>
        <v>Brusselator1d</v>
      </c>
      <c r="F738" s="8">
        <v>2</v>
      </c>
      <c r="G738" s="8">
        <v>5</v>
      </c>
      <c r="H738" s="8">
        <v>256</v>
      </c>
      <c r="I738" s="8">
        <v>400000</v>
      </c>
      <c r="J738" s="8">
        <v>800000</v>
      </c>
      <c r="K738" s="8">
        <v>373.81</v>
      </c>
    </row>
    <row r="739" spans="2:11" ht="15" x14ac:dyDescent="0.2">
      <c r="B739" s="5" t="str">
        <f>_xlfn.XLOOKUP(Total[[#This Row],[Metodo]],TbSolver[Metodo],TbSolver[Solver])</f>
        <v>RungeKutta</v>
      </c>
      <c r="C739" s="5" t="str">
        <f>_xlfn.XLOOKUP(Total[[#This Row],[Hebras]],TbTecnologia[Hebras],TbTecnologia[Tecnología])</f>
        <v>CUDA</v>
      </c>
      <c r="D739" s="14" t="str" cm="1">
        <f t="array" ref="D739">_xlfn.XLOOKUP(Total[[#This Row],[Tecnología]]&amp;Total[[#This Row],[Metodo]],TbTipos[Tecnología]&amp;TbTipos[Metodo],TbTipos[Tipo])</f>
        <v>CUDA con graph</v>
      </c>
      <c r="E739" s="14" t="str" cm="1">
        <f t="array" ref="E739">_xlfn.XLOOKUP(Total[[#This Row],[Tecnología]]&amp;Total[[#This Row],[Problema]],TbNombres[Tecnología]&amp;TbNombres[Problema],TbNombres[Nombre])</f>
        <v>Brusselator1d</v>
      </c>
      <c r="F739" s="8">
        <v>2</v>
      </c>
      <c r="G739" s="8">
        <v>5</v>
      </c>
      <c r="H739" s="8">
        <v>256</v>
      </c>
      <c r="I739" s="8">
        <v>450000</v>
      </c>
      <c r="J739" s="8">
        <v>900000</v>
      </c>
      <c r="K739" s="8">
        <v>418.26100000000002</v>
      </c>
    </row>
    <row r="740" spans="2:11" ht="15" x14ac:dyDescent="0.2">
      <c r="B740" s="5" t="str">
        <f>_xlfn.XLOOKUP(Total[[#This Row],[Metodo]],TbSolver[Metodo],TbSolver[Solver])</f>
        <v>RungeKutta</v>
      </c>
      <c r="C740" s="5" t="str">
        <f>_xlfn.XLOOKUP(Total[[#This Row],[Hebras]],TbTecnologia[Hebras],TbTecnologia[Tecnología])</f>
        <v>CUDA</v>
      </c>
      <c r="D740" s="14" t="str" cm="1">
        <f t="array" ref="D740">_xlfn.XLOOKUP(Total[[#This Row],[Tecnología]]&amp;Total[[#This Row],[Metodo]],TbTipos[Tecnología]&amp;TbTipos[Metodo],TbTipos[Tipo])</f>
        <v>CUDA con graph</v>
      </c>
      <c r="E740" s="14" t="str" cm="1">
        <f t="array" ref="E740">_xlfn.XLOOKUP(Total[[#This Row],[Tecnología]]&amp;Total[[#This Row],[Problema]],TbNombres[Tecnología]&amp;TbNombres[Problema],TbNombres[Nombre])</f>
        <v>Brusselator1d</v>
      </c>
      <c r="F740" s="8">
        <v>2</v>
      </c>
      <c r="G740" s="8">
        <v>5</v>
      </c>
      <c r="H740" s="8">
        <v>256</v>
      </c>
      <c r="I740" s="8">
        <v>500000</v>
      </c>
      <c r="J740" s="8">
        <v>1000000</v>
      </c>
      <c r="K740" s="8">
        <v>463.78100000000001</v>
      </c>
    </row>
    <row r="741" spans="2:11" ht="15" x14ac:dyDescent="0.2">
      <c r="B741" s="5" t="str">
        <f>_xlfn.XLOOKUP(Total[[#This Row],[Metodo]],TbSolver[Metodo],TbSolver[Solver])</f>
        <v>RungeKutta</v>
      </c>
      <c r="C741" s="5" t="str">
        <f>_xlfn.XLOOKUP(Total[[#This Row],[Hebras]],TbTecnologia[Hebras],TbTecnologia[Tecnología])</f>
        <v>CUDA</v>
      </c>
      <c r="D741" s="14" t="str" cm="1">
        <f t="array" ref="D741">_xlfn.XLOOKUP(Total[[#This Row],[Tecnología]]&amp;Total[[#This Row],[Metodo]],TbTipos[Tecnología]&amp;TbTipos[Metodo],TbTipos[Tipo])</f>
        <v>CUDA con graph</v>
      </c>
      <c r="E741" s="14" t="str" cm="1">
        <f t="array" ref="E741">_xlfn.XLOOKUP(Total[[#This Row],[Tecnología]]&amp;Total[[#This Row],[Problema]],TbNombres[Tecnología]&amp;TbNombres[Problema],TbNombres[Nombre])</f>
        <v>Brusselator1d</v>
      </c>
      <c r="F741" s="8">
        <v>2</v>
      </c>
      <c r="G741" s="8">
        <v>7</v>
      </c>
      <c r="H741" s="8">
        <v>256</v>
      </c>
      <c r="I741" s="8">
        <v>250</v>
      </c>
      <c r="J741" s="8">
        <v>500</v>
      </c>
      <c r="K741" s="8">
        <v>13.885</v>
      </c>
    </row>
    <row r="742" spans="2:11" ht="15" x14ac:dyDescent="0.2">
      <c r="B742" s="5" t="str">
        <f>_xlfn.XLOOKUP(Total[[#This Row],[Metodo]],TbSolver[Metodo],TbSolver[Solver])</f>
        <v>RungeKutta</v>
      </c>
      <c r="C742" s="5" t="str">
        <f>_xlfn.XLOOKUP(Total[[#This Row],[Hebras]],TbTecnologia[Hebras],TbTecnologia[Tecnología])</f>
        <v>CUDA</v>
      </c>
      <c r="D742" s="14" t="str" cm="1">
        <f t="array" ref="D742">_xlfn.XLOOKUP(Total[[#This Row],[Tecnología]]&amp;Total[[#This Row],[Metodo]],TbTipos[Tecnología]&amp;TbTipos[Metodo],TbTipos[Tipo])</f>
        <v>CUDA con graph</v>
      </c>
      <c r="E742" s="14" t="str" cm="1">
        <f t="array" ref="E742">_xlfn.XLOOKUP(Total[[#This Row],[Tecnología]]&amp;Total[[#This Row],[Problema]],TbNombres[Tecnología]&amp;TbNombres[Problema],TbNombres[Nombre])</f>
        <v>Brusselator1d</v>
      </c>
      <c r="F742" s="8">
        <v>2</v>
      </c>
      <c r="G742" s="8">
        <v>7</v>
      </c>
      <c r="H742" s="8">
        <v>256</v>
      </c>
      <c r="I742" s="8">
        <v>300</v>
      </c>
      <c r="J742" s="8">
        <v>600</v>
      </c>
      <c r="K742" s="8">
        <v>13.9244</v>
      </c>
    </row>
    <row r="743" spans="2:11" ht="15" x14ac:dyDescent="0.2">
      <c r="B743" s="5" t="str">
        <f>_xlfn.XLOOKUP(Total[[#This Row],[Metodo]],TbSolver[Metodo],TbSolver[Solver])</f>
        <v>RungeKutta</v>
      </c>
      <c r="C743" s="5" t="str">
        <f>_xlfn.XLOOKUP(Total[[#This Row],[Hebras]],TbTecnologia[Hebras],TbTecnologia[Tecnología])</f>
        <v>CUDA</v>
      </c>
      <c r="D743" s="14" t="str" cm="1">
        <f t="array" ref="D743">_xlfn.XLOOKUP(Total[[#This Row],[Tecnología]]&amp;Total[[#This Row],[Metodo]],TbTipos[Tecnología]&amp;TbTipos[Metodo],TbTipos[Tipo])</f>
        <v>CUDA con graph</v>
      </c>
      <c r="E743" s="14" t="str" cm="1">
        <f t="array" ref="E743">_xlfn.XLOOKUP(Total[[#This Row],[Tecnología]]&amp;Total[[#This Row],[Problema]],TbNombres[Tecnología]&amp;TbNombres[Problema],TbNombres[Nombre])</f>
        <v>Brusselator1d</v>
      </c>
      <c r="F743" s="8">
        <v>2</v>
      </c>
      <c r="G743" s="8">
        <v>7</v>
      </c>
      <c r="H743" s="8">
        <v>256</v>
      </c>
      <c r="I743" s="8">
        <v>150</v>
      </c>
      <c r="J743" s="8">
        <v>300</v>
      </c>
      <c r="K743" s="8">
        <v>13.928699999999999</v>
      </c>
    </row>
    <row r="744" spans="2:11" ht="15" x14ac:dyDescent="0.2">
      <c r="B744" s="5" t="str">
        <f>_xlfn.XLOOKUP(Total[[#This Row],[Metodo]],TbSolver[Metodo],TbSolver[Solver])</f>
        <v>RungeKutta</v>
      </c>
      <c r="C744" s="5" t="str">
        <f>_xlfn.XLOOKUP(Total[[#This Row],[Hebras]],TbTecnologia[Hebras],TbTecnologia[Tecnología])</f>
        <v>CUDA</v>
      </c>
      <c r="D744" s="14" t="str" cm="1">
        <f t="array" ref="D744">_xlfn.XLOOKUP(Total[[#This Row],[Tecnología]]&amp;Total[[#This Row],[Metodo]],TbTipos[Tecnología]&amp;TbTipos[Metodo],TbTipos[Tipo])</f>
        <v>CUDA con graph</v>
      </c>
      <c r="E744" s="14" t="str" cm="1">
        <f t="array" ref="E744">_xlfn.XLOOKUP(Total[[#This Row],[Tecnología]]&amp;Total[[#This Row],[Problema]],TbNombres[Tecnología]&amp;TbNombres[Problema],TbNombres[Nombre])</f>
        <v>Brusselator1d</v>
      </c>
      <c r="F744" s="8">
        <v>2</v>
      </c>
      <c r="G744" s="8">
        <v>7</v>
      </c>
      <c r="H744" s="8">
        <v>256</v>
      </c>
      <c r="I744" s="8">
        <v>350</v>
      </c>
      <c r="J744" s="8">
        <v>700</v>
      </c>
      <c r="K744" s="8">
        <v>13.954800000000001</v>
      </c>
    </row>
    <row r="745" spans="2:11" ht="15" x14ac:dyDescent="0.2">
      <c r="B745" s="5" t="str">
        <f>_xlfn.XLOOKUP(Total[[#This Row],[Metodo]],TbSolver[Metodo],TbSolver[Solver])</f>
        <v>RungeKutta</v>
      </c>
      <c r="C745" s="5" t="str">
        <f>_xlfn.XLOOKUP(Total[[#This Row],[Hebras]],TbTecnologia[Hebras],TbTecnologia[Tecnología])</f>
        <v>CUDA</v>
      </c>
      <c r="D745" s="14" t="str" cm="1">
        <f t="array" ref="D745">_xlfn.XLOOKUP(Total[[#This Row],[Tecnología]]&amp;Total[[#This Row],[Metodo]],TbTipos[Tecnología]&amp;TbTipos[Metodo],TbTipos[Tipo])</f>
        <v>CUDA con graph</v>
      </c>
      <c r="E745" s="14" t="str" cm="1">
        <f t="array" ref="E745">_xlfn.XLOOKUP(Total[[#This Row],[Tecnología]]&amp;Total[[#This Row],[Problema]],TbNombres[Tecnología]&amp;TbNombres[Problema],TbNombres[Nombre])</f>
        <v>Brusselator1d</v>
      </c>
      <c r="F745" s="8">
        <v>2</v>
      </c>
      <c r="G745" s="8">
        <v>7</v>
      </c>
      <c r="H745" s="8">
        <v>256</v>
      </c>
      <c r="I745" s="8">
        <v>400</v>
      </c>
      <c r="J745" s="8">
        <v>800</v>
      </c>
      <c r="K745" s="8">
        <v>14.0098</v>
      </c>
    </row>
    <row r="746" spans="2:11" ht="15" x14ac:dyDescent="0.2">
      <c r="B746" s="5" t="str">
        <f>_xlfn.XLOOKUP(Total[[#This Row],[Metodo]],TbSolver[Metodo],TbSolver[Solver])</f>
        <v>RungeKutta</v>
      </c>
      <c r="C746" s="5" t="str">
        <f>_xlfn.XLOOKUP(Total[[#This Row],[Hebras]],TbTecnologia[Hebras],TbTecnologia[Tecnología])</f>
        <v>CUDA</v>
      </c>
      <c r="D746" s="14" t="str" cm="1">
        <f t="array" ref="D746">_xlfn.XLOOKUP(Total[[#This Row],[Tecnología]]&amp;Total[[#This Row],[Metodo]],TbTipos[Tecnología]&amp;TbTipos[Metodo],TbTipos[Tipo])</f>
        <v>CUDA con graph</v>
      </c>
      <c r="E746" s="14" t="str" cm="1">
        <f t="array" ref="E746">_xlfn.XLOOKUP(Total[[#This Row],[Tecnología]]&amp;Total[[#This Row],[Problema]],TbNombres[Tecnología]&amp;TbNombres[Problema],TbNombres[Nombre])</f>
        <v>Brusselator1d</v>
      </c>
      <c r="F746" s="8">
        <v>2</v>
      </c>
      <c r="G746" s="8">
        <v>7</v>
      </c>
      <c r="H746" s="8">
        <v>256</v>
      </c>
      <c r="I746" s="8">
        <v>450</v>
      </c>
      <c r="J746" s="8">
        <v>900</v>
      </c>
      <c r="K746" s="8">
        <v>14.026</v>
      </c>
    </row>
  </sheetData>
  <mergeCells count="7">
    <mergeCell ref="N32:N35"/>
    <mergeCell ref="N4:N6"/>
    <mergeCell ref="N7:N8"/>
    <mergeCell ref="N9:N12"/>
    <mergeCell ref="N13:N16"/>
    <mergeCell ref="N17:N22"/>
    <mergeCell ref="N23:N3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53C39-208D-4279-9812-58FAB4248505}">
  <dimension ref="C3:I31"/>
  <sheetViews>
    <sheetView workbookViewId="0">
      <selection activeCell="D21" sqref="D21"/>
    </sheetView>
  </sheetViews>
  <sheetFormatPr defaultRowHeight="12.75" x14ac:dyDescent="0.2"/>
  <cols>
    <col min="3" max="3" width="12.28515625" bestFit="1" customWidth="1"/>
    <col min="4" max="4" width="21" bestFit="1" customWidth="1"/>
    <col min="7" max="7" width="15.7109375" bestFit="1" customWidth="1"/>
    <col min="8" max="8" width="14.42578125" bestFit="1" customWidth="1"/>
    <col min="9" max="9" width="16.42578125" bestFit="1" customWidth="1"/>
  </cols>
  <sheetData>
    <row r="3" spans="3:9" x14ac:dyDescent="0.2">
      <c r="C3" s="1" t="s">
        <v>1</v>
      </c>
      <c r="D3" s="1" t="s">
        <v>31</v>
      </c>
      <c r="G3" s="1" t="s">
        <v>23</v>
      </c>
      <c r="H3" s="1" t="s">
        <v>1</v>
      </c>
      <c r="I3" s="1" t="s">
        <v>6</v>
      </c>
    </row>
    <row r="4" spans="3:9" x14ac:dyDescent="0.2">
      <c r="C4" s="1">
        <v>1</v>
      </c>
      <c r="D4" s="1" t="s">
        <v>32</v>
      </c>
      <c r="E4" s="1"/>
      <c r="G4" s="1" t="s">
        <v>24</v>
      </c>
      <c r="H4" s="1">
        <v>1</v>
      </c>
      <c r="I4" s="1" t="s">
        <v>19</v>
      </c>
    </row>
    <row r="5" spans="3:9" x14ac:dyDescent="0.2">
      <c r="C5" s="1">
        <v>2</v>
      </c>
      <c r="D5" s="1" t="s">
        <v>32</v>
      </c>
      <c r="E5" s="1"/>
      <c r="G5" s="1" t="s">
        <v>24</v>
      </c>
      <c r="H5" s="1">
        <v>2</v>
      </c>
      <c r="I5" s="1" t="s">
        <v>20</v>
      </c>
    </row>
    <row r="6" spans="3:9" x14ac:dyDescent="0.2">
      <c r="C6" s="1">
        <v>3</v>
      </c>
      <c r="D6" s="1" t="s">
        <v>33</v>
      </c>
      <c r="E6" s="1"/>
      <c r="G6" s="1" t="s">
        <v>24</v>
      </c>
      <c r="H6" s="1">
        <v>3</v>
      </c>
      <c r="I6" s="1" t="s">
        <v>19</v>
      </c>
    </row>
    <row r="7" spans="3:9" x14ac:dyDescent="0.2">
      <c r="C7" s="1">
        <v>4</v>
      </c>
      <c r="D7" s="1" t="s">
        <v>33</v>
      </c>
      <c r="E7" s="1"/>
      <c r="G7" s="1" t="s">
        <v>24</v>
      </c>
      <c r="H7" s="1">
        <v>4</v>
      </c>
      <c r="I7" s="1" t="s">
        <v>20</v>
      </c>
    </row>
    <row r="8" spans="3:9" x14ac:dyDescent="0.2">
      <c r="C8" s="1">
        <v>5</v>
      </c>
      <c r="D8" s="1" t="s">
        <v>34</v>
      </c>
      <c r="E8" s="1"/>
      <c r="G8" s="1" t="s">
        <v>24</v>
      </c>
      <c r="H8" s="1">
        <v>5</v>
      </c>
      <c r="I8" s="1" t="s">
        <v>19</v>
      </c>
    </row>
    <row r="9" spans="3:9" x14ac:dyDescent="0.2">
      <c r="C9" s="1">
        <v>6</v>
      </c>
      <c r="D9" s="1" t="s">
        <v>34</v>
      </c>
      <c r="E9" s="1"/>
      <c r="G9" s="1" t="s">
        <v>24</v>
      </c>
      <c r="H9" s="1">
        <v>6</v>
      </c>
      <c r="I9" s="1" t="s">
        <v>20</v>
      </c>
    </row>
    <row r="10" spans="3:9" x14ac:dyDescent="0.2">
      <c r="E10" s="1"/>
      <c r="G10" s="1" t="s">
        <v>25</v>
      </c>
      <c r="H10" s="1">
        <v>1</v>
      </c>
      <c r="I10" s="1" t="s">
        <v>22</v>
      </c>
    </row>
    <row r="11" spans="3:9" x14ac:dyDescent="0.2">
      <c r="C11" s="1"/>
      <c r="D11" s="1"/>
      <c r="E11" s="1"/>
      <c r="G11" s="1" t="s">
        <v>25</v>
      </c>
      <c r="H11" s="1">
        <v>2</v>
      </c>
      <c r="I11" s="1" t="s">
        <v>21</v>
      </c>
    </row>
    <row r="12" spans="3:9" x14ac:dyDescent="0.2">
      <c r="C12" s="1" t="s">
        <v>3</v>
      </c>
      <c r="D12" s="1" t="s">
        <v>23</v>
      </c>
      <c r="E12" s="1"/>
      <c r="G12" s="1" t="s">
        <v>25</v>
      </c>
      <c r="H12" s="1">
        <v>3</v>
      </c>
      <c r="I12" s="1" t="s">
        <v>22</v>
      </c>
    </row>
    <row r="13" spans="3:9" x14ac:dyDescent="0.2">
      <c r="C13" s="1">
        <v>1</v>
      </c>
      <c r="D13" s="1" t="s">
        <v>24</v>
      </c>
      <c r="E13" s="1"/>
      <c r="G13" s="1" t="s">
        <v>25</v>
      </c>
      <c r="H13" s="1">
        <v>4</v>
      </c>
      <c r="I13" s="1" t="s">
        <v>21</v>
      </c>
    </row>
    <row r="14" spans="3:9" x14ac:dyDescent="0.2">
      <c r="C14" s="1">
        <v>4</v>
      </c>
      <c r="D14" s="1" t="s">
        <v>24</v>
      </c>
      <c r="E14" s="1"/>
      <c r="G14" s="1" t="s">
        <v>25</v>
      </c>
      <c r="H14" s="1">
        <v>5</v>
      </c>
      <c r="I14" s="1" t="s">
        <v>22</v>
      </c>
    </row>
    <row r="15" spans="3:9" x14ac:dyDescent="0.2">
      <c r="C15" s="1">
        <v>16</v>
      </c>
      <c r="D15" s="1" t="s">
        <v>24</v>
      </c>
      <c r="E15" s="1"/>
      <c r="G15" s="1" t="s">
        <v>25</v>
      </c>
      <c r="H15" s="1">
        <v>6</v>
      </c>
      <c r="I15" s="1" t="s">
        <v>21</v>
      </c>
    </row>
    <row r="16" spans="3:9" x14ac:dyDescent="0.2">
      <c r="C16" s="1">
        <v>256</v>
      </c>
      <c r="D16" s="1" t="s">
        <v>25</v>
      </c>
      <c r="E16" s="1"/>
    </row>
    <row r="17" spans="3:9" x14ac:dyDescent="0.2">
      <c r="C17" s="1"/>
      <c r="D17" s="1"/>
      <c r="E17" s="1"/>
    </row>
    <row r="18" spans="3:9" x14ac:dyDescent="0.2">
      <c r="G18" s="1" t="s">
        <v>23</v>
      </c>
      <c r="H18" s="1" t="s">
        <v>2</v>
      </c>
      <c r="I18" s="1" t="s">
        <v>30</v>
      </c>
    </row>
    <row r="19" spans="3:9" x14ac:dyDescent="0.2">
      <c r="G19" s="1" t="s">
        <v>24</v>
      </c>
      <c r="H19" s="1">
        <v>1</v>
      </c>
      <c r="I19" s="1" t="s">
        <v>26</v>
      </c>
    </row>
    <row r="20" spans="3:9" x14ac:dyDescent="0.2">
      <c r="G20" s="1" t="s">
        <v>24</v>
      </c>
      <c r="H20" s="1">
        <v>2</v>
      </c>
      <c r="I20" s="1" t="s">
        <v>27</v>
      </c>
    </row>
    <row r="21" spans="3:9" x14ac:dyDescent="0.2">
      <c r="G21" s="1" t="s">
        <v>24</v>
      </c>
      <c r="H21" s="1">
        <v>3</v>
      </c>
      <c r="I21" s="1" t="s">
        <v>28</v>
      </c>
    </row>
    <row r="22" spans="3:9" x14ac:dyDescent="0.2">
      <c r="G22" s="1" t="s">
        <v>24</v>
      </c>
      <c r="H22" s="1">
        <v>4</v>
      </c>
      <c r="I22" s="1" t="s">
        <v>29</v>
      </c>
    </row>
    <row r="23" spans="3:9" x14ac:dyDescent="0.2">
      <c r="G23" s="1" t="s">
        <v>25</v>
      </c>
      <c r="H23" s="1">
        <v>1</v>
      </c>
      <c r="I23" s="1" t="s">
        <v>26</v>
      </c>
    </row>
    <row r="24" spans="3:9" x14ac:dyDescent="0.2">
      <c r="G24" s="1" t="s">
        <v>25</v>
      </c>
      <c r="H24" s="1">
        <v>2</v>
      </c>
      <c r="I24" s="1" t="s">
        <v>26</v>
      </c>
    </row>
    <row r="25" spans="3:9" x14ac:dyDescent="0.2">
      <c r="G25" s="1" t="s">
        <v>25</v>
      </c>
      <c r="H25" s="1">
        <v>3</v>
      </c>
      <c r="I25" s="1" t="s">
        <v>27</v>
      </c>
    </row>
    <row r="26" spans="3:9" x14ac:dyDescent="0.2">
      <c r="G26" s="1" t="s">
        <v>25</v>
      </c>
      <c r="H26" s="1">
        <v>4</v>
      </c>
      <c r="I26" s="1" t="s">
        <v>27</v>
      </c>
    </row>
    <row r="27" spans="3:9" x14ac:dyDescent="0.2">
      <c r="G27" s="1" t="s">
        <v>25</v>
      </c>
      <c r="H27" s="1">
        <v>5</v>
      </c>
      <c r="I27" s="1" t="s">
        <v>28</v>
      </c>
    </row>
    <row r="28" spans="3:9" x14ac:dyDescent="0.2">
      <c r="G28" s="1" t="s">
        <v>25</v>
      </c>
      <c r="H28" s="1">
        <v>6</v>
      </c>
      <c r="I28" s="1" t="s">
        <v>28</v>
      </c>
    </row>
    <row r="29" spans="3:9" x14ac:dyDescent="0.2">
      <c r="G29" s="1" t="s">
        <v>25</v>
      </c>
      <c r="H29" s="1">
        <v>7</v>
      </c>
      <c r="I29" s="1" t="s">
        <v>28</v>
      </c>
    </row>
    <row r="30" spans="3:9" x14ac:dyDescent="0.2">
      <c r="G30" s="1" t="s">
        <v>25</v>
      </c>
      <c r="H30" s="1">
        <v>8</v>
      </c>
      <c r="I30" s="1" t="s">
        <v>29</v>
      </c>
    </row>
    <row r="31" spans="3:9" x14ac:dyDescent="0.2">
      <c r="C31" s="1"/>
      <c r="D31" s="1"/>
      <c r="E31" s="1"/>
      <c r="G31" s="1" t="s">
        <v>25</v>
      </c>
      <c r="H31" s="1">
        <v>9</v>
      </c>
      <c r="I31" s="1" t="s">
        <v>29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RungeKutta</vt:lpstr>
      <vt:lpstr>Bashford</vt:lpstr>
      <vt:lpstr>Moulton</vt:lpstr>
      <vt:lpstr>Completo</vt:lpstr>
      <vt:lpstr>Auxiliares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Pepe Navarro</dc:creator>
  <cp:lastModifiedBy>Pepe Navarro</cp:lastModifiedBy>
  <dcterms:created xsi:type="dcterms:W3CDTF">2026-07-21T10:07:17Z</dcterms:created>
  <dcterms:modified xsi:type="dcterms:W3CDTF">2026-07-22T12:15:03Z</dcterms:modified>
</cp:coreProperties>
</file>