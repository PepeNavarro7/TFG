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oogle Drive\Uni\Fuera del repo TFG\Graficas\"/>
    </mc:Choice>
  </mc:AlternateContent>
  <xr:revisionPtr revIDLastSave="0" documentId="13_ncr:1_{FDCEE633-97E9-4D30-9BF0-51C1A3C21C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uler" sheetId="3" r:id="rId1"/>
    <sheet name="Brusselator1D" sheetId="1" r:id="rId2"/>
    <sheet name="Br2DAB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G5" i="3" s="1"/>
  <c r="D6" i="3"/>
  <c r="F6" i="3" s="1"/>
  <c r="G6" i="3" s="1"/>
  <c r="E6" i="3"/>
  <c r="E7" i="3"/>
  <c r="E8" i="3"/>
  <c r="E9" i="3"/>
  <c r="E10" i="3"/>
  <c r="E11" i="3"/>
  <c r="E12" i="3"/>
  <c r="E13" i="3"/>
  <c r="E14" i="3"/>
  <c r="E15" i="3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G21" i="2"/>
  <c r="G20" i="2"/>
  <c r="G19" i="2"/>
  <c r="G18" i="2"/>
  <c r="G15" i="2"/>
  <c r="G14" i="2"/>
  <c r="G13" i="2"/>
  <c r="G12" i="2"/>
  <c r="G9" i="2"/>
  <c r="G8" i="2"/>
  <c r="G7" i="2"/>
  <c r="G6" i="2"/>
  <c r="F2" i="1"/>
  <c r="F3" i="1"/>
  <c r="E4" i="1"/>
  <c r="F4" i="1"/>
  <c r="E5" i="1"/>
  <c r="F5" i="1" s="1"/>
  <c r="E6" i="1"/>
  <c r="F6" i="1" s="1"/>
  <c r="E7" i="1"/>
  <c r="F7" i="1"/>
  <c r="F10" i="1"/>
  <c r="F11" i="1"/>
  <c r="E12" i="1"/>
  <c r="F12" i="1"/>
  <c r="E13" i="1"/>
  <c r="F13" i="1"/>
  <c r="E14" i="1"/>
  <c r="F14" i="1"/>
  <c r="E15" i="1"/>
  <c r="F15" i="1"/>
  <c r="F18" i="1"/>
  <c r="F19" i="1"/>
  <c r="E20" i="1"/>
  <c r="F20" i="1" s="1"/>
  <c r="E21" i="1"/>
  <c r="F21" i="1"/>
  <c r="E22" i="1"/>
  <c r="F22" i="1" s="1"/>
  <c r="E23" i="1"/>
  <c r="F23" i="1"/>
  <c r="N11" i="2"/>
  <c r="O11" i="2" s="1"/>
  <c r="N12" i="2"/>
  <c r="O12" i="2" s="1"/>
  <c r="N10" i="2"/>
  <c r="O10" i="2" s="1"/>
  <c r="N8" i="2"/>
  <c r="O8" i="2" s="1"/>
  <c r="N9" i="2"/>
  <c r="O9" i="2" s="1"/>
  <c r="N7" i="2"/>
  <c r="O7" i="2" s="1"/>
  <c r="N5" i="2"/>
  <c r="O5" i="2" s="1"/>
  <c r="N6" i="2"/>
  <c r="O6" i="2" s="1"/>
  <c r="N4" i="2"/>
  <c r="O4" i="2" s="1"/>
  <c r="D7" i="3" l="1"/>
  <c r="F7" i="3" l="1"/>
  <c r="G7" i="3" s="1"/>
  <c r="D8" i="3"/>
  <c r="F8" i="3" l="1"/>
  <c r="G8" i="3" s="1"/>
  <c r="D9" i="3"/>
  <c r="F9" i="3" l="1"/>
  <c r="G9" i="3" s="1"/>
  <c r="D10" i="3"/>
  <c r="F10" i="3" l="1"/>
  <c r="G10" i="3" s="1"/>
  <c r="D11" i="3"/>
  <c r="F11" i="3" l="1"/>
  <c r="G11" i="3" s="1"/>
  <c r="D12" i="3"/>
  <c r="F12" i="3" l="1"/>
  <c r="G12" i="3" s="1"/>
  <c r="D13" i="3"/>
  <c r="D14" i="3" l="1"/>
  <c r="F13" i="3"/>
  <c r="G13" i="3" s="1"/>
  <c r="F14" i="3" l="1"/>
  <c r="G14" i="3" s="1"/>
  <c r="D15" i="3"/>
  <c r="F15" i="3" s="1"/>
  <c r="G15" i="3" s="1"/>
</calcChain>
</file>

<file path=xl/sharedStrings.xml><?xml version="1.0" encoding="utf-8"?>
<sst xmlns="http://schemas.openxmlformats.org/spreadsheetml/2006/main" count="93" uniqueCount="26">
  <si>
    <t>Runge Kutta</t>
  </si>
  <si>
    <t>OMP Operaciones</t>
  </si>
  <si>
    <t>OMP Elementos</t>
  </si>
  <si>
    <t>Solver</t>
  </si>
  <si>
    <t>Tipo</t>
  </si>
  <si>
    <t>Hebras</t>
  </si>
  <si>
    <t>T (s)</t>
  </si>
  <si>
    <t>Adams Bashford</t>
  </si>
  <si>
    <t>Adams Bashford Moulton</t>
  </si>
  <si>
    <t>Comparativa de métodos y tecnologías para Brusselator1D, neqn=100K</t>
  </si>
  <si>
    <t>Speedup</t>
  </si>
  <si>
    <t>Efficiency</t>
  </si>
  <si>
    <t>Effiency</t>
  </si>
  <si>
    <t>neqn</t>
  </si>
  <si>
    <t>Brusselator2D, ABM, comparativa por tamaños</t>
  </si>
  <si>
    <t>Me quedo solo con los OMP Operaciones</t>
  </si>
  <si>
    <t>Eficiencia</t>
  </si>
  <si>
    <t>Operaciones</t>
  </si>
  <si>
    <t>Componentes</t>
  </si>
  <si>
    <t>Er (%)</t>
  </si>
  <si>
    <t>Ea</t>
  </si>
  <si>
    <t>Real</t>
  </si>
  <si>
    <t>Euler</t>
  </si>
  <si>
    <t xml:space="preserve">tn </t>
  </si>
  <si>
    <t>delta</t>
  </si>
  <si>
    <t>Comparativa entre aproximar con euler explicito y valor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</si>
</sst>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</cellXfs>
  <cellStyles count="3">
    <cellStyle name="Normal" xfId="0" builtinId="0"/>
    <cellStyle name="Normal 2" xfId="2" xr:uid="{894E2A58-4AB2-4DD0-992A-D8EFC287A90D}"/>
    <cellStyle name="Normal 3" xfId="1" xr:uid="{F071A7C7-C907-4782-97BC-1691119DD71E}"/>
  </cellStyles>
  <dxfs count="2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24096159"/>
        <c:axId val="310251247"/>
      </c:barChart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97-4C27-B2CE-9C3E2C91F8B9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79455"/>
        <c:axId val="310240687"/>
      </c:lineChart>
      <c:catAx>
        <c:axId val="22407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240687"/>
        <c:crosses val="autoZero"/>
        <c:auto val="1"/>
        <c:lblAlgn val="ctr"/>
        <c:lblOffset val="100"/>
        <c:noMultiLvlLbl val="0"/>
      </c:catAx>
      <c:valAx>
        <c:axId val="31024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79455"/>
        <c:crosses val="autoZero"/>
        <c:crossBetween val="between"/>
      </c:valAx>
      <c:valAx>
        <c:axId val="310251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96159"/>
        <c:crosses val="max"/>
        <c:crossBetween val="between"/>
      </c:valAx>
      <c:catAx>
        <c:axId val="224096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0251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7-4378-A8DC-B9D6A3574B73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08368"/>
        <c:axId val="1718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Euler!$F$4</c15:sqref>
                        </c15:formulaRef>
                      </c:ext>
                    </c:extLst>
                    <c:strCache>
                      <c:ptCount val="1"/>
                      <c:pt idx="0">
                        <c:v>Ea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Euler!$C$5:$C$15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  <c:pt idx="10">
                        <c:v>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Euler!$F$5:$F$15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1.8730753077981777E-2</c:v>
                      </c:pt>
                      <c:pt idx="2">
                        <c:v>3.0320046035639314E-2</c:v>
                      </c:pt>
                      <c:pt idx="3">
                        <c:v>3.6811636094026379E-2</c:v>
                      </c:pt>
                      <c:pt idx="4">
                        <c:v>3.9728964117221544E-2</c:v>
                      </c:pt>
                      <c:pt idx="5">
                        <c:v>4.0199441171442307E-2</c:v>
                      </c:pt>
                      <c:pt idx="6">
                        <c:v>3.9050211912202093E-2</c:v>
                      </c:pt>
                      <c:pt idx="7">
                        <c:v>3.6881763941606444E-2</c:v>
                      </c:pt>
                      <c:pt idx="8">
                        <c:v>3.4124357994655352E-2</c:v>
                      </c:pt>
                      <c:pt idx="9">
                        <c:v>3.1081160221586496E-2</c:v>
                      </c:pt>
                      <c:pt idx="10">
                        <c:v>2.7961100836612671E-2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FD7-4378-A8DC-B9D6A3574B7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3"/>
          <c:order val="3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51296"/>
        <c:axId val="1722192"/>
      </c:lineChart>
      <c:catAx>
        <c:axId val="21380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832"/>
        <c:crosses val="autoZero"/>
        <c:auto val="1"/>
        <c:lblAlgn val="ctr"/>
        <c:lblOffset val="100"/>
        <c:noMultiLvlLbl val="0"/>
      </c:catAx>
      <c:valAx>
        <c:axId val="17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08368"/>
        <c:crosses val="autoZero"/>
        <c:crossBetween val="between"/>
      </c:valAx>
      <c:valAx>
        <c:axId val="17221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51296"/>
        <c:crosses val="max"/>
        <c:crossBetween val="between"/>
      </c:valAx>
      <c:catAx>
        <c:axId val="213751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2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542925</xdr:colOff>
      <xdr:row>17</xdr:row>
      <xdr:rowOff>28575</xdr:rowOff>
    </xdr:from>
    <xdr:to>
      <xdr:col>8</xdr:col>
      <xdr:colOff>276225</xdr:colOff>
      <xdr:row>31</xdr:row>
      <xdr:rowOff>104775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05A7906-FE4D-43E5-8822-53D23616B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571500</xdr:colOff>
      <xdr:row>9</xdr:row>
      <xdr:rowOff>52387</xdr:rowOff>
    </xdr:from>
    <xdr:to>
      <xdr:col>17</xdr:col>
      <xdr:colOff>266700</xdr:colOff>
      <xdr:row>23</xdr:row>
      <xdr:rowOff>128587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3647F131-6CBD-4B4B-9225-C0DC032175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B785B-3DBB-48A6-A06F-66AD47E61501}" name="Table1" displayName="Table1" ref="A1:F7" totalsRowShown="0">
  <autoFilter ref="A1:F7" xr:uid="{659B785B-3DBB-48A6-A06F-66AD47E61501}"/>
  <sortState xmlns:xlrd2="http://schemas.microsoft.com/office/spreadsheetml/2017/richdata2" ref="A2:D7">
    <sortCondition descending="1" ref="D1:D7"/>
  </sortState>
  <tableColumns count="6">
    <tableColumn id="1" xr3:uid="{64D764BE-A1C8-4AF1-9263-61B615112094}" name="Solver"/>
    <tableColumn id="3" xr3:uid="{F4DB240D-67AC-4CB5-BB42-D3D1B276AABA}" name="Tipo"/>
    <tableColumn id="7" xr3:uid="{64FA0956-3E24-4150-B966-D174B7BC073B}" name="Hebras"/>
    <tableColumn id="10" xr3:uid="{1B8321A3-89E7-440F-AC38-60832AF9D3BF}" name="T (s)"/>
    <tableColumn id="4" xr3:uid="{2A319FA1-3453-4EE4-B2DC-4F5247C2B6CA}" name="Speedup"/>
    <tableColumn id="5" xr3:uid="{C8FBE361-944A-4D70-9B75-2CFCB1A1B454}" name="Efficiency" dataDxfId="12">
      <calculatedColumnFormula>Table1[[#This Row],[Speedup]]/Table1[[#This Row],[Hebras]]*100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862F51-80EA-4323-A23D-AD6AF32D6737}" name="Table5" displayName="Table5" ref="A17:F23" totalsRowShown="0" tableBorderDxfId="11">
  <autoFilter ref="A17:F23" xr:uid="{4C862F51-80EA-4323-A23D-AD6AF32D6737}"/>
  <sortState xmlns:xlrd2="http://schemas.microsoft.com/office/spreadsheetml/2017/richdata2" ref="A18:D23">
    <sortCondition descending="1" ref="D17:D23"/>
  </sortState>
  <tableColumns count="6">
    <tableColumn id="1" xr3:uid="{969FCA7D-D340-4C13-86B2-C6EAC19CA12B}" name="Solver" dataDxfId="10"/>
    <tableColumn id="2" xr3:uid="{F8648533-FD1A-4D6C-8084-2704645141D9}" name="Tipo" dataDxfId="9"/>
    <tableColumn id="3" xr3:uid="{DC1BAEBC-A405-45AC-8E1D-FF0D7620EE8C}" name="Hebras" dataDxfId="8"/>
    <tableColumn id="4" xr3:uid="{3D2F94AF-2C19-468F-80BC-25BE9607F57F}" name="T (s)" dataDxfId="7"/>
    <tableColumn id="5" xr3:uid="{BF613CE6-6DEF-4C0B-848D-8F065FCF2C50}" name="Speedup"/>
    <tableColumn id="6" xr3:uid="{0B73B7C0-235F-4E05-B847-5F924635199C}" name="Effiency" dataDxfId="6">
      <calculatedColumnFormula>Table5[[#This Row],[Speedup]]/Table5[[#This Row],[Hebras]]*100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F64B1B-7B7C-4525-B20C-2EFC812E8E5A}" name="Table4" displayName="Table4" ref="A9:F15" totalsRowShown="0" tableBorderDxfId="5">
  <autoFilter ref="A9:F15" xr:uid="{92F64B1B-7B7C-4525-B20C-2EFC812E8E5A}"/>
  <sortState xmlns:xlrd2="http://schemas.microsoft.com/office/spreadsheetml/2017/richdata2" ref="A10:D15">
    <sortCondition descending="1" ref="D9:D15"/>
  </sortState>
  <tableColumns count="6">
    <tableColumn id="1" xr3:uid="{7672D6E0-6AC8-4B4D-A458-0BEE8A35C91C}" name="Solver" dataDxfId="4"/>
    <tableColumn id="2" xr3:uid="{6C7C42B2-536F-4E04-830E-69EE87657A05}" name="Tipo" dataDxfId="3"/>
    <tableColumn id="3" xr3:uid="{64021EE0-9E33-4FD5-83BD-34DA6D8320B7}" name="Hebras" dataDxfId="2"/>
    <tableColumn id="4" xr3:uid="{397664F5-F154-4BCD-AD93-987F3D8C8EFE}" name="T (s)" dataDxfId="1"/>
    <tableColumn id="5" xr3:uid="{417AEB65-89EB-4AD8-BE23-D32970ABEDB3}" name="Speedup"/>
    <tableColumn id="6" xr3:uid="{BD17F5F8-C972-4C88-8F9D-3540C6C6AE0F}" name="Efficiency" dataDxfId="0">
      <calculatedColumnFormula>Table4[[#This Row],[Speedup]]/Table4[[#This Row],[Hebras]]*100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8ECA13-2EB2-4FC1-85DE-E2A3D0878827}" name="Tabla2" displayName="Tabla2" ref="C3:H21" totalsRowShown="0">
  <autoFilter ref="C3:H21" xr:uid="{8C8ECA13-2EB2-4FC1-85DE-E2A3D0878827}"/>
  <sortState xmlns:xlrd2="http://schemas.microsoft.com/office/spreadsheetml/2017/richdata2" ref="C4:F21">
    <sortCondition ref="C3:C21"/>
  </sortState>
  <tableColumns count="6">
    <tableColumn id="9" xr3:uid="{EAE8B2A8-3789-4BB9-9764-B0D40A6A5FB5}" name="neqn"/>
    <tableColumn id="7" xr3:uid="{8AC74CB1-E1B9-4D88-BBA0-B5D0E5512B74}" name="Hebras"/>
    <tableColumn id="3" xr3:uid="{3A3C5E88-C7DA-483A-917E-BB271E1A560D}" name="Tipo"/>
    <tableColumn id="10" xr3:uid="{16A7936E-BB2A-4361-A80F-5CD098124D72}" name="T (s)"/>
    <tableColumn id="1" xr3:uid="{99669171-F1C7-4284-B05F-40B0C07B15FF}" name="Speedup"/>
    <tableColumn id="2" xr3:uid="{0F99AB6F-95B0-48AC-AFFA-9572A938E9D5}" name="Effiency" dataDxfId="21">
      <calculatedColumnFormula>Tabla2[[#This Row],[Speedup]]/Tabla2[[#This Row],[Hebras]]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0B26C9-CF13-4F25-BA27-B1B312614597}" name="Tabla3" displayName="Tabla3" ref="K3:O12" totalsRowShown="0" headerRowDxfId="20" dataDxfId="19" tableBorderDxfId="18">
  <autoFilter ref="K3:O12" xr:uid="{500B26C9-CF13-4F25-BA27-B1B312614597}"/>
  <tableColumns count="5">
    <tableColumn id="1" xr3:uid="{9B87CB8C-71FB-48E7-ABD0-361458E1F0C5}" name="Hebras" dataDxfId="17"/>
    <tableColumn id="2" xr3:uid="{7EE98D31-1E21-441D-ABE1-C50ADAD61A70}" name="neqn" dataDxfId="16"/>
    <tableColumn id="3" xr3:uid="{147E8177-E9F7-4A21-8C6F-F807667557B0}" name="T (s)" dataDxfId="15"/>
    <tableColumn id="4" xr3:uid="{9CC0064A-ACE5-4E3E-870C-8D7A7547540E}" name="Speedup" dataDxfId="14"/>
    <tableColumn id="5" xr3:uid="{A4DD618E-02AE-479D-AF72-8E73365EF307}" name="Eficiencia" dataDxfId="13">
      <calculatedColumnFormula>Tabla3[[#This Row],[Speedup]]/Tabla3[[#This Row],[Hebras]]*100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B31-A61A-4D4E-8CB7-A1ED8F1176DF}">
  <dimension ref="A1:I15"/>
  <sheetViews>
    <sheetView tabSelected="1" workbookViewId="0">
      <selection activeCell="G15" sqref="G15"/>
    </sheetView>
  </sheetViews>
  <sheetFormatPr baseColWidth="10" defaultColWidth="9.140625" defaultRowHeight="15" x14ac:dyDescent="0.25"/>
  <cols>
    <col min="4" max="5" width="12" bestFit="1" customWidth="1"/>
    <col min="7" max="7" width="12" bestFit="1" customWidth="1"/>
  </cols>
  <sheetData>
    <row r="1" spans="1:9" x14ac:dyDescent="0.25">
      <c r="A1" t="s">
        <v>25</v>
      </c>
    </row>
    <row r="2" spans="1:9" x14ac:dyDescent="0.25">
      <c r="H2" t="s">
        <v>24</v>
      </c>
      <c r="I2">
        <v>0.1</v>
      </c>
    </row>
    <row r="4" spans="1:9" x14ac:dyDescent="0.25">
      <c r="C4" t="s">
        <v>23</v>
      </c>
      <c r="D4" t="s">
        <v>22</v>
      </c>
      <c r="E4" t="s">
        <v>21</v>
      </c>
      <c r="F4" t="s">
        <v>20</v>
      </c>
      <c r="G4" t="s">
        <v>19</v>
      </c>
    </row>
    <row r="5" spans="1:9" x14ac:dyDescent="0.25">
      <c r="C5">
        <v>0</v>
      </c>
      <c r="D5">
        <v>1</v>
      </c>
      <c r="E5">
        <v>1</v>
      </c>
      <c r="F5">
        <f>ABS(D5-E5)</f>
        <v>0</v>
      </c>
      <c r="G5">
        <f>F5/E5</f>
        <v>0</v>
      </c>
    </row>
    <row r="6" spans="1:9" x14ac:dyDescent="0.25">
      <c r="C6">
        <v>0.1</v>
      </c>
      <c r="D6">
        <f>D5+$I$2*(-2*D5)</f>
        <v>0.8</v>
      </c>
      <c r="E6">
        <f>EXP(-2*C6)</f>
        <v>0.81873075307798182</v>
      </c>
      <c r="F6">
        <f>ABS(D6-E6)</f>
        <v>1.8730753077981777E-2</v>
      </c>
      <c r="G6">
        <f>(F6/E6)*100</f>
        <v>2.2877793471864036</v>
      </c>
    </row>
    <row r="7" spans="1:9" x14ac:dyDescent="0.25">
      <c r="C7">
        <v>0.2</v>
      </c>
      <c r="D7">
        <f>D6+$I$2*(-2*D6)</f>
        <v>0.64</v>
      </c>
      <c r="E7">
        <f>EXP(-2*C7)</f>
        <v>0.67032004603563933</v>
      </c>
      <c r="F7">
        <f>ABS(D7-E7)</f>
        <v>3.0320046035639314E-2</v>
      </c>
      <c r="G7">
        <f>(F7/E7)*100</f>
        <v>4.5232193509587013</v>
      </c>
    </row>
    <row r="8" spans="1:9" x14ac:dyDescent="0.25">
      <c r="C8">
        <v>0.3</v>
      </c>
      <c r="D8">
        <f>D7+$I$2*(-2*D7)</f>
        <v>0.51200000000000001</v>
      </c>
      <c r="E8">
        <f>EXP(-2*C8)</f>
        <v>0.54881163609402639</v>
      </c>
      <c r="F8">
        <f>ABS(D8-E8)</f>
        <v>3.6811636094026379E-2</v>
      </c>
      <c r="G8">
        <f>(F8/E8)*100</f>
        <v>6.7075174200059315</v>
      </c>
    </row>
    <row r="9" spans="1:9" x14ac:dyDescent="0.25">
      <c r="C9">
        <v>0.4</v>
      </c>
      <c r="D9">
        <f>D8+$I$2*(-2*D8)</f>
        <v>0.40960000000000002</v>
      </c>
      <c r="E9">
        <f>EXP(-2*C9)</f>
        <v>0.44932896411722156</v>
      </c>
      <c r="F9">
        <f>ABS(D9-E9)</f>
        <v>3.9728964117221544E-2</v>
      </c>
      <c r="G9">
        <f>(F9/E9)*100</f>
        <v>8.8418435689485175</v>
      </c>
    </row>
    <row r="10" spans="1:9" x14ac:dyDescent="0.25">
      <c r="C10">
        <v>0.5</v>
      </c>
      <c r="D10">
        <f>D9+$I$2*(-2*D9)</f>
        <v>0.32768000000000003</v>
      </c>
      <c r="E10">
        <f>EXP(-2*C10)</f>
        <v>0.36787944117144233</v>
      </c>
      <c r="F10">
        <f>ABS(D10-E10)</f>
        <v>4.0199441171442307E-2</v>
      </c>
      <c r="G10">
        <f>(F10/E10)*100</f>
        <v>10.927341045054002</v>
      </c>
    </row>
    <row r="11" spans="1:9" x14ac:dyDescent="0.25">
      <c r="C11">
        <v>0.6</v>
      </c>
      <c r="D11">
        <f>D10+$I$2*(-2*D10)</f>
        <v>0.26214400000000004</v>
      </c>
      <c r="E11">
        <f>EXP(-2*C11)</f>
        <v>0.30119421191220214</v>
      </c>
      <c r="F11">
        <f>ABS(D11-E11)</f>
        <v>3.9050211912202093E-2</v>
      </c>
      <c r="G11">
        <f>(F11/E11)*100</f>
        <v>12.965126940615047</v>
      </c>
    </row>
    <row r="12" spans="1:9" x14ac:dyDescent="0.25">
      <c r="C12">
        <v>0.7</v>
      </c>
      <c r="D12">
        <f>D11+$I$2*(-2*D11)</f>
        <v>0.20971520000000005</v>
      </c>
      <c r="E12">
        <f>EXP(-2*C12)</f>
        <v>0.24659696394160649</v>
      </c>
      <c r="F12">
        <f>ABS(D12-E12)</f>
        <v>3.6881763941606444E-2</v>
      </c>
      <c r="G12">
        <f>(F12/E12)*100</f>
        <v>14.956292791317555</v>
      </c>
    </row>
    <row r="13" spans="1:9" x14ac:dyDescent="0.25">
      <c r="C13">
        <v>0.8</v>
      </c>
      <c r="D13">
        <f>D12+$I$2*(-2*D12)</f>
        <v>0.16777216000000003</v>
      </c>
      <c r="E13">
        <f>EXP(-2*C13)</f>
        <v>0.20189651799465538</v>
      </c>
      <c r="F13">
        <f>ABS(D13-E13)</f>
        <v>3.4124357994655352E-2</v>
      </c>
      <c r="G13">
        <f>(F13/E13)*100</f>
        <v>16.901905160919465</v>
      </c>
    </row>
    <row r="14" spans="1:9" x14ac:dyDescent="0.25">
      <c r="C14">
        <v>0.9</v>
      </c>
      <c r="D14">
        <f>D13+$I$2*(-2*D13)</f>
        <v>0.13421772800000004</v>
      </c>
      <c r="E14">
        <f>EXP(-2*C14)</f>
        <v>0.16529888822158653</v>
      </c>
      <c r="F14">
        <f>ABS(D14-E14)</f>
        <v>3.1081160221586496E-2</v>
      </c>
      <c r="G14">
        <f>(F14/E14)*100</f>
        <v>18.803006212553328</v>
      </c>
    </row>
    <row r="15" spans="1:9" x14ac:dyDescent="0.25">
      <c r="C15">
        <v>1</v>
      </c>
      <c r="D15">
        <f>D14+$I$2*(-2*D14)</f>
        <v>0.10737418240000003</v>
      </c>
      <c r="E15">
        <f>EXP(-2*C15)</f>
        <v>0.1353352832366127</v>
      </c>
      <c r="F15">
        <f>ABS(D15-E15)</f>
        <v>2.7961100836612671E-2</v>
      </c>
      <c r="G15">
        <f>(F15/E15)*100</f>
        <v>20.660614266958774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23.7109375" bestFit="1" customWidth="1"/>
    <col min="2" max="2" width="17" bestFit="1" customWidth="1"/>
    <col min="3" max="3" width="9.28515625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10</v>
      </c>
      <c r="F1" t="s">
        <v>11</v>
      </c>
      <c r="H1" t="s">
        <v>9</v>
      </c>
    </row>
    <row r="2" spans="1:8" x14ac:dyDescent="0.25">
      <c r="A2" t="s">
        <v>0</v>
      </c>
      <c r="B2" t="s">
        <v>2</v>
      </c>
      <c r="C2">
        <v>1</v>
      </c>
      <c r="D2">
        <v>2501.84</v>
      </c>
      <c r="E2">
        <v>1</v>
      </c>
      <c r="F2">
        <f>Table1[[#This Row],[Speedup]]/Table1[[#This Row],[Hebras]]*100</f>
        <v>100</v>
      </c>
    </row>
    <row r="3" spans="1:8" x14ac:dyDescent="0.25">
      <c r="A3" t="s">
        <v>0</v>
      </c>
      <c r="B3" t="s">
        <v>1</v>
      </c>
      <c r="C3">
        <v>1</v>
      </c>
      <c r="D3">
        <v>1544.87</v>
      </c>
      <c r="E3">
        <v>1</v>
      </c>
      <c r="F3">
        <f>Table1[[#This Row],[Speedup]]/Table1[[#This Row],[Hebras]]*100</f>
        <v>100</v>
      </c>
    </row>
    <row r="4" spans="1:8" x14ac:dyDescent="0.25">
      <c r="A4" t="s">
        <v>0</v>
      </c>
      <c r="B4" t="s">
        <v>2</v>
      </c>
      <c r="C4">
        <v>4</v>
      </c>
      <c r="D4">
        <v>670.50400000000002</v>
      </c>
      <c r="E4">
        <f>D2/Table1[[#This Row],[T (s)]]</f>
        <v>3.7312827365683128</v>
      </c>
      <c r="F4">
        <f>Table1[[#This Row],[Speedup]]/Table1[[#This Row],[Hebras]]*100</f>
        <v>93.282068414207814</v>
      </c>
    </row>
    <row r="5" spans="1:8" x14ac:dyDescent="0.25">
      <c r="A5" t="s">
        <v>0</v>
      </c>
      <c r="B5" t="s">
        <v>1</v>
      </c>
      <c r="C5">
        <v>4</v>
      </c>
      <c r="D5">
        <v>371.93</v>
      </c>
      <c r="E5">
        <f>D3/Table1[[#This Row],[T (s)]]</f>
        <v>4.153657946387761</v>
      </c>
      <c r="F5">
        <f>Table1[[#This Row],[Speedup]]/Table1[[#This Row],[Hebras]]*100</f>
        <v>103.84144865969402</v>
      </c>
    </row>
    <row r="6" spans="1:8" x14ac:dyDescent="0.25">
      <c r="A6" t="s">
        <v>0</v>
      </c>
      <c r="B6" t="s">
        <v>2</v>
      </c>
      <c r="C6">
        <v>16</v>
      </c>
      <c r="D6">
        <v>197.065</v>
      </c>
      <c r="E6">
        <f>D2/Table1[[#This Row],[T (s)]]</f>
        <v>12.695506558749653</v>
      </c>
      <c r="F6">
        <f>Table1[[#This Row],[Speedup]]/Table1[[#This Row],[Hebras]]*100</f>
        <v>79.34691599218533</v>
      </c>
    </row>
    <row r="7" spans="1:8" x14ac:dyDescent="0.25">
      <c r="A7" t="s">
        <v>0</v>
      </c>
      <c r="B7" t="s">
        <v>1</v>
      </c>
      <c r="C7">
        <v>16</v>
      </c>
      <c r="D7">
        <v>180.327</v>
      </c>
      <c r="E7">
        <f>D3/Table1[[#This Row],[T (s)]]</f>
        <v>8.5670476412295429</v>
      </c>
      <c r="F7">
        <f>Table1[[#This Row],[Speedup]]/Table1[[#This Row],[Hebras]]*100</f>
        <v>53.544047757684645</v>
      </c>
    </row>
    <row r="9" spans="1:8" x14ac:dyDescent="0.25">
      <c r="A9" t="s">
        <v>3</v>
      </c>
      <c r="B9" t="s">
        <v>4</v>
      </c>
      <c r="C9" t="s">
        <v>5</v>
      </c>
      <c r="D9" t="s">
        <v>6</v>
      </c>
      <c r="E9" t="s">
        <v>10</v>
      </c>
      <c r="F9" t="s">
        <v>11</v>
      </c>
    </row>
    <row r="10" spans="1:8" x14ac:dyDescent="0.25">
      <c r="A10" s="4" t="s">
        <v>7</v>
      </c>
      <c r="B10" s="5" t="s">
        <v>2</v>
      </c>
      <c r="C10" s="5">
        <v>1</v>
      </c>
      <c r="D10" s="6">
        <v>707.63400000000001</v>
      </c>
      <c r="E10">
        <v>1</v>
      </c>
      <c r="F10">
        <f>Table4[[#This Row],[Speedup]]/Table4[[#This Row],[Hebras]]*100</f>
        <v>100</v>
      </c>
    </row>
    <row r="11" spans="1:8" x14ac:dyDescent="0.25">
      <c r="A11" s="1" t="s">
        <v>7</v>
      </c>
      <c r="B11" s="2" t="s">
        <v>1</v>
      </c>
      <c r="C11" s="2">
        <v>1</v>
      </c>
      <c r="D11" s="3">
        <v>556.05100000000004</v>
      </c>
      <c r="E11">
        <v>1</v>
      </c>
      <c r="F11">
        <f>Table4[[#This Row],[Speedup]]/Table4[[#This Row],[Hebras]]*100</f>
        <v>100</v>
      </c>
    </row>
    <row r="12" spans="1:8" x14ac:dyDescent="0.25">
      <c r="A12" s="4" t="s">
        <v>7</v>
      </c>
      <c r="B12" s="5" t="s">
        <v>2</v>
      </c>
      <c r="C12" s="5">
        <v>4</v>
      </c>
      <c r="D12" s="6">
        <v>179.559</v>
      </c>
      <c r="E12">
        <f>D10/Table4[[#This Row],[T (s)]]</f>
        <v>3.940955340584432</v>
      </c>
      <c r="F12">
        <f>Table4[[#This Row],[Speedup]]/Table4[[#This Row],[Hebras]]*100</f>
        <v>98.523883514610802</v>
      </c>
    </row>
    <row r="13" spans="1:8" x14ac:dyDescent="0.25">
      <c r="A13" s="1" t="s">
        <v>7</v>
      </c>
      <c r="B13" s="2" t="s">
        <v>1</v>
      </c>
      <c r="C13" s="2">
        <v>4</v>
      </c>
      <c r="D13" s="3">
        <v>130.99299999999999</v>
      </c>
      <c r="E13">
        <f>D11/Table4[[#This Row],[T (s)]]</f>
        <v>4.2448909483712871</v>
      </c>
      <c r="F13">
        <f>Table4[[#This Row],[Speedup]]/Table4[[#This Row],[Hebras]]*100</f>
        <v>106.12227370928218</v>
      </c>
    </row>
    <row r="14" spans="1:8" x14ac:dyDescent="0.25">
      <c r="A14" s="10" t="s">
        <v>7</v>
      </c>
      <c r="B14" s="11" t="s">
        <v>2</v>
      </c>
      <c r="C14" s="11">
        <v>16</v>
      </c>
      <c r="D14" s="12">
        <v>56.517400000000002</v>
      </c>
      <c r="E14">
        <f>D10/Table4[[#This Row],[T (s)]]</f>
        <v>12.520639661414007</v>
      </c>
      <c r="F14">
        <f>Table4[[#This Row],[Speedup]]/Table4[[#This Row],[Hebras]]*100</f>
        <v>78.253997883837542</v>
      </c>
    </row>
    <row r="15" spans="1:8" x14ac:dyDescent="0.25">
      <c r="A15" s="4" t="s">
        <v>7</v>
      </c>
      <c r="B15" s="5" t="s">
        <v>1</v>
      </c>
      <c r="C15" s="5">
        <v>16</v>
      </c>
      <c r="D15" s="6">
        <v>66.148499999999999</v>
      </c>
      <c r="E15">
        <f>D11/Table4[[#This Row],[T (s)]]</f>
        <v>8.4061014233126983</v>
      </c>
      <c r="F15">
        <f>Table4[[#This Row],[Speedup]]/Table4[[#This Row],[Hebras]]*100</f>
        <v>52.538133895704362</v>
      </c>
    </row>
    <row r="17" spans="1:6" x14ac:dyDescent="0.25">
      <c r="A17" t="s">
        <v>3</v>
      </c>
      <c r="B17" t="s">
        <v>4</v>
      </c>
      <c r="C17" t="s">
        <v>5</v>
      </c>
      <c r="D17" t="s">
        <v>6</v>
      </c>
      <c r="E17" t="s">
        <v>10</v>
      </c>
      <c r="F17" t="s">
        <v>12</v>
      </c>
    </row>
    <row r="18" spans="1:6" x14ac:dyDescent="0.25">
      <c r="A18" s="1" t="s">
        <v>8</v>
      </c>
      <c r="B18" s="2" t="s">
        <v>2</v>
      </c>
      <c r="C18" s="2">
        <v>1</v>
      </c>
      <c r="D18" s="3">
        <v>2914.04</v>
      </c>
      <c r="E18">
        <v>1</v>
      </c>
      <c r="F18">
        <f>Table5[[#This Row],[Speedup]]/Table5[[#This Row],[Hebras]]*100</f>
        <v>100</v>
      </c>
    </row>
    <row r="19" spans="1:6" x14ac:dyDescent="0.25">
      <c r="A19" s="4" t="s">
        <v>8</v>
      </c>
      <c r="B19" s="5" t="s">
        <v>1</v>
      </c>
      <c r="C19" s="5">
        <v>1</v>
      </c>
      <c r="D19" s="6">
        <v>1772.73</v>
      </c>
      <c r="E19">
        <v>1</v>
      </c>
      <c r="F19">
        <f>Table5[[#This Row],[Speedup]]/Table5[[#This Row],[Hebras]]*100</f>
        <v>100</v>
      </c>
    </row>
    <row r="20" spans="1:6" x14ac:dyDescent="0.25">
      <c r="A20" s="1" t="s">
        <v>8</v>
      </c>
      <c r="B20" s="2" t="s">
        <v>2</v>
      </c>
      <c r="C20" s="2">
        <v>4</v>
      </c>
      <c r="D20" s="3">
        <v>785.55499999999995</v>
      </c>
      <c r="E20">
        <f>$D$19/Table5[[#This Row],[T (s)]]</f>
        <v>2.256659304568108</v>
      </c>
      <c r="F20">
        <f>Table5[[#This Row],[Speedup]]/Table5[[#This Row],[Hebras]]*100</f>
        <v>56.4164826142027</v>
      </c>
    </row>
    <row r="21" spans="1:6" x14ac:dyDescent="0.25">
      <c r="A21" s="4" t="s">
        <v>8</v>
      </c>
      <c r="B21" s="5" t="s">
        <v>1</v>
      </c>
      <c r="C21" s="5">
        <v>4</v>
      </c>
      <c r="D21" s="6">
        <v>438.01799999999997</v>
      </c>
      <c r="E21">
        <f>D19/Table5[[#This Row],[T (s)]]</f>
        <v>4.047162445378957</v>
      </c>
      <c r="F21">
        <f>Table5[[#This Row],[Speedup]]/Table5[[#This Row],[Hebras]]*100</f>
        <v>101.17906113447393</v>
      </c>
    </row>
    <row r="22" spans="1:6" x14ac:dyDescent="0.25">
      <c r="A22" s="1" t="s">
        <v>8</v>
      </c>
      <c r="B22" s="2" t="s">
        <v>2</v>
      </c>
      <c r="C22" s="2">
        <v>16</v>
      </c>
      <c r="D22" s="3">
        <v>237.23599999999999</v>
      </c>
      <c r="E22">
        <f>D18/Table5[[#This Row],[T (s)]]</f>
        <v>12.283295958454872</v>
      </c>
      <c r="F22">
        <f>Table5[[#This Row],[Speedup]]/Table5[[#This Row],[Hebras]]*100</f>
        <v>76.770599740342945</v>
      </c>
    </row>
    <row r="23" spans="1:6" x14ac:dyDescent="0.25">
      <c r="A23" s="7" t="s">
        <v>8</v>
      </c>
      <c r="B23" s="8" t="s">
        <v>1</v>
      </c>
      <c r="C23" s="8">
        <v>16</v>
      </c>
      <c r="D23" s="9">
        <v>219.91800000000001</v>
      </c>
      <c r="E23">
        <f>D19/Table5[[#This Row],[T (s)]]</f>
        <v>8.0608681417619295</v>
      </c>
      <c r="F23">
        <f>Table5[[#This Row],[Speedup]]/Table5[[#This Row],[Hebras]]*100</f>
        <v>50.380425886012063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7181-4225-450D-ACFE-7DC0A46F4CB5}">
  <dimension ref="C1:O21"/>
  <sheetViews>
    <sheetView workbookViewId="0">
      <selection activeCell="H24" sqref="H24"/>
    </sheetView>
  </sheetViews>
  <sheetFormatPr baseColWidth="10" defaultRowHeight="15" x14ac:dyDescent="0.25"/>
  <cols>
    <col min="3" max="3" width="18.5703125" bestFit="1" customWidth="1"/>
    <col min="4" max="4" width="9.42578125" bestFit="1" customWidth="1"/>
    <col min="5" max="5" width="17" bestFit="1" customWidth="1"/>
    <col min="8" max="8" width="11.7109375" customWidth="1"/>
    <col min="15" max="15" width="11.85546875" bestFit="1" customWidth="1"/>
  </cols>
  <sheetData>
    <row r="1" spans="3:15" x14ac:dyDescent="0.25">
      <c r="C1" t="s">
        <v>14</v>
      </c>
      <c r="K1" t="s">
        <v>15</v>
      </c>
    </row>
    <row r="3" spans="3:15" x14ac:dyDescent="0.25">
      <c r="C3" t="s">
        <v>13</v>
      </c>
      <c r="D3" t="s">
        <v>5</v>
      </c>
      <c r="E3" t="s">
        <v>4</v>
      </c>
      <c r="F3" t="s">
        <v>6</v>
      </c>
      <c r="G3" t="s">
        <v>10</v>
      </c>
      <c r="H3" t="s">
        <v>12</v>
      </c>
      <c r="K3" t="s">
        <v>5</v>
      </c>
      <c r="L3" t="s">
        <v>13</v>
      </c>
      <c r="M3" t="s">
        <v>6</v>
      </c>
      <c r="N3" t="s">
        <v>10</v>
      </c>
      <c r="O3" t="s">
        <v>16</v>
      </c>
    </row>
    <row r="4" spans="3:15" x14ac:dyDescent="0.25">
      <c r="C4">
        <v>45000</v>
      </c>
      <c r="D4">
        <v>1</v>
      </c>
      <c r="E4" t="s">
        <v>17</v>
      </c>
      <c r="F4">
        <v>976.06100000000004</v>
      </c>
      <c r="G4">
        <v>1</v>
      </c>
      <c r="H4">
        <f>Tabla2[[#This Row],[Speedup]]/Tabla2[[#This Row],[Hebras]]</f>
        <v>1</v>
      </c>
      <c r="K4">
        <v>1</v>
      </c>
      <c r="L4">
        <v>45000</v>
      </c>
      <c r="M4">
        <v>976.06100000000004</v>
      </c>
      <c r="N4">
        <f>$M$4/Tabla3[[#This Row],[T (s)]]</f>
        <v>1</v>
      </c>
      <c r="O4">
        <f>Tabla3[[#This Row],[Speedup]]/Tabla3[[#This Row],[Hebras]]*100</f>
        <v>100</v>
      </c>
    </row>
    <row r="5" spans="3:15" x14ac:dyDescent="0.25">
      <c r="C5">
        <v>45000</v>
      </c>
      <c r="D5">
        <v>1</v>
      </c>
      <c r="E5" t="s">
        <v>18</v>
      </c>
      <c r="F5">
        <v>2151.79</v>
      </c>
      <c r="G5">
        <v>1</v>
      </c>
      <c r="H5">
        <f>Tabla2[[#This Row],[Speedup]]/Tabla2[[#This Row],[Hebras]]</f>
        <v>1</v>
      </c>
      <c r="K5">
        <v>4</v>
      </c>
      <c r="L5">
        <v>45000</v>
      </c>
      <c r="M5">
        <v>263.08100000000002</v>
      </c>
      <c r="N5">
        <f>$M$4/Tabla3[[#This Row],[T (s)]]</f>
        <v>3.7101158958647718</v>
      </c>
      <c r="O5">
        <f>Tabla3[[#This Row],[Speedup]]/Tabla3[[#This Row],[Hebras]]*100</f>
        <v>92.752897396619289</v>
      </c>
    </row>
    <row r="6" spans="3:15" x14ac:dyDescent="0.25">
      <c r="C6">
        <v>45000</v>
      </c>
      <c r="D6">
        <v>4</v>
      </c>
      <c r="E6" t="s">
        <v>17</v>
      </c>
      <c r="F6">
        <v>263.08100000000002</v>
      </c>
      <c r="G6">
        <f>F4/Tabla2[[#This Row],[T (s)]]</f>
        <v>3.7101158958647718</v>
      </c>
      <c r="H6">
        <f>Tabla2[[#This Row],[Speedup]]/Tabla2[[#This Row],[Hebras]]</f>
        <v>0.92752897396619294</v>
      </c>
      <c r="K6">
        <v>16</v>
      </c>
      <c r="L6">
        <v>45000</v>
      </c>
      <c r="M6">
        <v>180.66200000000001</v>
      </c>
      <c r="N6">
        <f>$M$4/Tabla3[[#This Row],[T (s)]]</f>
        <v>5.4026912134261771</v>
      </c>
      <c r="O6">
        <f>Tabla3[[#This Row],[Speedup]]/Tabla3[[#This Row],[Hebras]]*100</f>
        <v>33.766820083913608</v>
      </c>
    </row>
    <row r="7" spans="3:15" x14ac:dyDescent="0.25">
      <c r="C7">
        <v>45000</v>
      </c>
      <c r="D7">
        <v>4</v>
      </c>
      <c r="E7" t="s">
        <v>18</v>
      </c>
      <c r="F7">
        <v>569.69299999999998</v>
      </c>
      <c r="G7">
        <f>F5/Tabla2[[#This Row],[T (s)]]</f>
        <v>3.777104510675048</v>
      </c>
      <c r="H7">
        <f>Tabla2[[#This Row],[Speedup]]/Tabla2[[#This Row],[Hebras]]</f>
        <v>0.94427612766876201</v>
      </c>
      <c r="K7">
        <v>1</v>
      </c>
      <c r="L7">
        <v>80000</v>
      </c>
      <c r="M7">
        <v>1825.86</v>
      </c>
      <c r="N7">
        <f>$M$7/Tabla3[[#This Row],[T (s)]]</f>
        <v>1</v>
      </c>
      <c r="O7">
        <f>Tabla3[[#This Row],[Speedup]]/Tabla3[[#This Row],[Hebras]]*100</f>
        <v>100</v>
      </c>
    </row>
    <row r="8" spans="3:15" x14ac:dyDescent="0.25">
      <c r="C8">
        <v>45000</v>
      </c>
      <c r="D8">
        <v>16</v>
      </c>
      <c r="E8" t="s">
        <v>17</v>
      </c>
      <c r="F8">
        <v>180.66200000000001</v>
      </c>
      <c r="G8">
        <f>F4/Tabla2[[#This Row],[T (s)]]</f>
        <v>5.4026912134261771</v>
      </c>
      <c r="H8">
        <f>Tabla2[[#This Row],[Speedup]]/Tabla2[[#This Row],[Hebras]]</f>
        <v>0.33766820083913607</v>
      </c>
      <c r="K8">
        <v>4</v>
      </c>
      <c r="L8">
        <v>80000</v>
      </c>
      <c r="M8">
        <v>466.28199999999998</v>
      </c>
      <c r="N8">
        <f>$M$7/Tabla3[[#This Row],[T (s)]]</f>
        <v>3.9157848683843683</v>
      </c>
      <c r="O8">
        <f>Tabla3[[#This Row],[Speedup]]/Tabla3[[#This Row],[Hebras]]*100</f>
        <v>97.894621709609211</v>
      </c>
    </row>
    <row r="9" spans="3:15" x14ac:dyDescent="0.25">
      <c r="C9">
        <v>45000</v>
      </c>
      <c r="D9">
        <v>16</v>
      </c>
      <c r="E9" t="s">
        <v>18</v>
      </c>
      <c r="F9">
        <v>206.744</v>
      </c>
      <c r="G9">
        <f>F5/Tabla2[[#This Row],[T (s)]]</f>
        <v>10.407992493131601</v>
      </c>
      <c r="H9">
        <f>Tabla2[[#This Row],[Speedup]]/Tabla2[[#This Row],[Hebras]]</f>
        <v>0.65049953082072509</v>
      </c>
      <c r="K9">
        <v>16</v>
      </c>
      <c r="L9">
        <v>80000</v>
      </c>
      <c r="M9">
        <v>214.67</v>
      </c>
      <c r="N9">
        <f>$M$7/Tabla3[[#This Row],[T (s)]]</f>
        <v>8.5054269343643725</v>
      </c>
      <c r="O9">
        <f>Tabla3[[#This Row],[Speedup]]/Tabla3[[#This Row],[Hebras]]*100</f>
        <v>53.15891833977733</v>
      </c>
    </row>
    <row r="10" spans="3:15" x14ac:dyDescent="0.25">
      <c r="C10">
        <v>80000</v>
      </c>
      <c r="D10">
        <v>1</v>
      </c>
      <c r="E10" t="s">
        <v>17</v>
      </c>
      <c r="F10">
        <v>1825.86</v>
      </c>
      <c r="G10">
        <v>1</v>
      </c>
      <c r="H10">
        <f>Tabla2[[#This Row],[Speedup]]/Tabla2[[#This Row],[Hebras]]</f>
        <v>1</v>
      </c>
      <c r="K10">
        <v>1</v>
      </c>
      <c r="L10">
        <v>125000</v>
      </c>
      <c r="M10">
        <v>2692.79</v>
      </c>
      <c r="N10">
        <f>$M$10/Tabla3[[#This Row],[T (s)]]</f>
        <v>1</v>
      </c>
      <c r="O10">
        <f>Tabla3[[#This Row],[Speedup]]/Tabla3[[#This Row],[Hebras]]*100</f>
        <v>100</v>
      </c>
    </row>
    <row r="11" spans="3:15" x14ac:dyDescent="0.25">
      <c r="C11">
        <v>80000</v>
      </c>
      <c r="D11">
        <v>1</v>
      </c>
      <c r="E11" t="s">
        <v>18</v>
      </c>
      <c r="F11">
        <v>3970.37</v>
      </c>
      <c r="G11">
        <v>1</v>
      </c>
      <c r="H11">
        <f>Tabla2[[#This Row],[Speedup]]/Tabla2[[#This Row],[Hebras]]</f>
        <v>1</v>
      </c>
      <c r="K11">
        <v>4</v>
      </c>
      <c r="L11">
        <v>125000</v>
      </c>
      <c r="M11">
        <v>675.12300000000005</v>
      </c>
      <c r="N11">
        <f>$M$10/Tabla3[[#This Row],[T (s)]]</f>
        <v>3.9885917084738631</v>
      </c>
      <c r="O11">
        <f>Tabla3[[#This Row],[Speedup]]/Tabla3[[#This Row],[Hebras]]*100</f>
        <v>99.714792711846584</v>
      </c>
    </row>
    <row r="12" spans="3:15" x14ac:dyDescent="0.25">
      <c r="C12">
        <v>80000</v>
      </c>
      <c r="D12">
        <v>4</v>
      </c>
      <c r="E12" t="s">
        <v>17</v>
      </c>
      <c r="F12">
        <v>466.28199999999998</v>
      </c>
      <c r="G12">
        <f>F10/Tabla2[[#This Row],[T (s)]]</f>
        <v>3.9157848683843683</v>
      </c>
      <c r="H12">
        <f>Tabla2[[#This Row],[Speedup]]/Tabla2[[#This Row],[Hebras]]</f>
        <v>0.97894621709609209</v>
      </c>
      <c r="K12">
        <v>16</v>
      </c>
      <c r="L12">
        <v>125000</v>
      </c>
      <c r="M12">
        <v>264.40199999999999</v>
      </c>
      <c r="N12">
        <f>$M$10/Tabla3[[#This Row],[T (s)]]</f>
        <v>10.184453975385965</v>
      </c>
      <c r="O12">
        <f>Tabla3[[#This Row],[Speedup]]/Tabla3[[#This Row],[Hebras]]*100</f>
        <v>63.652837346162286</v>
      </c>
    </row>
    <row r="13" spans="3:15" x14ac:dyDescent="0.25">
      <c r="C13">
        <v>80000</v>
      </c>
      <c r="D13">
        <v>4</v>
      </c>
      <c r="E13" t="s">
        <v>18</v>
      </c>
      <c r="F13">
        <v>1049.3499999999999</v>
      </c>
      <c r="G13">
        <f>F11/Tabla2[[#This Row],[T (s)]]</f>
        <v>3.7836470195835519</v>
      </c>
      <c r="H13">
        <f>Tabla2[[#This Row],[Speedup]]/Tabla2[[#This Row],[Hebras]]</f>
        <v>0.94591175489588797</v>
      </c>
    </row>
    <row r="14" spans="3:15" x14ac:dyDescent="0.25">
      <c r="C14">
        <v>80000</v>
      </c>
      <c r="D14">
        <v>16</v>
      </c>
      <c r="E14" t="s">
        <v>17</v>
      </c>
      <c r="F14">
        <v>214.67</v>
      </c>
      <c r="G14">
        <f>F10/Tabla2[[#This Row],[T (s)]]</f>
        <v>8.5054269343643725</v>
      </c>
      <c r="H14">
        <f>Tabla2[[#This Row],[Speedup]]/Tabla2[[#This Row],[Hebras]]</f>
        <v>0.53158918339777328</v>
      </c>
    </row>
    <row r="15" spans="3:15" x14ac:dyDescent="0.25">
      <c r="C15">
        <v>80000</v>
      </c>
      <c r="D15">
        <v>16</v>
      </c>
      <c r="E15" t="s">
        <v>18</v>
      </c>
      <c r="F15">
        <v>331.80900000000003</v>
      </c>
      <c r="G15">
        <f>F11/Tabla2[[#This Row],[T (s)]]</f>
        <v>11.965829739398266</v>
      </c>
      <c r="H15">
        <f>Tabla2[[#This Row],[Speedup]]/Tabla2[[#This Row],[Hebras]]</f>
        <v>0.74786435871239165</v>
      </c>
    </row>
    <row r="16" spans="3:15" x14ac:dyDescent="0.25">
      <c r="C16">
        <v>125000</v>
      </c>
      <c r="D16">
        <v>1</v>
      </c>
      <c r="E16" t="s">
        <v>17</v>
      </c>
      <c r="F16">
        <v>2692.79</v>
      </c>
      <c r="G16">
        <v>1</v>
      </c>
      <c r="H16">
        <f>Tabla2[[#This Row],[Speedup]]/Tabla2[[#This Row],[Hebras]]</f>
        <v>1</v>
      </c>
    </row>
    <row r="17" spans="3:8" x14ac:dyDescent="0.25">
      <c r="C17">
        <v>125000</v>
      </c>
      <c r="D17">
        <v>1</v>
      </c>
      <c r="E17" t="s">
        <v>18</v>
      </c>
      <c r="F17">
        <v>5982.94</v>
      </c>
      <c r="G17">
        <v>1</v>
      </c>
      <c r="H17">
        <f>Tabla2[[#This Row],[Speedup]]/Tabla2[[#This Row],[Hebras]]</f>
        <v>1</v>
      </c>
    </row>
    <row r="18" spans="3:8" x14ac:dyDescent="0.25">
      <c r="C18">
        <v>125000</v>
      </c>
      <c r="D18">
        <v>4</v>
      </c>
      <c r="E18" t="s">
        <v>17</v>
      </c>
      <c r="F18">
        <v>675.12300000000005</v>
      </c>
      <c r="G18">
        <f>F16/Tabla2[[#This Row],[T (s)]]</f>
        <v>3.9885917084738631</v>
      </c>
      <c r="H18">
        <f>Tabla2[[#This Row],[Speedup]]/Tabla2[[#This Row],[Hebras]]</f>
        <v>0.99714792711846578</v>
      </c>
    </row>
    <row r="19" spans="3:8" x14ac:dyDescent="0.25">
      <c r="C19">
        <v>125000</v>
      </c>
      <c r="D19">
        <v>4</v>
      </c>
      <c r="E19" t="s">
        <v>18</v>
      </c>
      <c r="F19">
        <v>1593.61</v>
      </c>
      <c r="G19">
        <f>F17/Tabla2[[#This Row],[T (s)]]</f>
        <v>3.7543313608724844</v>
      </c>
      <c r="H19">
        <f>Tabla2[[#This Row],[Speedup]]/Tabla2[[#This Row],[Hebras]]</f>
        <v>0.93858284021812111</v>
      </c>
    </row>
    <row r="20" spans="3:8" x14ac:dyDescent="0.25">
      <c r="C20">
        <v>125000</v>
      </c>
      <c r="D20">
        <v>16</v>
      </c>
      <c r="E20" t="s">
        <v>17</v>
      </c>
      <c r="F20">
        <v>264.40199999999999</v>
      </c>
      <c r="G20">
        <f>F16/Tabla2[[#This Row],[T (s)]]</f>
        <v>10.184453975385965</v>
      </c>
      <c r="H20">
        <f>Tabla2[[#This Row],[Speedup]]/Tabla2[[#This Row],[Hebras]]</f>
        <v>0.63652837346162283</v>
      </c>
    </row>
    <row r="21" spans="3:8" x14ac:dyDescent="0.25">
      <c r="C21">
        <v>125000</v>
      </c>
      <c r="D21">
        <v>16</v>
      </c>
      <c r="E21" t="s">
        <v>18</v>
      </c>
      <c r="F21">
        <v>445.08100000000002</v>
      </c>
      <c r="G21">
        <f>F17/Tabla2[[#This Row],[T (s)]]</f>
        <v>13.442362176772317</v>
      </c>
      <c r="H21">
        <f>Tabla2[[#This Row],[Speedup]]/Tabla2[[#This Row],[Hebras]]</f>
        <v>0.84014763604826981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Euler</vt:lpstr>
      <vt:lpstr>Brusselator1D</vt:lpstr>
      <vt:lpstr>Br2DABM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2015-06-05T18:19:34Z</dcterms:created>
  <dcterms:modified xsi:type="dcterms:W3CDTF">2026-08-29T09:29:38Z</dcterms:modified>
</cp:coreProperties>
</file>