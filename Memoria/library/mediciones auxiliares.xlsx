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oogle Drive\Uni\TFG\Memoria\library\"/>
    </mc:Choice>
  </mc:AlternateContent>
  <xr:revisionPtr revIDLastSave="0" documentId="13_ncr:1_{8051A271-1D7B-4904-AC3B-F76DDEC9EAFA}" xr6:coauthVersionLast="47" xr6:coauthVersionMax="47" xr10:uidLastSave="{00000000-0000-0000-0000-000000000000}"/>
  <bookViews>
    <workbookView xWindow="0" yWindow="360" windowWidth="29040" windowHeight="15720" activeTab="4" xr2:uid="{00000000-000D-0000-FFFF-FFFF00000000}"/>
  </bookViews>
  <sheets>
    <sheet name="Euler" sheetId="3" r:id="rId1"/>
    <sheet name="OMP-Br1d" sheetId="1" r:id="rId2"/>
    <sheet name="OMP-Br2d" sheetId="2" r:id="rId3"/>
    <sheet name="CUDA-Br2d" sheetId="4" r:id="rId4"/>
    <sheet name="CUDA-RK-Br1d" sheetId="5" r:id="rId5"/>
    <sheet name="Grap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G12" i="4" l="1"/>
  <c r="G11" i="4"/>
  <c r="G9" i="4"/>
  <c r="G8" i="4"/>
  <c r="G6" i="4"/>
  <c r="G5" i="4"/>
  <c r="G4" i="4"/>
  <c r="F5" i="3" l="1"/>
  <c r="G5" i="3" s="1"/>
  <c r="D6" i="3"/>
  <c r="F6" i="3" s="1"/>
  <c r="G6" i="3" s="1"/>
  <c r="E6" i="3"/>
  <c r="E7" i="3"/>
  <c r="E8" i="3"/>
  <c r="E9" i="3"/>
  <c r="E10" i="3"/>
  <c r="E11" i="3"/>
  <c r="E12" i="3"/>
  <c r="E13" i="3"/>
  <c r="E14" i="3"/>
  <c r="E15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21" i="2"/>
  <c r="G20" i="2"/>
  <c r="G19" i="2"/>
  <c r="G18" i="2"/>
  <c r="G15" i="2"/>
  <c r="G14" i="2"/>
  <c r="G13" i="2"/>
  <c r="G12" i="2"/>
  <c r="G9" i="2"/>
  <c r="G8" i="2"/>
  <c r="G7" i="2"/>
  <c r="G6" i="2"/>
  <c r="F2" i="1"/>
  <c r="F3" i="1"/>
  <c r="E4" i="1"/>
  <c r="F4" i="1"/>
  <c r="E5" i="1"/>
  <c r="F5" i="1" s="1"/>
  <c r="E6" i="1"/>
  <c r="F6" i="1" s="1"/>
  <c r="E7" i="1"/>
  <c r="F7" i="1"/>
  <c r="F10" i="1"/>
  <c r="F11" i="1"/>
  <c r="E12" i="1"/>
  <c r="F12" i="1"/>
  <c r="E13" i="1"/>
  <c r="F13" i="1"/>
  <c r="E14" i="1"/>
  <c r="F14" i="1"/>
  <c r="E15" i="1"/>
  <c r="F15" i="1"/>
  <c r="F18" i="1"/>
  <c r="F19" i="1"/>
  <c r="E20" i="1"/>
  <c r="F20" i="1" s="1"/>
  <c r="E21" i="1"/>
  <c r="F21" i="1"/>
  <c r="E22" i="1"/>
  <c r="F22" i="1" s="1"/>
  <c r="E23" i="1"/>
  <c r="F23" i="1"/>
  <c r="N11" i="2"/>
  <c r="O11" i="2" s="1"/>
  <c r="N12" i="2"/>
  <c r="O12" i="2" s="1"/>
  <c r="N10" i="2"/>
  <c r="O10" i="2" s="1"/>
  <c r="N8" i="2"/>
  <c r="O8" i="2" s="1"/>
  <c r="N9" i="2"/>
  <c r="O9" i="2" s="1"/>
  <c r="N7" i="2"/>
  <c r="O7" i="2" s="1"/>
  <c r="N5" i="2"/>
  <c r="O5" i="2" s="1"/>
  <c r="N6" i="2"/>
  <c r="O6" i="2" s="1"/>
  <c r="N4" i="2"/>
  <c r="O4" i="2" s="1"/>
  <c r="D7" i="3" l="1"/>
  <c r="F7" i="3" l="1"/>
  <c r="G7" i="3" s="1"/>
  <c r="D8" i="3"/>
  <c r="F8" i="3" l="1"/>
  <c r="G8" i="3" s="1"/>
  <c r="D9" i="3"/>
  <c r="F9" i="3" l="1"/>
  <c r="G9" i="3" s="1"/>
  <c r="D10" i="3"/>
  <c r="F10" i="3" l="1"/>
  <c r="G10" i="3" s="1"/>
  <c r="D11" i="3"/>
  <c r="F11" i="3" l="1"/>
  <c r="G11" i="3" s="1"/>
  <c r="D12" i="3"/>
  <c r="F12" i="3" l="1"/>
  <c r="G12" i="3" s="1"/>
  <c r="D13" i="3"/>
  <c r="D14" i="3" l="1"/>
  <c r="F13" i="3"/>
  <c r="G13" i="3" s="1"/>
  <c r="F14" i="3" l="1"/>
  <c r="G14" i="3" s="1"/>
  <c r="D15" i="3"/>
  <c r="F15" i="3" s="1"/>
  <c r="G15" i="3" s="1"/>
</calcChain>
</file>

<file path=xl/sharedStrings.xml><?xml version="1.0" encoding="utf-8"?>
<sst xmlns="http://schemas.openxmlformats.org/spreadsheetml/2006/main" count="185" uniqueCount="66">
  <si>
    <t>Runge Kutta</t>
  </si>
  <si>
    <t>OMP Operaciones</t>
  </si>
  <si>
    <t>OMP Elementos</t>
  </si>
  <si>
    <t>Solver</t>
  </si>
  <si>
    <t>Tipo</t>
  </si>
  <si>
    <t>Hebras</t>
  </si>
  <si>
    <t>T (s)</t>
  </si>
  <si>
    <t>Adams Bashford</t>
  </si>
  <si>
    <t>Adams Bashford Moulton</t>
  </si>
  <si>
    <t>Comparativa de métodos y tecnologías para Brusselator1D, neqn=100K</t>
  </si>
  <si>
    <t>Speedup</t>
  </si>
  <si>
    <t>Efficiency</t>
  </si>
  <si>
    <t>Effiency</t>
  </si>
  <si>
    <t>neqn</t>
  </si>
  <si>
    <t>Brusselator2D, ABM, comparativa por tamaños</t>
  </si>
  <si>
    <t>Me quedo solo con los OMP Operaciones</t>
  </si>
  <si>
    <t>Eficiencia</t>
  </si>
  <si>
    <t>Operaciones</t>
  </si>
  <si>
    <t>Componentes</t>
  </si>
  <si>
    <t>Er (%)</t>
  </si>
  <si>
    <t>Ea</t>
  </si>
  <si>
    <t>Real</t>
  </si>
  <si>
    <t>Euler</t>
  </si>
  <si>
    <t xml:space="preserve">tn </t>
  </si>
  <si>
    <t>delta</t>
  </si>
  <si>
    <t>Comparativa entre aproximar con euler explicito y valor real</t>
  </si>
  <si>
    <t>CUDA</t>
  </si>
  <si>
    <t>OMP</t>
  </si>
  <si>
    <t>Comparamos sec + OMP + cuda con BR2D y 125K</t>
  </si>
  <si>
    <t>Secuencial</t>
  </si>
  <si>
    <t>ms/eq</t>
  </si>
  <si>
    <t>neqn2</t>
  </si>
  <si>
    <t>T (s)3</t>
  </si>
  <si>
    <t>ms/eq4</t>
  </si>
  <si>
    <t>neqn5</t>
  </si>
  <si>
    <t>T (s)6</t>
  </si>
  <si>
    <t>ms/eq7</t>
  </si>
  <si>
    <t>1K</t>
  </si>
  <si>
    <t>2K</t>
  </si>
  <si>
    <t>4K</t>
  </si>
  <si>
    <t>20K</t>
  </si>
  <si>
    <t>30K</t>
  </si>
  <si>
    <t>40K</t>
  </si>
  <si>
    <t>60K</t>
  </si>
  <si>
    <t>80K</t>
  </si>
  <si>
    <t>100K</t>
  </si>
  <si>
    <t>150K</t>
  </si>
  <si>
    <t>200K</t>
  </si>
  <si>
    <t>250K</t>
  </si>
  <si>
    <t>300K</t>
  </si>
  <si>
    <t>400K</t>
  </si>
  <si>
    <t>350K</t>
  </si>
  <si>
    <t>500K</t>
  </si>
  <si>
    <t>600K</t>
  </si>
  <si>
    <t>700K</t>
  </si>
  <si>
    <t>800K</t>
  </si>
  <si>
    <t>900K</t>
  </si>
  <si>
    <t>1M</t>
  </si>
  <si>
    <t>1.5M</t>
  </si>
  <si>
    <t>2M</t>
  </si>
  <si>
    <t>Comparo RK y BR1D a través de distintos tamaños</t>
  </si>
  <si>
    <t>10K</t>
  </si>
  <si>
    <t>CUDA ABM Brusselator2D, varios tamaños, comparamos con y sin graph</t>
  </si>
  <si>
    <t>T - CON</t>
  </si>
  <si>
    <t>T - SIN</t>
  </si>
  <si>
    <t>Sin/Con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</si>
</sst>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3" fillId="3" borderId="2" xfId="0" applyFont="1" applyFill="1" applyBorder="1"/>
    <xf numFmtId="0" fontId="3" fillId="0" borderId="0" xfId="0" applyFont="1"/>
  </cellXfs>
  <cellStyles count="3">
    <cellStyle name="Normal" xfId="0" builtinId="0"/>
    <cellStyle name="Normal 2" xfId="2" xr:uid="{894E2A58-4AB2-4DD0-992A-D8EFC287A90D}"/>
    <cellStyle name="Normal 3" xfId="1" xr:uid="{F071A7C7-C907-4782-97BC-1691119DD71E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Euler!$G$4</c:f>
              <c:strCache>
                <c:ptCount val="1"/>
                <c:pt idx="0">
                  <c:v>Er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Euler!$C$5:$C$15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Euler!$G$5:$G$15</c:f>
              <c:numCache>
                <c:formatCode>General</c:formatCode>
                <c:ptCount val="11"/>
                <c:pt idx="0">
                  <c:v>0</c:v>
                </c:pt>
                <c:pt idx="1">
                  <c:v>2.2877793471864036</c:v>
                </c:pt>
                <c:pt idx="2">
                  <c:v>4.5232193509587013</c:v>
                </c:pt>
                <c:pt idx="3">
                  <c:v>6.7075174200059315</c:v>
                </c:pt>
                <c:pt idx="4">
                  <c:v>8.8418435689485175</c:v>
                </c:pt>
                <c:pt idx="5">
                  <c:v>10.927341045054002</c:v>
                </c:pt>
                <c:pt idx="6">
                  <c:v>12.965126940615047</c:v>
                </c:pt>
                <c:pt idx="7">
                  <c:v>14.956292791317555</c:v>
                </c:pt>
                <c:pt idx="8">
                  <c:v>16.901905160919465</c:v>
                </c:pt>
                <c:pt idx="9">
                  <c:v>18.803006212553328</c:v>
                </c:pt>
                <c:pt idx="10">
                  <c:v>20.660614266958774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7-4C27-B2CE-9C3E2C91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4096159"/>
        <c:axId val="310251247"/>
      </c:barChart>
      <c:lineChart>
        <c:grouping val="standard"/>
        <c:varyColors val="0"/>
        <c:ser>
          <c:idx val="0"/>
          <c:order val="0"/>
          <c:tx>
            <c:strRef>
              <c:f>Euler!$D$4</c:f>
              <c:strCache>
                <c:ptCount val="1"/>
                <c:pt idx="0">
                  <c:v>Euler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Euler!$C$5:$C$15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Euler!$D$5:$D$15</c:f>
              <c:numCache>
                <c:formatCode>General</c:formatCode>
                <c:ptCount val="11"/>
                <c:pt idx="0">
                  <c:v>1</c:v>
                </c:pt>
                <c:pt idx="1">
                  <c:v>0.8</c:v>
                </c:pt>
                <c:pt idx="2">
                  <c:v>0.64</c:v>
                </c:pt>
                <c:pt idx="3">
                  <c:v>0.51200000000000001</c:v>
                </c:pt>
                <c:pt idx="4">
                  <c:v>0.40960000000000002</c:v>
                </c:pt>
                <c:pt idx="5">
                  <c:v>0.32768000000000003</c:v>
                </c:pt>
                <c:pt idx="6">
                  <c:v>0.26214400000000004</c:v>
                </c:pt>
                <c:pt idx="7">
                  <c:v>0.20971520000000005</c:v>
                </c:pt>
                <c:pt idx="8">
                  <c:v>0.16777216000000003</c:v>
                </c:pt>
                <c:pt idx="9">
                  <c:v>0.13421772800000004</c:v>
                </c:pt>
                <c:pt idx="10">
                  <c:v>0.10737418240000003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7-4C27-B2CE-9C3E2C91F8B9}"/>
            </c:ext>
          </c:extLst>
        </c:ser>
        <c:ser>
          <c:idx val="1"/>
          <c:order val="1"/>
          <c:tx>
            <c:strRef>
              <c:f>Euler!$E$4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Euler!$C$5:$C$15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Euler!$E$5:$E$15</c:f>
              <c:numCache>
                <c:formatCode>General</c:formatCode>
                <c:ptCount val="11"/>
                <c:pt idx="0">
                  <c:v>1</c:v>
                </c:pt>
                <c:pt idx="1">
                  <c:v>0.81873075307798182</c:v>
                </c:pt>
                <c:pt idx="2">
                  <c:v>0.67032004603563933</c:v>
                </c:pt>
                <c:pt idx="3">
                  <c:v>0.54881163609402639</c:v>
                </c:pt>
                <c:pt idx="4">
                  <c:v>0.44932896411722156</c:v>
                </c:pt>
                <c:pt idx="5">
                  <c:v>0.36787944117144233</c:v>
                </c:pt>
                <c:pt idx="6">
                  <c:v>0.30119421191220214</c:v>
                </c:pt>
                <c:pt idx="7">
                  <c:v>0.24659696394160649</c:v>
                </c:pt>
                <c:pt idx="8">
                  <c:v>0.20189651799465538</c:v>
                </c:pt>
                <c:pt idx="9">
                  <c:v>0.16529888822158653</c:v>
                </c:pt>
                <c:pt idx="10">
                  <c:v>0.1353352832366127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7-4C27-B2CE-9C3E2C91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79455"/>
        <c:axId val="310240687"/>
      </c:lineChart>
      <c:catAx>
        <c:axId val="22407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40687"/>
        <c:crosses val="autoZero"/>
        <c:auto val="1"/>
        <c:lblAlgn val="ctr"/>
        <c:lblOffset val="100"/>
        <c:noMultiLvlLbl val="0"/>
      </c:catAx>
      <c:valAx>
        <c:axId val="31024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79455"/>
        <c:crosses val="autoZero"/>
        <c:crossBetween val="between"/>
      </c:valAx>
      <c:valAx>
        <c:axId val="3102512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96159"/>
        <c:crosses val="max"/>
        <c:crossBetween val="between"/>
      </c:valAx>
      <c:catAx>
        <c:axId val="224096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0251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Euler!$D$4</c:f>
              <c:strCache>
                <c:ptCount val="1"/>
                <c:pt idx="0">
                  <c:v>Euler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Euler!$C$5:$C$15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Euler!$D$5:$D$15</c:f>
              <c:numCache>
                <c:formatCode>General</c:formatCode>
                <c:ptCount val="11"/>
                <c:pt idx="0">
                  <c:v>1</c:v>
                </c:pt>
                <c:pt idx="1">
                  <c:v>0.8</c:v>
                </c:pt>
                <c:pt idx="2">
                  <c:v>0.64</c:v>
                </c:pt>
                <c:pt idx="3">
                  <c:v>0.51200000000000001</c:v>
                </c:pt>
                <c:pt idx="4">
                  <c:v>0.40960000000000002</c:v>
                </c:pt>
                <c:pt idx="5">
                  <c:v>0.32768000000000003</c:v>
                </c:pt>
                <c:pt idx="6">
                  <c:v>0.26214400000000004</c:v>
                </c:pt>
                <c:pt idx="7">
                  <c:v>0.20971520000000005</c:v>
                </c:pt>
                <c:pt idx="8">
                  <c:v>0.16777216000000003</c:v>
                </c:pt>
                <c:pt idx="9">
                  <c:v>0.13421772800000004</c:v>
                </c:pt>
                <c:pt idx="10">
                  <c:v>0.10737418240000003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7-4378-A8DC-B9D6A3574B73}"/>
            </c:ext>
          </c:extLst>
        </c:ser>
        <c:ser>
          <c:idx val="1"/>
          <c:order val="1"/>
          <c:tx>
            <c:strRef>
              <c:f>Euler!$E$4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Euler!$C$5:$C$15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Euler!$E$5:$E$15</c:f>
              <c:numCache>
                <c:formatCode>General</c:formatCode>
                <c:ptCount val="11"/>
                <c:pt idx="0">
                  <c:v>1</c:v>
                </c:pt>
                <c:pt idx="1">
                  <c:v>0.81873075307798182</c:v>
                </c:pt>
                <c:pt idx="2">
                  <c:v>0.67032004603563933</c:v>
                </c:pt>
                <c:pt idx="3">
                  <c:v>0.54881163609402639</c:v>
                </c:pt>
                <c:pt idx="4">
                  <c:v>0.44932896411722156</c:v>
                </c:pt>
                <c:pt idx="5">
                  <c:v>0.36787944117144233</c:v>
                </c:pt>
                <c:pt idx="6">
                  <c:v>0.30119421191220214</c:v>
                </c:pt>
                <c:pt idx="7">
                  <c:v>0.24659696394160649</c:v>
                </c:pt>
                <c:pt idx="8">
                  <c:v>0.20189651799465538</c:v>
                </c:pt>
                <c:pt idx="9">
                  <c:v>0.16529888822158653</c:v>
                </c:pt>
                <c:pt idx="10">
                  <c:v>0.1353352832366127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7-4378-A8DC-B9D6A357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08368"/>
        <c:axId val="171883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Euler!$F$4</c15:sqref>
                        </c15:formulaRef>
                      </c:ext>
                    </c:extLst>
                    <c:strCache>
                      <c:ptCount val="1"/>
                      <c:pt idx="0">
                        <c:v>Ea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Euler!$C$5:$C$15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0.8</c:v>
                      </c:pt>
                      <c:pt idx="9">
                        <c:v>0.9</c:v>
                      </c:pt>
                      <c:pt idx="10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Euler!$F$5:$F$15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1.8730753077981777E-2</c:v>
                      </c:pt>
                      <c:pt idx="2">
                        <c:v>3.0320046035639314E-2</c:v>
                      </c:pt>
                      <c:pt idx="3">
                        <c:v>3.6811636094026379E-2</c:v>
                      </c:pt>
                      <c:pt idx="4">
                        <c:v>3.9728964117221544E-2</c:v>
                      </c:pt>
                      <c:pt idx="5">
                        <c:v>4.0199441171442307E-2</c:v>
                      </c:pt>
                      <c:pt idx="6">
                        <c:v>3.9050211912202093E-2</c:v>
                      </c:pt>
                      <c:pt idx="7">
                        <c:v>3.6881763941606444E-2</c:v>
                      </c:pt>
                      <c:pt idx="8">
                        <c:v>3.4124357994655352E-2</c:v>
                      </c:pt>
                      <c:pt idx="9">
                        <c:v>3.1081160221586496E-2</c:v>
                      </c:pt>
                      <c:pt idx="10">
                        <c:v>2.7961100836612671E-2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FD7-4378-A8DC-B9D6A3574B7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Euler!$G$4</c:f>
              <c:strCache>
                <c:ptCount val="1"/>
                <c:pt idx="0">
                  <c:v>Er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Euler!$C$5:$C$15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Euler!$G$5:$G$15</c:f>
              <c:numCache>
                <c:formatCode>General</c:formatCode>
                <c:ptCount val="11"/>
                <c:pt idx="0">
                  <c:v>0</c:v>
                </c:pt>
                <c:pt idx="1">
                  <c:v>2.2877793471864036</c:v>
                </c:pt>
                <c:pt idx="2">
                  <c:v>4.5232193509587013</c:v>
                </c:pt>
                <c:pt idx="3">
                  <c:v>6.7075174200059315</c:v>
                </c:pt>
                <c:pt idx="4">
                  <c:v>8.8418435689485175</c:v>
                </c:pt>
                <c:pt idx="5">
                  <c:v>10.927341045054002</c:v>
                </c:pt>
                <c:pt idx="6">
                  <c:v>12.965126940615047</c:v>
                </c:pt>
                <c:pt idx="7">
                  <c:v>14.956292791317555</c:v>
                </c:pt>
                <c:pt idx="8">
                  <c:v>16.901905160919465</c:v>
                </c:pt>
                <c:pt idx="9">
                  <c:v>18.803006212553328</c:v>
                </c:pt>
                <c:pt idx="10">
                  <c:v>20.660614266958774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7-4378-A8DC-B9D6A357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751296"/>
        <c:axId val="1722192"/>
      </c:lineChart>
      <c:catAx>
        <c:axId val="2138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832"/>
        <c:crosses val="autoZero"/>
        <c:auto val="1"/>
        <c:lblAlgn val="ctr"/>
        <c:lblOffset val="100"/>
        <c:noMultiLvlLbl val="0"/>
      </c:catAx>
      <c:valAx>
        <c:axId val="17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08368"/>
        <c:crosses val="autoZero"/>
        <c:crossBetween val="between"/>
      </c:valAx>
      <c:valAx>
        <c:axId val="1722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51296"/>
        <c:crosses val="max"/>
        <c:crossBetween val="between"/>
      </c:valAx>
      <c:catAx>
        <c:axId val="213751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2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17</xdr:row>
      <xdr:rowOff>28575</xdr:rowOff>
    </xdr:from>
    <xdr:to>
      <xdr:col>8</xdr:col>
      <xdr:colOff>276225</xdr:colOff>
      <xdr:row>31</xdr:row>
      <xdr:rowOff>104775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05A7906-FE4D-43E5-8822-53D23616B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9</xdr:row>
      <xdr:rowOff>52387</xdr:rowOff>
    </xdr:from>
    <xdr:to>
      <xdr:col>17</xdr:col>
      <xdr:colOff>266700</xdr:colOff>
      <xdr:row>23</xdr:row>
      <xdr:rowOff>128587</xdr:rowOff>
    </xdr:to>
    <xdr:graphicFrame macro="">
      <xdr:nvGraphicFramePr>
        <xdr:cNvPr id="3" name="Chart 8">
          <a:extLst>
            <a:ext uri="{FF2B5EF4-FFF2-40B4-BE49-F238E27FC236}">
              <a16:creationId xmlns:a16="http://schemas.microsoft.com/office/drawing/2014/main" id="{3647F131-6CBD-4B4B-9225-C0DC03217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B785B-3DBB-48A6-A06F-66AD47E61501}" name="Table1" displayName="Table1" ref="A1:F7" totalsRowShown="0">
  <autoFilter ref="A1:F7" xr:uid="{659B785B-3DBB-48A6-A06F-66AD47E61501}"/>
  <sortState xmlns:xlrd2="http://schemas.microsoft.com/office/spreadsheetml/2017/richdata2" ref="A2:D7">
    <sortCondition descending="1" ref="D1:D7"/>
  </sortState>
  <tableColumns count="6">
    <tableColumn id="1" xr3:uid="{64D764BE-A1C8-4AF1-9263-61B615112094}" name="Solver"/>
    <tableColumn id="3" xr3:uid="{F4DB240D-67AC-4CB5-BB42-D3D1B276AABA}" name="Tipo"/>
    <tableColumn id="7" xr3:uid="{64FA0956-3E24-4150-B966-D174B7BC073B}" name="Hebras"/>
    <tableColumn id="10" xr3:uid="{1B8321A3-89E7-440F-AC38-60832AF9D3BF}" name="T (s)"/>
    <tableColumn id="4" xr3:uid="{2A319FA1-3453-4EE4-B2DC-4F5247C2B6CA}" name="Speedup"/>
    <tableColumn id="5" xr3:uid="{C8FBE361-944A-4D70-9B75-2CFCB1A1B454}" name="Efficiency" dataDxfId="30">
      <calculatedColumnFormula>Table1[[#This Row],[Speedup]]/Table1[[#This Row],[Hebras]]*100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862F51-80EA-4323-A23D-AD6AF32D6737}" name="Table5" displayName="Table5" ref="A17:F23" totalsRowShown="0" tableBorderDxfId="29">
  <autoFilter ref="A17:F23" xr:uid="{4C862F51-80EA-4323-A23D-AD6AF32D6737}"/>
  <sortState xmlns:xlrd2="http://schemas.microsoft.com/office/spreadsheetml/2017/richdata2" ref="A18:D23">
    <sortCondition descending="1" ref="D17:D23"/>
  </sortState>
  <tableColumns count="6">
    <tableColumn id="1" xr3:uid="{969FCA7D-D340-4C13-86B2-C6EAC19CA12B}" name="Solver" dataDxfId="28"/>
    <tableColumn id="2" xr3:uid="{F8648533-FD1A-4D6C-8084-2704645141D9}" name="Tipo" dataDxfId="27"/>
    <tableColumn id="3" xr3:uid="{DC1BAEBC-A405-45AC-8E1D-FF0D7620EE8C}" name="Hebras" dataDxfId="26"/>
    <tableColumn id="4" xr3:uid="{3D2F94AF-2C19-468F-80BC-25BE9607F57F}" name="T (s)" dataDxfId="25"/>
    <tableColumn id="5" xr3:uid="{BF613CE6-6DEF-4C0B-848D-8F065FCF2C50}" name="Speedup"/>
    <tableColumn id="6" xr3:uid="{0B73B7C0-235F-4E05-B847-5F924635199C}" name="Effiency" dataDxfId="24">
      <calculatedColumnFormula>Table5[[#This Row],[Speedup]]/Table5[[#This Row],[Hebras]]*100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F64B1B-7B7C-4525-B20C-2EFC812E8E5A}" name="Table4" displayName="Table4" ref="A9:F15" totalsRowShown="0" tableBorderDxfId="23">
  <autoFilter ref="A9:F15" xr:uid="{92F64B1B-7B7C-4525-B20C-2EFC812E8E5A}"/>
  <sortState xmlns:xlrd2="http://schemas.microsoft.com/office/spreadsheetml/2017/richdata2" ref="A10:D15">
    <sortCondition descending="1" ref="D9:D15"/>
  </sortState>
  <tableColumns count="6">
    <tableColumn id="1" xr3:uid="{7672D6E0-6AC8-4B4D-A458-0BEE8A35C91C}" name="Solver" dataDxfId="22"/>
    <tableColumn id="2" xr3:uid="{6C7C42B2-536F-4E04-830E-69EE87657A05}" name="Tipo" dataDxfId="21"/>
    <tableColumn id="3" xr3:uid="{64021EE0-9E33-4FD5-83BD-34DA6D8320B7}" name="Hebras" dataDxfId="20"/>
    <tableColumn id="4" xr3:uid="{397664F5-F154-4BCD-AD93-987F3D8C8EFE}" name="T (s)" dataDxfId="19"/>
    <tableColumn id="5" xr3:uid="{417AEB65-89EB-4AD8-BE23-D32970ABEDB3}" name="Speedup"/>
    <tableColumn id="6" xr3:uid="{BD17F5F8-C972-4C88-8F9D-3540C6C6AE0F}" name="Efficiency" dataDxfId="18">
      <calculatedColumnFormula>Table4[[#This Row],[Speedup]]/Table4[[#This Row],[Hebras]]*100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8ECA13-2EB2-4FC1-85DE-E2A3D0878827}" name="Tabla2" displayName="Tabla2" ref="C3:H21" totalsRowShown="0">
  <autoFilter ref="C3:H21" xr:uid="{8C8ECA13-2EB2-4FC1-85DE-E2A3D0878827}"/>
  <sortState xmlns:xlrd2="http://schemas.microsoft.com/office/spreadsheetml/2017/richdata2" ref="C4:F21">
    <sortCondition ref="C3:C21"/>
  </sortState>
  <tableColumns count="6">
    <tableColumn id="9" xr3:uid="{EAE8B2A8-3789-4BB9-9764-B0D40A6A5FB5}" name="neqn"/>
    <tableColumn id="7" xr3:uid="{8AC74CB1-E1B9-4D88-BBA0-B5D0E5512B74}" name="Hebras"/>
    <tableColumn id="3" xr3:uid="{3A3C5E88-C7DA-483A-917E-BB271E1A560D}" name="Tipo"/>
    <tableColumn id="10" xr3:uid="{16A7936E-BB2A-4361-A80F-5CD098124D72}" name="T (s)"/>
    <tableColumn id="1" xr3:uid="{99669171-F1C7-4284-B05F-40B0C07B15FF}" name="Speedup"/>
    <tableColumn id="2" xr3:uid="{0F99AB6F-95B0-48AC-AFFA-9572A938E9D5}" name="Effiency" dataDxfId="17">
      <calculatedColumnFormula>Tabla2[[#This Row],[Speedup]]/Tabla2[[#This Row],[Hebras]]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0B26C9-CF13-4F25-BA27-B1B312614597}" name="Tabla3" displayName="Tabla3" ref="K3:O12" totalsRowShown="0" headerRowDxfId="16" dataDxfId="15" tableBorderDxfId="14">
  <autoFilter ref="K3:O12" xr:uid="{500B26C9-CF13-4F25-BA27-B1B312614597}"/>
  <tableColumns count="5">
    <tableColumn id="1" xr3:uid="{9B87CB8C-71FB-48E7-ABD0-361458E1F0C5}" name="Hebras" dataDxfId="13"/>
    <tableColumn id="2" xr3:uid="{7EE98D31-1E21-441D-ABE1-C50ADAD61A70}" name="neqn" dataDxfId="12"/>
    <tableColumn id="3" xr3:uid="{147E8177-E9F7-4A21-8C6F-F807667557B0}" name="T (s)" dataDxfId="11"/>
    <tableColumn id="4" xr3:uid="{9CC0064A-ACE5-4E3E-870C-8D7A7547540E}" name="Speedup" dataDxfId="10"/>
    <tableColumn id="5" xr3:uid="{A4DD618E-02AE-479D-AF72-8E73365EF307}" name="Eficiencia" dataDxfId="9">
      <calculatedColumnFormula>Tabla3[[#This Row],[Speedup]]/Tabla3[[#This Row],[Hebras]]*100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7CDD12-53B9-478E-8FA6-1644F23C7700}" name="Tabla6" displayName="Tabla6" ref="D3:G12" totalsRowShown="0">
  <autoFilter ref="D3:G12" xr:uid="{ED7CDD12-53B9-478E-8FA6-1644F23C7700}"/>
  <sortState xmlns:xlrd2="http://schemas.microsoft.com/office/spreadsheetml/2017/richdata2" ref="D4:F12">
    <sortCondition descending="1" ref="F3:F12"/>
  </sortState>
  <tableColumns count="4">
    <tableColumn id="1" xr3:uid="{F6A3A73A-53CD-4476-97D7-144BCC3C3B36}" name="Solver"/>
    <tableColumn id="3" xr3:uid="{841090C2-3A84-47CB-ABE5-DAD379E7BEC5}" name="Tipo"/>
    <tableColumn id="10" xr3:uid="{2A5DC087-1C05-46B6-893C-A16031247331}" name="T (s)"/>
    <tableColumn id="12" xr3:uid="{D1A04DFE-7852-45ED-9D0C-6DDEEAD868F6}" name="Speed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881151-CBB8-40EC-B240-A88C073513E6}" name="Tabla7" displayName="Tabla7" ref="B3:E29" totalsRowShown="0">
  <autoFilter ref="B3:E29" xr:uid="{BF881151-CBB8-40EC-B240-A88C073513E6}"/>
  <tableColumns count="4">
    <tableColumn id="1" xr3:uid="{644F7757-56D6-4333-9A04-BB025A3FA537}" name="Solver"/>
    <tableColumn id="9" xr3:uid="{7A4B951A-072B-4FA9-BB96-812FB6E68533}" name="neqn"/>
    <tableColumn id="10" xr3:uid="{27844286-B464-4C11-8051-BCFF52593894}" name="T (s)"/>
    <tableColumn id="11" xr3:uid="{C4C270E6-294F-4C6C-9E30-CC46609C7C96}" name="ms/eq" dataDxfId="8">
      <calculatedColumnFormula>Tabla7[[#This Row],[T (s)]]/Tabla7[[#This Row],[neqn]]*1000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13DA08-D36E-4DC6-AD4D-C5ED3A2D2FFE}" name="Tabla8" displayName="Tabla8" ref="H3:P12" totalsRowShown="0" dataDxfId="7">
  <autoFilter ref="H3:P12" xr:uid="{0C13DA08-D36E-4DC6-AD4D-C5ED3A2D2FFE}"/>
  <tableColumns count="9">
    <tableColumn id="1" xr3:uid="{932C3C52-A732-48FA-B5C5-2E96D1AF7393}" name="neqn"/>
    <tableColumn id="2" xr3:uid="{180E0420-BB3F-4A15-AA9C-8504B61074B7}" name="T (s)"/>
    <tableColumn id="3" xr3:uid="{9CD8DE62-128C-4DC7-8194-28F682AB47BE}" name="ms/eq" dataDxfId="6"/>
    <tableColumn id="4" xr3:uid="{1C3E6784-B380-4E71-BD53-644073AFAABA}" name="neqn2" dataDxfId="5"/>
    <tableColumn id="5" xr3:uid="{61BCB526-EF0F-4CEE-92F7-BCE6C4B0BDFD}" name="T (s)3" dataDxfId="4"/>
    <tableColumn id="6" xr3:uid="{B376E533-C766-4D62-969F-995271FAC762}" name="ms/eq4" dataDxfId="3"/>
    <tableColumn id="7" xr3:uid="{93F3FE3F-20CE-4AD5-AA05-7DFC7DFBB20D}" name="neqn5" dataDxfId="2"/>
    <tableColumn id="8" xr3:uid="{0DB727DE-811B-4C13-9A70-3781C9DD0690}" name="T (s)6" dataDxfId="1"/>
    <tableColumn id="9" xr3:uid="{10AD593B-05BC-4C4D-9C4F-32785D7D5748}" name="ms/eq7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1C59661-95E7-4C50-B593-60AF4BF0419B}" name="Tabla9" displayName="Tabla9" ref="C3:E18" totalsRowShown="0">
  <autoFilter ref="C3:E18" xr:uid="{E1C59661-95E7-4C50-B593-60AF4BF0419B}"/>
  <tableColumns count="3">
    <tableColumn id="10" xr3:uid="{386D6B24-9F12-4906-A98F-C1ECE9B2AF91}" name="T - CON"/>
    <tableColumn id="12" xr3:uid="{BF967619-27A5-4370-8EB3-0CF9D0A5FB92}" name="T - SIN"/>
    <tableColumn id="14" xr3:uid="{E8BDDCA8-85C9-47C8-B35D-4CDC5658DC19}" name="Sin/Con" dataDxfId="31">
      <calculatedColumnFormula>Tabla9[[#This Row],[T - SIN]]/Tabla9[[#This Row],[T - CON]]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7B31-A61A-4D4E-8CB7-A1ED8F1176DF}">
  <dimension ref="A1:I15"/>
  <sheetViews>
    <sheetView workbookViewId="0">
      <selection activeCell="G15" sqref="G15"/>
    </sheetView>
  </sheetViews>
  <sheetFormatPr baseColWidth="10" defaultColWidth="9.140625" defaultRowHeight="15" x14ac:dyDescent="0.25"/>
  <cols>
    <col min="4" max="5" width="12" bestFit="1" customWidth="1"/>
    <col min="7" max="7" width="12" bestFit="1" customWidth="1"/>
  </cols>
  <sheetData>
    <row r="1" spans="1:9" x14ac:dyDescent="0.25">
      <c r="A1" t="s">
        <v>25</v>
      </c>
    </row>
    <row r="2" spans="1:9" x14ac:dyDescent="0.25">
      <c r="H2" t="s">
        <v>24</v>
      </c>
      <c r="I2">
        <v>0.1</v>
      </c>
    </row>
    <row r="4" spans="1:9" x14ac:dyDescent="0.25">
      <c r="C4" t="s">
        <v>23</v>
      </c>
      <c r="D4" t="s">
        <v>22</v>
      </c>
      <c r="E4" t="s">
        <v>21</v>
      </c>
      <c r="F4" t="s">
        <v>20</v>
      </c>
      <c r="G4" t="s">
        <v>19</v>
      </c>
    </row>
    <row r="5" spans="1:9" x14ac:dyDescent="0.25">
      <c r="C5">
        <v>0</v>
      </c>
      <c r="D5">
        <v>1</v>
      </c>
      <c r="E5">
        <v>1</v>
      </c>
      <c r="F5">
        <f t="shared" ref="F5:F15" si="0">ABS(D5-E5)</f>
        <v>0</v>
      </c>
      <c r="G5">
        <f>F5/E5</f>
        <v>0</v>
      </c>
    </row>
    <row r="6" spans="1:9" x14ac:dyDescent="0.25">
      <c r="C6">
        <v>0.1</v>
      </c>
      <c r="D6">
        <f t="shared" ref="D6:D15" si="1">D5+$I$2*(-2*D5)</f>
        <v>0.8</v>
      </c>
      <c r="E6">
        <f t="shared" ref="E6:E15" si="2">EXP(-2*C6)</f>
        <v>0.81873075307798182</v>
      </c>
      <c r="F6">
        <f t="shared" si="0"/>
        <v>1.8730753077981777E-2</v>
      </c>
      <c r="G6">
        <f t="shared" ref="G6:G15" si="3">(F6/E6)*100</f>
        <v>2.2877793471864036</v>
      </c>
    </row>
    <row r="7" spans="1:9" x14ac:dyDescent="0.25">
      <c r="C7">
        <v>0.2</v>
      </c>
      <c r="D7">
        <f t="shared" si="1"/>
        <v>0.64</v>
      </c>
      <c r="E7">
        <f t="shared" si="2"/>
        <v>0.67032004603563933</v>
      </c>
      <c r="F7">
        <f t="shared" si="0"/>
        <v>3.0320046035639314E-2</v>
      </c>
      <c r="G7">
        <f t="shared" si="3"/>
        <v>4.5232193509587013</v>
      </c>
    </row>
    <row r="8" spans="1:9" x14ac:dyDescent="0.25">
      <c r="C8">
        <v>0.3</v>
      </c>
      <c r="D8">
        <f t="shared" si="1"/>
        <v>0.51200000000000001</v>
      </c>
      <c r="E8">
        <f t="shared" si="2"/>
        <v>0.54881163609402639</v>
      </c>
      <c r="F8">
        <f t="shared" si="0"/>
        <v>3.6811636094026379E-2</v>
      </c>
      <c r="G8">
        <f t="shared" si="3"/>
        <v>6.7075174200059315</v>
      </c>
    </row>
    <row r="9" spans="1:9" x14ac:dyDescent="0.25">
      <c r="C9">
        <v>0.4</v>
      </c>
      <c r="D9">
        <f t="shared" si="1"/>
        <v>0.40960000000000002</v>
      </c>
      <c r="E9">
        <f t="shared" si="2"/>
        <v>0.44932896411722156</v>
      </c>
      <c r="F9">
        <f t="shared" si="0"/>
        <v>3.9728964117221544E-2</v>
      </c>
      <c r="G9">
        <f t="shared" si="3"/>
        <v>8.8418435689485175</v>
      </c>
    </row>
    <row r="10" spans="1:9" x14ac:dyDescent="0.25">
      <c r="C10">
        <v>0.5</v>
      </c>
      <c r="D10">
        <f t="shared" si="1"/>
        <v>0.32768000000000003</v>
      </c>
      <c r="E10">
        <f t="shared" si="2"/>
        <v>0.36787944117144233</v>
      </c>
      <c r="F10">
        <f t="shared" si="0"/>
        <v>4.0199441171442307E-2</v>
      </c>
      <c r="G10">
        <f t="shared" si="3"/>
        <v>10.927341045054002</v>
      </c>
    </row>
    <row r="11" spans="1:9" x14ac:dyDescent="0.25">
      <c r="C11">
        <v>0.6</v>
      </c>
      <c r="D11">
        <f t="shared" si="1"/>
        <v>0.26214400000000004</v>
      </c>
      <c r="E11">
        <f t="shared" si="2"/>
        <v>0.30119421191220214</v>
      </c>
      <c r="F11">
        <f t="shared" si="0"/>
        <v>3.9050211912202093E-2</v>
      </c>
      <c r="G11">
        <f t="shared" si="3"/>
        <v>12.965126940615047</v>
      </c>
    </row>
    <row r="12" spans="1:9" x14ac:dyDescent="0.25">
      <c r="C12">
        <v>0.7</v>
      </c>
      <c r="D12">
        <f t="shared" si="1"/>
        <v>0.20971520000000005</v>
      </c>
      <c r="E12">
        <f t="shared" si="2"/>
        <v>0.24659696394160649</v>
      </c>
      <c r="F12">
        <f t="shared" si="0"/>
        <v>3.6881763941606444E-2</v>
      </c>
      <c r="G12">
        <f t="shared" si="3"/>
        <v>14.956292791317555</v>
      </c>
    </row>
    <row r="13" spans="1:9" x14ac:dyDescent="0.25">
      <c r="C13">
        <v>0.8</v>
      </c>
      <c r="D13">
        <f t="shared" si="1"/>
        <v>0.16777216000000003</v>
      </c>
      <c r="E13">
        <f t="shared" si="2"/>
        <v>0.20189651799465538</v>
      </c>
      <c r="F13">
        <f t="shared" si="0"/>
        <v>3.4124357994655352E-2</v>
      </c>
      <c r="G13">
        <f t="shared" si="3"/>
        <v>16.901905160919465</v>
      </c>
    </row>
    <row r="14" spans="1:9" x14ac:dyDescent="0.25">
      <c r="C14">
        <v>0.9</v>
      </c>
      <c r="D14">
        <f t="shared" si="1"/>
        <v>0.13421772800000004</v>
      </c>
      <c r="E14">
        <f t="shared" si="2"/>
        <v>0.16529888822158653</v>
      </c>
      <c r="F14">
        <f t="shared" si="0"/>
        <v>3.1081160221586496E-2</v>
      </c>
      <c r="G14">
        <f t="shared" si="3"/>
        <v>18.803006212553328</v>
      </c>
    </row>
    <row r="15" spans="1:9" x14ac:dyDescent="0.25">
      <c r="C15">
        <v>1</v>
      </c>
      <c r="D15">
        <f t="shared" si="1"/>
        <v>0.10737418240000003</v>
      </c>
      <c r="E15">
        <f t="shared" si="2"/>
        <v>0.1353352832366127</v>
      </c>
      <c r="F15">
        <f t="shared" si="0"/>
        <v>2.7961100836612671E-2</v>
      </c>
      <c r="G15">
        <f t="shared" si="3"/>
        <v>20.660614266958774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23.7109375" bestFit="1" customWidth="1"/>
    <col min="2" max="2" width="17" bestFit="1" customWidth="1"/>
    <col min="3" max="3" width="9.28515625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10</v>
      </c>
      <c r="F1" t="s">
        <v>11</v>
      </c>
      <c r="H1" t="s">
        <v>9</v>
      </c>
    </row>
    <row r="2" spans="1:8" x14ac:dyDescent="0.25">
      <c r="A2" t="s">
        <v>0</v>
      </c>
      <c r="B2" t="s">
        <v>2</v>
      </c>
      <c r="C2">
        <v>1</v>
      </c>
      <c r="D2">
        <v>2501.84</v>
      </c>
      <c r="E2">
        <v>1</v>
      </c>
      <c r="F2">
        <f>Table1[[#This Row],[Speedup]]/Table1[[#This Row],[Hebras]]*100</f>
        <v>100</v>
      </c>
    </row>
    <row r="3" spans="1:8" x14ac:dyDescent="0.25">
      <c r="A3" t="s">
        <v>0</v>
      </c>
      <c r="B3" t="s">
        <v>1</v>
      </c>
      <c r="C3">
        <v>1</v>
      </c>
      <c r="D3">
        <v>1544.87</v>
      </c>
      <c r="E3">
        <v>1</v>
      </c>
      <c r="F3">
        <f>Table1[[#This Row],[Speedup]]/Table1[[#This Row],[Hebras]]*100</f>
        <v>100</v>
      </c>
    </row>
    <row r="4" spans="1:8" x14ac:dyDescent="0.25">
      <c r="A4" t="s">
        <v>0</v>
      </c>
      <c r="B4" t="s">
        <v>2</v>
      </c>
      <c r="C4">
        <v>4</v>
      </c>
      <c r="D4">
        <v>670.50400000000002</v>
      </c>
      <c r="E4">
        <f>D2/Table1[[#This Row],[T (s)]]</f>
        <v>3.7312827365683128</v>
      </c>
      <c r="F4">
        <f>Table1[[#This Row],[Speedup]]/Table1[[#This Row],[Hebras]]*100</f>
        <v>93.282068414207814</v>
      </c>
    </row>
    <row r="5" spans="1:8" x14ac:dyDescent="0.25">
      <c r="A5" t="s">
        <v>0</v>
      </c>
      <c r="B5" t="s">
        <v>1</v>
      </c>
      <c r="C5">
        <v>4</v>
      </c>
      <c r="D5">
        <v>371.93</v>
      </c>
      <c r="E5">
        <f>D3/Table1[[#This Row],[T (s)]]</f>
        <v>4.153657946387761</v>
      </c>
      <c r="F5">
        <f>Table1[[#This Row],[Speedup]]/Table1[[#This Row],[Hebras]]*100</f>
        <v>103.84144865969402</v>
      </c>
    </row>
    <row r="6" spans="1:8" x14ac:dyDescent="0.25">
      <c r="A6" t="s">
        <v>0</v>
      </c>
      <c r="B6" t="s">
        <v>2</v>
      </c>
      <c r="C6">
        <v>16</v>
      </c>
      <c r="D6">
        <v>197.065</v>
      </c>
      <c r="E6">
        <f>D2/Table1[[#This Row],[T (s)]]</f>
        <v>12.695506558749653</v>
      </c>
      <c r="F6">
        <f>Table1[[#This Row],[Speedup]]/Table1[[#This Row],[Hebras]]*100</f>
        <v>79.34691599218533</v>
      </c>
    </row>
    <row r="7" spans="1:8" x14ac:dyDescent="0.25">
      <c r="A7" t="s">
        <v>0</v>
      </c>
      <c r="B7" t="s">
        <v>1</v>
      </c>
      <c r="C7">
        <v>16</v>
      </c>
      <c r="D7">
        <v>180.327</v>
      </c>
      <c r="E7">
        <f>D3/Table1[[#This Row],[T (s)]]</f>
        <v>8.5670476412295429</v>
      </c>
      <c r="F7">
        <f>Table1[[#This Row],[Speedup]]/Table1[[#This Row],[Hebras]]*100</f>
        <v>53.544047757684645</v>
      </c>
    </row>
    <row r="9" spans="1:8" x14ac:dyDescent="0.25">
      <c r="A9" t="s">
        <v>3</v>
      </c>
      <c r="B9" t="s">
        <v>4</v>
      </c>
      <c r="C9" t="s">
        <v>5</v>
      </c>
      <c r="D9" t="s">
        <v>6</v>
      </c>
      <c r="E9" t="s">
        <v>10</v>
      </c>
      <c r="F9" t="s">
        <v>11</v>
      </c>
    </row>
    <row r="10" spans="1:8" x14ac:dyDescent="0.25">
      <c r="A10" s="4" t="s">
        <v>7</v>
      </c>
      <c r="B10" s="5" t="s">
        <v>2</v>
      </c>
      <c r="C10" s="5">
        <v>1</v>
      </c>
      <c r="D10" s="6">
        <v>707.63400000000001</v>
      </c>
      <c r="E10">
        <v>1</v>
      </c>
      <c r="F10">
        <f>Table4[[#This Row],[Speedup]]/Table4[[#This Row],[Hebras]]*100</f>
        <v>100</v>
      </c>
    </row>
    <row r="11" spans="1:8" x14ac:dyDescent="0.25">
      <c r="A11" s="1" t="s">
        <v>7</v>
      </c>
      <c r="B11" s="2" t="s">
        <v>1</v>
      </c>
      <c r="C11" s="2">
        <v>1</v>
      </c>
      <c r="D11" s="3">
        <v>556.05100000000004</v>
      </c>
      <c r="E11">
        <v>1</v>
      </c>
      <c r="F11">
        <f>Table4[[#This Row],[Speedup]]/Table4[[#This Row],[Hebras]]*100</f>
        <v>100</v>
      </c>
    </row>
    <row r="12" spans="1:8" x14ac:dyDescent="0.25">
      <c r="A12" s="4" t="s">
        <v>7</v>
      </c>
      <c r="B12" s="5" t="s">
        <v>2</v>
      </c>
      <c r="C12" s="5">
        <v>4</v>
      </c>
      <c r="D12" s="6">
        <v>179.559</v>
      </c>
      <c r="E12">
        <f>D10/Table4[[#This Row],[T (s)]]</f>
        <v>3.940955340584432</v>
      </c>
      <c r="F12">
        <f>Table4[[#This Row],[Speedup]]/Table4[[#This Row],[Hebras]]*100</f>
        <v>98.523883514610802</v>
      </c>
    </row>
    <row r="13" spans="1:8" x14ac:dyDescent="0.25">
      <c r="A13" s="1" t="s">
        <v>7</v>
      </c>
      <c r="B13" s="2" t="s">
        <v>1</v>
      </c>
      <c r="C13" s="2">
        <v>4</v>
      </c>
      <c r="D13" s="3">
        <v>130.99299999999999</v>
      </c>
      <c r="E13">
        <f>D11/Table4[[#This Row],[T (s)]]</f>
        <v>4.2448909483712871</v>
      </c>
      <c r="F13">
        <f>Table4[[#This Row],[Speedup]]/Table4[[#This Row],[Hebras]]*100</f>
        <v>106.12227370928218</v>
      </c>
    </row>
    <row r="14" spans="1:8" x14ac:dyDescent="0.25">
      <c r="A14" s="10" t="s">
        <v>7</v>
      </c>
      <c r="B14" s="11" t="s">
        <v>2</v>
      </c>
      <c r="C14" s="11">
        <v>16</v>
      </c>
      <c r="D14" s="12">
        <v>56.517400000000002</v>
      </c>
      <c r="E14">
        <f>D10/Table4[[#This Row],[T (s)]]</f>
        <v>12.520639661414007</v>
      </c>
      <c r="F14">
        <f>Table4[[#This Row],[Speedup]]/Table4[[#This Row],[Hebras]]*100</f>
        <v>78.253997883837542</v>
      </c>
    </row>
    <row r="15" spans="1:8" x14ac:dyDescent="0.25">
      <c r="A15" s="4" t="s">
        <v>7</v>
      </c>
      <c r="B15" s="5" t="s">
        <v>1</v>
      </c>
      <c r="C15" s="5">
        <v>16</v>
      </c>
      <c r="D15" s="6">
        <v>66.148499999999999</v>
      </c>
      <c r="E15">
        <f>D11/Table4[[#This Row],[T (s)]]</f>
        <v>8.4061014233126983</v>
      </c>
      <c r="F15">
        <f>Table4[[#This Row],[Speedup]]/Table4[[#This Row],[Hebras]]*100</f>
        <v>52.538133895704362</v>
      </c>
    </row>
    <row r="17" spans="1:6" x14ac:dyDescent="0.25">
      <c r="A17" t="s">
        <v>3</v>
      </c>
      <c r="B17" t="s">
        <v>4</v>
      </c>
      <c r="C17" t="s">
        <v>5</v>
      </c>
      <c r="D17" t="s">
        <v>6</v>
      </c>
      <c r="E17" t="s">
        <v>10</v>
      </c>
      <c r="F17" t="s">
        <v>12</v>
      </c>
    </row>
    <row r="18" spans="1:6" x14ac:dyDescent="0.25">
      <c r="A18" s="1" t="s">
        <v>8</v>
      </c>
      <c r="B18" s="2" t="s">
        <v>2</v>
      </c>
      <c r="C18" s="2">
        <v>1</v>
      </c>
      <c r="D18" s="3">
        <v>2914.04</v>
      </c>
      <c r="E18">
        <v>1</v>
      </c>
      <c r="F18">
        <f>Table5[[#This Row],[Speedup]]/Table5[[#This Row],[Hebras]]*100</f>
        <v>100</v>
      </c>
    </row>
    <row r="19" spans="1:6" x14ac:dyDescent="0.25">
      <c r="A19" s="4" t="s">
        <v>8</v>
      </c>
      <c r="B19" s="5" t="s">
        <v>1</v>
      </c>
      <c r="C19" s="5">
        <v>1</v>
      </c>
      <c r="D19" s="6">
        <v>1772.73</v>
      </c>
      <c r="E19">
        <v>1</v>
      </c>
      <c r="F19">
        <f>Table5[[#This Row],[Speedup]]/Table5[[#This Row],[Hebras]]*100</f>
        <v>100</v>
      </c>
    </row>
    <row r="20" spans="1:6" x14ac:dyDescent="0.25">
      <c r="A20" s="1" t="s">
        <v>8</v>
      </c>
      <c r="B20" s="2" t="s">
        <v>2</v>
      </c>
      <c r="C20" s="2">
        <v>4</v>
      </c>
      <c r="D20" s="3">
        <v>785.55499999999995</v>
      </c>
      <c r="E20">
        <f>$D$19/Table5[[#This Row],[T (s)]]</f>
        <v>2.256659304568108</v>
      </c>
      <c r="F20">
        <f>Table5[[#This Row],[Speedup]]/Table5[[#This Row],[Hebras]]*100</f>
        <v>56.4164826142027</v>
      </c>
    </row>
    <row r="21" spans="1:6" x14ac:dyDescent="0.25">
      <c r="A21" s="4" t="s">
        <v>8</v>
      </c>
      <c r="B21" s="5" t="s">
        <v>1</v>
      </c>
      <c r="C21" s="5">
        <v>4</v>
      </c>
      <c r="D21" s="6">
        <v>438.01799999999997</v>
      </c>
      <c r="E21">
        <f>D19/Table5[[#This Row],[T (s)]]</f>
        <v>4.047162445378957</v>
      </c>
      <c r="F21">
        <f>Table5[[#This Row],[Speedup]]/Table5[[#This Row],[Hebras]]*100</f>
        <v>101.17906113447393</v>
      </c>
    </row>
    <row r="22" spans="1:6" x14ac:dyDescent="0.25">
      <c r="A22" s="1" t="s">
        <v>8</v>
      </c>
      <c r="B22" s="2" t="s">
        <v>2</v>
      </c>
      <c r="C22" s="2">
        <v>16</v>
      </c>
      <c r="D22" s="3">
        <v>237.23599999999999</v>
      </c>
      <c r="E22">
        <f>D18/Table5[[#This Row],[T (s)]]</f>
        <v>12.283295958454872</v>
      </c>
      <c r="F22">
        <f>Table5[[#This Row],[Speedup]]/Table5[[#This Row],[Hebras]]*100</f>
        <v>76.770599740342945</v>
      </c>
    </row>
    <row r="23" spans="1:6" x14ac:dyDescent="0.25">
      <c r="A23" s="7" t="s">
        <v>8</v>
      </c>
      <c r="B23" s="8" t="s">
        <v>1</v>
      </c>
      <c r="C23" s="8">
        <v>16</v>
      </c>
      <c r="D23" s="9">
        <v>219.91800000000001</v>
      </c>
      <c r="E23">
        <f>D19/Table5[[#This Row],[T (s)]]</f>
        <v>8.0608681417619295</v>
      </c>
      <c r="F23">
        <f>Table5[[#This Row],[Speedup]]/Table5[[#This Row],[Hebras]]*100</f>
        <v>50.380425886012063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7181-4225-450D-ACFE-7DC0A46F4CB5}">
  <dimension ref="C1:O21"/>
  <sheetViews>
    <sheetView workbookViewId="0">
      <selection activeCell="H24" sqref="H24"/>
    </sheetView>
  </sheetViews>
  <sheetFormatPr baseColWidth="10" defaultRowHeight="15" x14ac:dyDescent="0.25"/>
  <cols>
    <col min="3" max="3" width="18.5703125" bestFit="1" customWidth="1"/>
    <col min="4" max="4" width="9.42578125" bestFit="1" customWidth="1"/>
    <col min="5" max="5" width="17" bestFit="1" customWidth="1"/>
    <col min="8" max="8" width="11.7109375" customWidth="1"/>
    <col min="15" max="15" width="11.85546875" bestFit="1" customWidth="1"/>
  </cols>
  <sheetData>
    <row r="1" spans="3:15" x14ac:dyDescent="0.25">
      <c r="C1" t="s">
        <v>14</v>
      </c>
      <c r="K1" t="s">
        <v>15</v>
      </c>
    </row>
    <row r="3" spans="3:15" x14ac:dyDescent="0.25">
      <c r="C3" t="s">
        <v>13</v>
      </c>
      <c r="D3" t="s">
        <v>5</v>
      </c>
      <c r="E3" t="s">
        <v>4</v>
      </c>
      <c r="F3" t="s">
        <v>6</v>
      </c>
      <c r="G3" t="s">
        <v>10</v>
      </c>
      <c r="H3" t="s">
        <v>12</v>
      </c>
      <c r="K3" t="s">
        <v>5</v>
      </c>
      <c r="L3" t="s">
        <v>13</v>
      </c>
      <c r="M3" t="s">
        <v>6</v>
      </c>
      <c r="N3" t="s">
        <v>10</v>
      </c>
      <c r="O3" t="s">
        <v>16</v>
      </c>
    </row>
    <row r="4" spans="3:15" x14ac:dyDescent="0.25">
      <c r="C4">
        <v>45000</v>
      </c>
      <c r="D4">
        <v>1</v>
      </c>
      <c r="E4" t="s">
        <v>17</v>
      </c>
      <c r="F4">
        <v>976.06100000000004</v>
      </c>
      <c r="G4">
        <v>1</v>
      </c>
      <c r="H4">
        <f>Tabla2[[#This Row],[Speedup]]/Tabla2[[#This Row],[Hebras]]</f>
        <v>1</v>
      </c>
      <c r="K4">
        <v>1</v>
      </c>
      <c r="L4">
        <v>45000</v>
      </c>
      <c r="M4">
        <v>976.06100000000004</v>
      </c>
      <c r="N4">
        <f>$M$4/Tabla3[[#This Row],[T (s)]]</f>
        <v>1</v>
      </c>
      <c r="O4">
        <f>Tabla3[[#This Row],[Speedup]]/Tabla3[[#This Row],[Hebras]]*100</f>
        <v>100</v>
      </c>
    </row>
    <row r="5" spans="3:15" x14ac:dyDescent="0.25">
      <c r="C5">
        <v>45000</v>
      </c>
      <c r="D5">
        <v>1</v>
      </c>
      <c r="E5" t="s">
        <v>18</v>
      </c>
      <c r="F5">
        <v>2151.79</v>
      </c>
      <c r="G5">
        <v>1</v>
      </c>
      <c r="H5">
        <f>Tabla2[[#This Row],[Speedup]]/Tabla2[[#This Row],[Hebras]]</f>
        <v>1</v>
      </c>
      <c r="K5">
        <v>4</v>
      </c>
      <c r="L5">
        <v>45000</v>
      </c>
      <c r="M5">
        <v>263.08100000000002</v>
      </c>
      <c r="N5">
        <f>$M$4/Tabla3[[#This Row],[T (s)]]</f>
        <v>3.7101158958647718</v>
      </c>
      <c r="O5">
        <f>Tabla3[[#This Row],[Speedup]]/Tabla3[[#This Row],[Hebras]]*100</f>
        <v>92.752897396619289</v>
      </c>
    </row>
    <row r="6" spans="3:15" x14ac:dyDescent="0.25">
      <c r="C6">
        <v>45000</v>
      </c>
      <c r="D6">
        <v>4</v>
      </c>
      <c r="E6" t="s">
        <v>17</v>
      </c>
      <c r="F6">
        <v>263.08100000000002</v>
      </c>
      <c r="G6">
        <f>F4/Tabla2[[#This Row],[T (s)]]</f>
        <v>3.7101158958647718</v>
      </c>
      <c r="H6">
        <f>Tabla2[[#This Row],[Speedup]]/Tabla2[[#This Row],[Hebras]]</f>
        <v>0.92752897396619294</v>
      </c>
      <c r="K6">
        <v>16</v>
      </c>
      <c r="L6">
        <v>45000</v>
      </c>
      <c r="M6">
        <v>180.66200000000001</v>
      </c>
      <c r="N6">
        <f>$M$4/Tabla3[[#This Row],[T (s)]]</f>
        <v>5.4026912134261771</v>
      </c>
      <c r="O6">
        <f>Tabla3[[#This Row],[Speedup]]/Tabla3[[#This Row],[Hebras]]*100</f>
        <v>33.766820083913608</v>
      </c>
    </row>
    <row r="7" spans="3:15" x14ac:dyDescent="0.25">
      <c r="C7">
        <v>45000</v>
      </c>
      <c r="D7">
        <v>4</v>
      </c>
      <c r="E7" t="s">
        <v>18</v>
      </c>
      <c r="F7">
        <v>569.69299999999998</v>
      </c>
      <c r="G7">
        <f>F5/Tabla2[[#This Row],[T (s)]]</f>
        <v>3.777104510675048</v>
      </c>
      <c r="H7">
        <f>Tabla2[[#This Row],[Speedup]]/Tabla2[[#This Row],[Hebras]]</f>
        <v>0.94427612766876201</v>
      </c>
      <c r="K7">
        <v>1</v>
      </c>
      <c r="L7">
        <v>80000</v>
      </c>
      <c r="M7">
        <v>1825.86</v>
      </c>
      <c r="N7">
        <f>$M$7/Tabla3[[#This Row],[T (s)]]</f>
        <v>1</v>
      </c>
      <c r="O7">
        <f>Tabla3[[#This Row],[Speedup]]/Tabla3[[#This Row],[Hebras]]*100</f>
        <v>100</v>
      </c>
    </row>
    <row r="8" spans="3:15" x14ac:dyDescent="0.25">
      <c r="C8">
        <v>45000</v>
      </c>
      <c r="D8">
        <v>16</v>
      </c>
      <c r="E8" t="s">
        <v>17</v>
      </c>
      <c r="F8">
        <v>180.66200000000001</v>
      </c>
      <c r="G8">
        <f>F4/Tabla2[[#This Row],[T (s)]]</f>
        <v>5.4026912134261771</v>
      </c>
      <c r="H8">
        <f>Tabla2[[#This Row],[Speedup]]/Tabla2[[#This Row],[Hebras]]</f>
        <v>0.33766820083913607</v>
      </c>
      <c r="K8">
        <v>4</v>
      </c>
      <c r="L8">
        <v>80000</v>
      </c>
      <c r="M8">
        <v>466.28199999999998</v>
      </c>
      <c r="N8">
        <f>$M$7/Tabla3[[#This Row],[T (s)]]</f>
        <v>3.9157848683843683</v>
      </c>
      <c r="O8">
        <f>Tabla3[[#This Row],[Speedup]]/Tabla3[[#This Row],[Hebras]]*100</f>
        <v>97.894621709609211</v>
      </c>
    </row>
    <row r="9" spans="3:15" x14ac:dyDescent="0.25">
      <c r="C9">
        <v>45000</v>
      </c>
      <c r="D9">
        <v>16</v>
      </c>
      <c r="E9" t="s">
        <v>18</v>
      </c>
      <c r="F9">
        <v>206.744</v>
      </c>
      <c r="G9">
        <f>F5/Tabla2[[#This Row],[T (s)]]</f>
        <v>10.407992493131601</v>
      </c>
      <c r="H9">
        <f>Tabla2[[#This Row],[Speedup]]/Tabla2[[#This Row],[Hebras]]</f>
        <v>0.65049953082072509</v>
      </c>
      <c r="K9">
        <v>16</v>
      </c>
      <c r="L9">
        <v>80000</v>
      </c>
      <c r="M9">
        <v>214.67</v>
      </c>
      <c r="N9">
        <f>$M$7/Tabla3[[#This Row],[T (s)]]</f>
        <v>8.5054269343643725</v>
      </c>
      <c r="O9">
        <f>Tabla3[[#This Row],[Speedup]]/Tabla3[[#This Row],[Hebras]]*100</f>
        <v>53.15891833977733</v>
      </c>
    </row>
    <row r="10" spans="3:15" x14ac:dyDescent="0.25">
      <c r="C10">
        <v>80000</v>
      </c>
      <c r="D10">
        <v>1</v>
      </c>
      <c r="E10" t="s">
        <v>17</v>
      </c>
      <c r="F10">
        <v>1825.86</v>
      </c>
      <c r="G10">
        <v>1</v>
      </c>
      <c r="H10">
        <f>Tabla2[[#This Row],[Speedup]]/Tabla2[[#This Row],[Hebras]]</f>
        <v>1</v>
      </c>
      <c r="K10">
        <v>1</v>
      </c>
      <c r="L10">
        <v>125000</v>
      </c>
      <c r="M10">
        <v>2692.79</v>
      </c>
      <c r="N10">
        <f>$M$10/Tabla3[[#This Row],[T (s)]]</f>
        <v>1</v>
      </c>
      <c r="O10">
        <f>Tabla3[[#This Row],[Speedup]]/Tabla3[[#This Row],[Hebras]]*100</f>
        <v>100</v>
      </c>
    </row>
    <row r="11" spans="3:15" x14ac:dyDescent="0.25">
      <c r="C11">
        <v>80000</v>
      </c>
      <c r="D11">
        <v>1</v>
      </c>
      <c r="E11" t="s">
        <v>18</v>
      </c>
      <c r="F11">
        <v>3970.37</v>
      </c>
      <c r="G11">
        <v>1</v>
      </c>
      <c r="H11">
        <f>Tabla2[[#This Row],[Speedup]]/Tabla2[[#This Row],[Hebras]]</f>
        <v>1</v>
      </c>
      <c r="K11">
        <v>4</v>
      </c>
      <c r="L11">
        <v>125000</v>
      </c>
      <c r="M11">
        <v>675.12300000000005</v>
      </c>
      <c r="N11">
        <f>$M$10/Tabla3[[#This Row],[T (s)]]</f>
        <v>3.9885917084738631</v>
      </c>
      <c r="O11">
        <f>Tabla3[[#This Row],[Speedup]]/Tabla3[[#This Row],[Hebras]]*100</f>
        <v>99.714792711846584</v>
      </c>
    </row>
    <row r="12" spans="3:15" x14ac:dyDescent="0.25">
      <c r="C12">
        <v>80000</v>
      </c>
      <c r="D12">
        <v>4</v>
      </c>
      <c r="E12" t="s">
        <v>17</v>
      </c>
      <c r="F12">
        <v>466.28199999999998</v>
      </c>
      <c r="G12">
        <f>F10/Tabla2[[#This Row],[T (s)]]</f>
        <v>3.9157848683843683</v>
      </c>
      <c r="H12">
        <f>Tabla2[[#This Row],[Speedup]]/Tabla2[[#This Row],[Hebras]]</f>
        <v>0.97894621709609209</v>
      </c>
      <c r="K12">
        <v>16</v>
      </c>
      <c r="L12">
        <v>125000</v>
      </c>
      <c r="M12">
        <v>264.40199999999999</v>
      </c>
      <c r="N12">
        <f>$M$10/Tabla3[[#This Row],[T (s)]]</f>
        <v>10.184453975385965</v>
      </c>
      <c r="O12">
        <f>Tabla3[[#This Row],[Speedup]]/Tabla3[[#This Row],[Hebras]]*100</f>
        <v>63.652837346162286</v>
      </c>
    </row>
    <row r="13" spans="3:15" x14ac:dyDescent="0.25">
      <c r="C13">
        <v>80000</v>
      </c>
      <c r="D13">
        <v>4</v>
      </c>
      <c r="E13" t="s">
        <v>18</v>
      </c>
      <c r="F13">
        <v>1049.3499999999999</v>
      </c>
      <c r="G13">
        <f>F11/Tabla2[[#This Row],[T (s)]]</f>
        <v>3.7836470195835519</v>
      </c>
      <c r="H13">
        <f>Tabla2[[#This Row],[Speedup]]/Tabla2[[#This Row],[Hebras]]</f>
        <v>0.94591175489588797</v>
      </c>
    </row>
    <row r="14" spans="3:15" x14ac:dyDescent="0.25">
      <c r="C14">
        <v>80000</v>
      </c>
      <c r="D14">
        <v>16</v>
      </c>
      <c r="E14" t="s">
        <v>17</v>
      </c>
      <c r="F14">
        <v>214.67</v>
      </c>
      <c r="G14">
        <f>F10/Tabla2[[#This Row],[T (s)]]</f>
        <v>8.5054269343643725</v>
      </c>
      <c r="H14">
        <f>Tabla2[[#This Row],[Speedup]]/Tabla2[[#This Row],[Hebras]]</f>
        <v>0.53158918339777328</v>
      </c>
    </row>
    <row r="15" spans="3:15" x14ac:dyDescent="0.25">
      <c r="C15">
        <v>80000</v>
      </c>
      <c r="D15">
        <v>16</v>
      </c>
      <c r="E15" t="s">
        <v>18</v>
      </c>
      <c r="F15">
        <v>331.80900000000003</v>
      </c>
      <c r="G15">
        <f>F11/Tabla2[[#This Row],[T (s)]]</f>
        <v>11.965829739398266</v>
      </c>
      <c r="H15">
        <f>Tabla2[[#This Row],[Speedup]]/Tabla2[[#This Row],[Hebras]]</f>
        <v>0.74786435871239165</v>
      </c>
    </row>
    <row r="16" spans="3:15" x14ac:dyDescent="0.25">
      <c r="C16">
        <v>125000</v>
      </c>
      <c r="D16">
        <v>1</v>
      </c>
      <c r="E16" t="s">
        <v>17</v>
      </c>
      <c r="F16">
        <v>2692.79</v>
      </c>
      <c r="G16">
        <v>1</v>
      </c>
      <c r="H16">
        <f>Tabla2[[#This Row],[Speedup]]/Tabla2[[#This Row],[Hebras]]</f>
        <v>1</v>
      </c>
    </row>
    <row r="17" spans="3:8" x14ac:dyDescent="0.25">
      <c r="C17">
        <v>125000</v>
      </c>
      <c r="D17">
        <v>1</v>
      </c>
      <c r="E17" t="s">
        <v>18</v>
      </c>
      <c r="F17">
        <v>5982.94</v>
      </c>
      <c r="G17">
        <v>1</v>
      </c>
      <c r="H17">
        <f>Tabla2[[#This Row],[Speedup]]/Tabla2[[#This Row],[Hebras]]</f>
        <v>1</v>
      </c>
    </row>
    <row r="18" spans="3:8" x14ac:dyDescent="0.25">
      <c r="C18">
        <v>125000</v>
      </c>
      <c r="D18">
        <v>4</v>
      </c>
      <c r="E18" t="s">
        <v>17</v>
      </c>
      <c r="F18">
        <v>675.12300000000005</v>
      </c>
      <c r="G18">
        <f>F16/Tabla2[[#This Row],[T (s)]]</f>
        <v>3.9885917084738631</v>
      </c>
      <c r="H18">
        <f>Tabla2[[#This Row],[Speedup]]/Tabla2[[#This Row],[Hebras]]</f>
        <v>0.99714792711846578</v>
      </c>
    </row>
    <row r="19" spans="3:8" x14ac:dyDescent="0.25">
      <c r="C19">
        <v>125000</v>
      </c>
      <c r="D19">
        <v>4</v>
      </c>
      <c r="E19" t="s">
        <v>18</v>
      </c>
      <c r="F19">
        <v>1593.61</v>
      </c>
      <c r="G19">
        <f>F17/Tabla2[[#This Row],[T (s)]]</f>
        <v>3.7543313608724844</v>
      </c>
      <c r="H19">
        <f>Tabla2[[#This Row],[Speedup]]/Tabla2[[#This Row],[Hebras]]</f>
        <v>0.93858284021812111</v>
      </c>
    </row>
    <row r="20" spans="3:8" x14ac:dyDescent="0.25">
      <c r="C20">
        <v>125000</v>
      </c>
      <c r="D20">
        <v>16</v>
      </c>
      <c r="E20" t="s">
        <v>17</v>
      </c>
      <c r="F20">
        <v>264.40199999999999</v>
      </c>
      <c r="G20">
        <f>F16/Tabla2[[#This Row],[T (s)]]</f>
        <v>10.184453975385965</v>
      </c>
      <c r="H20">
        <f>Tabla2[[#This Row],[Speedup]]/Tabla2[[#This Row],[Hebras]]</f>
        <v>0.63652837346162283</v>
      </c>
    </row>
    <row r="21" spans="3:8" x14ac:dyDescent="0.25">
      <c r="C21">
        <v>125000</v>
      </c>
      <c r="D21">
        <v>16</v>
      </c>
      <c r="E21" t="s">
        <v>18</v>
      </c>
      <c r="F21">
        <v>445.08100000000002</v>
      </c>
      <c r="G21">
        <f>F17/Tabla2[[#This Row],[T (s)]]</f>
        <v>13.442362176772317</v>
      </c>
      <c r="H21">
        <f>Tabla2[[#This Row],[Speedup]]/Tabla2[[#This Row],[Hebras]]</f>
        <v>0.84014763604826981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7CA9-EEAD-47D8-8246-BC1669A39E04}">
  <dimension ref="D1:G12"/>
  <sheetViews>
    <sheetView workbookViewId="0">
      <selection activeCell="E32" sqref="E32"/>
    </sheetView>
  </sheetViews>
  <sheetFormatPr baseColWidth="10" defaultRowHeight="15" x14ac:dyDescent="0.25"/>
  <cols>
    <col min="4" max="4" width="25.7109375" customWidth="1"/>
    <col min="5" max="5" width="21.85546875" customWidth="1"/>
    <col min="6" max="6" width="17" bestFit="1" customWidth="1"/>
    <col min="7" max="7" width="13.140625" bestFit="1" customWidth="1"/>
    <col min="9" max="9" width="11.7109375" customWidth="1"/>
  </cols>
  <sheetData>
    <row r="1" spans="4:7" x14ac:dyDescent="0.25">
      <c r="D1" t="s">
        <v>28</v>
      </c>
    </row>
    <row r="3" spans="4:7" x14ac:dyDescent="0.25">
      <c r="D3" t="s">
        <v>3</v>
      </c>
      <c r="E3" t="s">
        <v>4</v>
      </c>
      <c r="F3" t="s">
        <v>6</v>
      </c>
      <c r="G3" t="s">
        <v>10</v>
      </c>
    </row>
    <row r="4" spans="4:7" x14ac:dyDescent="0.25">
      <c r="D4" t="s">
        <v>0</v>
      </c>
      <c r="E4" t="s">
        <v>29</v>
      </c>
      <c r="F4">
        <v>2531.0100000000002</v>
      </c>
      <c r="G4">
        <f>Tabla6[[#This Row],[T (s)]]/Tabla6[[#This Row],[T (s)]]</f>
        <v>1</v>
      </c>
    </row>
    <row r="5" spans="4:7" x14ac:dyDescent="0.25">
      <c r="D5" t="s">
        <v>0</v>
      </c>
      <c r="E5" t="s">
        <v>27</v>
      </c>
      <c r="F5">
        <v>236.42</v>
      </c>
      <c r="G5">
        <f>F4/Tabla6[[#This Row],[T (s)]]</f>
        <v>10.705566364943746</v>
      </c>
    </row>
    <row r="6" spans="4:7" x14ac:dyDescent="0.25">
      <c r="D6" t="s">
        <v>0</v>
      </c>
      <c r="E6" t="s">
        <v>26</v>
      </c>
      <c r="F6">
        <v>77.1447</v>
      </c>
      <c r="G6">
        <f>F4/Tabla6[[#This Row],[T (s)]]</f>
        <v>32.808605127766398</v>
      </c>
    </row>
    <row r="7" spans="4:7" x14ac:dyDescent="0.25">
      <c r="D7" t="s">
        <v>7</v>
      </c>
      <c r="E7" t="s">
        <v>29</v>
      </c>
      <c r="F7">
        <v>847.87</v>
      </c>
      <c r="G7">
        <v>1</v>
      </c>
    </row>
    <row r="8" spans="4:7" x14ac:dyDescent="0.25">
      <c r="D8" t="s">
        <v>7</v>
      </c>
      <c r="E8" t="s">
        <v>27</v>
      </c>
      <c r="F8">
        <v>82.703999999999994</v>
      </c>
      <c r="G8">
        <f>F7/Tabla6[[#This Row],[T (s)]]</f>
        <v>10.251862062294448</v>
      </c>
    </row>
    <row r="9" spans="4:7" x14ac:dyDescent="0.25">
      <c r="D9" t="s">
        <v>7</v>
      </c>
      <c r="E9" t="s">
        <v>26</v>
      </c>
      <c r="F9">
        <v>23.554400000000001</v>
      </c>
      <c r="G9">
        <f>F7/Tabla6[[#This Row],[T (s)]]</f>
        <v>35.996246985701184</v>
      </c>
    </row>
    <row r="10" spans="4:7" x14ac:dyDescent="0.25">
      <c r="D10" t="s">
        <v>8</v>
      </c>
      <c r="E10" t="s">
        <v>29</v>
      </c>
      <c r="F10">
        <v>2692.79</v>
      </c>
      <c r="G10">
        <v>1</v>
      </c>
    </row>
    <row r="11" spans="4:7" x14ac:dyDescent="0.25">
      <c r="D11" t="s">
        <v>8</v>
      </c>
      <c r="E11" t="s">
        <v>27</v>
      </c>
      <c r="F11">
        <v>264.40199999999999</v>
      </c>
      <c r="G11">
        <f>F10/Tabla6[[#This Row],[T (s)]]</f>
        <v>10.184453975385965</v>
      </c>
    </row>
    <row r="12" spans="4:7" x14ac:dyDescent="0.25">
      <c r="D12" t="s">
        <v>8</v>
      </c>
      <c r="E12" t="s">
        <v>26</v>
      </c>
      <c r="F12">
        <v>86.291600000000003</v>
      </c>
      <c r="G12">
        <f>F10/Tabla6[[#This Row],[T (s)]]</f>
        <v>31.205702524927105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8887-C6C4-4F6F-8AD6-C9DE40C79BFF}">
  <dimension ref="B1:R29"/>
  <sheetViews>
    <sheetView tabSelected="1" workbookViewId="0">
      <selection activeCell="I27" sqref="I27"/>
    </sheetView>
  </sheetViews>
  <sheetFormatPr baseColWidth="10" defaultRowHeight="15" x14ac:dyDescent="0.25"/>
  <cols>
    <col min="2" max="2" width="23.5703125" bestFit="1" customWidth="1"/>
    <col min="3" max="3" width="12.7109375" customWidth="1"/>
    <col min="7" max="7" width="11.7109375" customWidth="1"/>
  </cols>
  <sheetData>
    <row r="1" spans="2:18" x14ac:dyDescent="0.25">
      <c r="H1" t="s">
        <v>60</v>
      </c>
    </row>
    <row r="2" spans="2:18" x14ac:dyDescent="0.25">
      <c r="J2" s="14"/>
      <c r="K2" s="14"/>
      <c r="L2" s="14"/>
      <c r="M2" s="14"/>
      <c r="N2" s="14"/>
      <c r="O2" s="14"/>
      <c r="P2" s="14"/>
      <c r="Q2" s="14"/>
      <c r="R2" s="14"/>
    </row>
    <row r="3" spans="2:18" x14ac:dyDescent="0.25">
      <c r="B3" t="s">
        <v>3</v>
      </c>
      <c r="C3" t="s">
        <v>13</v>
      </c>
      <c r="D3" t="s">
        <v>6</v>
      </c>
      <c r="E3" t="s">
        <v>30</v>
      </c>
      <c r="H3" t="s">
        <v>13</v>
      </c>
      <c r="I3" t="s">
        <v>6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2:18" x14ac:dyDescent="0.25">
      <c r="B4" t="s">
        <v>0</v>
      </c>
      <c r="C4">
        <v>200</v>
      </c>
      <c r="D4">
        <v>18.841999999999999</v>
      </c>
      <c r="E4">
        <f>Tabla7[[#This Row],[T (s)]]/Tabla7[[#This Row],[neqn]]*1000</f>
        <v>94.21</v>
      </c>
      <c r="H4">
        <v>200</v>
      </c>
      <c r="I4">
        <v>18.84</v>
      </c>
      <c r="J4">
        <v>94.21</v>
      </c>
      <c r="K4" t="s">
        <v>43</v>
      </c>
      <c r="L4">
        <v>33.409999999999997</v>
      </c>
      <c r="M4">
        <v>0.55600000000000005</v>
      </c>
      <c r="N4" t="s">
        <v>52</v>
      </c>
      <c r="O4">
        <v>246.38</v>
      </c>
      <c r="P4">
        <v>0.49199999999999999</v>
      </c>
    </row>
    <row r="5" spans="2:18" x14ac:dyDescent="0.25">
      <c r="B5" t="s">
        <v>0</v>
      </c>
      <c r="C5">
        <v>400</v>
      </c>
      <c r="D5">
        <v>19.164300000000001</v>
      </c>
      <c r="E5">
        <f>Tabla7[[#This Row],[T (s)]]/Tabla7[[#This Row],[neqn]]*1000</f>
        <v>47.91075</v>
      </c>
      <c r="H5">
        <v>400</v>
      </c>
      <c r="I5">
        <v>19.16</v>
      </c>
      <c r="J5">
        <v>47.91</v>
      </c>
      <c r="K5" t="s">
        <v>44</v>
      </c>
      <c r="L5">
        <v>38.56</v>
      </c>
      <c r="M5">
        <v>0.48199999999999998</v>
      </c>
      <c r="N5" t="s">
        <v>53</v>
      </c>
      <c r="O5">
        <v>291.95</v>
      </c>
      <c r="P5">
        <v>0.48599999999999999</v>
      </c>
    </row>
    <row r="6" spans="2:18" x14ac:dyDescent="0.25">
      <c r="B6" t="s">
        <v>0</v>
      </c>
      <c r="C6">
        <v>1000</v>
      </c>
      <c r="D6">
        <v>17.084399999999999</v>
      </c>
      <c r="E6">
        <f>Tabla7[[#This Row],[T (s)]]/Tabla7[[#This Row],[neqn]]*1000</f>
        <v>17.084399999999999</v>
      </c>
      <c r="H6" t="s">
        <v>37</v>
      </c>
      <c r="I6">
        <v>17.079999999999998</v>
      </c>
      <c r="J6">
        <v>17.084</v>
      </c>
      <c r="K6" t="s">
        <v>45</v>
      </c>
      <c r="L6">
        <v>43.4</v>
      </c>
      <c r="M6">
        <v>0.434</v>
      </c>
      <c r="N6" t="s">
        <v>54</v>
      </c>
      <c r="O6">
        <v>335.23</v>
      </c>
      <c r="P6">
        <v>0.47799999999999998</v>
      </c>
    </row>
    <row r="7" spans="2:18" x14ac:dyDescent="0.25">
      <c r="B7" t="s">
        <v>0</v>
      </c>
      <c r="C7">
        <v>2000</v>
      </c>
      <c r="D7">
        <v>17.097100000000001</v>
      </c>
      <c r="E7">
        <f>Tabla7[[#This Row],[T (s)]]/Tabla7[[#This Row],[neqn]]*1000</f>
        <v>8.5485500000000005</v>
      </c>
      <c r="H7" t="s">
        <v>38</v>
      </c>
      <c r="I7">
        <v>17.09</v>
      </c>
      <c r="J7">
        <v>8.548</v>
      </c>
      <c r="K7" t="s">
        <v>46</v>
      </c>
      <c r="L7">
        <v>68.540000000000006</v>
      </c>
      <c r="M7">
        <v>0.45600000000000002</v>
      </c>
      <c r="N7" t="s">
        <v>55</v>
      </c>
      <c r="O7">
        <v>379.27</v>
      </c>
      <c r="P7">
        <v>0.47399999999999998</v>
      </c>
    </row>
    <row r="8" spans="2:18" x14ac:dyDescent="0.25">
      <c r="B8" t="s">
        <v>0</v>
      </c>
      <c r="C8">
        <v>4000</v>
      </c>
      <c r="D8">
        <v>17.201499999999999</v>
      </c>
      <c r="E8">
        <f>Tabla7[[#This Row],[T (s)]]/Tabla7[[#This Row],[neqn]]*1000</f>
        <v>4.3003749999999998</v>
      </c>
      <c r="H8" t="s">
        <v>39</v>
      </c>
      <c r="I8">
        <v>17.2</v>
      </c>
      <c r="J8">
        <v>4.3003</v>
      </c>
      <c r="K8" t="s">
        <v>47</v>
      </c>
      <c r="L8">
        <v>89.16</v>
      </c>
      <c r="M8">
        <v>0.44500000000000001</v>
      </c>
      <c r="N8" t="s">
        <v>56</v>
      </c>
      <c r="O8">
        <v>423.52</v>
      </c>
      <c r="P8">
        <v>0.47</v>
      </c>
    </row>
    <row r="9" spans="2:18" x14ac:dyDescent="0.25">
      <c r="B9" t="s">
        <v>0</v>
      </c>
      <c r="C9">
        <v>10000</v>
      </c>
      <c r="D9">
        <v>17.438700000000001</v>
      </c>
      <c r="E9">
        <f>Tabla7[[#This Row],[T (s)]]/Tabla7[[#This Row],[neqn]]*1000</f>
        <v>1.74387</v>
      </c>
      <c r="H9" t="s">
        <v>61</v>
      </c>
      <c r="I9">
        <v>17.43</v>
      </c>
      <c r="J9">
        <v>1.7430000000000001</v>
      </c>
      <c r="K9" t="s">
        <v>48</v>
      </c>
      <c r="L9">
        <v>115.64</v>
      </c>
      <c r="M9">
        <v>0.46200000000000002</v>
      </c>
      <c r="N9" t="s">
        <v>57</v>
      </c>
      <c r="O9">
        <v>469.07</v>
      </c>
      <c r="P9">
        <v>0.46899999999999997</v>
      </c>
    </row>
    <row r="10" spans="2:18" x14ac:dyDescent="0.25">
      <c r="B10" t="s">
        <v>0</v>
      </c>
      <c r="C10">
        <v>20000</v>
      </c>
      <c r="D10">
        <v>22.3018</v>
      </c>
      <c r="E10">
        <f>Tabla7[[#This Row],[T (s)]]/Tabla7[[#This Row],[neqn]]*1000</f>
        <v>1.1150899999999999</v>
      </c>
      <c r="H10" t="s">
        <v>40</v>
      </c>
      <c r="I10">
        <v>22.3</v>
      </c>
      <c r="J10">
        <v>1.115</v>
      </c>
      <c r="K10" t="s">
        <v>49</v>
      </c>
      <c r="L10">
        <v>141.37</v>
      </c>
      <c r="M10">
        <v>0.47099999999999997</v>
      </c>
      <c r="N10" t="s">
        <v>58</v>
      </c>
      <c r="O10">
        <v>702.06</v>
      </c>
      <c r="P10">
        <v>0.46800000000000003</v>
      </c>
    </row>
    <row r="11" spans="2:18" x14ac:dyDescent="0.25">
      <c r="B11" t="s">
        <v>0</v>
      </c>
      <c r="C11">
        <v>30000</v>
      </c>
      <c r="D11">
        <v>23.580500000000001</v>
      </c>
      <c r="E11">
        <f>Tabla7[[#This Row],[T (s)]]/Tabla7[[#This Row],[neqn]]*1000</f>
        <v>0.7860166666666667</v>
      </c>
      <c r="H11" t="s">
        <v>41</v>
      </c>
      <c r="I11">
        <v>23.58</v>
      </c>
      <c r="J11">
        <v>0.78600000000000003</v>
      </c>
      <c r="K11" t="s">
        <v>51</v>
      </c>
      <c r="L11">
        <v>173.56</v>
      </c>
      <c r="M11">
        <v>0.495</v>
      </c>
      <c r="N11" t="s">
        <v>59</v>
      </c>
      <c r="O11">
        <v>927.77</v>
      </c>
      <c r="P11">
        <v>0.46300000000000002</v>
      </c>
    </row>
    <row r="12" spans="2:18" x14ac:dyDescent="0.25">
      <c r="B12" t="s">
        <v>0</v>
      </c>
      <c r="C12">
        <v>40000</v>
      </c>
      <c r="D12">
        <v>28.273800000000001</v>
      </c>
      <c r="E12">
        <f>Tabla7[[#This Row],[T (s)]]/Tabla7[[#This Row],[neqn]]*1000</f>
        <v>0.70684499999999995</v>
      </c>
      <c r="H12" t="s">
        <v>42</v>
      </c>
      <c r="I12">
        <v>28.27</v>
      </c>
      <c r="J12">
        <v>0.70599999999999996</v>
      </c>
      <c r="K12" t="s">
        <v>50</v>
      </c>
      <c r="L12">
        <v>195.79</v>
      </c>
      <c r="M12">
        <v>0.48899999999999999</v>
      </c>
    </row>
    <row r="13" spans="2:18" x14ac:dyDescent="0.25">
      <c r="B13" t="s">
        <v>0</v>
      </c>
      <c r="C13">
        <v>60000</v>
      </c>
      <c r="D13">
        <v>33.410499999999999</v>
      </c>
      <c r="E13">
        <f>Tabla7[[#This Row],[T (s)]]/Tabla7[[#This Row],[neqn]]*1000</f>
        <v>0.55684166666666657</v>
      </c>
    </row>
    <row r="14" spans="2:18" x14ac:dyDescent="0.25">
      <c r="B14" t="s">
        <v>0</v>
      </c>
      <c r="C14">
        <v>80000</v>
      </c>
      <c r="D14">
        <v>38.565800000000003</v>
      </c>
      <c r="E14">
        <f>Tabla7[[#This Row],[T (s)]]/Tabla7[[#This Row],[neqn]]*1000</f>
        <v>0.48207250000000007</v>
      </c>
    </row>
    <row r="15" spans="2:18" x14ac:dyDescent="0.25">
      <c r="B15" t="s">
        <v>0</v>
      </c>
      <c r="C15">
        <v>100000</v>
      </c>
      <c r="D15">
        <v>43.403700000000001</v>
      </c>
      <c r="E15">
        <f>Tabla7[[#This Row],[T (s)]]/Tabla7[[#This Row],[neqn]]*1000</f>
        <v>0.43403700000000001</v>
      </c>
    </row>
    <row r="16" spans="2:18" x14ac:dyDescent="0.25">
      <c r="B16" t="s">
        <v>0</v>
      </c>
      <c r="C16">
        <v>150000</v>
      </c>
      <c r="D16">
        <v>68.543400000000005</v>
      </c>
      <c r="E16">
        <f>Tabla7[[#This Row],[T (s)]]/Tabla7[[#This Row],[neqn]]*1000</f>
        <v>0.45695600000000008</v>
      </c>
    </row>
    <row r="17" spans="2:5" x14ac:dyDescent="0.25">
      <c r="B17" t="s">
        <v>0</v>
      </c>
      <c r="C17">
        <v>200000</v>
      </c>
      <c r="D17">
        <v>89.162099999999995</v>
      </c>
      <c r="E17">
        <f>Tabla7[[#This Row],[T (s)]]/Tabla7[[#This Row],[neqn]]*1000</f>
        <v>0.4458105</v>
      </c>
    </row>
    <row r="18" spans="2:5" x14ac:dyDescent="0.25">
      <c r="B18" t="s">
        <v>0</v>
      </c>
      <c r="C18">
        <v>250000</v>
      </c>
      <c r="D18">
        <v>115.643</v>
      </c>
      <c r="E18">
        <f>Tabla7[[#This Row],[T (s)]]/Tabla7[[#This Row],[neqn]]*1000</f>
        <v>0.46257200000000004</v>
      </c>
    </row>
    <row r="19" spans="2:5" x14ac:dyDescent="0.25">
      <c r="B19" t="s">
        <v>0</v>
      </c>
      <c r="C19">
        <v>300000</v>
      </c>
      <c r="D19">
        <v>141.374</v>
      </c>
      <c r="E19">
        <f>Tabla7[[#This Row],[T (s)]]/Tabla7[[#This Row],[neqn]]*1000</f>
        <v>0.4712466666666667</v>
      </c>
    </row>
    <row r="20" spans="2:5" x14ac:dyDescent="0.25">
      <c r="B20" t="s">
        <v>0</v>
      </c>
      <c r="C20">
        <v>350000</v>
      </c>
      <c r="D20">
        <v>173.56299999999999</v>
      </c>
      <c r="E20">
        <f>Tabla7[[#This Row],[T (s)]]/Tabla7[[#This Row],[neqn]]*1000</f>
        <v>0.49589428571428568</v>
      </c>
    </row>
    <row r="21" spans="2:5" x14ac:dyDescent="0.25">
      <c r="B21" t="s">
        <v>0</v>
      </c>
      <c r="C21">
        <v>400000</v>
      </c>
      <c r="D21">
        <v>195.79300000000001</v>
      </c>
      <c r="E21">
        <f>Tabla7[[#This Row],[T (s)]]/Tabla7[[#This Row],[neqn]]*1000</f>
        <v>0.48948250000000004</v>
      </c>
    </row>
    <row r="22" spans="2:5" x14ac:dyDescent="0.25">
      <c r="B22" t="s">
        <v>0</v>
      </c>
      <c r="C22">
        <v>500000</v>
      </c>
      <c r="D22">
        <v>246.38900000000001</v>
      </c>
      <c r="E22">
        <f>Tabla7[[#This Row],[T (s)]]/Tabla7[[#This Row],[neqn]]*1000</f>
        <v>0.49277800000000005</v>
      </c>
    </row>
    <row r="23" spans="2:5" x14ac:dyDescent="0.25">
      <c r="B23" t="s">
        <v>0</v>
      </c>
      <c r="C23">
        <v>600000</v>
      </c>
      <c r="D23">
        <v>291.95100000000002</v>
      </c>
      <c r="E23">
        <f>Tabla7[[#This Row],[T (s)]]/Tabla7[[#This Row],[neqn]]*1000</f>
        <v>0.48658500000000005</v>
      </c>
    </row>
    <row r="24" spans="2:5" x14ac:dyDescent="0.25">
      <c r="B24" t="s">
        <v>0</v>
      </c>
      <c r="C24">
        <v>700000</v>
      </c>
      <c r="D24">
        <v>335.23500000000001</v>
      </c>
      <c r="E24">
        <f>Tabla7[[#This Row],[T (s)]]/Tabla7[[#This Row],[neqn]]*1000</f>
        <v>0.47890714285714286</v>
      </c>
    </row>
    <row r="25" spans="2:5" x14ac:dyDescent="0.25">
      <c r="B25" t="s">
        <v>0</v>
      </c>
      <c r="C25">
        <v>800000</v>
      </c>
      <c r="D25">
        <v>379.27300000000002</v>
      </c>
      <c r="E25">
        <f>Tabla7[[#This Row],[T (s)]]/Tabla7[[#This Row],[neqn]]*1000</f>
        <v>0.47409125000000002</v>
      </c>
    </row>
    <row r="26" spans="2:5" x14ac:dyDescent="0.25">
      <c r="B26" t="s">
        <v>0</v>
      </c>
      <c r="C26">
        <v>900000</v>
      </c>
      <c r="D26">
        <v>423.52100000000002</v>
      </c>
      <c r="E26">
        <f>Tabla7[[#This Row],[T (s)]]/Tabla7[[#This Row],[neqn]]*1000</f>
        <v>0.47057888888888888</v>
      </c>
    </row>
    <row r="27" spans="2:5" x14ac:dyDescent="0.25">
      <c r="B27" t="s">
        <v>0</v>
      </c>
      <c r="C27">
        <v>1000000</v>
      </c>
      <c r="D27">
        <v>469.07100000000003</v>
      </c>
      <c r="E27">
        <f>Tabla7[[#This Row],[T (s)]]/Tabla7[[#This Row],[neqn]]*1000</f>
        <v>0.46907100000000007</v>
      </c>
    </row>
    <row r="28" spans="2:5" x14ac:dyDescent="0.25">
      <c r="B28" t="s">
        <v>0</v>
      </c>
      <c r="C28">
        <v>1500000</v>
      </c>
      <c r="D28">
        <v>702.06799999999998</v>
      </c>
      <c r="E28">
        <f>Tabla7[[#This Row],[T (s)]]/Tabla7[[#This Row],[neqn]]*1000</f>
        <v>0.46804533333333331</v>
      </c>
    </row>
    <row r="29" spans="2:5" x14ac:dyDescent="0.25">
      <c r="B29" t="s">
        <v>0</v>
      </c>
      <c r="C29">
        <v>2000000</v>
      </c>
      <c r="D29">
        <v>927.77499999999998</v>
      </c>
      <c r="E29">
        <f>Tabla7[[#This Row],[T (s)]]/Tabla7[[#This Row],[neqn]]*1000</f>
        <v>0.46388749999999995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D2FD-67A7-474C-A0C8-ADED995BDF7A}">
  <dimension ref="B1:E18"/>
  <sheetViews>
    <sheetView workbookViewId="0">
      <selection activeCell="B3" sqref="B3:E18"/>
    </sheetView>
  </sheetViews>
  <sheetFormatPr baseColWidth="10" defaultRowHeight="15" x14ac:dyDescent="0.25"/>
  <cols>
    <col min="2" max="2" width="23.5703125" bestFit="1" customWidth="1"/>
    <col min="3" max="3" width="12.7109375" customWidth="1"/>
    <col min="7" max="7" width="11.7109375" customWidth="1"/>
  </cols>
  <sheetData>
    <row r="1" spans="2:5" x14ac:dyDescent="0.25">
      <c r="B1" t="s">
        <v>62</v>
      </c>
    </row>
    <row r="3" spans="2:5" x14ac:dyDescent="0.25">
      <c r="B3" s="13" t="s">
        <v>13</v>
      </c>
      <c r="C3" t="s">
        <v>63</v>
      </c>
      <c r="D3" t="s">
        <v>64</v>
      </c>
      <c r="E3" t="s">
        <v>65</v>
      </c>
    </row>
    <row r="4" spans="2:5" x14ac:dyDescent="0.25">
      <c r="B4" s="2">
        <v>1250</v>
      </c>
      <c r="C4">
        <v>15.6045</v>
      </c>
      <c r="D4">
        <v>15.772399999999999</v>
      </c>
      <c r="E4">
        <f>Tabla9[[#This Row],[T - SIN]]/Tabla9[[#This Row],[T - CON]]</f>
        <v>1.0107597167483737</v>
      </c>
    </row>
    <row r="5" spans="2:5" x14ac:dyDescent="0.25">
      <c r="B5" s="5">
        <v>5000</v>
      </c>
      <c r="C5">
        <v>15.341100000000001</v>
      </c>
      <c r="D5">
        <v>15.7544</v>
      </c>
      <c r="E5">
        <f>Tabla9[[#This Row],[T - SIN]]/Tabla9[[#This Row],[T - CON]]</f>
        <v>1.0269407017749705</v>
      </c>
    </row>
    <row r="6" spans="2:5" x14ac:dyDescent="0.25">
      <c r="B6" s="2">
        <v>11250</v>
      </c>
      <c r="C6">
        <v>15.9351</v>
      </c>
      <c r="D6">
        <v>16.156099999999999</v>
      </c>
      <c r="E6">
        <f>Tabla9[[#This Row],[T - SIN]]/Tabla9[[#This Row],[T - CON]]</f>
        <v>1.0138687551380285</v>
      </c>
    </row>
    <row r="7" spans="2:5" x14ac:dyDescent="0.25">
      <c r="B7" s="5">
        <v>20000</v>
      </c>
      <c r="C7">
        <v>22.657800000000002</v>
      </c>
      <c r="D7">
        <v>22.6586</v>
      </c>
      <c r="E7">
        <f>Tabla9[[#This Row],[T - SIN]]/Tabla9[[#This Row],[T - CON]]</f>
        <v>1.0000353079292781</v>
      </c>
    </row>
    <row r="8" spans="2:5" x14ac:dyDescent="0.25">
      <c r="B8" s="2">
        <v>31250</v>
      </c>
      <c r="C8">
        <v>23.816099999999999</v>
      </c>
      <c r="D8">
        <v>23.604900000000001</v>
      </c>
      <c r="E8">
        <f>Tabla9[[#This Row],[T - SIN]]/Tabla9[[#This Row],[T - CON]]</f>
        <v>0.99113204932797572</v>
      </c>
    </row>
    <row r="9" spans="2:5" x14ac:dyDescent="0.25">
      <c r="B9" s="5">
        <v>45000</v>
      </c>
      <c r="C9">
        <v>31.638100000000001</v>
      </c>
      <c r="D9">
        <v>30.777699999999999</v>
      </c>
      <c r="E9">
        <f>Tabla9[[#This Row],[T - SIN]]/Tabla9[[#This Row],[T - CON]]</f>
        <v>0.97280494087824487</v>
      </c>
    </row>
    <row r="10" spans="2:5" x14ac:dyDescent="0.25">
      <c r="B10" s="2">
        <v>61250</v>
      </c>
      <c r="C10">
        <v>39.993499999999997</v>
      </c>
      <c r="D10">
        <v>39.1357</v>
      </c>
      <c r="E10">
        <f>Tabla9[[#This Row],[T - SIN]]/Tabla9[[#This Row],[T - CON]]</f>
        <v>0.978551514621126</v>
      </c>
    </row>
    <row r="11" spans="2:5" x14ac:dyDescent="0.25">
      <c r="B11" s="5">
        <v>80000</v>
      </c>
      <c r="C11">
        <v>47.031500000000001</v>
      </c>
      <c r="D11">
        <v>43.573999999999998</v>
      </c>
      <c r="E11">
        <f>Tabla9[[#This Row],[T - SIN]]/Tabla9[[#This Row],[T - CON]]</f>
        <v>0.92648544060895355</v>
      </c>
    </row>
    <row r="12" spans="2:5" x14ac:dyDescent="0.25">
      <c r="B12" s="2">
        <v>101250</v>
      </c>
      <c r="C12">
        <v>69.774000000000001</v>
      </c>
      <c r="D12">
        <v>62.0139</v>
      </c>
      <c r="E12">
        <f>Tabla9[[#This Row],[T - SIN]]/Tabla9[[#This Row],[T - CON]]</f>
        <v>0.88878235445868081</v>
      </c>
    </row>
    <row r="13" spans="2:5" x14ac:dyDescent="0.25">
      <c r="B13" s="5">
        <v>125000</v>
      </c>
      <c r="C13">
        <v>99.3</v>
      </c>
      <c r="D13">
        <v>86.291600000000003</v>
      </c>
      <c r="E13">
        <f>Tabla9[[#This Row],[T - SIN]]/Tabla9[[#This Row],[T - CON]]</f>
        <v>0.86899899295065464</v>
      </c>
    </row>
    <row r="14" spans="2:5" x14ac:dyDescent="0.25">
      <c r="B14" s="2">
        <v>180000</v>
      </c>
      <c r="C14">
        <v>147.21700000000001</v>
      </c>
      <c r="D14">
        <v>120.547</v>
      </c>
      <c r="E14">
        <f>Tabla9[[#This Row],[T - SIN]]/Tabla9[[#This Row],[T - CON]]</f>
        <v>0.81883885692549085</v>
      </c>
    </row>
    <row r="15" spans="2:5" x14ac:dyDescent="0.25">
      <c r="B15" s="5">
        <v>320000</v>
      </c>
      <c r="C15">
        <v>264.62400000000002</v>
      </c>
      <c r="D15">
        <v>213.41800000000001</v>
      </c>
      <c r="E15">
        <f>Tabla9[[#This Row],[T - SIN]]/Tabla9[[#This Row],[T - CON]]</f>
        <v>0.80649525364290464</v>
      </c>
    </row>
    <row r="16" spans="2:5" x14ac:dyDescent="0.25">
      <c r="B16" s="2">
        <v>500000</v>
      </c>
      <c r="C16">
        <v>392.97199999999998</v>
      </c>
      <c r="D16">
        <v>313.98399999999998</v>
      </c>
      <c r="E16">
        <f>Tabla9[[#This Row],[T - SIN]]/Tabla9[[#This Row],[T - CON]]</f>
        <v>0.79899840192176541</v>
      </c>
    </row>
    <row r="17" spans="2:5" x14ac:dyDescent="0.25">
      <c r="B17" s="5">
        <v>720000</v>
      </c>
      <c r="C17">
        <v>573.024</v>
      </c>
      <c r="D17">
        <v>458.03</v>
      </c>
      <c r="E17">
        <f>Tabla9[[#This Row],[T - SIN]]/Tabla9[[#This Row],[T - CON]]</f>
        <v>0.79932079633662811</v>
      </c>
    </row>
    <row r="18" spans="2:5" x14ac:dyDescent="0.25">
      <c r="B18" s="2">
        <v>980000</v>
      </c>
      <c r="C18">
        <v>772.95399999999995</v>
      </c>
      <c r="D18">
        <v>615.16499999999996</v>
      </c>
      <c r="E18">
        <f>Tabla9[[#This Row],[T - SIN]]/Tabla9[[#This Row],[T - CON]]</f>
        <v>0.79586236697138513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Euler</vt:lpstr>
      <vt:lpstr>OMP-Br1d</vt:lpstr>
      <vt:lpstr>OMP-Br2d</vt:lpstr>
      <vt:lpstr>CUDA-Br2d</vt:lpstr>
      <vt:lpstr>CUDA-RK-Br1d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Navarro</dc:creator>
  <cp:lastModifiedBy>Pepe Navarro</cp:lastModifiedBy>
  <dcterms:created xsi:type="dcterms:W3CDTF">2015-06-05T18:19:34Z</dcterms:created>
  <dcterms:modified xsi:type="dcterms:W3CDTF">2026-08-31T08:20:22Z</dcterms:modified>
</cp:coreProperties>
</file>